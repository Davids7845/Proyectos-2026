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charts/chartEx2.xml" ContentType="application/vnd.ms-office.chartex+xml"/>
  <Override PartName="/xl/charts/style2.xml" ContentType="application/vnd.ms-office.chartstyle+xml"/>
  <Override PartName="/xl/charts/colors2.xml" ContentType="application/vnd.ms-office.chartcolorstyle+xml"/>
  <Override PartName="/xl/charts/chartEx3.xml" ContentType="application/vnd.ms-office.chartex+xml"/>
  <Override PartName="/xl/charts/style3.xml" ContentType="application/vnd.ms-office.chartstyle+xml"/>
  <Override PartName="/xl/charts/colors3.xml" ContentType="application/vnd.ms-office.chartcolorstyle+xml"/>
  <Override PartName="/xl/charts/chartEx4.xml" ContentType="application/vnd.ms-office.chartex+xml"/>
  <Override PartName="/xl/charts/style4.xml" ContentType="application/vnd.ms-office.chartstyle+xml"/>
  <Override PartName="/xl/charts/colors4.xml" ContentType="application/vnd.ms-office.chartcolorstyle+xml"/>
  <Override PartName="/xl/drawings/drawing2.xml" ContentType="application/vnd.openxmlformats-officedocument.drawing+xml"/>
  <Override PartName="/xl/charts/chartEx5.xml" ContentType="application/vnd.ms-office.chartex+xml"/>
  <Override PartName="/xl/charts/style5.xml" ContentType="application/vnd.ms-office.chartstyle+xml"/>
  <Override PartName="/xl/charts/colors5.xml" ContentType="application/vnd.ms-office.chartcolorstyle+xml"/>
  <Override PartName="/xl/charts/chartEx6.xml" ContentType="application/vnd.ms-office.chartex+xml"/>
  <Override PartName="/xl/charts/style6.xml" ContentType="application/vnd.ms-office.chartstyle+xml"/>
  <Override PartName="/xl/charts/colors6.xml" ContentType="application/vnd.ms-office.chartcolorstyle+xml"/>
  <Override PartName="/xl/charts/chartEx7.xml" ContentType="application/vnd.ms-office.chartex+xml"/>
  <Override PartName="/xl/charts/style7.xml" ContentType="application/vnd.ms-office.chartstyle+xml"/>
  <Override PartName="/xl/charts/colors7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cserna\Documents\"/>
    </mc:Choice>
  </mc:AlternateContent>
  <xr:revisionPtr revIDLastSave="0" documentId="13_ncr:1_{4C075D90-1C1B-49B9-9DCD-9F7ACE70DD9D}" xr6:coauthVersionLast="47" xr6:coauthVersionMax="47" xr10:uidLastSave="{00000000-0000-0000-0000-000000000000}"/>
  <bookViews>
    <workbookView xWindow="-108" yWindow="-108" windowWidth="23256" windowHeight="12456" tabRatio="748" firstSheet="3" activeTab="8" xr2:uid="{82940AE1-7173-4B15-8C86-CA5A81A01FB3}"/>
  </bookViews>
  <sheets>
    <sheet name="Datos" sheetId="1" r:id="rId1"/>
    <sheet name="ORD" sheetId="6" r:id="rId2"/>
    <sheet name="Maestro" sheetId="4" r:id="rId3"/>
    <sheet name="Base" sheetId="5" r:id="rId4"/>
    <sheet name="TD" sheetId="7" r:id="rId5"/>
    <sheet name="Costo" sheetId="8" r:id="rId6"/>
    <sheet name="Costo Arrastrado" sheetId="12" r:id="rId7"/>
    <sheet name="Costo sin Consolidar" sheetId="15" r:id="rId8"/>
    <sheet name="Energía" sheetId="16" r:id="rId9"/>
    <sheet name="Gráficas" sheetId="14" r:id="rId10"/>
    <sheet name="Gráficas (Costo Arrastrado)" sheetId="13" r:id="rId11"/>
  </sheets>
  <definedNames>
    <definedName name="\a">#REF!</definedName>
    <definedName name="\e">#REF!</definedName>
    <definedName name="_______________________AS12" localSheetId="8" hidden="1">{#N/A,#N/A,TRUE,"NAE";#N/A,#N/A,TRUE,"CR";#N/A,#N/A,TRUE,"CS";#N/A,#N/A,TRUE,"CC"}</definedName>
    <definedName name="_______________________AS12" hidden="1">{#N/A,#N/A,TRUE,"NAE";#N/A,#N/A,TRUE,"CR";#N/A,#N/A,TRUE,"CS";#N/A,#N/A,TRUE,"CC"}</definedName>
    <definedName name="_______________________E333" localSheetId="8" hidden="1">{#N/A,#N/A,TRUE,"NAE";#N/A,#N/A,TRUE,"CR";#N/A,#N/A,TRUE,"CS";#N/A,#N/A,TRUE,"CC"}</definedName>
    <definedName name="_______________________E333" hidden="1">{#N/A,#N/A,TRUE,"NAE";#N/A,#N/A,TRUE,"CR";#N/A,#N/A,TRUE,"CS";#N/A,#N/A,TRUE,"CC"}</definedName>
    <definedName name="_______________________EW3333" localSheetId="8" hidden="1">{#N/A,#N/A,TRUE,"NAE";#N/A,#N/A,TRUE,"CR";#N/A,#N/A,TRUE,"CS";#N/A,#N/A,TRUE,"CC"}</definedName>
    <definedName name="_______________________EW3333" hidden="1">{#N/A,#N/A,TRUE,"NAE";#N/A,#N/A,TRUE,"CR";#N/A,#N/A,TRUE,"CS";#N/A,#N/A,TRUE,"CC"}</definedName>
    <definedName name="_______________________g545" localSheetId="8" hidden="1">{#N/A,#N/A,TRUE,"NAE";#N/A,#N/A,TRUE,"CR";#N/A,#N/A,TRUE,"CS";#N/A,#N/A,TRUE,"CC"}</definedName>
    <definedName name="_______________________g545" hidden="1">{#N/A,#N/A,TRUE,"NAE";#N/A,#N/A,TRUE,"CR";#N/A,#N/A,TRUE,"CS";#N/A,#N/A,TRUE,"CC"}</definedName>
    <definedName name="_______________________HY67" localSheetId="8" hidden="1">{#N/A,#N/A,TRUE,"NAE";#N/A,#N/A,TRUE,"CR";#N/A,#N/A,TRUE,"CS";#N/A,#N/A,TRUE,"CC"}</definedName>
    <definedName name="_______________________HY67" hidden="1">{#N/A,#N/A,TRUE,"NAE";#N/A,#N/A,TRUE,"CR";#N/A,#N/A,TRUE,"CS";#N/A,#N/A,TRUE,"CC"}</definedName>
    <definedName name="_______________________ii8787" localSheetId="8" hidden="1">{#N/A,#N/A,TRUE,"NAE";#N/A,#N/A,TRUE,"CR";#N/A,#N/A,TRUE,"CS";#N/A,#N/A,TRUE,"CC"}</definedName>
    <definedName name="_______________________ii8787" hidden="1">{#N/A,#N/A,TRUE,"NAE";#N/A,#N/A,TRUE,"CR";#N/A,#N/A,TRUE,"CS";#N/A,#N/A,TRUE,"CC"}</definedName>
    <definedName name="_______________________JU76537" localSheetId="8" hidden="1">{#N/A,#N/A,TRUE,"NAE";#N/A,#N/A,TRUE,"CR";#N/A,#N/A,TRUE,"CS";#N/A,#N/A,TRUE,"CC"}</definedName>
    <definedName name="_______________________JU76537" hidden="1">{#N/A,#N/A,TRUE,"NAE";#N/A,#N/A,TRUE,"CR";#N/A,#N/A,TRUE,"CS";#N/A,#N/A,TRUE,"CC"}</definedName>
    <definedName name="_______________________KI5656" localSheetId="8" hidden="1">{#N/A,#N/A,TRUE,"NAE";#N/A,#N/A,TRUE,"CR";#N/A,#N/A,TRUE,"CS";#N/A,#N/A,TRUE,"CC"}</definedName>
    <definedName name="_______________________KI5656" hidden="1">{#N/A,#N/A,TRUE,"NAE";#N/A,#N/A,TRUE,"CR";#N/A,#N/A,TRUE,"CS";#N/A,#N/A,TRUE,"CC"}</definedName>
    <definedName name="_______________________ktr7" localSheetId="8" hidden="1">{#N/A,#N/A,TRUE,"NAE";#N/A,#N/A,TRUE,"CR";#N/A,#N/A,TRUE,"CS";#N/A,#N/A,TRUE,"CC"}</definedName>
    <definedName name="_______________________ktr7" hidden="1">{#N/A,#N/A,TRUE,"NAE";#N/A,#N/A,TRUE,"CR";#N/A,#N/A,TRUE,"CS";#N/A,#N/A,TRUE,"CC"}</definedName>
    <definedName name="_______________________R4444" localSheetId="8" hidden="1">{#N/A,#N/A,TRUE,"NAE";#N/A,#N/A,TRUE,"CR";#N/A,#N/A,TRUE,"CS";#N/A,#N/A,TRUE,"CC"}</definedName>
    <definedName name="_______________________R4444" hidden="1">{#N/A,#N/A,TRUE,"NAE";#N/A,#N/A,TRUE,"CR";#N/A,#N/A,TRUE,"CS";#N/A,#N/A,TRUE,"CC"}</definedName>
    <definedName name="_______________________r7e56" localSheetId="8" hidden="1">{#N/A,#N/A,TRUE,"NAE";#N/A,#N/A,TRUE,"CR";#N/A,#N/A,TRUE,"CS";#N/A,#N/A,TRUE,"CC"}</definedName>
    <definedName name="_______________________r7e56" hidden="1">{#N/A,#N/A,TRUE,"NAE";#N/A,#N/A,TRUE,"CR";#N/A,#N/A,TRUE,"CS";#N/A,#N/A,TRUE,"CC"}</definedName>
    <definedName name="_______________________rku7" localSheetId="8" hidden="1">{#N/A,#N/A,TRUE,"NAE";#N/A,#N/A,TRUE,"CR";#N/A,#N/A,TRUE,"CS";#N/A,#N/A,TRUE,"CC"}</definedName>
    <definedName name="_______________________rku7" hidden="1">{#N/A,#N/A,TRUE,"NAE";#N/A,#N/A,TRUE,"CR";#N/A,#N/A,TRUE,"CS";#N/A,#N/A,TRUE,"CC"}</definedName>
    <definedName name="_______________________rti888" localSheetId="8" hidden="1">{#N/A,#N/A,TRUE,"NAE";#N/A,#N/A,TRUE,"CR";#N/A,#N/A,TRUE,"CS";#N/A,#N/A,TRUE,"CC"}</definedName>
    <definedName name="_______________________rti888" hidden="1">{#N/A,#N/A,TRUE,"NAE";#N/A,#N/A,TRUE,"CR";#N/A,#N/A,TRUE,"CS";#N/A,#N/A,TRUE,"CC"}</definedName>
    <definedName name="_______________________S334" localSheetId="8" hidden="1">{#N/A,#N/A,TRUE,"NAE";#N/A,#N/A,TRUE,"CR";#N/A,#N/A,TRUE,"CS";#N/A,#N/A,TRUE,"CC"}</definedName>
    <definedName name="_______________________S334" hidden="1">{#N/A,#N/A,TRUE,"NAE";#N/A,#N/A,TRUE,"CR";#N/A,#N/A,TRUE,"CS";#N/A,#N/A,TRUE,"CC"}</definedName>
    <definedName name="_______________________SD12" localSheetId="8" hidden="1">{#N/A,#N/A,TRUE,"NAE";#N/A,#N/A,TRUE,"CR";#N/A,#N/A,TRUE,"CS";#N/A,#N/A,TRUE,"CC"}</definedName>
    <definedName name="_______________________SD12" hidden="1">{#N/A,#N/A,TRUE,"NAE";#N/A,#N/A,TRUE,"CR";#N/A,#N/A,TRUE,"CS";#N/A,#N/A,TRUE,"CC"}</definedName>
    <definedName name="_______________________SRG6" localSheetId="8" hidden="1">{#N/A,#N/A,TRUE,"NAE";#N/A,#N/A,TRUE,"CR";#N/A,#N/A,TRUE,"CS";#N/A,#N/A,TRUE,"CC"}</definedName>
    <definedName name="_______________________SRG6" hidden="1">{#N/A,#N/A,TRUE,"NAE";#N/A,#N/A,TRUE,"CR";#N/A,#N/A,TRUE,"CS";#N/A,#N/A,TRUE,"CC"}</definedName>
    <definedName name="_______________________T55555" localSheetId="8" hidden="1">{#N/A,#N/A,TRUE,"NAE";#N/A,#N/A,TRUE,"CR";#N/A,#N/A,TRUE,"CS";#N/A,#N/A,TRUE,"CC"}</definedName>
    <definedName name="_______________________T55555" hidden="1">{#N/A,#N/A,TRUE,"NAE";#N/A,#N/A,TRUE,"CR";#N/A,#N/A,TRUE,"CS";#N/A,#N/A,TRUE,"CC"}</definedName>
    <definedName name="_______________________tyk767" localSheetId="8" hidden="1">{#N/A,#N/A,TRUE,"NAE";#N/A,#N/A,TRUE,"CR";#N/A,#N/A,TRUE,"CS";#N/A,#N/A,TRUE,"CC"}</definedName>
    <definedName name="_______________________tyk767" hidden="1">{#N/A,#N/A,TRUE,"NAE";#N/A,#N/A,TRUE,"CR";#N/A,#N/A,TRUE,"CS";#N/A,#N/A,TRUE,"CC"}</definedName>
    <definedName name="_______________________tyo8886" localSheetId="8" hidden="1">{#N/A,#N/A,TRUE,"NAE";#N/A,#N/A,TRUE,"CR";#N/A,#N/A,TRUE,"CS";#N/A,#N/A,TRUE,"CC"}</definedName>
    <definedName name="_______________________tyo8886" hidden="1">{#N/A,#N/A,TRUE,"NAE";#N/A,#N/A,TRUE,"CR";#N/A,#N/A,TRUE,"CS";#N/A,#N/A,TRUE,"CC"}</definedName>
    <definedName name="_______________________WHY6436" localSheetId="8" hidden="1">{#N/A,#N/A,TRUE,"NAE";#N/A,#N/A,TRUE,"CR";#N/A,#N/A,TRUE,"CS";#N/A,#N/A,TRUE,"CC"}</definedName>
    <definedName name="_______________________WHY6436" hidden="1">{#N/A,#N/A,TRUE,"NAE";#N/A,#N/A,TRUE,"CR";#N/A,#N/A,TRUE,"CS";#N/A,#N/A,TRUE,"CC"}</definedName>
    <definedName name="______________________AS12" localSheetId="8" hidden="1">{#N/A,#N/A,TRUE,"NAE";#N/A,#N/A,TRUE,"CR";#N/A,#N/A,TRUE,"CS";#N/A,#N/A,TRUE,"CC"}</definedName>
    <definedName name="______________________AS12" hidden="1">{#N/A,#N/A,TRUE,"NAE";#N/A,#N/A,TRUE,"CR";#N/A,#N/A,TRUE,"CS";#N/A,#N/A,TRUE,"CC"}</definedName>
    <definedName name="______________________E333" localSheetId="8" hidden="1">{#N/A,#N/A,TRUE,"NAE";#N/A,#N/A,TRUE,"CR";#N/A,#N/A,TRUE,"CS";#N/A,#N/A,TRUE,"CC"}</definedName>
    <definedName name="______________________E333" hidden="1">{#N/A,#N/A,TRUE,"NAE";#N/A,#N/A,TRUE,"CR";#N/A,#N/A,TRUE,"CS";#N/A,#N/A,TRUE,"CC"}</definedName>
    <definedName name="______________________EW3333" localSheetId="8" hidden="1">{#N/A,#N/A,TRUE,"NAE";#N/A,#N/A,TRUE,"CR";#N/A,#N/A,TRUE,"CS";#N/A,#N/A,TRUE,"CC"}</definedName>
    <definedName name="______________________EW3333" hidden="1">{#N/A,#N/A,TRUE,"NAE";#N/A,#N/A,TRUE,"CR";#N/A,#N/A,TRUE,"CS";#N/A,#N/A,TRUE,"CC"}</definedName>
    <definedName name="______________________g545" localSheetId="8" hidden="1">{#N/A,#N/A,TRUE,"NAE";#N/A,#N/A,TRUE,"CR";#N/A,#N/A,TRUE,"CS";#N/A,#N/A,TRUE,"CC"}</definedName>
    <definedName name="______________________g545" hidden="1">{#N/A,#N/A,TRUE,"NAE";#N/A,#N/A,TRUE,"CR";#N/A,#N/A,TRUE,"CS";#N/A,#N/A,TRUE,"CC"}</definedName>
    <definedName name="______________________HY67" localSheetId="8" hidden="1">{#N/A,#N/A,TRUE,"NAE";#N/A,#N/A,TRUE,"CR";#N/A,#N/A,TRUE,"CS";#N/A,#N/A,TRUE,"CC"}</definedName>
    <definedName name="______________________HY67" hidden="1">{#N/A,#N/A,TRUE,"NAE";#N/A,#N/A,TRUE,"CR";#N/A,#N/A,TRUE,"CS";#N/A,#N/A,TRUE,"CC"}</definedName>
    <definedName name="______________________ii8787" localSheetId="8" hidden="1">{#N/A,#N/A,TRUE,"NAE";#N/A,#N/A,TRUE,"CR";#N/A,#N/A,TRUE,"CS";#N/A,#N/A,TRUE,"CC"}</definedName>
    <definedName name="______________________ii8787" hidden="1">{#N/A,#N/A,TRUE,"NAE";#N/A,#N/A,TRUE,"CR";#N/A,#N/A,TRUE,"CS";#N/A,#N/A,TRUE,"CC"}</definedName>
    <definedName name="______________________JU76537" localSheetId="8" hidden="1">{#N/A,#N/A,TRUE,"NAE";#N/A,#N/A,TRUE,"CR";#N/A,#N/A,TRUE,"CS";#N/A,#N/A,TRUE,"CC"}</definedName>
    <definedName name="______________________JU76537" hidden="1">{#N/A,#N/A,TRUE,"NAE";#N/A,#N/A,TRUE,"CR";#N/A,#N/A,TRUE,"CS";#N/A,#N/A,TRUE,"CC"}</definedName>
    <definedName name="______________________KI5656" localSheetId="8" hidden="1">{#N/A,#N/A,TRUE,"NAE";#N/A,#N/A,TRUE,"CR";#N/A,#N/A,TRUE,"CS";#N/A,#N/A,TRUE,"CC"}</definedName>
    <definedName name="______________________KI5656" hidden="1">{#N/A,#N/A,TRUE,"NAE";#N/A,#N/A,TRUE,"CR";#N/A,#N/A,TRUE,"CS";#N/A,#N/A,TRUE,"CC"}</definedName>
    <definedName name="______________________ktr7" localSheetId="8" hidden="1">{#N/A,#N/A,TRUE,"NAE";#N/A,#N/A,TRUE,"CR";#N/A,#N/A,TRUE,"CS";#N/A,#N/A,TRUE,"CC"}</definedName>
    <definedName name="______________________ktr7" hidden="1">{#N/A,#N/A,TRUE,"NAE";#N/A,#N/A,TRUE,"CR";#N/A,#N/A,TRUE,"CS";#N/A,#N/A,TRUE,"CC"}</definedName>
    <definedName name="______________________R4444" localSheetId="8" hidden="1">{#N/A,#N/A,TRUE,"NAE";#N/A,#N/A,TRUE,"CR";#N/A,#N/A,TRUE,"CS";#N/A,#N/A,TRUE,"CC"}</definedName>
    <definedName name="______________________R4444" hidden="1">{#N/A,#N/A,TRUE,"NAE";#N/A,#N/A,TRUE,"CR";#N/A,#N/A,TRUE,"CS";#N/A,#N/A,TRUE,"CC"}</definedName>
    <definedName name="______________________r7e56" localSheetId="8" hidden="1">{#N/A,#N/A,TRUE,"NAE";#N/A,#N/A,TRUE,"CR";#N/A,#N/A,TRUE,"CS";#N/A,#N/A,TRUE,"CC"}</definedName>
    <definedName name="______________________r7e56" hidden="1">{#N/A,#N/A,TRUE,"NAE";#N/A,#N/A,TRUE,"CR";#N/A,#N/A,TRUE,"CS";#N/A,#N/A,TRUE,"CC"}</definedName>
    <definedName name="______________________rku7" localSheetId="8" hidden="1">{#N/A,#N/A,TRUE,"NAE";#N/A,#N/A,TRUE,"CR";#N/A,#N/A,TRUE,"CS";#N/A,#N/A,TRUE,"CC"}</definedName>
    <definedName name="______________________rku7" hidden="1">{#N/A,#N/A,TRUE,"NAE";#N/A,#N/A,TRUE,"CR";#N/A,#N/A,TRUE,"CS";#N/A,#N/A,TRUE,"CC"}</definedName>
    <definedName name="______________________rti888" localSheetId="8" hidden="1">{#N/A,#N/A,TRUE,"NAE";#N/A,#N/A,TRUE,"CR";#N/A,#N/A,TRUE,"CS";#N/A,#N/A,TRUE,"CC"}</definedName>
    <definedName name="______________________rti888" hidden="1">{#N/A,#N/A,TRUE,"NAE";#N/A,#N/A,TRUE,"CR";#N/A,#N/A,TRUE,"CS";#N/A,#N/A,TRUE,"CC"}</definedName>
    <definedName name="______________________S334" localSheetId="8" hidden="1">{#N/A,#N/A,TRUE,"NAE";#N/A,#N/A,TRUE,"CR";#N/A,#N/A,TRUE,"CS";#N/A,#N/A,TRUE,"CC"}</definedName>
    <definedName name="______________________S334" hidden="1">{#N/A,#N/A,TRUE,"NAE";#N/A,#N/A,TRUE,"CR";#N/A,#N/A,TRUE,"CS";#N/A,#N/A,TRUE,"CC"}</definedName>
    <definedName name="______________________SD12" localSheetId="8" hidden="1">{#N/A,#N/A,TRUE,"NAE";#N/A,#N/A,TRUE,"CR";#N/A,#N/A,TRUE,"CS";#N/A,#N/A,TRUE,"CC"}</definedName>
    <definedName name="______________________SD12" hidden="1">{#N/A,#N/A,TRUE,"NAE";#N/A,#N/A,TRUE,"CR";#N/A,#N/A,TRUE,"CS";#N/A,#N/A,TRUE,"CC"}</definedName>
    <definedName name="______________________SRG6" localSheetId="8" hidden="1">{#N/A,#N/A,TRUE,"NAE";#N/A,#N/A,TRUE,"CR";#N/A,#N/A,TRUE,"CS";#N/A,#N/A,TRUE,"CC"}</definedName>
    <definedName name="______________________SRG6" hidden="1">{#N/A,#N/A,TRUE,"NAE";#N/A,#N/A,TRUE,"CR";#N/A,#N/A,TRUE,"CS";#N/A,#N/A,TRUE,"CC"}</definedName>
    <definedName name="______________________T55555" localSheetId="8" hidden="1">{#N/A,#N/A,TRUE,"NAE";#N/A,#N/A,TRUE,"CR";#N/A,#N/A,TRUE,"CS";#N/A,#N/A,TRUE,"CC"}</definedName>
    <definedName name="______________________T55555" hidden="1">{#N/A,#N/A,TRUE,"NAE";#N/A,#N/A,TRUE,"CR";#N/A,#N/A,TRUE,"CS";#N/A,#N/A,TRUE,"CC"}</definedName>
    <definedName name="______________________tyk767" localSheetId="8" hidden="1">{#N/A,#N/A,TRUE,"NAE";#N/A,#N/A,TRUE,"CR";#N/A,#N/A,TRUE,"CS";#N/A,#N/A,TRUE,"CC"}</definedName>
    <definedName name="______________________tyk767" hidden="1">{#N/A,#N/A,TRUE,"NAE";#N/A,#N/A,TRUE,"CR";#N/A,#N/A,TRUE,"CS";#N/A,#N/A,TRUE,"CC"}</definedName>
    <definedName name="______________________tyo8886" localSheetId="8" hidden="1">{#N/A,#N/A,TRUE,"NAE";#N/A,#N/A,TRUE,"CR";#N/A,#N/A,TRUE,"CS";#N/A,#N/A,TRUE,"CC"}</definedName>
    <definedName name="______________________tyo8886" hidden="1">{#N/A,#N/A,TRUE,"NAE";#N/A,#N/A,TRUE,"CR";#N/A,#N/A,TRUE,"CS";#N/A,#N/A,TRUE,"CC"}</definedName>
    <definedName name="______________________WHY6436" localSheetId="8" hidden="1">{#N/A,#N/A,TRUE,"NAE";#N/A,#N/A,TRUE,"CR";#N/A,#N/A,TRUE,"CS";#N/A,#N/A,TRUE,"CC"}</definedName>
    <definedName name="______________________WHY6436" hidden="1">{#N/A,#N/A,TRUE,"NAE";#N/A,#N/A,TRUE,"CR";#N/A,#N/A,TRUE,"CS";#N/A,#N/A,TRUE,"CC"}</definedName>
    <definedName name="_____________________AS12" localSheetId="8" hidden="1">{#N/A,#N/A,TRUE,"NAE";#N/A,#N/A,TRUE,"CR";#N/A,#N/A,TRUE,"CS";#N/A,#N/A,TRUE,"CC"}</definedName>
    <definedName name="_____________________AS12" hidden="1">{#N/A,#N/A,TRUE,"NAE";#N/A,#N/A,TRUE,"CR";#N/A,#N/A,TRUE,"CS";#N/A,#N/A,TRUE,"CC"}</definedName>
    <definedName name="_____________________E333" localSheetId="8" hidden="1">{#N/A,#N/A,TRUE,"NAE";#N/A,#N/A,TRUE,"CR";#N/A,#N/A,TRUE,"CS";#N/A,#N/A,TRUE,"CC"}</definedName>
    <definedName name="_____________________E333" hidden="1">{#N/A,#N/A,TRUE,"NAE";#N/A,#N/A,TRUE,"CR";#N/A,#N/A,TRUE,"CS";#N/A,#N/A,TRUE,"CC"}</definedName>
    <definedName name="_____________________EW3333" localSheetId="8" hidden="1">{#N/A,#N/A,TRUE,"NAE";#N/A,#N/A,TRUE,"CR";#N/A,#N/A,TRUE,"CS";#N/A,#N/A,TRUE,"CC"}</definedName>
    <definedName name="_____________________EW3333" hidden="1">{#N/A,#N/A,TRUE,"NAE";#N/A,#N/A,TRUE,"CR";#N/A,#N/A,TRUE,"CS";#N/A,#N/A,TRUE,"CC"}</definedName>
    <definedName name="_____________________g545" localSheetId="8" hidden="1">{#N/A,#N/A,TRUE,"NAE";#N/A,#N/A,TRUE,"CR";#N/A,#N/A,TRUE,"CS";#N/A,#N/A,TRUE,"CC"}</definedName>
    <definedName name="_____________________g545" hidden="1">{#N/A,#N/A,TRUE,"NAE";#N/A,#N/A,TRUE,"CR";#N/A,#N/A,TRUE,"CS";#N/A,#N/A,TRUE,"CC"}</definedName>
    <definedName name="_____________________HY67" localSheetId="8" hidden="1">{#N/A,#N/A,TRUE,"NAE";#N/A,#N/A,TRUE,"CR";#N/A,#N/A,TRUE,"CS";#N/A,#N/A,TRUE,"CC"}</definedName>
    <definedName name="_____________________HY67" hidden="1">{#N/A,#N/A,TRUE,"NAE";#N/A,#N/A,TRUE,"CR";#N/A,#N/A,TRUE,"CS";#N/A,#N/A,TRUE,"CC"}</definedName>
    <definedName name="_____________________ii8787" localSheetId="8" hidden="1">{#N/A,#N/A,TRUE,"NAE";#N/A,#N/A,TRUE,"CR";#N/A,#N/A,TRUE,"CS";#N/A,#N/A,TRUE,"CC"}</definedName>
    <definedName name="_____________________ii8787" hidden="1">{#N/A,#N/A,TRUE,"NAE";#N/A,#N/A,TRUE,"CR";#N/A,#N/A,TRUE,"CS";#N/A,#N/A,TRUE,"CC"}</definedName>
    <definedName name="_____________________JU76537" localSheetId="8" hidden="1">{#N/A,#N/A,TRUE,"NAE";#N/A,#N/A,TRUE,"CR";#N/A,#N/A,TRUE,"CS";#N/A,#N/A,TRUE,"CC"}</definedName>
    <definedName name="_____________________JU76537" hidden="1">{#N/A,#N/A,TRUE,"NAE";#N/A,#N/A,TRUE,"CR";#N/A,#N/A,TRUE,"CS";#N/A,#N/A,TRUE,"CC"}</definedName>
    <definedName name="_____________________KI5656" localSheetId="8" hidden="1">{#N/A,#N/A,TRUE,"NAE";#N/A,#N/A,TRUE,"CR";#N/A,#N/A,TRUE,"CS";#N/A,#N/A,TRUE,"CC"}</definedName>
    <definedName name="_____________________KI5656" hidden="1">{#N/A,#N/A,TRUE,"NAE";#N/A,#N/A,TRUE,"CR";#N/A,#N/A,TRUE,"CS";#N/A,#N/A,TRUE,"CC"}</definedName>
    <definedName name="_____________________ktr7" localSheetId="8" hidden="1">{#N/A,#N/A,TRUE,"NAE";#N/A,#N/A,TRUE,"CR";#N/A,#N/A,TRUE,"CS";#N/A,#N/A,TRUE,"CC"}</definedName>
    <definedName name="_____________________ktr7" hidden="1">{#N/A,#N/A,TRUE,"NAE";#N/A,#N/A,TRUE,"CR";#N/A,#N/A,TRUE,"CS";#N/A,#N/A,TRUE,"CC"}</definedName>
    <definedName name="_____________________R4444" localSheetId="8" hidden="1">{#N/A,#N/A,TRUE,"NAE";#N/A,#N/A,TRUE,"CR";#N/A,#N/A,TRUE,"CS";#N/A,#N/A,TRUE,"CC"}</definedName>
    <definedName name="_____________________R4444" hidden="1">{#N/A,#N/A,TRUE,"NAE";#N/A,#N/A,TRUE,"CR";#N/A,#N/A,TRUE,"CS";#N/A,#N/A,TRUE,"CC"}</definedName>
    <definedName name="_____________________r7e56" localSheetId="8" hidden="1">{#N/A,#N/A,TRUE,"NAE";#N/A,#N/A,TRUE,"CR";#N/A,#N/A,TRUE,"CS";#N/A,#N/A,TRUE,"CC"}</definedName>
    <definedName name="_____________________r7e56" hidden="1">{#N/A,#N/A,TRUE,"NAE";#N/A,#N/A,TRUE,"CR";#N/A,#N/A,TRUE,"CS";#N/A,#N/A,TRUE,"CC"}</definedName>
    <definedName name="_____________________rku7" localSheetId="8" hidden="1">{#N/A,#N/A,TRUE,"NAE";#N/A,#N/A,TRUE,"CR";#N/A,#N/A,TRUE,"CS";#N/A,#N/A,TRUE,"CC"}</definedName>
    <definedName name="_____________________rku7" hidden="1">{#N/A,#N/A,TRUE,"NAE";#N/A,#N/A,TRUE,"CR";#N/A,#N/A,TRUE,"CS";#N/A,#N/A,TRUE,"CC"}</definedName>
    <definedName name="_____________________rti888" localSheetId="8" hidden="1">{#N/A,#N/A,TRUE,"NAE";#N/A,#N/A,TRUE,"CR";#N/A,#N/A,TRUE,"CS";#N/A,#N/A,TRUE,"CC"}</definedName>
    <definedName name="_____________________rti888" hidden="1">{#N/A,#N/A,TRUE,"NAE";#N/A,#N/A,TRUE,"CR";#N/A,#N/A,TRUE,"CS";#N/A,#N/A,TRUE,"CC"}</definedName>
    <definedName name="_____________________S334" localSheetId="8" hidden="1">{#N/A,#N/A,TRUE,"NAE";#N/A,#N/A,TRUE,"CR";#N/A,#N/A,TRUE,"CS";#N/A,#N/A,TRUE,"CC"}</definedName>
    <definedName name="_____________________S334" hidden="1">{#N/A,#N/A,TRUE,"NAE";#N/A,#N/A,TRUE,"CR";#N/A,#N/A,TRUE,"CS";#N/A,#N/A,TRUE,"CC"}</definedName>
    <definedName name="_____________________SD12" localSheetId="8" hidden="1">{#N/A,#N/A,TRUE,"NAE";#N/A,#N/A,TRUE,"CR";#N/A,#N/A,TRUE,"CS";#N/A,#N/A,TRUE,"CC"}</definedName>
    <definedName name="_____________________SD12" hidden="1">{#N/A,#N/A,TRUE,"NAE";#N/A,#N/A,TRUE,"CR";#N/A,#N/A,TRUE,"CS";#N/A,#N/A,TRUE,"CC"}</definedName>
    <definedName name="_____________________SRG6" localSheetId="8" hidden="1">{#N/A,#N/A,TRUE,"NAE";#N/A,#N/A,TRUE,"CR";#N/A,#N/A,TRUE,"CS";#N/A,#N/A,TRUE,"CC"}</definedName>
    <definedName name="_____________________SRG6" hidden="1">{#N/A,#N/A,TRUE,"NAE";#N/A,#N/A,TRUE,"CR";#N/A,#N/A,TRUE,"CS";#N/A,#N/A,TRUE,"CC"}</definedName>
    <definedName name="_____________________T55555" localSheetId="8" hidden="1">{#N/A,#N/A,TRUE,"NAE";#N/A,#N/A,TRUE,"CR";#N/A,#N/A,TRUE,"CS";#N/A,#N/A,TRUE,"CC"}</definedName>
    <definedName name="_____________________T55555" hidden="1">{#N/A,#N/A,TRUE,"NAE";#N/A,#N/A,TRUE,"CR";#N/A,#N/A,TRUE,"CS";#N/A,#N/A,TRUE,"CC"}</definedName>
    <definedName name="_____________________tyk767" localSheetId="8" hidden="1">{#N/A,#N/A,TRUE,"NAE";#N/A,#N/A,TRUE,"CR";#N/A,#N/A,TRUE,"CS";#N/A,#N/A,TRUE,"CC"}</definedName>
    <definedName name="_____________________tyk767" hidden="1">{#N/A,#N/A,TRUE,"NAE";#N/A,#N/A,TRUE,"CR";#N/A,#N/A,TRUE,"CS";#N/A,#N/A,TRUE,"CC"}</definedName>
    <definedName name="_____________________tyo8886" localSheetId="8" hidden="1">{#N/A,#N/A,TRUE,"NAE";#N/A,#N/A,TRUE,"CR";#N/A,#N/A,TRUE,"CS";#N/A,#N/A,TRUE,"CC"}</definedName>
    <definedName name="_____________________tyo8886" hidden="1">{#N/A,#N/A,TRUE,"NAE";#N/A,#N/A,TRUE,"CR";#N/A,#N/A,TRUE,"CS";#N/A,#N/A,TRUE,"CC"}</definedName>
    <definedName name="_____________________WHY6436" localSheetId="8" hidden="1">{#N/A,#N/A,TRUE,"NAE";#N/A,#N/A,TRUE,"CR";#N/A,#N/A,TRUE,"CS";#N/A,#N/A,TRUE,"CC"}</definedName>
    <definedName name="_____________________WHY6436" hidden="1">{#N/A,#N/A,TRUE,"NAE";#N/A,#N/A,TRUE,"CR";#N/A,#N/A,TRUE,"CS";#N/A,#N/A,TRUE,"CC"}</definedName>
    <definedName name="____________________AS12" localSheetId="8" hidden="1">{#N/A,#N/A,TRUE,"NAE";#N/A,#N/A,TRUE,"CR";#N/A,#N/A,TRUE,"CS";#N/A,#N/A,TRUE,"CC"}</definedName>
    <definedName name="____________________AS12" hidden="1">{#N/A,#N/A,TRUE,"NAE";#N/A,#N/A,TRUE,"CR";#N/A,#N/A,TRUE,"CS";#N/A,#N/A,TRUE,"CC"}</definedName>
    <definedName name="____________________E333" localSheetId="8" hidden="1">{#N/A,#N/A,TRUE,"NAE";#N/A,#N/A,TRUE,"CR";#N/A,#N/A,TRUE,"CS";#N/A,#N/A,TRUE,"CC"}</definedName>
    <definedName name="____________________E333" hidden="1">{#N/A,#N/A,TRUE,"NAE";#N/A,#N/A,TRUE,"CR";#N/A,#N/A,TRUE,"CS";#N/A,#N/A,TRUE,"CC"}</definedName>
    <definedName name="____________________EW3333" localSheetId="8" hidden="1">{#N/A,#N/A,TRUE,"NAE";#N/A,#N/A,TRUE,"CR";#N/A,#N/A,TRUE,"CS";#N/A,#N/A,TRUE,"CC"}</definedName>
    <definedName name="____________________EW3333" hidden="1">{#N/A,#N/A,TRUE,"NAE";#N/A,#N/A,TRUE,"CR";#N/A,#N/A,TRUE,"CS";#N/A,#N/A,TRUE,"CC"}</definedName>
    <definedName name="____________________g545" localSheetId="8" hidden="1">{#N/A,#N/A,TRUE,"NAE";#N/A,#N/A,TRUE,"CR";#N/A,#N/A,TRUE,"CS";#N/A,#N/A,TRUE,"CC"}</definedName>
    <definedName name="____________________g545" hidden="1">{#N/A,#N/A,TRUE,"NAE";#N/A,#N/A,TRUE,"CR";#N/A,#N/A,TRUE,"CS";#N/A,#N/A,TRUE,"CC"}</definedName>
    <definedName name="____________________HY67" localSheetId="8" hidden="1">{#N/A,#N/A,TRUE,"NAE";#N/A,#N/A,TRUE,"CR";#N/A,#N/A,TRUE,"CS";#N/A,#N/A,TRUE,"CC"}</definedName>
    <definedName name="____________________HY67" hidden="1">{#N/A,#N/A,TRUE,"NAE";#N/A,#N/A,TRUE,"CR";#N/A,#N/A,TRUE,"CS";#N/A,#N/A,TRUE,"CC"}</definedName>
    <definedName name="____________________ii8787" localSheetId="8" hidden="1">{#N/A,#N/A,TRUE,"NAE";#N/A,#N/A,TRUE,"CR";#N/A,#N/A,TRUE,"CS";#N/A,#N/A,TRUE,"CC"}</definedName>
    <definedName name="____________________ii8787" hidden="1">{#N/A,#N/A,TRUE,"NAE";#N/A,#N/A,TRUE,"CR";#N/A,#N/A,TRUE,"CS";#N/A,#N/A,TRUE,"CC"}</definedName>
    <definedName name="____________________JU76537" localSheetId="8" hidden="1">{#N/A,#N/A,TRUE,"NAE";#N/A,#N/A,TRUE,"CR";#N/A,#N/A,TRUE,"CS";#N/A,#N/A,TRUE,"CC"}</definedName>
    <definedName name="____________________JU76537" hidden="1">{#N/A,#N/A,TRUE,"NAE";#N/A,#N/A,TRUE,"CR";#N/A,#N/A,TRUE,"CS";#N/A,#N/A,TRUE,"CC"}</definedName>
    <definedName name="____________________KI5656" localSheetId="8" hidden="1">{#N/A,#N/A,TRUE,"NAE";#N/A,#N/A,TRUE,"CR";#N/A,#N/A,TRUE,"CS";#N/A,#N/A,TRUE,"CC"}</definedName>
    <definedName name="____________________KI5656" hidden="1">{#N/A,#N/A,TRUE,"NAE";#N/A,#N/A,TRUE,"CR";#N/A,#N/A,TRUE,"CS";#N/A,#N/A,TRUE,"CC"}</definedName>
    <definedName name="____________________ktr7" localSheetId="8" hidden="1">{#N/A,#N/A,TRUE,"NAE";#N/A,#N/A,TRUE,"CR";#N/A,#N/A,TRUE,"CS";#N/A,#N/A,TRUE,"CC"}</definedName>
    <definedName name="____________________ktr7" hidden="1">{#N/A,#N/A,TRUE,"NAE";#N/A,#N/A,TRUE,"CR";#N/A,#N/A,TRUE,"CS";#N/A,#N/A,TRUE,"CC"}</definedName>
    <definedName name="____________________R4444" localSheetId="8" hidden="1">{#N/A,#N/A,TRUE,"NAE";#N/A,#N/A,TRUE,"CR";#N/A,#N/A,TRUE,"CS";#N/A,#N/A,TRUE,"CC"}</definedName>
    <definedName name="____________________R4444" hidden="1">{#N/A,#N/A,TRUE,"NAE";#N/A,#N/A,TRUE,"CR";#N/A,#N/A,TRUE,"CS";#N/A,#N/A,TRUE,"CC"}</definedName>
    <definedName name="____________________r7e56" localSheetId="8" hidden="1">{#N/A,#N/A,TRUE,"NAE";#N/A,#N/A,TRUE,"CR";#N/A,#N/A,TRUE,"CS";#N/A,#N/A,TRUE,"CC"}</definedName>
    <definedName name="____________________r7e56" hidden="1">{#N/A,#N/A,TRUE,"NAE";#N/A,#N/A,TRUE,"CR";#N/A,#N/A,TRUE,"CS";#N/A,#N/A,TRUE,"CC"}</definedName>
    <definedName name="____________________rku7" localSheetId="8" hidden="1">{#N/A,#N/A,TRUE,"NAE";#N/A,#N/A,TRUE,"CR";#N/A,#N/A,TRUE,"CS";#N/A,#N/A,TRUE,"CC"}</definedName>
    <definedName name="____________________rku7" hidden="1">{#N/A,#N/A,TRUE,"NAE";#N/A,#N/A,TRUE,"CR";#N/A,#N/A,TRUE,"CS";#N/A,#N/A,TRUE,"CC"}</definedName>
    <definedName name="____________________rti888" localSheetId="8" hidden="1">{#N/A,#N/A,TRUE,"NAE";#N/A,#N/A,TRUE,"CR";#N/A,#N/A,TRUE,"CS";#N/A,#N/A,TRUE,"CC"}</definedName>
    <definedName name="____________________rti888" hidden="1">{#N/A,#N/A,TRUE,"NAE";#N/A,#N/A,TRUE,"CR";#N/A,#N/A,TRUE,"CS";#N/A,#N/A,TRUE,"CC"}</definedName>
    <definedName name="____________________S334" localSheetId="8" hidden="1">{#N/A,#N/A,TRUE,"NAE";#N/A,#N/A,TRUE,"CR";#N/A,#N/A,TRUE,"CS";#N/A,#N/A,TRUE,"CC"}</definedName>
    <definedName name="____________________S334" hidden="1">{#N/A,#N/A,TRUE,"NAE";#N/A,#N/A,TRUE,"CR";#N/A,#N/A,TRUE,"CS";#N/A,#N/A,TRUE,"CC"}</definedName>
    <definedName name="____________________SD12" localSheetId="8" hidden="1">{#N/A,#N/A,TRUE,"NAE";#N/A,#N/A,TRUE,"CR";#N/A,#N/A,TRUE,"CS";#N/A,#N/A,TRUE,"CC"}</definedName>
    <definedName name="____________________SD12" hidden="1">{#N/A,#N/A,TRUE,"NAE";#N/A,#N/A,TRUE,"CR";#N/A,#N/A,TRUE,"CS";#N/A,#N/A,TRUE,"CC"}</definedName>
    <definedName name="____________________SRG6" localSheetId="8" hidden="1">{#N/A,#N/A,TRUE,"NAE";#N/A,#N/A,TRUE,"CR";#N/A,#N/A,TRUE,"CS";#N/A,#N/A,TRUE,"CC"}</definedName>
    <definedName name="____________________SRG6" hidden="1">{#N/A,#N/A,TRUE,"NAE";#N/A,#N/A,TRUE,"CR";#N/A,#N/A,TRUE,"CS";#N/A,#N/A,TRUE,"CC"}</definedName>
    <definedName name="____________________T55555" localSheetId="8" hidden="1">{#N/A,#N/A,TRUE,"NAE";#N/A,#N/A,TRUE,"CR";#N/A,#N/A,TRUE,"CS";#N/A,#N/A,TRUE,"CC"}</definedName>
    <definedName name="____________________T55555" hidden="1">{#N/A,#N/A,TRUE,"NAE";#N/A,#N/A,TRUE,"CR";#N/A,#N/A,TRUE,"CS";#N/A,#N/A,TRUE,"CC"}</definedName>
    <definedName name="____________________tyk767" localSheetId="8" hidden="1">{#N/A,#N/A,TRUE,"NAE";#N/A,#N/A,TRUE,"CR";#N/A,#N/A,TRUE,"CS";#N/A,#N/A,TRUE,"CC"}</definedName>
    <definedName name="____________________tyk767" hidden="1">{#N/A,#N/A,TRUE,"NAE";#N/A,#N/A,TRUE,"CR";#N/A,#N/A,TRUE,"CS";#N/A,#N/A,TRUE,"CC"}</definedName>
    <definedName name="____________________tyo8886" localSheetId="8" hidden="1">{#N/A,#N/A,TRUE,"NAE";#N/A,#N/A,TRUE,"CR";#N/A,#N/A,TRUE,"CS";#N/A,#N/A,TRUE,"CC"}</definedName>
    <definedName name="____________________tyo8886" hidden="1">{#N/A,#N/A,TRUE,"NAE";#N/A,#N/A,TRUE,"CR";#N/A,#N/A,TRUE,"CS";#N/A,#N/A,TRUE,"CC"}</definedName>
    <definedName name="____________________WHY6436" localSheetId="8" hidden="1">{#N/A,#N/A,TRUE,"NAE";#N/A,#N/A,TRUE,"CR";#N/A,#N/A,TRUE,"CS";#N/A,#N/A,TRUE,"CC"}</definedName>
    <definedName name="____________________WHY6436" hidden="1">{#N/A,#N/A,TRUE,"NAE";#N/A,#N/A,TRUE,"CR";#N/A,#N/A,TRUE,"CS";#N/A,#N/A,TRUE,"CC"}</definedName>
    <definedName name="__________________AS12" localSheetId="8" hidden="1">{#N/A,#N/A,TRUE,"NAE";#N/A,#N/A,TRUE,"CR";#N/A,#N/A,TRUE,"CS";#N/A,#N/A,TRUE,"CC"}</definedName>
    <definedName name="__________________AS12" hidden="1">{#N/A,#N/A,TRUE,"NAE";#N/A,#N/A,TRUE,"CR";#N/A,#N/A,TRUE,"CS";#N/A,#N/A,TRUE,"CC"}</definedName>
    <definedName name="__________________E333" localSheetId="8" hidden="1">{#N/A,#N/A,TRUE,"NAE";#N/A,#N/A,TRUE,"CR";#N/A,#N/A,TRUE,"CS";#N/A,#N/A,TRUE,"CC"}</definedName>
    <definedName name="__________________E333" hidden="1">{#N/A,#N/A,TRUE,"NAE";#N/A,#N/A,TRUE,"CR";#N/A,#N/A,TRUE,"CS";#N/A,#N/A,TRUE,"CC"}</definedName>
    <definedName name="__________________EW3333" localSheetId="8" hidden="1">{#N/A,#N/A,TRUE,"NAE";#N/A,#N/A,TRUE,"CR";#N/A,#N/A,TRUE,"CS";#N/A,#N/A,TRUE,"CC"}</definedName>
    <definedName name="__________________EW3333" hidden="1">{#N/A,#N/A,TRUE,"NAE";#N/A,#N/A,TRUE,"CR";#N/A,#N/A,TRUE,"CS";#N/A,#N/A,TRUE,"CC"}</definedName>
    <definedName name="__________________g545" localSheetId="8" hidden="1">{#N/A,#N/A,TRUE,"NAE";#N/A,#N/A,TRUE,"CR";#N/A,#N/A,TRUE,"CS";#N/A,#N/A,TRUE,"CC"}</definedName>
    <definedName name="__________________g545" hidden="1">{#N/A,#N/A,TRUE,"NAE";#N/A,#N/A,TRUE,"CR";#N/A,#N/A,TRUE,"CS";#N/A,#N/A,TRUE,"CC"}</definedName>
    <definedName name="__________________HY67" localSheetId="8" hidden="1">{#N/A,#N/A,TRUE,"NAE";#N/A,#N/A,TRUE,"CR";#N/A,#N/A,TRUE,"CS";#N/A,#N/A,TRUE,"CC"}</definedName>
    <definedName name="__________________HY67" hidden="1">{#N/A,#N/A,TRUE,"NAE";#N/A,#N/A,TRUE,"CR";#N/A,#N/A,TRUE,"CS";#N/A,#N/A,TRUE,"CC"}</definedName>
    <definedName name="__________________ii8787" localSheetId="8" hidden="1">{#N/A,#N/A,TRUE,"NAE";#N/A,#N/A,TRUE,"CR";#N/A,#N/A,TRUE,"CS";#N/A,#N/A,TRUE,"CC"}</definedName>
    <definedName name="__________________ii8787" hidden="1">{#N/A,#N/A,TRUE,"NAE";#N/A,#N/A,TRUE,"CR";#N/A,#N/A,TRUE,"CS";#N/A,#N/A,TRUE,"CC"}</definedName>
    <definedName name="__________________JU76537" localSheetId="8" hidden="1">{#N/A,#N/A,TRUE,"NAE";#N/A,#N/A,TRUE,"CR";#N/A,#N/A,TRUE,"CS";#N/A,#N/A,TRUE,"CC"}</definedName>
    <definedName name="__________________JU76537" hidden="1">{#N/A,#N/A,TRUE,"NAE";#N/A,#N/A,TRUE,"CR";#N/A,#N/A,TRUE,"CS";#N/A,#N/A,TRUE,"CC"}</definedName>
    <definedName name="__________________KI5656" localSheetId="8" hidden="1">{#N/A,#N/A,TRUE,"NAE";#N/A,#N/A,TRUE,"CR";#N/A,#N/A,TRUE,"CS";#N/A,#N/A,TRUE,"CC"}</definedName>
    <definedName name="__________________KI5656" hidden="1">{#N/A,#N/A,TRUE,"NAE";#N/A,#N/A,TRUE,"CR";#N/A,#N/A,TRUE,"CS";#N/A,#N/A,TRUE,"CC"}</definedName>
    <definedName name="__________________ktr7" localSheetId="8" hidden="1">{#N/A,#N/A,TRUE,"NAE";#N/A,#N/A,TRUE,"CR";#N/A,#N/A,TRUE,"CS";#N/A,#N/A,TRUE,"CC"}</definedName>
    <definedName name="__________________ktr7" hidden="1">{#N/A,#N/A,TRUE,"NAE";#N/A,#N/A,TRUE,"CR";#N/A,#N/A,TRUE,"CS";#N/A,#N/A,TRUE,"CC"}</definedName>
    <definedName name="__________________R4444" localSheetId="8" hidden="1">{#N/A,#N/A,TRUE,"NAE";#N/A,#N/A,TRUE,"CR";#N/A,#N/A,TRUE,"CS";#N/A,#N/A,TRUE,"CC"}</definedName>
    <definedName name="__________________R4444" hidden="1">{#N/A,#N/A,TRUE,"NAE";#N/A,#N/A,TRUE,"CR";#N/A,#N/A,TRUE,"CS";#N/A,#N/A,TRUE,"CC"}</definedName>
    <definedName name="__________________r7e56" localSheetId="8" hidden="1">{#N/A,#N/A,TRUE,"NAE";#N/A,#N/A,TRUE,"CR";#N/A,#N/A,TRUE,"CS";#N/A,#N/A,TRUE,"CC"}</definedName>
    <definedName name="__________________r7e56" hidden="1">{#N/A,#N/A,TRUE,"NAE";#N/A,#N/A,TRUE,"CR";#N/A,#N/A,TRUE,"CS";#N/A,#N/A,TRUE,"CC"}</definedName>
    <definedName name="__________________rku7" localSheetId="8" hidden="1">{#N/A,#N/A,TRUE,"NAE";#N/A,#N/A,TRUE,"CR";#N/A,#N/A,TRUE,"CS";#N/A,#N/A,TRUE,"CC"}</definedName>
    <definedName name="__________________rku7" hidden="1">{#N/A,#N/A,TRUE,"NAE";#N/A,#N/A,TRUE,"CR";#N/A,#N/A,TRUE,"CS";#N/A,#N/A,TRUE,"CC"}</definedName>
    <definedName name="__________________rti888" localSheetId="8" hidden="1">{#N/A,#N/A,TRUE,"NAE";#N/A,#N/A,TRUE,"CR";#N/A,#N/A,TRUE,"CS";#N/A,#N/A,TRUE,"CC"}</definedName>
    <definedName name="__________________rti888" hidden="1">{#N/A,#N/A,TRUE,"NAE";#N/A,#N/A,TRUE,"CR";#N/A,#N/A,TRUE,"CS";#N/A,#N/A,TRUE,"CC"}</definedName>
    <definedName name="__________________S334" localSheetId="8" hidden="1">{#N/A,#N/A,TRUE,"NAE";#N/A,#N/A,TRUE,"CR";#N/A,#N/A,TRUE,"CS";#N/A,#N/A,TRUE,"CC"}</definedName>
    <definedName name="__________________S334" hidden="1">{#N/A,#N/A,TRUE,"NAE";#N/A,#N/A,TRUE,"CR";#N/A,#N/A,TRUE,"CS";#N/A,#N/A,TRUE,"CC"}</definedName>
    <definedName name="__________________SD12" localSheetId="8" hidden="1">{#N/A,#N/A,TRUE,"NAE";#N/A,#N/A,TRUE,"CR";#N/A,#N/A,TRUE,"CS";#N/A,#N/A,TRUE,"CC"}</definedName>
    <definedName name="__________________SD12" hidden="1">{#N/A,#N/A,TRUE,"NAE";#N/A,#N/A,TRUE,"CR";#N/A,#N/A,TRUE,"CS";#N/A,#N/A,TRUE,"CC"}</definedName>
    <definedName name="__________________SRG6" localSheetId="8" hidden="1">{#N/A,#N/A,TRUE,"NAE";#N/A,#N/A,TRUE,"CR";#N/A,#N/A,TRUE,"CS";#N/A,#N/A,TRUE,"CC"}</definedName>
    <definedName name="__________________SRG6" hidden="1">{#N/A,#N/A,TRUE,"NAE";#N/A,#N/A,TRUE,"CR";#N/A,#N/A,TRUE,"CS";#N/A,#N/A,TRUE,"CC"}</definedName>
    <definedName name="__________________T55555" localSheetId="8" hidden="1">{#N/A,#N/A,TRUE,"NAE";#N/A,#N/A,TRUE,"CR";#N/A,#N/A,TRUE,"CS";#N/A,#N/A,TRUE,"CC"}</definedName>
    <definedName name="__________________T55555" hidden="1">{#N/A,#N/A,TRUE,"NAE";#N/A,#N/A,TRUE,"CR";#N/A,#N/A,TRUE,"CS";#N/A,#N/A,TRUE,"CC"}</definedName>
    <definedName name="__________________tyk767" localSheetId="8" hidden="1">{#N/A,#N/A,TRUE,"NAE";#N/A,#N/A,TRUE,"CR";#N/A,#N/A,TRUE,"CS";#N/A,#N/A,TRUE,"CC"}</definedName>
    <definedName name="__________________tyk767" hidden="1">{#N/A,#N/A,TRUE,"NAE";#N/A,#N/A,TRUE,"CR";#N/A,#N/A,TRUE,"CS";#N/A,#N/A,TRUE,"CC"}</definedName>
    <definedName name="__________________tyo8886" localSheetId="8" hidden="1">{#N/A,#N/A,TRUE,"NAE";#N/A,#N/A,TRUE,"CR";#N/A,#N/A,TRUE,"CS";#N/A,#N/A,TRUE,"CC"}</definedName>
    <definedName name="__________________tyo8886" hidden="1">{#N/A,#N/A,TRUE,"NAE";#N/A,#N/A,TRUE,"CR";#N/A,#N/A,TRUE,"CS";#N/A,#N/A,TRUE,"CC"}</definedName>
    <definedName name="__________________WHY6436" localSheetId="8" hidden="1">{#N/A,#N/A,TRUE,"NAE";#N/A,#N/A,TRUE,"CR";#N/A,#N/A,TRUE,"CS";#N/A,#N/A,TRUE,"CC"}</definedName>
    <definedName name="__________________WHY6436" hidden="1">{#N/A,#N/A,TRUE,"NAE";#N/A,#N/A,TRUE,"CR";#N/A,#N/A,TRUE,"CS";#N/A,#N/A,TRUE,"CC"}</definedName>
    <definedName name="_________________AS12" localSheetId="8" hidden="1">{#N/A,#N/A,TRUE,"NAE";#N/A,#N/A,TRUE,"CR";#N/A,#N/A,TRUE,"CS";#N/A,#N/A,TRUE,"CC"}</definedName>
    <definedName name="_________________AS12" hidden="1">{#N/A,#N/A,TRUE,"NAE";#N/A,#N/A,TRUE,"CR";#N/A,#N/A,TRUE,"CS";#N/A,#N/A,TRUE,"CC"}</definedName>
    <definedName name="_________________E333" localSheetId="8" hidden="1">{#N/A,#N/A,TRUE,"NAE";#N/A,#N/A,TRUE,"CR";#N/A,#N/A,TRUE,"CS";#N/A,#N/A,TRUE,"CC"}</definedName>
    <definedName name="_________________E333" hidden="1">{#N/A,#N/A,TRUE,"NAE";#N/A,#N/A,TRUE,"CR";#N/A,#N/A,TRUE,"CS";#N/A,#N/A,TRUE,"CC"}</definedName>
    <definedName name="_________________EW3333" localSheetId="8" hidden="1">{#N/A,#N/A,TRUE,"NAE";#N/A,#N/A,TRUE,"CR";#N/A,#N/A,TRUE,"CS";#N/A,#N/A,TRUE,"CC"}</definedName>
    <definedName name="_________________EW3333" hidden="1">{#N/A,#N/A,TRUE,"NAE";#N/A,#N/A,TRUE,"CR";#N/A,#N/A,TRUE,"CS";#N/A,#N/A,TRUE,"CC"}</definedName>
    <definedName name="_________________g545" localSheetId="8" hidden="1">{#N/A,#N/A,TRUE,"NAE";#N/A,#N/A,TRUE,"CR";#N/A,#N/A,TRUE,"CS";#N/A,#N/A,TRUE,"CC"}</definedName>
    <definedName name="_________________g545" hidden="1">{#N/A,#N/A,TRUE,"NAE";#N/A,#N/A,TRUE,"CR";#N/A,#N/A,TRUE,"CS";#N/A,#N/A,TRUE,"CC"}</definedName>
    <definedName name="_________________HY67" localSheetId="8" hidden="1">{#N/A,#N/A,TRUE,"NAE";#N/A,#N/A,TRUE,"CR";#N/A,#N/A,TRUE,"CS";#N/A,#N/A,TRUE,"CC"}</definedName>
    <definedName name="_________________HY67" hidden="1">{#N/A,#N/A,TRUE,"NAE";#N/A,#N/A,TRUE,"CR";#N/A,#N/A,TRUE,"CS";#N/A,#N/A,TRUE,"CC"}</definedName>
    <definedName name="_________________ii8787" localSheetId="8" hidden="1">{#N/A,#N/A,TRUE,"NAE";#N/A,#N/A,TRUE,"CR";#N/A,#N/A,TRUE,"CS";#N/A,#N/A,TRUE,"CC"}</definedName>
    <definedName name="_________________ii8787" hidden="1">{#N/A,#N/A,TRUE,"NAE";#N/A,#N/A,TRUE,"CR";#N/A,#N/A,TRUE,"CS";#N/A,#N/A,TRUE,"CC"}</definedName>
    <definedName name="_________________JU76537" localSheetId="8" hidden="1">{#N/A,#N/A,TRUE,"NAE";#N/A,#N/A,TRUE,"CR";#N/A,#N/A,TRUE,"CS";#N/A,#N/A,TRUE,"CC"}</definedName>
    <definedName name="_________________JU76537" hidden="1">{#N/A,#N/A,TRUE,"NAE";#N/A,#N/A,TRUE,"CR";#N/A,#N/A,TRUE,"CS";#N/A,#N/A,TRUE,"CC"}</definedName>
    <definedName name="_________________KI5656" localSheetId="8" hidden="1">{#N/A,#N/A,TRUE,"NAE";#N/A,#N/A,TRUE,"CR";#N/A,#N/A,TRUE,"CS";#N/A,#N/A,TRUE,"CC"}</definedName>
    <definedName name="_________________KI5656" hidden="1">{#N/A,#N/A,TRUE,"NAE";#N/A,#N/A,TRUE,"CR";#N/A,#N/A,TRUE,"CS";#N/A,#N/A,TRUE,"CC"}</definedName>
    <definedName name="_________________ktr7" localSheetId="8" hidden="1">{#N/A,#N/A,TRUE,"NAE";#N/A,#N/A,TRUE,"CR";#N/A,#N/A,TRUE,"CS";#N/A,#N/A,TRUE,"CC"}</definedName>
    <definedName name="_________________ktr7" hidden="1">{#N/A,#N/A,TRUE,"NAE";#N/A,#N/A,TRUE,"CR";#N/A,#N/A,TRUE,"CS";#N/A,#N/A,TRUE,"CC"}</definedName>
    <definedName name="_________________R4444" localSheetId="8" hidden="1">{#N/A,#N/A,TRUE,"NAE";#N/A,#N/A,TRUE,"CR";#N/A,#N/A,TRUE,"CS";#N/A,#N/A,TRUE,"CC"}</definedName>
    <definedName name="_________________R4444" hidden="1">{#N/A,#N/A,TRUE,"NAE";#N/A,#N/A,TRUE,"CR";#N/A,#N/A,TRUE,"CS";#N/A,#N/A,TRUE,"CC"}</definedName>
    <definedName name="_________________r7e56" localSheetId="8" hidden="1">{#N/A,#N/A,TRUE,"NAE";#N/A,#N/A,TRUE,"CR";#N/A,#N/A,TRUE,"CS";#N/A,#N/A,TRUE,"CC"}</definedName>
    <definedName name="_________________r7e56" hidden="1">{#N/A,#N/A,TRUE,"NAE";#N/A,#N/A,TRUE,"CR";#N/A,#N/A,TRUE,"CS";#N/A,#N/A,TRUE,"CC"}</definedName>
    <definedName name="_________________rku7" localSheetId="8" hidden="1">{#N/A,#N/A,TRUE,"NAE";#N/A,#N/A,TRUE,"CR";#N/A,#N/A,TRUE,"CS";#N/A,#N/A,TRUE,"CC"}</definedName>
    <definedName name="_________________rku7" hidden="1">{#N/A,#N/A,TRUE,"NAE";#N/A,#N/A,TRUE,"CR";#N/A,#N/A,TRUE,"CS";#N/A,#N/A,TRUE,"CC"}</definedName>
    <definedName name="_________________rti888" localSheetId="8" hidden="1">{#N/A,#N/A,TRUE,"NAE";#N/A,#N/A,TRUE,"CR";#N/A,#N/A,TRUE,"CS";#N/A,#N/A,TRUE,"CC"}</definedName>
    <definedName name="_________________rti888" hidden="1">{#N/A,#N/A,TRUE,"NAE";#N/A,#N/A,TRUE,"CR";#N/A,#N/A,TRUE,"CS";#N/A,#N/A,TRUE,"CC"}</definedName>
    <definedName name="_________________S334" localSheetId="8" hidden="1">{#N/A,#N/A,TRUE,"NAE";#N/A,#N/A,TRUE,"CR";#N/A,#N/A,TRUE,"CS";#N/A,#N/A,TRUE,"CC"}</definedName>
    <definedName name="_________________S334" hidden="1">{#N/A,#N/A,TRUE,"NAE";#N/A,#N/A,TRUE,"CR";#N/A,#N/A,TRUE,"CS";#N/A,#N/A,TRUE,"CC"}</definedName>
    <definedName name="_________________SD12" localSheetId="8" hidden="1">{#N/A,#N/A,TRUE,"NAE";#N/A,#N/A,TRUE,"CR";#N/A,#N/A,TRUE,"CS";#N/A,#N/A,TRUE,"CC"}</definedName>
    <definedName name="_________________SD12" hidden="1">{#N/A,#N/A,TRUE,"NAE";#N/A,#N/A,TRUE,"CR";#N/A,#N/A,TRUE,"CS";#N/A,#N/A,TRUE,"CC"}</definedName>
    <definedName name="_________________SRG6" localSheetId="8" hidden="1">{#N/A,#N/A,TRUE,"NAE";#N/A,#N/A,TRUE,"CR";#N/A,#N/A,TRUE,"CS";#N/A,#N/A,TRUE,"CC"}</definedName>
    <definedName name="_________________SRG6" hidden="1">{#N/A,#N/A,TRUE,"NAE";#N/A,#N/A,TRUE,"CR";#N/A,#N/A,TRUE,"CS";#N/A,#N/A,TRUE,"CC"}</definedName>
    <definedName name="_________________T55555" localSheetId="8" hidden="1">{#N/A,#N/A,TRUE,"NAE";#N/A,#N/A,TRUE,"CR";#N/A,#N/A,TRUE,"CS";#N/A,#N/A,TRUE,"CC"}</definedName>
    <definedName name="_________________T55555" hidden="1">{#N/A,#N/A,TRUE,"NAE";#N/A,#N/A,TRUE,"CR";#N/A,#N/A,TRUE,"CS";#N/A,#N/A,TRUE,"CC"}</definedName>
    <definedName name="_________________tyk767" localSheetId="8" hidden="1">{#N/A,#N/A,TRUE,"NAE";#N/A,#N/A,TRUE,"CR";#N/A,#N/A,TRUE,"CS";#N/A,#N/A,TRUE,"CC"}</definedName>
    <definedName name="_________________tyk767" hidden="1">{#N/A,#N/A,TRUE,"NAE";#N/A,#N/A,TRUE,"CR";#N/A,#N/A,TRUE,"CS";#N/A,#N/A,TRUE,"CC"}</definedName>
    <definedName name="_________________tyo8886" localSheetId="8" hidden="1">{#N/A,#N/A,TRUE,"NAE";#N/A,#N/A,TRUE,"CR";#N/A,#N/A,TRUE,"CS";#N/A,#N/A,TRUE,"CC"}</definedName>
    <definedName name="_________________tyo8886" hidden="1">{#N/A,#N/A,TRUE,"NAE";#N/A,#N/A,TRUE,"CR";#N/A,#N/A,TRUE,"CS";#N/A,#N/A,TRUE,"CC"}</definedName>
    <definedName name="_________________WHY6436" localSheetId="8" hidden="1">{#N/A,#N/A,TRUE,"NAE";#N/A,#N/A,TRUE,"CR";#N/A,#N/A,TRUE,"CS";#N/A,#N/A,TRUE,"CC"}</definedName>
    <definedName name="_________________WHY6436" hidden="1">{#N/A,#N/A,TRUE,"NAE";#N/A,#N/A,TRUE,"CR";#N/A,#N/A,TRUE,"CS";#N/A,#N/A,TRUE,"CC"}</definedName>
    <definedName name="_______________AS12" localSheetId="8" hidden="1">{#N/A,#N/A,TRUE,"NAE";#N/A,#N/A,TRUE,"CR";#N/A,#N/A,TRUE,"CS";#N/A,#N/A,TRUE,"CC"}</definedName>
    <definedName name="_______________AS12" hidden="1">{#N/A,#N/A,TRUE,"NAE";#N/A,#N/A,TRUE,"CR";#N/A,#N/A,TRUE,"CS";#N/A,#N/A,TRUE,"CC"}</definedName>
    <definedName name="_______________E333" localSheetId="8" hidden="1">{#N/A,#N/A,TRUE,"NAE";#N/A,#N/A,TRUE,"CR";#N/A,#N/A,TRUE,"CS";#N/A,#N/A,TRUE,"CC"}</definedName>
    <definedName name="_______________E333" hidden="1">{#N/A,#N/A,TRUE,"NAE";#N/A,#N/A,TRUE,"CR";#N/A,#N/A,TRUE,"CS";#N/A,#N/A,TRUE,"CC"}</definedName>
    <definedName name="_______________EW3333" localSheetId="8" hidden="1">{#N/A,#N/A,TRUE,"NAE";#N/A,#N/A,TRUE,"CR";#N/A,#N/A,TRUE,"CS";#N/A,#N/A,TRUE,"CC"}</definedName>
    <definedName name="_______________EW3333" hidden="1">{#N/A,#N/A,TRUE,"NAE";#N/A,#N/A,TRUE,"CR";#N/A,#N/A,TRUE,"CS";#N/A,#N/A,TRUE,"CC"}</definedName>
    <definedName name="_______________g545" localSheetId="8" hidden="1">{#N/A,#N/A,TRUE,"NAE";#N/A,#N/A,TRUE,"CR";#N/A,#N/A,TRUE,"CS";#N/A,#N/A,TRUE,"CC"}</definedName>
    <definedName name="_______________g545" hidden="1">{#N/A,#N/A,TRUE,"NAE";#N/A,#N/A,TRUE,"CR";#N/A,#N/A,TRUE,"CS";#N/A,#N/A,TRUE,"CC"}</definedName>
    <definedName name="_______________HY67" localSheetId="8" hidden="1">{#N/A,#N/A,TRUE,"NAE";#N/A,#N/A,TRUE,"CR";#N/A,#N/A,TRUE,"CS";#N/A,#N/A,TRUE,"CC"}</definedName>
    <definedName name="_______________HY67" hidden="1">{#N/A,#N/A,TRUE,"NAE";#N/A,#N/A,TRUE,"CR";#N/A,#N/A,TRUE,"CS";#N/A,#N/A,TRUE,"CC"}</definedName>
    <definedName name="_______________ii8787" localSheetId="8" hidden="1">{#N/A,#N/A,TRUE,"NAE";#N/A,#N/A,TRUE,"CR";#N/A,#N/A,TRUE,"CS";#N/A,#N/A,TRUE,"CC"}</definedName>
    <definedName name="_______________ii8787" hidden="1">{#N/A,#N/A,TRUE,"NAE";#N/A,#N/A,TRUE,"CR";#N/A,#N/A,TRUE,"CS";#N/A,#N/A,TRUE,"CC"}</definedName>
    <definedName name="_______________JU76537" localSheetId="8" hidden="1">{#N/A,#N/A,TRUE,"NAE";#N/A,#N/A,TRUE,"CR";#N/A,#N/A,TRUE,"CS";#N/A,#N/A,TRUE,"CC"}</definedName>
    <definedName name="_______________JU76537" hidden="1">{#N/A,#N/A,TRUE,"NAE";#N/A,#N/A,TRUE,"CR";#N/A,#N/A,TRUE,"CS";#N/A,#N/A,TRUE,"CC"}</definedName>
    <definedName name="_______________KI5656" localSheetId="8" hidden="1">{#N/A,#N/A,TRUE,"NAE";#N/A,#N/A,TRUE,"CR";#N/A,#N/A,TRUE,"CS";#N/A,#N/A,TRUE,"CC"}</definedName>
    <definedName name="_______________KI5656" hidden="1">{#N/A,#N/A,TRUE,"NAE";#N/A,#N/A,TRUE,"CR";#N/A,#N/A,TRUE,"CS";#N/A,#N/A,TRUE,"CC"}</definedName>
    <definedName name="_______________ktr7" localSheetId="8" hidden="1">{#N/A,#N/A,TRUE,"NAE";#N/A,#N/A,TRUE,"CR";#N/A,#N/A,TRUE,"CS";#N/A,#N/A,TRUE,"CC"}</definedName>
    <definedName name="_______________ktr7" hidden="1">{#N/A,#N/A,TRUE,"NAE";#N/A,#N/A,TRUE,"CR";#N/A,#N/A,TRUE,"CS";#N/A,#N/A,TRUE,"CC"}</definedName>
    <definedName name="_______________R4444" localSheetId="8" hidden="1">{#N/A,#N/A,TRUE,"NAE";#N/A,#N/A,TRUE,"CR";#N/A,#N/A,TRUE,"CS";#N/A,#N/A,TRUE,"CC"}</definedName>
    <definedName name="_______________R4444" hidden="1">{#N/A,#N/A,TRUE,"NAE";#N/A,#N/A,TRUE,"CR";#N/A,#N/A,TRUE,"CS";#N/A,#N/A,TRUE,"CC"}</definedName>
    <definedName name="_______________r7e56" localSheetId="8" hidden="1">{#N/A,#N/A,TRUE,"NAE";#N/A,#N/A,TRUE,"CR";#N/A,#N/A,TRUE,"CS";#N/A,#N/A,TRUE,"CC"}</definedName>
    <definedName name="_______________r7e56" hidden="1">{#N/A,#N/A,TRUE,"NAE";#N/A,#N/A,TRUE,"CR";#N/A,#N/A,TRUE,"CS";#N/A,#N/A,TRUE,"CC"}</definedName>
    <definedName name="_______________rku7" localSheetId="8" hidden="1">{#N/A,#N/A,TRUE,"NAE";#N/A,#N/A,TRUE,"CR";#N/A,#N/A,TRUE,"CS";#N/A,#N/A,TRUE,"CC"}</definedName>
    <definedName name="_______________rku7" hidden="1">{#N/A,#N/A,TRUE,"NAE";#N/A,#N/A,TRUE,"CR";#N/A,#N/A,TRUE,"CS";#N/A,#N/A,TRUE,"CC"}</definedName>
    <definedName name="_______________rti888" localSheetId="8" hidden="1">{#N/A,#N/A,TRUE,"NAE";#N/A,#N/A,TRUE,"CR";#N/A,#N/A,TRUE,"CS";#N/A,#N/A,TRUE,"CC"}</definedName>
    <definedName name="_______________rti888" hidden="1">{#N/A,#N/A,TRUE,"NAE";#N/A,#N/A,TRUE,"CR";#N/A,#N/A,TRUE,"CS";#N/A,#N/A,TRUE,"CC"}</definedName>
    <definedName name="_______________S334" localSheetId="8" hidden="1">{#N/A,#N/A,TRUE,"NAE";#N/A,#N/A,TRUE,"CR";#N/A,#N/A,TRUE,"CS";#N/A,#N/A,TRUE,"CC"}</definedName>
    <definedName name="_______________S334" hidden="1">{#N/A,#N/A,TRUE,"NAE";#N/A,#N/A,TRUE,"CR";#N/A,#N/A,TRUE,"CS";#N/A,#N/A,TRUE,"CC"}</definedName>
    <definedName name="_______________SD12" localSheetId="8" hidden="1">{#N/A,#N/A,TRUE,"NAE";#N/A,#N/A,TRUE,"CR";#N/A,#N/A,TRUE,"CS";#N/A,#N/A,TRUE,"CC"}</definedName>
    <definedName name="_______________SD12" hidden="1">{#N/A,#N/A,TRUE,"NAE";#N/A,#N/A,TRUE,"CR";#N/A,#N/A,TRUE,"CS";#N/A,#N/A,TRUE,"CC"}</definedName>
    <definedName name="_______________SRG6" localSheetId="8" hidden="1">{#N/A,#N/A,TRUE,"NAE";#N/A,#N/A,TRUE,"CR";#N/A,#N/A,TRUE,"CS";#N/A,#N/A,TRUE,"CC"}</definedName>
    <definedName name="_______________SRG6" hidden="1">{#N/A,#N/A,TRUE,"NAE";#N/A,#N/A,TRUE,"CR";#N/A,#N/A,TRUE,"CS";#N/A,#N/A,TRUE,"CC"}</definedName>
    <definedName name="_______________T55555" localSheetId="8" hidden="1">{#N/A,#N/A,TRUE,"NAE";#N/A,#N/A,TRUE,"CR";#N/A,#N/A,TRUE,"CS";#N/A,#N/A,TRUE,"CC"}</definedName>
    <definedName name="_______________T55555" hidden="1">{#N/A,#N/A,TRUE,"NAE";#N/A,#N/A,TRUE,"CR";#N/A,#N/A,TRUE,"CS";#N/A,#N/A,TRUE,"CC"}</definedName>
    <definedName name="_______________tyk767" localSheetId="8" hidden="1">{#N/A,#N/A,TRUE,"NAE";#N/A,#N/A,TRUE,"CR";#N/A,#N/A,TRUE,"CS";#N/A,#N/A,TRUE,"CC"}</definedName>
    <definedName name="_______________tyk767" hidden="1">{#N/A,#N/A,TRUE,"NAE";#N/A,#N/A,TRUE,"CR";#N/A,#N/A,TRUE,"CS";#N/A,#N/A,TRUE,"CC"}</definedName>
    <definedName name="_______________tyo8886" localSheetId="8" hidden="1">{#N/A,#N/A,TRUE,"NAE";#N/A,#N/A,TRUE,"CR";#N/A,#N/A,TRUE,"CS";#N/A,#N/A,TRUE,"CC"}</definedName>
    <definedName name="_______________tyo8886" hidden="1">{#N/A,#N/A,TRUE,"NAE";#N/A,#N/A,TRUE,"CR";#N/A,#N/A,TRUE,"CS";#N/A,#N/A,TRUE,"CC"}</definedName>
    <definedName name="_______________WHY6436" localSheetId="8" hidden="1">{#N/A,#N/A,TRUE,"NAE";#N/A,#N/A,TRUE,"CR";#N/A,#N/A,TRUE,"CS";#N/A,#N/A,TRUE,"CC"}</definedName>
    <definedName name="_______________WHY6436" hidden="1">{#N/A,#N/A,TRUE,"NAE";#N/A,#N/A,TRUE,"CR";#N/A,#N/A,TRUE,"CS";#N/A,#N/A,TRUE,"CC"}</definedName>
    <definedName name="______________AS12" localSheetId="8" hidden="1">{#N/A,#N/A,TRUE,"NAE";#N/A,#N/A,TRUE,"CR";#N/A,#N/A,TRUE,"CS";#N/A,#N/A,TRUE,"CC"}</definedName>
    <definedName name="______________AS12" hidden="1">{#N/A,#N/A,TRUE,"NAE";#N/A,#N/A,TRUE,"CR";#N/A,#N/A,TRUE,"CS";#N/A,#N/A,TRUE,"CC"}</definedName>
    <definedName name="______________E333" localSheetId="8" hidden="1">{#N/A,#N/A,TRUE,"NAE";#N/A,#N/A,TRUE,"CR";#N/A,#N/A,TRUE,"CS";#N/A,#N/A,TRUE,"CC"}</definedName>
    <definedName name="______________E333" hidden="1">{#N/A,#N/A,TRUE,"NAE";#N/A,#N/A,TRUE,"CR";#N/A,#N/A,TRUE,"CS";#N/A,#N/A,TRUE,"CC"}</definedName>
    <definedName name="______________EW3333" localSheetId="8" hidden="1">{#N/A,#N/A,TRUE,"NAE";#N/A,#N/A,TRUE,"CR";#N/A,#N/A,TRUE,"CS";#N/A,#N/A,TRUE,"CC"}</definedName>
    <definedName name="______________EW3333" hidden="1">{#N/A,#N/A,TRUE,"NAE";#N/A,#N/A,TRUE,"CR";#N/A,#N/A,TRUE,"CS";#N/A,#N/A,TRUE,"CC"}</definedName>
    <definedName name="______________g545" localSheetId="8" hidden="1">{#N/A,#N/A,TRUE,"NAE";#N/A,#N/A,TRUE,"CR";#N/A,#N/A,TRUE,"CS";#N/A,#N/A,TRUE,"CC"}</definedName>
    <definedName name="______________g545" hidden="1">{#N/A,#N/A,TRUE,"NAE";#N/A,#N/A,TRUE,"CR";#N/A,#N/A,TRUE,"CS";#N/A,#N/A,TRUE,"CC"}</definedName>
    <definedName name="______________HY67" localSheetId="8" hidden="1">{#N/A,#N/A,TRUE,"NAE";#N/A,#N/A,TRUE,"CR";#N/A,#N/A,TRUE,"CS";#N/A,#N/A,TRUE,"CC"}</definedName>
    <definedName name="______________HY67" hidden="1">{#N/A,#N/A,TRUE,"NAE";#N/A,#N/A,TRUE,"CR";#N/A,#N/A,TRUE,"CS";#N/A,#N/A,TRUE,"CC"}</definedName>
    <definedName name="______________ii8787" localSheetId="8" hidden="1">{#N/A,#N/A,TRUE,"NAE";#N/A,#N/A,TRUE,"CR";#N/A,#N/A,TRUE,"CS";#N/A,#N/A,TRUE,"CC"}</definedName>
    <definedName name="______________ii8787" hidden="1">{#N/A,#N/A,TRUE,"NAE";#N/A,#N/A,TRUE,"CR";#N/A,#N/A,TRUE,"CS";#N/A,#N/A,TRUE,"CC"}</definedName>
    <definedName name="______________JU76537" localSheetId="8" hidden="1">{#N/A,#N/A,TRUE,"NAE";#N/A,#N/A,TRUE,"CR";#N/A,#N/A,TRUE,"CS";#N/A,#N/A,TRUE,"CC"}</definedName>
    <definedName name="______________JU76537" hidden="1">{#N/A,#N/A,TRUE,"NAE";#N/A,#N/A,TRUE,"CR";#N/A,#N/A,TRUE,"CS";#N/A,#N/A,TRUE,"CC"}</definedName>
    <definedName name="______________KI5656" localSheetId="8" hidden="1">{#N/A,#N/A,TRUE,"NAE";#N/A,#N/A,TRUE,"CR";#N/A,#N/A,TRUE,"CS";#N/A,#N/A,TRUE,"CC"}</definedName>
    <definedName name="______________KI5656" hidden="1">{#N/A,#N/A,TRUE,"NAE";#N/A,#N/A,TRUE,"CR";#N/A,#N/A,TRUE,"CS";#N/A,#N/A,TRUE,"CC"}</definedName>
    <definedName name="______________ktr7" localSheetId="8" hidden="1">{#N/A,#N/A,TRUE,"NAE";#N/A,#N/A,TRUE,"CR";#N/A,#N/A,TRUE,"CS";#N/A,#N/A,TRUE,"CC"}</definedName>
    <definedName name="______________ktr7" hidden="1">{#N/A,#N/A,TRUE,"NAE";#N/A,#N/A,TRUE,"CR";#N/A,#N/A,TRUE,"CS";#N/A,#N/A,TRUE,"CC"}</definedName>
    <definedName name="______________R4444" localSheetId="8" hidden="1">{#N/A,#N/A,TRUE,"NAE";#N/A,#N/A,TRUE,"CR";#N/A,#N/A,TRUE,"CS";#N/A,#N/A,TRUE,"CC"}</definedName>
    <definedName name="______________R4444" hidden="1">{#N/A,#N/A,TRUE,"NAE";#N/A,#N/A,TRUE,"CR";#N/A,#N/A,TRUE,"CS";#N/A,#N/A,TRUE,"CC"}</definedName>
    <definedName name="______________r7e56" localSheetId="8" hidden="1">{#N/A,#N/A,TRUE,"NAE";#N/A,#N/A,TRUE,"CR";#N/A,#N/A,TRUE,"CS";#N/A,#N/A,TRUE,"CC"}</definedName>
    <definedName name="______________r7e56" hidden="1">{#N/A,#N/A,TRUE,"NAE";#N/A,#N/A,TRUE,"CR";#N/A,#N/A,TRUE,"CS";#N/A,#N/A,TRUE,"CC"}</definedName>
    <definedName name="______________rku7" localSheetId="8" hidden="1">{#N/A,#N/A,TRUE,"NAE";#N/A,#N/A,TRUE,"CR";#N/A,#N/A,TRUE,"CS";#N/A,#N/A,TRUE,"CC"}</definedName>
    <definedName name="______________rku7" hidden="1">{#N/A,#N/A,TRUE,"NAE";#N/A,#N/A,TRUE,"CR";#N/A,#N/A,TRUE,"CS";#N/A,#N/A,TRUE,"CC"}</definedName>
    <definedName name="______________rti888" localSheetId="8" hidden="1">{#N/A,#N/A,TRUE,"NAE";#N/A,#N/A,TRUE,"CR";#N/A,#N/A,TRUE,"CS";#N/A,#N/A,TRUE,"CC"}</definedName>
    <definedName name="______________rti888" hidden="1">{#N/A,#N/A,TRUE,"NAE";#N/A,#N/A,TRUE,"CR";#N/A,#N/A,TRUE,"CS";#N/A,#N/A,TRUE,"CC"}</definedName>
    <definedName name="______________S334" localSheetId="8" hidden="1">{#N/A,#N/A,TRUE,"NAE";#N/A,#N/A,TRUE,"CR";#N/A,#N/A,TRUE,"CS";#N/A,#N/A,TRUE,"CC"}</definedName>
    <definedName name="______________S334" hidden="1">{#N/A,#N/A,TRUE,"NAE";#N/A,#N/A,TRUE,"CR";#N/A,#N/A,TRUE,"CS";#N/A,#N/A,TRUE,"CC"}</definedName>
    <definedName name="______________SD12" localSheetId="8" hidden="1">{#N/A,#N/A,TRUE,"NAE";#N/A,#N/A,TRUE,"CR";#N/A,#N/A,TRUE,"CS";#N/A,#N/A,TRUE,"CC"}</definedName>
    <definedName name="______________SD12" hidden="1">{#N/A,#N/A,TRUE,"NAE";#N/A,#N/A,TRUE,"CR";#N/A,#N/A,TRUE,"CS";#N/A,#N/A,TRUE,"CC"}</definedName>
    <definedName name="______________SRG6" localSheetId="8" hidden="1">{#N/A,#N/A,TRUE,"NAE";#N/A,#N/A,TRUE,"CR";#N/A,#N/A,TRUE,"CS";#N/A,#N/A,TRUE,"CC"}</definedName>
    <definedName name="______________SRG6" hidden="1">{#N/A,#N/A,TRUE,"NAE";#N/A,#N/A,TRUE,"CR";#N/A,#N/A,TRUE,"CS";#N/A,#N/A,TRUE,"CC"}</definedName>
    <definedName name="______________T55555" localSheetId="8" hidden="1">{#N/A,#N/A,TRUE,"NAE";#N/A,#N/A,TRUE,"CR";#N/A,#N/A,TRUE,"CS";#N/A,#N/A,TRUE,"CC"}</definedName>
    <definedName name="______________T55555" hidden="1">{#N/A,#N/A,TRUE,"NAE";#N/A,#N/A,TRUE,"CR";#N/A,#N/A,TRUE,"CS";#N/A,#N/A,TRUE,"CC"}</definedName>
    <definedName name="______________tyk767" localSheetId="8" hidden="1">{#N/A,#N/A,TRUE,"NAE";#N/A,#N/A,TRUE,"CR";#N/A,#N/A,TRUE,"CS";#N/A,#N/A,TRUE,"CC"}</definedName>
    <definedName name="______________tyk767" hidden="1">{#N/A,#N/A,TRUE,"NAE";#N/A,#N/A,TRUE,"CR";#N/A,#N/A,TRUE,"CS";#N/A,#N/A,TRUE,"CC"}</definedName>
    <definedName name="______________tyo8886" localSheetId="8" hidden="1">{#N/A,#N/A,TRUE,"NAE";#N/A,#N/A,TRUE,"CR";#N/A,#N/A,TRUE,"CS";#N/A,#N/A,TRUE,"CC"}</definedName>
    <definedName name="______________tyo8886" hidden="1">{#N/A,#N/A,TRUE,"NAE";#N/A,#N/A,TRUE,"CR";#N/A,#N/A,TRUE,"CS";#N/A,#N/A,TRUE,"CC"}</definedName>
    <definedName name="______________WHY6436" localSheetId="8" hidden="1">{#N/A,#N/A,TRUE,"NAE";#N/A,#N/A,TRUE,"CR";#N/A,#N/A,TRUE,"CS";#N/A,#N/A,TRUE,"CC"}</definedName>
    <definedName name="______________WHY6436" hidden="1">{#N/A,#N/A,TRUE,"NAE";#N/A,#N/A,TRUE,"CR";#N/A,#N/A,TRUE,"CS";#N/A,#N/A,TRUE,"CC"}</definedName>
    <definedName name="_____________AS12" localSheetId="8" hidden="1">{#N/A,#N/A,TRUE,"NAE";#N/A,#N/A,TRUE,"CR";#N/A,#N/A,TRUE,"CS";#N/A,#N/A,TRUE,"CC"}</definedName>
    <definedName name="_____________AS12" hidden="1">{#N/A,#N/A,TRUE,"NAE";#N/A,#N/A,TRUE,"CR";#N/A,#N/A,TRUE,"CS";#N/A,#N/A,TRUE,"CC"}</definedName>
    <definedName name="_____________E333" localSheetId="8" hidden="1">{#N/A,#N/A,TRUE,"NAE";#N/A,#N/A,TRUE,"CR";#N/A,#N/A,TRUE,"CS";#N/A,#N/A,TRUE,"CC"}</definedName>
    <definedName name="_____________E333" hidden="1">{#N/A,#N/A,TRUE,"NAE";#N/A,#N/A,TRUE,"CR";#N/A,#N/A,TRUE,"CS";#N/A,#N/A,TRUE,"CC"}</definedName>
    <definedName name="_____________EW3333" localSheetId="8" hidden="1">{#N/A,#N/A,TRUE,"NAE";#N/A,#N/A,TRUE,"CR";#N/A,#N/A,TRUE,"CS";#N/A,#N/A,TRUE,"CC"}</definedName>
    <definedName name="_____________EW3333" hidden="1">{#N/A,#N/A,TRUE,"NAE";#N/A,#N/A,TRUE,"CR";#N/A,#N/A,TRUE,"CS";#N/A,#N/A,TRUE,"CC"}</definedName>
    <definedName name="_____________g545" localSheetId="8" hidden="1">{#N/A,#N/A,TRUE,"NAE";#N/A,#N/A,TRUE,"CR";#N/A,#N/A,TRUE,"CS";#N/A,#N/A,TRUE,"CC"}</definedName>
    <definedName name="_____________g545" hidden="1">{#N/A,#N/A,TRUE,"NAE";#N/A,#N/A,TRUE,"CR";#N/A,#N/A,TRUE,"CS";#N/A,#N/A,TRUE,"CC"}</definedName>
    <definedName name="_____________HY67" localSheetId="8" hidden="1">{#N/A,#N/A,TRUE,"NAE";#N/A,#N/A,TRUE,"CR";#N/A,#N/A,TRUE,"CS";#N/A,#N/A,TRUE,"CC"}</definedName>
    <definedName name="_____________HY67" hidden="1">{#N/A,#N/A,TRUE,"NAE";#N/A,#N/A,TRUE,"CR";#N/A,#N/A,TRUE,"CS";#N/A,#N/A,TRUE,"CC"}</definedName>
    <definedName name="_____________ii8787" localSheetId="8" hidden="1">{#N/A,#N/A,TRUE,"NAE";#N/A,#N/A,TRUE,"CR";#N/A,#N/A,TRUE,"CS";#N/A,#N/A,TRUE,"CC"}</definedName>
    <definedName name="_____________ii8787" hidden="1">{#N/A,#N/A,TRUE,"NAE";#N/A,#N/A,TRUE,"CR";#N/A,#N/A,TRUE,"CS";#N/A,#N/A,TRUE,"CC"}</definedName>
    <definedName name="_____________JU76537" localSheetId="8" hidden="1">{#N/A,#N/A,TRUE,"NAE";#N/A,#N/A,TRUE,"CR";#N/A,#N/A,TRUE,"CS";#N/A,#N/A,TRUE,"CC"}</definedName>
    <definedName name="_____________JU76537" hidden="1">{#N/A,#N/A,TRUE,"NAE";#N/A,#N/A,TRUE,"CR";#N/A,#N/A,TRUE,"CS";#N/A,#N/A,TRUE,"CC"}</definedName>
    <definedName name="_____________KI5656" localSheetId="8" hidden="1">{#N/A,#N/A,TRUE,"NAE";#N/A,#N/A,TRUE,"CR";#N/A,#N/A,TRUE,"CS";#N/A,#N/A,TRUE,"CC"}</definedName>
    <definedName name="_____________KI5656" hidden="1">{#N/A,#N/A,TRUE,"NAE";#N/A,#N/A,TRUE,"CR";#N/A,#N/A,TRUE,"CS";#N/A,#N/A,TRUE,"CC"}</definedName>
    <definedName name="_____________ktr7" localSheetId="8" hidden="1">{#N/A,#N/A,TRUE,"NAE";#N/A,#N/A,TRUE,"CR";#N/A,#N/A,TRUE,"CS";#N/A,#N/A,TRUE,"CC"}</definedName>
    <definedName name="_____________ktr7" hidden="1">{#N/A,#N/A,TRUE,"NAE";#N/A,#N/A,TRUE,"CR";#N/A,#N/A,TRUE,"CS";#N/A,#N/A,TRUE,"CC"}</definedName>
    <definedName name="_____________R4444" localSheetId="8" hidden="1">{#N/A,#N/A,TRUE,"NAE";#N/A,#N/A,TRUE,"CR";#N/A,#N/A,TRUE,"CS";#N/A,#N/A,TRUE,"CC"}</definedName>
    <definedName name="_____________R4444" hidden="1">{#N/A,#N/A,TRUE,"NAE";#N/A,#N/A,TRUE,"CR";#N/A,#N/A,TRUE,"CS";#N/A,#N/A,TRUE,"CC"}</definedName>
    <definedName name="_____________r7e56" localSheetId="8" hidden="1">{#N/A,#N/A,TRUE,"NAE";#N/A,#N/A,TRUE,"CR";#N/A,#N/A,TRUE,"CS";#N/A,#N/A,TRUE,"CC"}</definedName>
    <definedName name="_____________r7e56" hidden="1">{#N/A,#N/A,TRUE,"NAE";#N/A,#N/A,TRUE,"CR";#N/A,#N/A,TRUE,"CS";#N/A,#N/A,TRUE,"CC"}</definedName>
    <definedName name="_____________rku7" localSheetId="8" hidden="1">{#N/A,#N/A,TRUE,"NAE";#N/A,#N/A,TRUE,"CR";#N/A,#N/A,TRUE,"CS";#N/A,#N/A,TRUE,"CC"}</definedName>
    <definedName name="_____________rku7" hidden="1">{#N/A,#N/A,TRUE,"NAE";#N/A,#N/A,TRUE,"CR";#N/A,#N/A,TRUE,"CS";#N/A,#N/A,TRUE,"CC"}</definedName>
    <definedName name="_____________rti888" localSheetId="8" hidden="1">{#N/A,#N/A,TRUE,"NAE";#N/A,#N/A,TRUE,"CR";#N/A,#N/A,TRUE,"CS";#N/A,#N/A,TRUE,"CC"}</definedName>
    <definedName name="_____________rti888" hidden="1">{#N/A,#N/A,TRUE,"NAE";#N/A,#N/A,TRUE,"CR";#N/A,#N/A,TRUE,"CS";#N/A,#N/A,TRUE,"CC"}</definedName>
    <definedName name="_____________S334" localSheetId="8" hidden="1">{#N/A,#N/A,TRUE,"NAE";#N/A,#N/A,TRUE,"CR";#N/A,#N/A,TRUE,"CS";#N/A,#N/A,TRUE,"CC"}</definedName>
    <definedName name="_____________S334" hidden="1">{#N/A,#N/A,TRUE,"NAE";#N/A,#N/A,TRUE,"CR";#N/A,#N/A,TRUE,"CS";#N/A,#N/A,TRUE,"CC"}</definedName>
    <definedName name="_____________SD12" localSheetId="8" hidden="1">{#N/A,#N/A,TRUE,"NAE";#N/A,#N/A,TRUE,"CR";#N/A,#N/A,TRUE,"CS";#N/A,#N/A,TRUE,"CC"}</definedName>
    <definedName name="_____________SD12" hidden="1">{#N/A,#N/A,TRUE,"NAE";#N/A,#N/A,TRUE,"CR";#N/A,#N/A,TRUE,"CS";#N/A,#N/A,TRUE,"CC"}</definedName>
    <definedName name="_____________SRG6" localSheetId="8" hidden="1">{#N/A,#N/A,TRUE,"NAE";#N/A,#N/A,TRUE,"CR";#N/A,#N/A,TRUE,"CS";#N/A,#N/A,TRUE,"CC"}</definedName>
    <definedName name="_____________SRG6" hidden="1">{#N/A,#N/A,TRUE,"NAE";#N/A,#N/A,TRUE,"CR";#N/A,#N/A,TRUE,"CS";#N/A,#N/A,TRUE,"CC"}</definedName>
    <definedName name="_____________T55555" localSheetId="8" hidden="1">{#N/A,#N/A,TRUE,"NAE";#N/A,#N/A,TRUE,"CR";#N/A,#N/A,TRUE,"CS";#N/A,#N/A,TRUE,"CC"}</definedName>
    <definedName name="_____________T55555" hidden="1">{#N/A,#N/A,TRUE,"NAE";#N/A,#N/A,TRUE,"CR";#N/A,#N/A,TRUE,"CS";#N/A,#N/A,TRUE,"CC"}</definedName>
    <definedName name="_____________tyk767" localSheetId="8" hidden="1">{#N/A,#N/A,TRUE,"NAE";#N/A,#N/A,TRUE,"CR";#N/A,#N/A,TRUE,"CS";#N/A,#N/A,TRUE,"CC"}</definedName>
    <definedName name="_____________tyk767" hidden="1">{#N/A,#N/A,TRUE,"NAE";#N/A,#N/A,TRUE,"CR";#N/A,#N/A,TRUE,"CS";#N/A,#N/A,TRUE,"CC"}</definedName>
    <definedName name="_____________tyo8886" localSheetId="8" hidden="1">{#N/A,#N/A,TRUE,"NAE";#N/A,#N/A,TRUE,"CR";#N/A,#N/A,TRUE,"CS";#N/A,#N/A,TRUE,"CC"}</definedName>
    <definedName name="_____________tyo8886" hidden="1">{#N/A,#N/A,TRUE,"NAE";#N/A,#N/A,TRUE,"CR";#N/A,#N/A,TRUE,"CS";#N/A,#N/A,TRUE,"CC"}</definedName>
    <definedName name="_____________WHY6436" localSheetId="8" hidden="1">{#N/A,#N/A,TRUE,"NAE";#N/A,#N/A,TRUE,"CR";#N/A,#N/A,TRUE,"CS";#N/A,#N/A,TRUE,"CC"}</definedName>
    <definedName name="_____________WHY6436" hidden="1">{#N/A,#N/A,TRUE,"NAE";#N/A,#N/A,TRUE,"CR";#N/A,#N/A,TRUE,"CS";#N/A,#N/A,TRUE,"CC"}</definedName>
    <definedName name="___________AS12" localSheetId="8" hidden="1">{#N/A,#N/A,TRUE,"NAE";#N/A,#N/A,TRUE,"CR";#N/A,#N/A,TRUE,"CS";#N/A,#N/A,TRUE,"CC"}</definedName>
    <definedName name="___________AS12" hidden="1">{#N/A,#N/A,TRUE,"NAE";#N/A,#N/A,TRUE,"CR";#N/A,#N/A,TRUE,"CS";#N/A,#N/A,TRUE,"CC"}</definedName>
    <definedName name="___________E333" localSheetId="8" hidden="1">{#N/A,#N/A,TRUE,"NAE";#N/A,#N/A,TRUE,"CR";#N/A,#N/A,TRUE,"CS";#N/A,#N/A,TRUE,"CC"}</definedName>
    <definedName name="___________E333" hidden="1">{#N/A,#N/A,TRUE,"NAE";#N/A,#N/A,TRUE,"CR";#N/A,#N/A,TRUE,"CS";#N/A,#N/A,TRUE,"CC"}</definedName>
    <definedName name="___________EW3333" localSheetId="8" hidden="1">{#N/A,#N/A,TRUE,"NAE";#N/A,#N/A,TRUE,"CR";#N/A,#N/A,TRUE,"CS";#N/A,#N/A,TRUE,"CC"}</definedName>
    <definedName name="___________EW3333" hidden="1">{#N/A,#N/A,TRUE,"NAE";#N/A,#N/A,TRUE,"CR";#N/A,#N/A,TRUE,"CS";#N/A,#N/A,TRUE,"CC"}</definedName>
    <definedName name="___________g545" localSheetId="8" hidden="1">{#N/A,#N/A,TRUE,"NAE";#N/A,#N/A,TRUE,"CR";#N/A,#N/A,TRUE,"CS";#N/A,#N/A,TRUE,"CC"}</definedName>
    <definedName name="___________g545" hidden="1">{#N/A,#N/A,TRUE,"NAE";#N/A,#N/A,TRUE,"CR";#N/A,#N/A,TRUE,"CS";#N/A,#N/A,TRUE,"CC"}</definedName>
    <definedName name="___________HY67" localSheetId="8" hidden="1">{#N/A,#N/A,TRUE,"NAE";#N/A,#N/A,TRUE,"CR";#N/A,#N/A,TRUE,"CS";#N/A,#N/A,TRUE,"CC"}</definedName>
    <definedName name="___________HY67" hidden="1">{#N/A,#N/A,TRUE,"NAE";#N/A,#N/A,TRUE,"CR";#N/A,#N/A,TRUE,"CS";#N/A,#N/A,TRUE,"CC"}</definedName>
    <definedName name="___________ii8787" localSheetId="8" hidden="1">{#N/A,#N/A,TRUE,"NAE";#N/A,#N/A,TRUE,"CR";#N/A,#N/A,TRUE,"CS";#N/A,#N/A,TRUE,"CC"}</definedName>
    <definedName name="___________ii8787" hidden="1">{#N/A,#N/A,TRUE,"NAE";#N/A,#N/A,TRUE,"CR";#N/A,#N/A,TRUE,"CS";#N/A,#N/A,TRUE,"CC"}</definedName>
    <definedName name="___________JU76537" localSheetId="8" hidden="1">{#N/A,#N/A,TRUE,"NAE";#N/A,#N/A,TRUE,"CR";#N/A,#N/A,TRUE,"CS";#N/A,#N/A,TRUE,"CC"}</definedName>
    <definedName name="___________JU76537" hidden="1">{#N/A,#N/A,TRUE,"NAE";#N/A,#N/A,TRUE,"CR";#N/A,#N/A,TRUE,"CS";#N/A,#N/A,TRUE,"CC"}</definedName>
    <definedName name="___________KI5656" localSheetId="8" hidden="1">{#N/A,#N/A,TRUE,"NAE";#N/A,#N/A,TRUE,"CR";#N/A,#N/A,TRUE,"CS";#N/A,#N/A,TRUE,"CC"}</definedName>
    <definedName name="___________KI5656" hidden="1">{#N/A,#N/A,TRUE,"NAE";#N/A,#N/A,TRUE,"CR";#N/A,#N/A,TRUE,"CS";#N/A,#N/A,TRUE,"CC"}</definedName>
    <definedName name="___________ktr7" localSheetId="8" hidden="1">{#N/A,#N/A,TRUE,"NAE";#N/A,#N/A,TRUE,"CR";#N/A,#N/A,TRUE,"CS";#N/A,#N/A,TRUE,"CC"}</definedName>
    <definedName name="___________ktr7" hidden="1">{#N/A,#N/A,TRUE,"NAE";#N/A,#N/A,TRUE,"CR";#N/A,#N/A,TRUE,"CS";#N/A,#N/A,TRUE,"CC"}</definedName>
    <definedName name="___________R4444" localSheetId="8" hidden="1">{#N/A,#N/A,TRUE,"NAE";#N/A,#N/A,TRUE,"CR";#N/A,#N/A,TRUE,"CS";#N/A,#N/A,TRUE,"CC"}</definedName>
    <definedName name="___________R4444" hidden="1">{#N/A,#N/A,TRUE,"NAE";#N/A,#N/A,TRUE,"CR";#N/A,#N/A,TRUE,"CS";#N/A,#N/A,TRUE,"CC"}</definedName>
    <definedName name="___________r7e56" localSheetId="8" hidden="1">{#N/A,#N/A,TRUE,"NAE";#N/A,#N/A,TRUE,"CR";#N/A,#N/A,TRUE,"CS";#N/A,#N/A,TRUE,"CC"}</definedName>
    <definedName name="___________r7e56" hidden="1">{#N/A,#N/A,TRUE,"NAE";#N/A,#N/A,TRUE,"CR";#N/A,#N/A,TRUE,"CS";#N/A,#N/A,TRUE,"CC"}</definedName>
    <definedName name="___________rku7" localSheetId="8" hidden="1">{#N/A,#N/A,TRUE,"NAE";#N/A,#N/A,TRUE,"CR";#N/A,#N/A,TRUE,"CS";#N/A,#N/A,TRUE,"CC"}</definedName>
    <definedName name="___________rku7" hidden="1">{#N/A,#N/A,TRUE,"NAE";#N/A,#N/A,TRUE,"CR";#N/A,#N/A,TRUE,"CS";#N/A,#N/A,TRUE,"CC"}</definedName>
    <definedName name="___________rti888" localSheetId="8" hidden="1">{#N/A,#N/A,TRUE,"NAE";#N/A,#N/A,TRUE,"CR";#N/A,#N/A,TRUE,"CS";#N/A,#N/A,TRUE,"CC"}</definedName>
    <definedName name="___________rti888" hidden="1">{#N/A,#N/A,TRUE,"NAE";#N/A,#N/A,TRUE,"CR";#N/A,#N/A,TRUE,"CS";#N/A,#N/A,TRUE,"CC"}</definedName>
    <definedName name="___________S334" localSheetId="8" hidden="1">{#N/A,#N/A,TRUE,"NAE";#N/A,#N/A,TRUE,"CR";#N/A,#N/A,TRUE,"CS";#N/A,#N/A,TRUE,"CC"}</definedName>
    <definedName name="___________S334" hidden="1">{#N/A,#N/A,TRUE,"NAE";#N/A,#N/A,TRUE,"CR";#N/A,#N/A,TRUE,"CS";#N/A,#N/A,TRUE,"CC"}</definedName>
    <definedName name="___________SD12" localSheetId="8" hidden="1">{#N/A,#N/A,TRUE,"NAE";#N/A,#N/A,TRUE,"CR";#N/A,#N/A,TRUE,"CS";#N/A,#N/A,TRUE,"CC"}</definedName>
    <definedName name="___________SD12" hidden="1">{#N/A,#N/A,TRUE,"NAE";#N/A,#N/A,TRUE,"CR";#N/A,#N/A,TRUE,"CS";#N/A,#N/A,TRUE,"CC"}</definedName>
    <definedName name="___________SRG6" localSheetId="8" hidden="1">{#N/A,#N/A,TRUE,"NAE";#N/A,#N/A,TRUE,"CR";#N/A,#N/A,TRUE,"CS";#N/A,#N/A,TRUE,"CC"}</definedName>
    <definedName name="___________SRG6" hidden="1">{#N/A,#N/A,TRUE,"NAE";#N/A,#N/A,TRUE,"CR";#N/A,#N/A,TRUE,"CS";#N/A,#N/A,TRUE,"CC"}</definedName>
    <definedName name="___________T55555" localSheetId="8" hidden="1">{#N/A,#N/A,TRUE,"NAE";#N/A,#N/A,TRUE,"CR";#N/A,#N/A,TRUE,"CS";#N/A,#N/A,TRUE,"CC"}</definedName>
    <definedName name="___________T55555" hidden="1">{#N/A,#N/A,TRUE,"NAE";#N/A,#N/A,TRUE,"CR";#N/A,#N/A,TRUE,"CS";#N/A,#N/A,TRUE,"CC"}</definedName>
    <definedName name="___________tyk767" localSheetId="8" hidden="1">{#N/A,#N/A,TRUE,"NAE";#N/A,#N/A,TRUE,"CR";#N/A,#N/A,TRUE,"CS";#N/A,#N/A,TRUE,"CC"}</definedName>
    <definedName name="___________tyk767" hidden="1">{#N/A,#N/A,TRUE,"NAE";#N/A,#N/A,TRUE,"CR";#N/A,#N/A,TRUE,"CS";#N/A,#N/A,TRUE,"CC"}</definedName>
    <definedName name="___________tyo8886" localSheetId="8" hidden="1">{#N/A,#N/A,TRUE,"NAE";#N/A,#N/A,TRUE,"CR";#N/A,#N/A,TRUE,"CS";#N/A,#N/A,TRUE,"CC"}</definedName>
    <definedName name="___________tyo8886" hidden="1">{#N/A,#N/A,TRUE,"NAE";#N/A,#N/A,TRUE,"CR";#N/A,#N/A,TRUE,"CS";#N/A,#N/A,TRUE,"CC"}</definedName>
    <definedName name="___________WHY6436" localSheetId="8" hidden="1">{#N/A,#N/A,TRUE,"NAE";#N/A,#N/A,TRUE,"CR";#N/A,#N/A,TRUE,"CS";#N/A,#N/A,TRUE,"CC"}</definedName>
    <definedName name="___________WHY6436" hidden="1">{#N/A,#N/A,TRUE,"NAE";#N/A,#N/A,TRUE,"CR";#N/A,#N/A,TRUE,"CS";#N/A,#N/A,TRUE,"CC"}</definedName>
    <definedName name="__________AS12" localSheetId="8" hidden="1">{#N/A,#N/A,TRUE,"NAE";#N/A,#N/A,TRUE,"CR";#N/A,#N/A,TRUE,"CS";#N/A,#N/A,TRUE,"CC"}</definedName>
    <definedName name="__________AS12" hidden="1">{#N/A,#N/A,TRUE,"NAE";#N/A,#N/A,TRUE,"CR";#N/A,#N/A,TRUE,"CS";#N/A,#N/A,TRUE,"CC"}</definedName>
    <definedName name="__________E333" localSheetId="8" hidden="1">{#N/A,#N/A,TRUE,"NAE";#N/A,#N/A,TRUE,"CR";#N/A,#N/A,TRUE,"CS";#N/A,#N/A,TRUE,"CC"}</definedName>
    <definedName name="__________E333" hidden="1">{#N/A,#N/A,TRUE,"NAE";#N/A,#N/A,TRUE,"CR";#N/A,#N/A,TRUE,"CS";#N/A,#N/A,TRUE,"CC"}</definedName>
    <definedName name="__________EW3333" localSheetId="8" hidden="1">{#N/A,#N/A,TRUE,"NAE";#N/A,#N/A,TRUE,"CR";#N/A,#N/A,TRUE,"CS";#N/A,#N/A,TRUE,"CC"}</definedName>
    <definedName name="__________EW3333" hidden="1">{#N/A,#N/A,TRUE,"NAE";#N/A,#N/A,TRUE,"CR";#N/A,#N/A,TRUE,"CS";#N/A,#N/A,TRUE,"CC"}</definedName>
    <definedName name="__________g545" localSheetId="8" hidden="1">{#N/A,#N/A,TRUE,"NAE";#N/A,#N/A,TRUE,"CR";#N/A,#N/A,TRUE,"CS";#N/A,#N/A,TRUE,"CC"}</definedName>
    <definedName name="__________g545" hidden="1">{#N/A,#N/A,TRUE,"NAE";#N/A,#N/A,TRUE,"CR";#N/A,#N/A,TRUE,"CS";#N/A,#N/A,TRUE,"CC"}</definedName>
    <definedName name="__________HY67" localSheetId="8" hidden="1">{#N/A,#N/A,TRUE,"NAE";#N/A,#N/A,TRUE,"CR";#N/A,#N/A,TRUE,"CS";#N/A,#N/A,TRUE,"CC"}</definedName>
    <definedName name="__________HY67" hidden="1">{#N/A,#N/A,TRUE,"NAE";#N/A,#N/A,TRUE,"CR";#N/A,#N/A,TRUE,"CS";#N/A,#N/A,TRUE,"CC"}</definedName>
    <definedName name="__________ii8787" localSheetId="8" hidden="1">{#N/A,#N/A,TRUE,"NAE";#N/A,#N/A,TRUE,"CR";#N/A,#N/A,TRUE,"CS";#N/A,#N/A,TRUE,"CC"}</definedName>
    <definedName name="__________ii8787" hidden="1">{#N/A,#N/A,TRUE,"NAE";#N/A,#N/A,TRUE,"CR";#N/A,#N/A,TRUE,"CS";#N/A,#N/A,TRUE,"CC"}</definedName>
    <definedName name="__________JU76537" localSheetId="8" hidden="1">{#N/A,#N/A,TRUE,"NAE";#N/A,#N/A,TRUE,"CR";#N/A,#N/A,TRUE,"CS";#N/A,#N/A,TRUE,"CC"}</definedName>
    <definedName name="__________JU76537" hidden="1">{#N/A,#N/A,TRUE,"NAE";#N/A,#N/A,TRUE,"CR";#N/A,#N/A,TRUE,"CS";#N/A,#N/A,TRUE,"CC"}</definedName>
    <definedName name="__________KI5656" localSheetId="8" hidden="1">{#N/A,#N/A,TRUE,"NAE";#N/A,#N/A,TRUE,"CR";#N/A,#N/A,TRUE,"CS";#N/A,#N/A,TRUE,"CC"}</definedName>
    <definedName name="__________KI5656" hidden="1">{#N/A,#N/A,TRUE,"NAE";#N/A,#N/A,TRUE,"CR";#N/A,#N/A,TRUE,"CS";#N/A,#N/A,TRUE,"CC"}</definedName>
    <definedName name="__________ktr7" localSheetId="8" hidden="1">{#N/A,#N/A,TRUE,"NAE";#N/A,#N/A,TRUE,"CR";#N/A,#N/A,TRUE,"CS";#N/A,#N/A,TRUE,"CC"}</definedName>
    <definedName name="__________ktr7" hidden="1">{#N/A,#N/A,TRUE,"NAE";#N/A,#N/A,TRUE,"CR";#N/A,#N/A,TRUE,"CS";#N/A,#N/A,TRUE,"CC"}</definedName>
    <definedName name="__________R4444" localSheetId="8" hidden="1">{#N/A,#N/A,TRUE,"NAE";#N/A,#N/A,TRUE,"CR";#N/A,#N/A,TRUE,"CS";#N/A,#N/A,TRUE,"CC"}</definedName>
    <definedName name="__________R4444" hidden="1">{#N/A,#N/A,TRUE,"NAE";#N/A,#N/A,TRUE,"CR";#N/A,#N/A,TRUE,"CS";#N/A,#N/A,TRUE,"CC"}</definedName>
    <definedName name="__________r7e56" localSheetId="8" hidden="1">{#N/A,#N/A,TRUE,"NAE";#N/A,#N/A,TRUE,"CR";#N/A,#N/A,TRUE,"CS";#N/A,#N/A,TRUE,"CC"}</definedName>
    <definedName name="__________r7e56" hidden="1">{#N/A,#N/A,TRUE,"NAE";#N/A,#N/A,TRUE,"CR";#N/A,#N/A,TRUE,"CS";#N/A,#N/A,TRUE,"CC"}</definedName>
    <definedName name="__________rku7" localSheetId="8" hidden="1">{#N/A,#N/A,TRUE,"NAE";#N/A,#N/A,TRUE,"CR";#N/A,#N/A,TRUE,"CS";#N/A,#N/A,TRUE,"CC"}</definedName>
    <definedName name="__________rku7" hidden="1">{#N/A,#N/A,TRUE,"NAE";#N/A,#N/A,TRUE,"CR";#N/A,#N/A,TRUE,"CS";#N/A,#N/A,TRUE,"CC"}</definedName>
    <definedName name="__________rti888" localSheetId="8" hidden="1">{#N/A,#N/A,TRUE,"NAE";#N/A,#N/A,TRUE,"CR";#N/A,#N/A,TRUE,"CS";#N/A,#N/A,TRUE,"CC"}</definedName>
    <definedName name="__________rti888" hidden="1">{#N/A,#N/A,TRUE,"NAE";#N/A,#N/A,TRUE,"CR";#N/A,#N/A,TRUE,"CS";#N/A,#N/A,TRUE,"CC"}</definedName>
    <definedName name="__________S334" localSheetId="8" hidden="1">{#N/A,#N/A,TRUE,"NAE";#N/A,#N/A,TRUE,"CR";#N/A,#N/A,TRUE,"CS";#N/A,#N/A,TRUE,"CC"}</definedName>
    <definedName name="__________S334" hidden="1">{#N/A,#N/A,TRUE,"NAE";#N/A,#N/A,TRUE,"CR";#N/A,#N/A,TRUE,"CS";#N/A,#N/A,TRUE,"CC"}</definedName>
    <definedName name="__________SD12" localSheetId="8" hidden="1">{#N/A,#N/A,TRUE,"NAE";#N/A,#N/A,TRUE,"CR";#N/A,#N/A,TRUE,"CS";#N/A,#N/A,TRUE,"CC"}</definedName>
    <definedName name="__________SD12" hidden="1">{#N/A,#N/A,TRUE,"NAE";#N/A,#N/A,TRUE,"CR";#N/A,#N/A,TRUE,"CS";#N/A,#N/A,TRUE,"CC"}</definedName>
    <definedName name="__________SRG6" localSheetId="8" hidden="1">{#N/A,#N/A,TRUE,"NAE";#N/A,#N/A,TRUE,"CR";#N/A,#N/A,TRUE,"CS";#N/A,#N/A,TRUE,"CC"}</definedName>
    <definedName name="__________SRG6" hidden="1">{#N/A,#N/A,TRUE,"NAE";#N/A,#N/A,TRUE,"CR";#N/A,#N/A,TRUE,"CS";#N/A,#N/A,TRUE,"CC"}</definedName>
    <definedName name="__________T55555" localSheetId="8" hidden="1">{#N/A,#N/A,TRUE,"NAE";#N/A,#N/A,TRUE,"CR";#N/A,#N/A,TRUE,"CS";#N/A,#N/A,TRUE,"CC"}</definedName>
    <definedName name="__________T55555" hidden="1">{#N/A,#N/A,TRUE,"NAE";#N/A,#N/A,TRUE,"CR";#N/A,#N/A,TRUE,"CS";#N/A,#N/A,TRUE,"CC"}</definedName>
    <definedName name="__________tyk767" localSheetId="8" hidden="1">{#N/A,#N/A,TRUE,"NAE";#N/A,#N/A,TRUE,"CR";#N/A,#N/A,TRUE,"CS";#N/A,#N/A,TRUE,"CC"}</definedName>
    <definedName name="__________tyk767" hidden="1">{#N/A,#N/A,TRUE,"NAE";#N/A,#N/A,TRUE,"CR";#N/A,#N/A,TRUE,"CS";#N/A,#N/A,TRUE,"CC"}</definedName>
    <definedName name="__________tyo8886" localSheetId="8" hidden="1">{#N/A,#N/A,TRUE,"NAE";#N/A,#N/A,TRUE,"CR";#N/A,#N/A,TRUE,"CS";#N/A,#N/A,TRUE,"CC"}</definedName>
    <definedName name="__________tyo8886" hidden="1">{#N/A,#N/A,TRUE,"NAE";#N/A,#N/A,TRUE,"CR";#N/A,#N/A,TRUE,"CS";#N/A,#N/A,TRUE,"CC"}</definedName>
    <definedName name="__________WHY6436" localSheetId="8" hidden="1">{#N/A,#N/A,TRUE,"NAE";#N/A,#N/A,TRUE,"CR";#N/A,#N/A,TRUE,"CS";#N/A,#N/A,TRUE,"CC"}</definedName>
    <definedName name="__________WHY6436" hidden="1">{#N/A,#N/A,TRUE,"NAE";#N/A,#N/A,TRUE,"CR";#N/A,#N/A,TRUE,"CS";#N/A,#N/A,TRUE,"CC"}</definedName>
    <definedName name="_________AS12" localSheetId="8" hidden="1">{#N/A,#N/A,TRUE,"NAE";#N/A,#N/A,TRUE,"CR";#N/A,#N/A,TRUE,"CS";#N/A,#N/A,TRUE,"CC"}</definedName>
    <definedName name="_________AS12" hidden="1">{#N/A,#N/A,TRUE,"NAE";#N/A,#N/A,TRUE,"CR";#N/A,#N/A,TRUE,"CS";#N/A,#N/A,TRUE,"CC"}</definedName>
    <definedName name="_________E333" localSheetId="8" hidden="1">{#N/A,#N/A,TRUE,"NAE";#N/A,#N/A,TRUE,"CR";#N/A,#N/A,TRUE,"CS";#N/A,#N/A,TRUE,"CC"}</definedName>
    <definedName name="_________E333" hidden="1">{#N/A,#N/A,TRUE,"NAE";#N/A,#N/A,TRUE,"CR";#N/A,#N/A,TRUE,"CS";#N/A,#N/A,TRUE,"CC"}</definedName>
    <definedName name="_________EW3333" localSheetId="8" hidden="1">{#N/A,#N/A,TRUE,"NAE";#N/A,#N/A,TRUE,"CR";#N/A,#N/A,TRUE,"CS";#N/A,#N/A,TRUE,"CC"}</definedName>
    <definedName name="_________EW3333" hidden="1">{#N/A,#N/A,TRUE,"NAE";#N/A,#N/A,TRUE,"CR";#N/A,#N/A,TRUE,"CS";#N/A,#N/A,TRUE,"CC"}</definedName>
    <definedName name="_________g545" localSheetId="8" hidden="1">{#N/A,#N/A,TRUE,"NAE";#N/A,#N/A,TRUE,"CR";#N/A,#N/A,TRUE,"CS";#N/A,#N/A,TRUE,"CC"}</definedName>
    <definedName name="_________g545" hidden="1">{#N/A,#N/A,TRUE,"NAE";#N/A,#N/A,TRUE,"CR";#N/A,#N/A,TRUE,"CS";#N/A,#N/A,TRUE,"CC"}</definedName>
    <definedName name="_________HY67" localSheetId="8" hidden="1">{#N/A,#N/A,TRUE,"NAE";#N/A,#N/A,TRUE,"CR";#N/A,#N/A,TRUE,"CS";#N/A,#N/A,TRUE,"CC"}</definedName>
    <definedName name="_________HY67" hidden="1">{#N/A,#N/A,TRUE,"NAE";#N/A,#N/A,TRUE,"CR";#N/A,#N/A,TRUE,"CS";#N/A,#N/A,TRUE,"CC"}</definedName>
    <definedName name="_________ii8787" localSheetId="8" hidden="1">{#N/A,#N/A,TRUE,"NAE";#N/A,#N/A,TRUE,"CR";#N/A,#N/A,TRUE,"CS";#N/A,#N/A,TRUE,"CC"}</definedName>
    <definedName name="_________ii8787" hidden="1">{#N/A,#N/A,TRUE,"NAE";#N/A,#N/A,TRUE,"CR";#N/A,#N/A,TRUE,"CS";#N/A,#N/A,TRUE,"CC"}</definedName>
    <definedName name="_________JU76537" localSheetId="8" hidden="1">{#N/A,#N/A,TRUE,"NAE";#N/A,#N/A,TRUE,"CR";#N/A,#N/A,TRUE,"CS";#N/A,#N/A,TRUE,"CC"}</definedName>
    <definedName name="_________JU76537" hidden="1">{#N/A,#N/A,TRUE,"NAE";#N/A,#N/A,TRUE,"CR";#N/A,#N/A,TRUE,"CS";#N/A,#N/A,TRUE,"CC"}</definedName>
    <definedName name="_________KI5656" localSheetId="8" hidden="1">{#N/A,#N/A,TRUE,"NAE";#N/A,#N/A,TRUE,"CR";#N/A,#N/A,TRUE,"CS";#N/A,#N/A,TRUE,"CC"}</definedName>
    <definedName name="_________KI5656" hidden="1">{#N/A,#N/A,TRUE,"NAE";#N/A,#N/A,TRUE,"CR";#N/A,#N/A,TRUE,"CS";#N/A,#N/A,TRUE,"CC"}</definedName>
    <definedName name="_________ktr7" localSheetId="8" hidden="1">{#N/A,#N/A,TRUE,"NAE";#N/A,#N/A,TRUE,"CR";#N/A,#N/A,TRUE,"CS";#N/A,#N/A,TRUE,"CC"}</definedName>
    <definedName name="_________ktr7" hidden="1">{#N/A,#N/A,TRUE,"NAE";#N/A,#N/A,TRUE,"CR";#N/A,#N/A,TRUE,"CS";#N/A,#N/A,TRUE,"CC"}</definedName>
    <definedName name="_________R4444" localSheetId="8" hidden="1">{#N/A,#N/A,TRUE,"NAE";#N/A,#N/A,TRUE,"CR";#N/A,#N/A,TRUE,"CS";#N/A,#N/A,TRUE,"CC"}</definedName>
    <definedName name="_________R4444" hidden="1">{#N/A,#N/A,TRUE,"NAE";#N/A,#N/A,TRUE,"CR";#N/A,#N/A,TRUE,"CS";#N/A,#N/A,TRUE,"CC"}</definedName>
    <definedName name="_________r7e56" localSheetId="8" hidden="1">{#N/A,#N/A,TRUE,"NAE";#N/A,#N/A,TRUE,"CR";#N/A,#N/A,TRUE,"CS";#N/A,#N/A,TRUE,"CC"}</definedName>
    <definedName name="_________r7e56" hidden="1">{#N/A,#N/A,TRUE,"NAE";#N/A,#N/A,TRUE,"CR";#N/A,#N/A,TRUE,"CS";#N/A,#N/A,TRUE,"CC"}</definedName>
    <definedName name="_________rku7" localSheetId="8" hidden="1">{#N/A,#N/A,TRUE,"NAE";#N/A,#N/A,TRUE,"CR";#N/A,#N/A,TRUE,"CS";#N/A,#N/A,TRUE,"CC"}</definedName>
    <definedName name="_________rku7" hidden="1">{#N/A,#N/A,TRUE,"NAE";#N/A,#N/A,TRUE,"CR";#N/A,#N/A,TRUE,"CS";#N/A,#N/A,TRUE,"CC"}</definedName>
    <definedName name="_________rti888" localSheetId="8" hidden="1">{#N/A,#N/A,TRUE,"NAE";#N/A,#N/A,TRUE,"CR";#N/A,#N/A,TRUE,"CS";#N/A,#N/A,TRUE,"CC"}</definedName>
    <definedName name="_________rti888" hidden="1">{#N/A,#N/A,TRUE,"NAE";#N/A,#N/A,TRUE,"CR";#N/A,#N/A,TRUE,"CS";#N/A,#N/A,TRUE,"CC"}</definedName>
    <definedName name="_________S334" localSheetId="8" hidden="1">{#N/A,#N/A,TRUE,"NAE";#N/A,#N/A,TRUE,"CR";#N/A,#N/A,TRUE,"CS";#N/A,#N/A,TRUE,"CC"}</definedName>
    <definedName name="_________S334" hidden="1">{#N/A,#N/A,TRUE,"NAE";#N/A,#N/A,TRUE,"CR";#N/A,#N/A,TRUE,"CS";#N/A,#N/A,TRUE,"CC"}</definedName>
    <definedName name="_________SD12" localSheetId="8" hidden="1">{#N/A,#N/A,TRUE,"NAE";#N/A,#N/A,TRUE,"CR";#N/A,#N/A,TRUE,"CS";#N/A,#N/A,TRUE,"CC"}</definedName>
    <definedName name="_________SD12" hidden="1">{#N/A,#N/A,TRUE,"NAE";#N/A,#N/A,TRUE,"CR";#N/A,#N/A,TRUE,"CS";#N/A,#N/A,TRUE,"CC"}</definedName>
    <definedName name="_________SRG6" localSheetId="8" hidden="1">{#N/A,#N/A,TRUE,"NAE";#N/A,#N/A,TRUE,"CR";#N/A,#N/A,TRUE,"CS";#N/A,#N/A,TRUE,"CC"}</definedName>
    <definedName name="_________SRG6" hidden="1">{#N/A,#N/A,TRUE,"NAE";#N/A,#N/A,TRUE,"CR";#N/A,#N/A,TRUE,"CS";#N/A,#N/A,TRUE,"CC"}</definedName>
    <definedName name="_________T55555" localSheetId="8" hidden="1">{#N/A,#N/A,TRUE,"NAE";#N/A,#N/A,TRUE,"CR";#N/A,#N/A,TRUE,"CS";#N/A,#N/A,TRUE,"CC"}</definedName>
    <definedName name="_________T55555" hidden="1">{#N/A,#N/A,TRUE,"NAE";#N/A,#N/A,TRUE,"CR";#N/A,#N/A,TRUE,"CS";#N/A,#N/A,TRUE,"CC"}</definedName>
    <definedName name="_________tyk767" localSheetId="8" hidden="1">{#N/A,#N/A,TRUE,"NAE";#N/A,#N/A,TRUE,"CR";#N/A,#N/A,TRUE,"CS";#N/A,#N/A,TRUE,"CC"}</definedName>
    <definedName name="_________tyk767" hidden="1">{#N/A,#N/A,TRUE,"NAE";#N/A,#N/A,TRUE,"CR";#N/A,#N/A,TRUE,"CS";#N/A,#N/A,TRUE,"CC"}</definedName>
    <definedName name="_________tyo8886" localSheetId="8" hidden="1">{#N/A,#N/A,TRUE,"NAE";#N/A,#N/A,TRUE,"CR";#N/A,#N/A,TRUE,"CS";#N/A,#N/A,TRUE,"CC"}</definedName>
    <definedName name="_________tyo8886" hidden="1">{#N/A,#N/A,TRUE,"NAE";#N/A,#N/A,TRUE,"CR";#N/A,#N/A,TRUE,"CS";#N/A,#N/A,TRUE,"CC"}</definedName>
    <definedName name="_________WHY6436" localSheetId="8" hidden="1">{#N/A,#N/A,TRUE,"NAE";#N/A,#N/A,TRUE,"CR";#N/A,#N/A,TRUE,"CS";#N/A,#N/A,TRUE,"CC"}</definedName>
    <definedName name="_________WHY6436" hidden="1">{#N/A,#N/A,TRUE,"NAE";#N/A,#N/A,TRUE,"CR";#N/A,#N/A,TRUE,"CS";#N/A,#N/A,TRUE,"CC"}</definedName>
    <definedName name="________AS12" localSheetId="8" hidden="1">{#N/A,#N/A,TRUE,"NAE";#N/A,#N/A,TRUE,"CR";#N/A,#N/A,TRUE,"CS";#N/A,#N/A,TRUE,"CC"}</definedName>
    <definedName name="________AS12" hidden="1">{#N/A,#N/A,TRUE,"NAE";#N/A,#N/A,TRUE,"CR";#N/A,#N/A,TRUE,"CS";#N/A,#N/A,TRUE,"CC"}</definedName>
    <definedName name="________E333" localSheetId="8" hidden="1">{#N/A,#N/A,TRUE,"NAE";#N/A,#N/A,TRUE,"CR";#N/A,#N/A,TRUE,"CS";#N/A,#N/A,TRUE,"CC"}</definedName>
    <definedName name="________E333" hidden="1">{#N/A,#N/A,TRUE,"NAE";#N/A,#N/A,TRUE,"CR";#N/A,#N/A,TRUE,"CS";#N/A,#N/A,TRUE,"CC"}</definedName>
    <definedName name="________EW3333" localSheetId="8" hidden="1">{#N/A,#N/A,TRUE,"NAE";#N/A,#N/A,TRUE,"CR";#N/A,#N/A,TRUE,"CS";#N/A,#N/A,TRUE,"CC"}</definedName>
    <definedName name="________EW3333" hidden="1">{#N/A,#N/A,TRUE,"NAE";#N/A,#N/A,TRUE,"CR";#N/A,#N/A,TRUE,"CS";#N/A,#N/A,TRUE,"CC"}</definedName>
    <definedName name="________g545" localSheetId="8" hidden="1">{#N/A,#N/A,TRUE,"NAE";#N/A,#N/A,TRUE,"CR";#N/A,#N/A,TRUE,"CS";#N/A,#N/A,TRUE,"CC"}</definedName>
    <definedName name="________g545" hidden="1">{#N/A,#N/A,TRUE,"NAE";#N/A,#N/A,TRUE,"CR";#N/A,#N/A,TRUE,"CS";#N/A,#N/A,TRUE,"CC"}</definedName>
    <definedName name="________HY67" localSheetId="8" hidden="1">{#N/A,#N/A,TRUE,"NAE";#N/A,#N/A,TRUE,"CR";#N/A,#N/A,TRUE,"CS";#N/A,#N/A,TRUE,"CC"}</definedName>
    <definedName name="________HY67" hidden="1">{#N/A,#N/A,TRUE,"NAE";#N/A,#N/A,TRUE,"CR";#N/A,#N/A,TRUE,"CS";#N/A,#N/A,TRUE,"CC"}</definedName>
    <definedName name="________ii8787" localSheetId="8" hidden="1">{#N/A,#N/A,TRUE,"NAE";#N/A,#N/A,TRUE,"CR";#N/A,#N/A,TRUE,"CS";#N/A,#N/A,TRUE,"CC"}</definedName>
    <definedName name="________ii8787" hidden="1">{#N/A,#N/A,TRUE,"NAE";#N/A,#N/A,TRUE,"CR";#N/A,#N/A,TRUE,"CS";#N/A,#N/A,TRUE,"CC"}</definedName>
    <definedName name="________JU76537" localSheetId="8" hidden="1">{#N/A,#N/A,TRUE,"NAE";#N/A,#N/A,TRUE,"CR";#N/A,#N/A,TRUE,"CS";#N/A,#N/A,TRUE,"CC"}</definedName>
    <definedName name="________JU76537" hidden="1">{#N/A,#N/A,TRUE,"NAE";#N/A,#N/A,TRUE,"CR";#N/A,#N/A,TRUE,"CS";#N/A,#N/A,TRUE,"CC"}</definedName>
    <definedName name="________KI5656" localSheetId="8" hidden="1">{#N/A,#N/A,TRUE,"NAE";#N/A,#N/A,TRUE,"CR";#N/A,#N/A,TRUE,"CS";#N/A,#N/A,TRUE,"CC"}</definedName>
    <definedName name="________KI5656" hidden="1">{#N/A,#N/A,TRUE,"NAE";#N/A,#N/A,TRUE,"CR";#N/A,#N/A,TRUE,"CS";#N/A,#N/A,TRUE,"CC"}</definedName>
    <definedName name="________ktr7" localSheetId="8" hidden="1">{#N/A,#N/A,TRUE,"NAE";#N/A,#N/A,TRUE,"CR";#N/A,#N/A,TRUE,"CS";#N/A,#N/A,TRUE,"CC"}</definedName>
    <definedName name="________ktr7" hidden="1">{#N/A,#N/A,TRUE,"NAE";#N/A,#N/A,TRUE,"CR";#N/A,#N/A,TRUE,"CS";#N/A,#N/A,TRUE,"CC"}</definedName>
    <definedName name="________R4444" localSheetId="8" hidden="1">{#N/A,#N/A,TRUE,"NAE";#N/A,#N/A,TRUE,"CR";#N/A,#N/A,TRUE,"CS";#N/A,#N/A,TRUE,"CC"}</definedName>
    <definedName name="________R4444" hidden="1">{#N/A,#N/A,TRUE,"NAE";#N/A,#N/A,TRUE,"CR";#N/A,#N/A,TRUE,"CS";#N/A,#N/A,TRUE,"CC"}</definedName>
    <definedName name="________r7e56" localSheetId="8" hidden="1">{#N/A,#N/A,TRUE,"NAE";#N/A,#N/A,TRUE,"CR";#N/A,#N/A,TRUE,"CS";#N/A,#N/A,TRUE,"CC"}</definedName>
    <definedName name="________r7e56" hidden="1">{#N/A,#N/A,TRUE,"NAE";#N/A,#N/A,TRUE,"CR";#N/A,#N/A,TRUE,"CS";#N/A,#N/A,TRUE,"CC"}</definedName>
    <definedName name="________rku7" localSheetId="8" hidden="1">{#N/A,#N/A,TRUE,"NAE";#N/A,#N/A,TRUE,"CR";#N/A,#N/A,TRUE,"CS";#N/A,#N/A,TRUE,"CC"}</definedName>
    <definedName name="________rku7" hidden="1">{#N/A,#N/A,TRUE,"NAE";#N/A,#N/A,TRUE,"CR";#N/A,#N/A,TRUE,"CS";#N/A,#N/A,TRUE,"CC"}</definedName>
    <definedName name="________rti888" localSheetId="8" hidden="1">{#N/A,#N/A,TRUE,"NAE";#N/A,#N/A,TRUE,"CR";#N/A,#N/A,TRUE,"CS";#N/A,#N/A,TRUE,"CC"}</definedName>
    <definedName name="________rti888" hidden="1">{#N/A,#N/A,TRUE,"NAE";#N/A,#N/A,TRUE,"CR";#N/A,#N/A,TRUE,"CS";#N/A,#N/A,TRUE,"CC"}</definedName>
    <definedName name="________S334" localSheetId="8" hidden="1">{#N/A,#N/A,TRUE,"NAE";#N/A,#N/A,TRUE,"CR";#N/A,#N/A,TRUE,"CS";#N/A,#N/A,TRUE,"CC"}</definedName>
    <definedName name="________S334" hidden="1">{#N/A,#N/A,TRUE,"NAE";#N/A,#N/A,TRUE,"CR";#N/A,#N/A,TRUE,"CS";#N/A,#N/A,TRUE,"CC"}</definedName>
    <definedName name="________SD12" localSheetId="8" hidden="1">{#N/A,#N/A,TRUE,"NAE";#N/A,#N/A,TRUE,"CR";#N/A,#N/A,TRUE,"CS";#N/A,#N/A,TRUE,"CC"}</definedName>
    <definedName name="________SD12" hidden="1">{#N/A,#N/A,TRUE,"NAE";#N/A,#N/A,TRUE,"CR";#N/A,#N/A,TRUE,"CS";#N/A,#N/A,TRUE,"CC"}</definedName>
    <definedName name="________SRG6" localSheetId="8" hidden="1">{#N/A,#N/A,TRUE,"NAE";#N/A,#N/A,TRUE,"CR";#N/A,#N/A,TRUE,"CS";#N/A,#N/A,TRUE,"CC"}</definedName>
    <definedName name="________SRG6" hidden="1">{#N/A,#N/A,TRUE,"NAE";#N/A,#N/A,TRUE,"CR";#N/A,#N/A,TRUE,"CS";#N/A,#N/A,TRUE,"CC"}</definedName>
    <definedName name="________T55555" localSheetId="8" hidden="1">{#N/A,#N/A,TRUE,"NAE";#N/A,#N/A,TRUE,"CR";#N/A,#N/A,TRUE,"CS";#N/A,#N/A,TRUE,"CC"}</definedName>
    <definedName name="________T55555" hidden="1">{#N/A,#N/A,TRUE,"NAE";#N/A,#N/A,TRUE,"CR";#N/A,#N/A,TRUE,"CS";#N/A,#N/A,TRUE,"CC"}</definedName>
    <definedName name="________tyk767" localSheetId="8" hidden="1">{#N/A,#N/A,TRUE,"NAE";#N/A,#N/A,TRUE,"CR";#N/A,#N/A,TRUE,"CS";#N/A,#N/A,TRUE,"CC"}</definedName>
    <definedName name="________tyk767" hidden="1">{#N/A,#N/A,TRUE,"NAE";#N/A,#N/A,TRUE,"CR";#N/A,#N/A,TRUE,"CS";#N/A,#N/A,TRUE,"CC"}</definedName>
    <definedName name="________tyo8886" localSheetId="8" hidden="1">{#N/A,#N/A,TRUE,"NAE";#N/A,#N/A,TRUE,"CR";#N/A,#N/A,TRUE,"CS";#N/A,#N/A,TRUE,"CC"}</definedName>
    <definedName name="________tyo8886" hidden="1">{#N/A,#N/A,TRUE,"NAE";#N/A,#N/A,TRUE,"CR";#N/A,#N/A,TRUE,"CS";#N/A,#N/A,TRUE,"CC"}</definedName>
    <definedName name="________WHY6436" localSheetId="8" hidden="1">{#N/A,#N/A,TRUE,"NAE";#N/A,#N/A,TRUE,"CR";#N/A,#N/A,TRUE,"CS";#N/A,#N/A,TRUE,"CC"}</definedName>
    <definedName name="________WHY6436" hidden="1">{#N/A,#N/A,TRUE,"NAE";#N/A,#N/A,TRUE,"CR";#N/A,#N/A,TRUE,"CS";#N/A,#N/A,TRUE,"CC"}</definedName>
    <definedName name="______AS12" localSheetId="8" hidden="1">{#N/A,#N/A,TRUE,"NAE";#N/A,#N/A,TRUE,"CR";#N/A,#N/A,TRUE,"CS";#N/A,#N/A,TRUE,"CC"}</definedName>
    <definedName name="______AS12" hidden="1">{#N/A,#N/A,TRUE,"NAE";#N/A,#N/A,TRUE,"CR";#N/A,#N/A,TRUE,"CS";#N/A,#N/A,TRUE,"CC"}</definedName>
    <definedName name="______E333" localSheetId="8" hidden="1">{#N/A,#N/A,TRUE,"NAE";#N/A,#N/A,TRUE,"CR";#N/A,#N/A,TRUE,"CS";#N/A,#N/A,TRUE,"CC"}</definedName>
    <definedName name="______E333" hidden="1">{#N/A,#N/A,TRUE,"NAE";#N/A,#N/A,TRUE,"CR";#N/A,#N/A,TRUE,"CS";#N/A,#N/A,TRUE,"CC"}</definedName>
    <definedName name="______EW3333" localSheetId="8" hidden="1">{#N/A,#N/A,TRUE,"NAE";#N/A,#N/A,TRUE,"CR";#N/A,#N/A,TRUE,"CS";#N/A,#N/A,TRUE,"CC"}</definedName>
    <definedName name="______EW3333" hidden="1">{#N/A,#N/A,TRUE,"NAE";#N/A,#N/A,TRUE,"CR";#N/A,#N/A,TRUE,"CS";#N/A,#N/A,TRUE,"CC"}</definedName>
    <definedName name="______g545" localSheetId="8" hidden="1">{#N/A,#N/A,TRUE,"NAE";#N/A,#N/A,TRUE,"CR";#N/A,#N/A,TRUE,"CS";#N/A,#N/A,TRUE,"CC"}</definedName>
    <definedName name="______g545" hidden="1">{#N/A,#N/A,TRUE,"NAE";#N/A,#N/A,TRUE,"CR";#N/A,#N/A,TRUE,"CS";#N/A,#N/A,TRUE,"CC"}</definedName>
    <definedName name="______HY67" localSheetId="8" hidden="1">{#N/A,#N/A,TRUE,"NAE";#N/A,#N/A,TRUE,"CR";#N/A,#N/A,TRUE,"CS";#N/A,#N/A,TRUE,"CC"}</definedName>
    <definedName name="______HY67" hidden="1">{#N/A,#N/A,TRUE,"NAE";#N/A,#N/A,TRUE,"CR";#N/A,#N/A,TRUE,"CS";#N/A,#N/A,TRUE,"CC"}</definedName>
    <definedName name="______ii8787" localSheetId="8" hidden="1">{#N/A,#N/A,TRUE,"NAE";#N/A,#N/A,TRUE,"CR";#N/A,#N/A,TRUE,"CS";#N/A,#N/A,TRUE,"CC"}</definedName>
    <definedName name="______ii8787" hidden="1">{#N/A,#N/A,TRUE,"NAE";#N/A,#N/A,TRUE,"CR";#N/A,#N/A,TRUE,"CS";#N/A,#N/A,TRUE,"CC"}</definedName>
    <definedName name="______JU76537" localSheetId="8" hidden="1">{#N/A,#N/A,TRUE,"NAE";#N/A,#N/A,TRUE,"CR";#N/A,#N/A,TRUE,"CS";#N/A,#N/A,TRUE,"CC"}</definedName>
    <definedName name="______JU76537" hidden="1">{#N/A,#N/A,TRUE,"NAE";#N/A,#N/A,TRUE,"CR";#N/A,#N/A,TRUE,"CS";#N/A,#N/A,TRUE,"CC"}</definedName>
    <definedName name="______KI5656" localSheetId="8" hidden="1">{#N/A,#N/A,TRUE,"NAE";#N/A,#N/A,TRUE,"CR";#N/A,#N/A,TRUE,"CS";#N/A,#N/A,TRUE,"CC"}</definedName>
    <definedName name="______KI5656" hidden="1">{#N/A,#N/A,TRUE,"NAE";#N/A,#N/A,TRUE,"CR";#N/A,#N/A,TRUE,"CS";#N/A,#N/A,TRUE,"CC"}</definedName>
    <definedName name="______ktr7" localSheetId="8" hidden="1">{#N/A,#N/A,TRUE,"NAE";#N/A,#N/A,TRUE,"CR";#N/A,#N/A,TRUE,"CS";#N/A,#N/A,TRUE,"CC"}</definedName>
    <definedName name="______ktr7" hidden="1">{#N/A,#N/A,TRUE,"NAE";#N/A,#N/A,TRUE,"CR";#N/A,#N/A,TRUE,"CS";#N/A,#N/A,TRUE,"CC"}</definedName>
    <definedName name="______R4444" localSheetId="8" hidden="1">{#N/A,#N/A,TRUE,"NAE";#N/A,#N/A,TRUE,"CR";#N/A,#N/A,TRUE,"CS";#N/A,#N/A,TRUE,"CC"}</definedName>
    <definedName name="______R4444" hidden="1">{#N/A,#N/A,TRUE,"NAE";#N/A,#N/A,TRUE,"CR";#N/A,#N/A,TRUE,"CS";#N/A,#N/A,TRUE,"CC"}</definedName>
    <definedName name="______r7e56" localSheetId="8" hidden="1">{#N/A,#N/A,TRUE,"NAE";#N/A,#N/A,TRUE,"CR";#N/A,#N/A,TRUE,"CS";#N/A,#N/A,TRUE,"CC"}</definedName>
    <definedName name="______r7e56" hidden="1">{#N/A,#N/A,TRUE,"NAE";#N/A,#N/A,TRUE,"CR";#N/A,#N/A,TRUE,"CS";#N/A,#N/A,TRUE,"CC"}</definedName>
    <definedName name="______rku7" localSheetId="8" hidden="1">{#N/A,#N/A,TRUE,"NAE";#N/A,#N/A,TRUE,"CR";#N/A,#N/A,TRUE,"CS";#N/A,#N/A,TRUE,"CC"}</definedName>
    <definedName name="______rku7" hidden="1">{#N/A,#N/A,TRUE,"NAE";#N/A,#N/A,TRUE,"CR";#N/A,#N/A,TRUE,"CS";#N/A,#N/A,TRUE,"CC"}</definedName>
    <definedName name="______rti888" localSheetId="8" hidden="1">{#N/A,#N/A,TRUE,"NAE";#N/A,#N/A,TRUE,"CR";#N/A,#N/A,TRUE,"CS";#N/A,#N/A,TRUE,"CC"}</definedName>
    <definedName name="______rti888" hidden="1">{#N/A,#N/A,TRUE,"NAE";#N/A,#N/A,TRUE,"CR";#N/A,#N/A,TRUE,"CS";#N/A,#N/A,TRUE,"CC"}</definedName>
    <definedName name="______S334" localSheetId="8" hidden="1">{#N/A,#N/A,TRUE,"NAE";#N/A,#N/A,TRUE,"CR";#N/A,#N/A,TRUE,"CS";#N/A,#N/A,TRUE,"CC"}</definedName>
    <definedName name="______S334" hidden="1">{#N/A,#N/A,TRUE,"NAE";#N/A,#N/A,TRUE,"CR";#N/A,#N/A,TRUE,"CS";#N/A,#N/A,TRUE,"CC"}</definedName>
    <definedName name="______SD12" localSheetId="8" hidden="1">{#N/A,#N/A,TRUE,"NAE";#N/A,#N/A,TRUE,"CR";#N/A,#N/A,TRUE,"CS";#N/A,#N/A,TRUE,"CC"}</definedName>
    <definedName name="______SD12" hidden="1">{#N/A,#N/A,TRUE,"NAE";#N/A,#N/A,TRUE,"CR";#N/A,#N/A,TRUE,"CS";#N/A,#N/A,TRUE,"CC"}</definedName>
    <definedName name="______SRG6" localSheetId="8" hidden="1">{#N/A,#N/A,TRUE,"NAE";#N/A,#N/A,TRUE,"CR";#N/A,#N/A,TRUE,"CS";#N/A,#N/A,TRUE,"CC"}</definedName>
    <definedName name="______SRG6" hidden="1">{#N/A,#N/A,TRUE,"NAE";#N/A,#N/A,TRUE,"CR";#N/A,#N/A,TRUE,"CS";#N/A,#N/A,TRUE,"CC"}</definedName>
    <definedName name="______T55555" localSheetId="8" hidden="1">{#N/A,#N/A,TRUE,"NAE";#N/A,#N/A,TRUE,"CR";#N/A,#N/A,TRUE,"CS";#N/A,#N/A,TRUE,"CC"}</definedName>
    <definedName name="______T55555" hidden="1">{#N/A,#N/A,TRUE,"NAE";#N/A,#N/A,TRUE,"CR";#N/A,#N/A,TRUE,"CS";#N/A,#N/A,TRUE,"CC"}</definedName>
    <definedName name="______tyk767" localSheetId="8" hidden="1">{#N/A,#N/A,TRUE,"NAE";#N/A,#N/A,TRUE,"CR";#N/A,#N/A,TRUE,"CS";#N/A,#N/A,TRUE,"CC"}</definedName>
    <definedName name="______tyk767" hidden="1">{#N/A,#N/A,TRUE,"NAE";#N/A,#N/A,TRUE,"CR";#N/A,#N/A,TRUE,"CS";#N/A,#N/A,TRUE,"CC"}</definedName>
    <definedName name="______tyo8886" localSheetId="8" hidden="1">{#N/A,#N/A,TRUE,"NAE";#N/A,#N/A,TRUE,"CR";#N/A,#N/A,TRUE,"CS";#N/A,#N/A,TRUE,"CC"}</definedName>
    <definedName name="______tyo8886" hidden="1">{#N/A,#N/A,TRUE,"NAE";#N/A,#N/A,TRUE,"CR";#N/A,#N/A,TRUE,"CS";#N/A,#N/A,TRUE,"CC"}</definedName>
    <definedName name="______WHY6436" localSheetId="8" hidden="1">{#N/A,#N/A,TRUE,"NAE";#N/A,#N/A,TRUE,"CR";#N/A,#N/A,TRUE,"CS";#N/A,#N/A,TRUE,"CC"}</definedName>
    <definedName name="______WHY6436" hidden="1">{#N/A,#N/A,TRUE,"NAE";#N/A,#N/A,TRUE,"CR";#N/A,#N/A,TRUE,"CS";#N/A,#N/A,TRUE,"CC"}</definedName>
    <definedName name="_____AS12" localSheetId="8" hidden="1">{#N/A,#N/A,TRUE,"NAE";#N/A,#N/A,TRUE,"CR";#N/A,#N/A,TRUE,"CS";#N/A,#N/A,TRUE,"CC"}</definedName>
    <definedName name="_____AS12" hidden="1">{#N/A,#N/A,TRUE,"NAE";#N/A,#N/A,TRUE,"CR";#N/A,#N/A,TRUE,"CS";#N/A,#N/A,TRUE,"CC"}</definedName>
    <definedName name="_____E333" localSheetId="8" hidden="1">{#N/A,#N/A,TRUE,"NAE";#N/A,#N/A,TRUE,"CR";#N/A,#N/A,TRUE,"CS";#N/A,#N/A,TRUE,"CC"}</definedName>
    <definedName name="_____E333" hidden="1">{#N/A,#N/A,TRUE,"NAE";#N/A,#N/A,TRUE,"CR";#N/A,#N/A,TRUE,"CS";#N/A,#N/A,TRUE,"CC"}</definedName>
    <definedName name="_____EW3333" localSheetId="8" hidden="1">{#N/A,#N/A,TRUE,"NAE";#N/A,#N/A,TRUE,"CR";#N/A,#N/A,TRUE,"CS";#N/A,#N/A,TRUE,"CC"}</definedName>
    <definedName name="_____EW3333" hidden="1">{#N/A,#N/A,TRUE,"NAE";#N/A,#N/A,TRUE,"CR";#N/A,#N/A,TRUE,"CS";#N/A,#N/A,TRUE,"CC"}</definedName>
    <definedName name="_____g545" localSheetId="8" hidden="1">{#N/A,#N/A,TRUE,"NAE";#N/A,#N/A,TRUE,"CR";#N/A,#N/A,TRUE,"CS";#N/A,#N/A,TRUE,"CC"}</definedName>
    <definedName name="_____g545" hidden="1">{#N/A,#N/A,TRUE,"NAE";#N/A,#N/A,TRUE,"CR";#N/A,#N/A,TRUE,"CS";#N/A,#N/A,TRUE,"CC"}</definedName>
    <definedName name="_____HY67" localSheetId="8" hidden="1">{#N/A,#N/A,TRUE,"NAE";#N/A,#N/A,TRUE,"CR";#N/A,#N/A,TRUE,"CS";#N/A,#N/A,TRUE,"CC"}</definedName>
    <definedName name="_____HY67" hidden="1">{#N/A,#N/A,TRUE,"NAE";#N/A,#N/A,TRUE,"CR";#N/A,#N/A,TRUE,"CS";#N/A,#N/A,TRUE,"CC"}</definedName>
    <definedName name="_____ii8787" localSheetId="8" hidden="1">{#N/A,#N/A,TRUE,"NAE";#N/A,#N/A,TRUE,"CR";#N/A,#N/A,TRUE,"CS";#N/A,#N/A,TRUE,"CC"}</definedName>
    <definedName name="_____ii8787" hidden="1">{#N/A,#N/A,TRUE,"NAE";#N/A,#N/A,TRUE,"CR";#N/A,#N/A,TRUE,"CS";#N/A,#N/A,TRUE,"CC"}</definedName>
    <definedName name="_____JU76537" localSheetId="8" hidden="1">{#N/A,#N/A,TRUE,"NAE";#N/A,#N/A,TRUE,"CR";#N/A,#N/A,TRUE,"CS";#N/A,#N/A,TRUE,"CC"}</definedName>
    <definedName name="_____JU76537" hidden="1">{#N/A,#N/A,TRUE,"NAE";#N/A,#N/A,TRUE,"CR";#N/A,#N/A,TRUE,"CS";#N/A,#N/A,TRUE,"CC"}</definedName>
    <definedName name="_____KI5656" localSheetId="8" hidden="1">{#N/A,#N/A,TRUE,"NAE";#N/A,#N/A,TRUE,"CR";#N/A,#N/A,TRUE,"CS";#N/A,#N/A,TRUE,"CC"}</definedName>
    <definedName name="_____KI5656" hidden="1">{#N/A,#N/A,TRUE,"NAE";#N/A,#N/A,TRUE,"CR";#N/A,#N/A,TRUE,"CS";#N/A,#N/A,TRUE,"CC"}</definedName>
    <definedName name="_____ktr7" localSheetId="8" hidden="1">{#N/A,#N/A,TRUE,"NAE";#N/A,#N/A,TRUE,"CR";#N/A,#N/A,TRUE,"CS";#N/A,#N/A,TRUE,"CC"}</definedName>
    <definedName name="_____ktr7" hidden="1">{#N/A,#N/A,TRUE,"NAE";#N/A,#N/A,TRUE,"CR";#N/A,#N/A,TRUE,"CS";#N/A,#N/A,TRUE,"CC"}</definedName>
    <definedName name="_____R4444" localSheetId="8" hidden="1">{#N/A,#N/A,TRUE,"NAE";#N/A,#N/A,TRUE,"CR";#N/A,#N/A,TRUE,"CS";#N/A,#N/A,TRUE,"CC"}</definedName>
    <definedName name="_____R4444" hidden="1">{#N/A,#N/A,TRUE,"NAE";#N/A,#N/A,TRUE,"CR";#N/A,#N/A,TRUE,"CS";#N/A,#N/A,TRUE,"CC"}</definedName>
    <definedName name="_____r7e56" localSheetId="8" hidden="1">{#N/A,#N/A,TRUE,"NAE";#N/A,#N/A,TRUE,"CR";#N/A,#N/A,TRUE,"CS";#N/A,#N/A,TRUE,"CC"}</definedName>
    <definedName name="_____r7e56" hidden="1">{#N/A,#N/A,TRUE,"NAE";#N/A,#N/A,TRUE,"CR";#N/A,#N/A,TRUE,"CS";#N/A,#N/A,TRUE,"CC"}</definedName>
    <definedName name="_____rku7" localSheetId="8" hidden="1">{#N/A,#N/A,TRUE,"NAE";#N/A,#N/A,TRUE,"CR";#N/A,#N/A,TRUE,"CS";#N/A,#N/A,TRUE,"CC"}</definedName>
    <definedName name="_____rku7" hidden="1">{#N/A,#N/A,TRUE,"NAE";#N/A,#N/A,TRUE,"CR";#N/A,#N/A,TRUE,"CS";#N/A,#N/A,TRUE,"CC"}</definedName>
    <definedName name="_____rti888" localSheetId="8" hidden="1">{#N/A,#N/A,TRUE,"NAE";#N/A,#N/A,TRUE,"CR";#N/A,#N/A,TRUE,"CS";#N/A,#N/A,TRUE,"CC"}</definedName>
    <definedName name="_____rti888" hidden="1">{#N/A,#N/A,TRUE,"NAE";#N/A,#N/A,TRUE,"CR";#N/A,#N/A,TRUE,"CS";#N/A,#N/A,TRUE,"CC"}</definedName>
    <definedName name="_____S334" localSheetId="8" hidden="1">{#N/A,#N/A,TRUE,"NAE";#N/A,#N/A,TRUE,"CR";#N/A,#N/A,TRUE,"CS";#N/A,#N/A,TRUE,"CC"}</definedName>
    <definedName name="_____S334" hidden="1">{#N/A,#N/A,TRUE,"NAE";#N/A,#N/A,TRUE,"CR";#N/A,#N/A,TRUE,"CS";#N/A,#N/A,TRUE,"CC"}</definedName>
    <definedName name="_____SD12" localSheetId="8" hidden="1">{#N/A,#N/A,TRUE,"NAE";#N/A,#N/A,TRUE,"CR";#N/A,#N/A,TRUE,"CS";#N/A,#N/A,TRUE,"CC"}</definedName>
    <definedName name="_____SD12" hidden="1">{#N/A,#N/A,TRUE,"NAE";#N/A,#N/A,TRUE,"CR";#N/A,#N/A,TRUE,"CS";#N/A,#N/A,TRUE,"CC"}</definedName>
    <definedName name="_____SRG6" localSheetId="8" hidden="1">{#N/A,#N/A,TRUE,"NAE";#N/A,#N/A,TRUE,"CR";#N/A,#N/A,TRUE,"CS";#N/A,#N/A,TRUE,"CC"}</definedName>
    <definedName name="_____SRG6" hidden="1">{#N/A,#N/A,TRUE,"NAE";#N/A,#N/A,TRUE,"CR";#N/A,#N/A,TRUE,"CS";#N/A,#N/A,TRUE,"CC"}</definedName>
    <definedName name="_____T55555" localSheetId="8" hidden="1">{#N/A,#N/A,TRUE,"NAE";#N/A,#N/A,TRUE,"CR";#N/A,#N/A,TRUE,"CS";#N/A,#N/A,TRUE,"CC"}</definedName>
    <definedName name="_____T55555" hidden="1">{#N/A,#N/A,TRUE,"NAE";#N/A,#N/A,TRUE,"CR";#N/A,#N/A,TRUE,"CS";#N/A,#N/A,TRUE,"CC"}</definedName>
    <definedName name="_____tyk767" localSheetId="8" hidden="1">{#N/A,#N/A,TRUE,"NAE";#N/A,#N/A,TRUE,"CR";#N/A,#N/A,TRUE,"CS";#N/A,#N/A,TRUE,"CC"}</definedName>
    <definedName name="_____tyk767" hidden="1">{#N/A,#N/A,TRUE,"NAE";#N/A,#N/A,TRUE,"CR";#N/A,#N/A,TRUE,"CS";#N/A,#N/A,TRUE,"CC"}</definedName>
    <definedName name="_____tyo8886" localSheetId="8" hidden="1">{#N/A,#N/A,TRUE,"NAE";#N/A,#N/A,TRUE,"CR";#N/A,#N/A,TRUE,"CS";#N/A,#N/A,TRUE,"CC"}</definedName>
    <definedName name="_____tyo8886" hidden="1">{#N/A,#N/A,TRUE,"NAE";#N/A,#N/A,TRUE,"CR";#N/A,#N/A,TRUE,"CS";#N/A,#N/A,TRUE,"CC"}</definedName>
    <definedName name="_____WHY6436" localSheetId="8" hidden="1">{#N/A,#N/A,TRUE,"NAE";#N/A,#N/A,TRUE,"CR";#N/A,#N/A,TRUE,"CS";#N/A,#N/A,TRUE,"CC"}</definedName>
    <definedName name="_____WHY6436" hidden="1">{#N/A,#N/A,TRUE,"NAE";#N/A,#N/A,TRUE,"CR";#N/A,#N/A,TRUE,"CS";#N/A,#N/A,TRUE,"CC"}</definedName>
    <definedName name="___AS12" localSheetId="8" hidden="1">{#N/A,#N/A,TRUE,"NAE";#N/A,#N/A,TRUE,"CR";#N/A,#N/A,TRUE,"CS";#N/A,#N/A,TRUE,"CC"}</definedName>
    <definedName name="___AS12" hidden="1">{#N/A,#N/A,TRUE,"NAE";#N/A,#N/A,TRUE,"CR";#N/A,#N/A,TRUE,"CS";#N/A,#N/A,TRUE,"CC"}</definedName>
    <definedName name="___E333" localSheetId="8" hidden="1">{#N/A,#N/A,TRUE,"NAE";#N/A,#N/A,TRUE,"CR";#N/A,#N/A,TRUE,"CS";#N/A,#N/A,TRUE,"CC"}</definedName>
    <definedName name="___E333" hidden="1">{#N/A,#N/A,TRUE,"NAE";#N/A,#N/A,TRUE,"CR";#N/A,#N/A,TRUE,"CS";#N/A,#N/A,TRUE,"CC"}</definedName>
    <definedName name="___EW3333" localSheetId="8" hidden="1">{#N/A,#N/A,TRUE,"NAE";#N/A,#N/A,TRUE,"CR";#N/A,#N/A,TRUE,"CS";#N/A,#N/A,TRUE,"CC"}</definedName>
    <definedName name="___EW3333" hidden="1">{#N/A,#N/A,TRUE,"NAE";#N/A,#N/A,TRUE,"CR";#N/A,#N/A,TRUE,"CS";#N/A,#N/A,TRUE,"CC"}</definedName>
    <definedName name="___g545" localSheetId="8" hidden="1">{#N/A,#N/A,TRUE,"NAE";#N/A,#N/A,TRUE,"CR";#N/A,#N/A,TRUE,"CS";#N/A,#N/A,TRUE,"CC"}</definedName>
    <definedName name="___g545" hidden="1">{#N/A,#N/A,TRUE,"NAE";#N/A,#N/A,TRUE,"CR";#N/A,#N/A,TRUE,"CS";#N/A,#N/A,TRUE,"CC"}</definedName>
    <definedName name="___HY67" localSheetId="8" hidden="1">{#N/A,#N/A,TRUE,"NAE";#N/A,#N/A,TRUE,"CR";#N/A,#N/A,TRUE,"CS";#N/A,#N/A,TRUE,"CC"}</definedName>
    <definedName name="___HY67" hidden="1">{#N/A,#N/A,TRUE,"NAE";#N/A,#N/A,TRUE,"CR";#N/A,#N/A,TRUE,"CS";#N/A,#N/A,TRUE,"CC"}</definedName>
    <definedName name="___ii8787" localSheetId="8" hidden="1">{#N/A,#N/A,TRUE,"NAE";#N/A,#N/A,TRUE,"CR";#N/A,#N/A,TRUE,"CS";#N/A,#N/A,TRUE,"CC"}</definedName>
    <definedName name="___ii8787" hidden="1">{#N/A,#N/A,TRUE,"NAE";#N/A,#N/A,TRUE,"CR";#N/A,#N/A,TRUE,"CS";#N/A,#N/A,TRUE,"CC"}</definedName>
    <definedName name="___JU76537" localSheetId="8" hidden="1">{#N/A,#N/A,TRUE,"NAE";#N/A,#N/A,TRUE,"CR";#N/A,#N/A,TRUE,"CS";#N/A,#N/A,TRUE,"CC"}</definedName>
    <definedName name="___JU76537" hidden="1">{#N/A,#N/A,TRUE,"NAE";#N/A,#N/A,TRUE,"CR";#N/A,#N/A,TRUE,"CS";#N/A,#N/A,TRUE,"CC"}</definedName>
    <definedName name="___KI5656" localSheetId="8" hidden="1">{#N/A,#N/A,TRUE,"NAE";#N/A,#N/A,TRUE,"CR";#N/A,#N/A,TRUE,"CS";#N/A,#N/A,TRUE,"CC"}</definedName>
    <definedName name="___KI5656" hidden="1">{#N/A,#N/A,TRUE,"NAE";#N/A,#N/A,TRUE,"CR";#N/A,#N/A,TRUE,"CS";#N/A,#N/A,TRUE,"CC"}</definedName>
    <definedName name="___ktr7" localSheetId="8" hidden="1">{#N/A,#N/A,TRUE,"NAE";#N/A,#N/A,TRUE,"CR";#N/A,#N/A,TRUE,"CS";#N/A,#N/A,TRUE,"CC"}</definedName>
    <definedName name="___ktr7" hidden="1">{#N/A,#N/A,TRUE,"NAE";#N/A,#N/A,TRUE,"CR";#N/A,#N/A,TRUE,"CS";#N/A,#N/A,TRUE,"CC"}</definedName>
    <definedName name="___R4444" localSheetId="8" hidden="1">{#N/A,#N/A,TRUE,"NAE";#N/A,#N/A,TRUE,"CR";#N/A,#N/A,TRUE,"CS";#N/A,#N/A,TRUE,"CC"}</definedName>
    <definedName name="___R4444" hidden="1">{#N/A,#N/A,TRUE,"NAE";#N/A,#N/A,TRUE,"CR";#N/A,#N/A,TRUE,"CS";#N/A,#N/A,TRUE,"CC"}</definedName>
    <definedName name="___r7e56" localSheetId="8" hidden="1">{#N/A,#N/A,TRUE,"NAE";#N/A,#N/A,TRUE,"CR";#N/A,#N/A,TRUE,"CS";#N/A,#N/A,TRUE,"CC"}</definedName>
    <definedName name="___r7e56" hidden="1">{#N/A,#N/A,TRUE,"NAE";#N/A,#N/A,TRUE,"CR";#N/A,#N/A,TRUE,"CS";#N/A,#N/A,TRUE,"CC"}</definedName>
    <definedName name="___rku7" localSheetId="8" hidden="1">{#N/A,#N/A,TRUE,"NAE";#N/A,#N/A,TRUE,"CR";#N/A,#N/A,TRUE,"CS";#N/A,#N/A,TRUE,"CC"}</definedName>
    <definedName name="___rku7" hidden="1">{#N/A,#N/A,TRUE,"NAE";#N/A,#N/A,TRUE,"CR";#N/A,#N/A,TRUE,"CS";#N/A,#N/A,TRUE,"CC"}</definedName>
    <definedName name="___rti888" localSheetId="8" hidden="1">{#N/A,#N/A,TRUE,"NAE";#N/A,#N/A,TRUE,"CR";#N/A,#N/A,TRUE,"CS";#N/A,#N/A,TRUE,"CC"}</definedName>
    <definedName name="___rti888" hidden="1">{#N/A,#N/A,TRUE,"NAE";#N/A,#N/A,TRUE,"CR";#N/A,#N/A,TRUE,"CS";#N/A,#N/A,TRUE,"CC"}</definedName>
    <definedName name="___S334" localSheetId="8" hidden="1">{#N/A,#N/A,TRUE,"NAE";#N/A,#N/A,TRUE,"CR";#N/A,#N/A,TRUE,"CS";#N/A,#N/A,TRUE,"CC"}</definedName>
    <definedName name="___S334" hidden="1">{#N/A,#N/A,TRUE,"NAE";#N/A,#N/A,TRUE,"CR";#N/A,#N/A,TRUE,"CS";#N/A,#N/A,TRUE,"CC"}</definedName>
    <definedName name="___SD12" localSheetId="8" hidden="1">{#N/A,#N/A,TRUE,"NAE";#N/A,#N/A,TRUE,"CR";#N/A,#N/A,TRUE,"CS";#N/A,#N/A,TRUE,"CC"}</definedName>
    <definedName name="___SD12" hidden="1">{#N/A,#N/A,TRUE,"NAE";#N/A,#N/A,TRUE,"CR";#N/A,#N/A,TRUE,"CS";#N/A,#N/A,TRUE,"CC"}</definedName>
    <definedName name="___SRG6" localSheetId="8" hidden="1">{#N/A,#N/A,TRUE,"NAE";#N/A,#N/A,TRUE,"CR";#N/A,#N/A,TRUE,"CS";#N/A,#N/A,TRUE,"CC"}</definedName>
    <definedName name="___SRG6" hidden="1">{#N/A,#N/A,TRUE,"NAE";#N/A,#N/A,TRUE,"CR";#N/A,#N/A,TRUE,"CS";#N/A,#N/A,TRUE,"CC"}</definedName>
    <definedName name="___T55555" localSheetId="8" hidden="1">{#N/A,#N/A,TRUE,"NAE";#N/A,#N/A,TRUE,"CR";#N/A,#N/A,TRUE,"CS";#N/A,#N/A,TRUE,"CC"}</definedName>
    <definedName name="___T55555" hidden="1">{#N/A,#N/A,TRUE,"NAE";#N/A,#N/A,TRUE,"CR";#N/A,#N/A,TRUE,"CS";#N/A,#N/A,TRUE,"CC"}</definedName>
    <definedName name="___tyk767" localSheetId="8" hidden="1">{#N/A,#N/A,TRUE,"NAE";#N/A,#N/A,TRUE,"CR";#N/A,#N/A,TRUE,"CS";#N/A,#N/A,TRUE,"CC"}</definedName>
    <definedName name="___tyk767" hidden="1">{#N/A,#N/A,TRUE,"NAE";#N/A,#N/A,TRUE,"CR";#N/A,#N/A,TRUE,"CS";#N/A,#N/A,TRUE,"CC"}</definedName>
    <definedName name="___tyo8886" localSheetId="8" hidden="1">{#N/A,#N/A,TRUE,"NAE";#N/A,#N/A,TRUE,"CR";#N/A,#N/A,TRUE,"CS";#N/A,#N/A,TRUE,"CC"}</definedName>
    <definedName name="___tyo8886" hidden="1">{#N/A,#N/A,TRUE,"NAE";#N/A,#N/A,TRUE,"CR";#N/A,#N/A,TRUE,"CS";#N/A,#N/A,TRUE,"CC"}</definedName>
    <definedName name="___WHY6436" localSheetId="8" hidden="1">{#N/A,#N/A,TRUE,"NAE";#N/A,#N/A,TRUE,"CR";#N/A,#N/A,TRUE,"CS";#N/A,#N/A,TRUE,"CC"}</definedName>
    <definedName name="___WHY6436" hidden="1">{#N/A,#N/A,TRUE,"NAE";#N/A,#N/A,TRUE,"CR";#N/A,#N/A,TRUE,"CS";#N/A,#N/A,TRUE,"CC"}</definedName>
    <definedName name="__AS12" localSheetId="8" hidden="1">{#N/A,#N/A,TRUE,"NAE";#N/A,#N/A,TRUE,"CR";#N/A,#N/A,TRUE,"CS";#N/A,#N/A,TRUE,"CC"}</definedName>
    <definedName name="__AS12" hidden="1">{#N/A,#N/A,TRUE,"NAE";#N/A,#N/A,TRUE,"CR";#N/A,#N/A,TRUE,"CS";#N/A,#N/A,TRUE,"CC"}</definedName>
    <definedName name="__E333" localSheetId="8" hidden="1">{#N/A,#N/A,TRUE,"NAE";#N/A,#N/A,TRUE,"CR";#N/A,#N/A,TRUE,"CS";#N/A,#N/A,TRUE,"CC"}</definedName>
    <definedName name="__E333" hidden="1">{#N/A,#N/A,TRUE,"NAE";#N/A,#N/A,TRUE,"CR";#N/A,#N/A,TRUE,"CS";#N/A,#N/A,TRUE,"CC"}</definedName>
    <definedName name="__EW3333" localSheetId="8" hidden="1">{#N/A,#N/A,TRUE,"NAE";#N/A,#N/A,TRUE,"CR";#N/A,#N/A,TRUE,"CS";#N/A,#N/A,TRUE,"CC"}</definedName>
    <definedName name="__EW3333" hidden="1">{#N/A,#N/A,TRUE,"NAE";#N/A,#N/A,TRUE,"CR";#N/A,#N/A,TRUE,"CS";#N/A,#N/A,TRUE,"CC"}</definedName>
    <definedName name="__g545" localSheetId="8" hidden="1">{#N/A,#N/A,TRUE,"NAE";#N/A,#N/A,TRUE,"CR";#N/A,#N/A,TRUE,"CS";#N/A,#N/A,TRUE,"CC"}</definedName>
    <definedName name="__g545" hidden="1">{#N/A,#N/A,TRUE,"NAE";#N/A,#N/A,TRUE,"CR";#N/A,#N/A,TRUE,"CS";#N/A,#N/A,TRUE,"CC"}</definedName>
    <definedName name="__HY67" localSheetId="8" hidden="1">{#N/A,#N/A,TRUE,"NAE";#N/A,#N/A,TRUE,"CR";#N/A,#N/A,TRUE,"CS";#N/A,#N/A,TRUE,"CC"}</definedName>
    <definedName name="__HY67" hidden="1">{#N/A,#N/A,TRUE,"NAE";#N/A,#N/A,TRUE,"CR";#N/A,#N/A,TRUE,"CS";#N/A,#N/A,TRUE,"CC"}</definedName>
    <definedName name="__ii8787" localSheetId="8" hidden="1">{#N/A,#N/A,TRUE,"NAE";#N/A,#N/A,TRUE,"CR";#N/A,#N/A,TRUE,"CS";#N/A,#N/A,TRUE,"CC"}</definedName>
    <definedName name="__ii8787" hidden="1">{#N/A,#N/A,TRUE,"NAE";#N/A,#N/A,TRUE,"CR";#N/A,#N/A,TRUE,"CS";#N/A,#N/A,TRUE,"CC"}</definedName>
    <definedName name="__JU76537" localSheetId="8" hidden="1">{#N/A,#N/A,TRUE,"NAE";#N/A,#N/A,TRUE,"CR";#N/A,#N/A,TRUE,"CS";#N/A,#N/A,TRUE,"CC"}</definedName>
    <definedName name="__JU76537" hidden="1">{#N/A,#N/A,TRUE,"NAE";#N/A,#N/A,TRUE,"CR";#N/A,#N/A,TRUE,"CS";#N/A,#N/A,TRUE,"CC"}</definedName>
    <definedName name="__KI5656" localSheetId="8" hidden="1">{#N/A,#N/A,TRUE,"NAE";#N/A,#N/A,TRUE,"CR";#N/A,#N/A,TRUE,"CS";#N/A,#N/A,TRUE,"CC"}</definedName>
    <definedName name="__KI5656" hidden="1">{#N/A,#N/A,TRUE,"NAE";#N/A,#N/A,TRUE,"CR";#N/A,#N/A,TRUE,"CS";#N/A,#N/A,TRUE,"CC"}</definedName>
    <definedName name="__ktr7" localSheetId="8" hidden="1">{#N/A,#N/A,TRUE,"NAE";#N/A,#N/A,TRUE,"CR";#N/A,#N/A,TRUE,"CS";#N/A,#N/A,TRUE,"CC"}</definedName>
    <definedName name="__ktr7" hidden="1">{#N/A,#N/A,TRUE,"NAE";#N/A,#N/A,TRUE,"CR";#N/A,#N/A,TRUE,"CS";#N/A,#N/A,TRUE,"CC"}</definedName>
    <definedName name="__R4444" localSheetId="8" hidden="1">{#N/A,#N/A,TRUE,"NAE";#N/A,#N/A,TRUE,"CR";#N/A,#N/A,TRUE,"CS";#N/A,#N/A,TRUE,"CC"}</definedName>
    <definedName name="__R4444" hidden="1">{#N/A,#N/A,TRUE,"NAE";#N/A,#N/A,TRUE,"CR";#N/A,#N/A,TRUE,"CS";#N/A,#N/A,TRUE,"CC"}</definedName>
    <definedName name="__r7e56" localSheetId="8" hidden="1">{#N/A,#N/A,TRUE,"NAE";#N/A,#N/A,TRUE,"CR";#N/A,#N/A,TRUE,"CS";#N/A,#N/A,TRUE,"CC"}</definedName>
    <definedName name="__r7e56" hidden="1">{#N/A,#N/A,TRUE,"NAE";#N/A,#N/A,TRUE,"CR";#N/A,#N/A,TRUE,"CS";#N/A,#N/A,TRUE,"CC"}</definedName>
    <definedName name="__rku7" localSheetId="8" hidden="1">{#N/A,#N/A,TRUE,"NAE";#N/A,#N/A,TRUE,"CR";#N/A,#N/A,TRUE,"CS";#N/A,#N/A,TRUE,"CC"}</definedName>
    <definedName name="__rku7" hidden="1">{#N/A,#N/A,TRUE,"NAE";#N/A,#N/A,TRUE,"CR";#N/A,#N/A,TRUE,"CS";#N/A,#N/A,TRUE,"CC"}</definedName>
    <definedName name="__rti888" localSheetId="8" hidden="1">{#N/A,#N/A,TRUE,"NAE";#N/A,#N/A,TRUE,"CR";#N/A,#N/A,TRUE,"CS";#N/A,#N/A,TRUE,"CC"}</definedName>
    <definedName name="__rti888" hidden="1">{#N/A,#N/A,TRUE,"NAE";#N/A,#N/A,TRUE,"CR";#N/A,#N/A,TRUE,"CS";#N/A,#N/A,TRUE,"CC"}</definedName>
    <definedName name="__S334" localSheetId="8" hidden="1">{#N/A,#N/A,TRUE,"NAE";#N/A,#N/A,TRUE,"CR";#N/A,#N/A,TRUE,"CS";#N/A,#N/A,TRUE,"CC"}</definedName>
    <definedName name="__S334" hidden="1">{#N/A,#N/A,TRUE,"NAE";#N/A,#N/A,TRUE,"CR";#N/A,#N/A,TRUE,"CS";#N/A,#N/A,TRUE,"CC"}</definedName>
    <definedName name="__SD12" localSheetId="8" hidden="1">{#N/A,#N/A,TRUE,"NAE";#N/A,#N/A,TRUE,"CR";#N/A,#N/A,TRUE,"CS";#N/A,#N/A,TRUE,"CC"}</definedName>
    <definedName name="__SD12" hidden="1">{#N/A,#N/A,TRUE,"NAE";#N/A,#N/A,TRUE,"CR";#N/A,#N/A,TRUE,"CS";#N/A,#N/A,TRUE,"CC"}</definedName>
    <definedName name="__SRG6" localSheetId="8" hidden="1">{#N/A,#N/A,TRUE,"NAE";#N/A,#N/A,TRUE,"CR";#N/A,#N/A,TRUE,"CS";#N/A,#N/A,TRUE,"CC"}</definedName>
    <definedName name="__SRG6" hidden="1">{#N/A,#N/A,TRUE,"NAE";#N/A,#N/A,TRUE,"CR";#N/A,#N/A,TRUE,"CS";#N/A,#N/A,TRUE,"CC"}</definedName>
    <definedName name="__T55555" localSheetId="8" hidden="1">{#N/A,#N/A,TRUE,"NAE";#N/A,#N/A,TRUE,"CR";#N/A,#N/A,TRUE,"CS";#N/A,#N/A,TRUE,"CC"}</definedName>
    <definedName name="__T55555" hidden="1">{#N/A,#N/A,TRUE,"NAE";#N/A,#N/A,TRUE,"CR";#N/A,#N/A,TRUE,"CS";#N/A,#N/A,TRUE,"CC"}</definedName>
    <definedName name="__tyk767" localSheetId="8" hidden="1">{#N/A,#N/A,TRUE,"NAE";#N/A,#N/A,TRUE,"CR";#N/A,#N/A,TRUE,"CS";#N/A,#N/A,TRUE,"CC"}</definedName>
    <definedName name="__tyk767" hidden="1">{#N/A,#N/A,TRUE,"NAE";#N/A,#N/A,TRUE,"CR";#N/A,#N/A,TRUE,"CS";#N/A,#N/A,TRUE,"CC"}</definedName>
    <definedName name="__tyo8886" localSheetId="8" hidden="1">{#N/A,#N/A,TRUE,"NAE";#N/A,#N/A,TRUE,"CR";#N/A,#N/A,TRUE,"CS";#N/A,#N/A,TRUE,"CC"}</definedName>
    <definedName name="__tyo8886" hidden="1">{#N/A,#N/A,TRUE,"NAE";#N/A,#N/A,TRUE,"CR";#N/A,#N/A,TRUE,"CS";#N/A,#N/A,TRUE,"CC"}</definedName>
    <definedName name="__WHY6436" localSheetId="8" hidden="1">{#N/A,#N/A,TRUE,"NAE";#N/A,#N/A,TRUE,"CR";#N/A,#N/A,TRUE,"CS";#N/A,#N/A,TRUE,"CC"}</definedName>
    <definedName name="__WHY6436" hidden="1">{#N/A,#N/A,TRUE,"NAE";#N/A,#N/A,TRUE,"CR";#N/A,#N/A,TRUE,"CS";#N/A,#N/A,TRUE,"CC"}</definedName>
    <definedName name="_25KgNAL">#REF!</definedName>
    <definedName name="_42.5KgEXP">#REF!</definedName>
    <definedName name="_42.5KgNAL">#REF!</definedName>
    <definedName name="_42.5KgRIO">#REF!</definedName>
    <definedName name="_50_KgNAL">#REF!</definedName>
    <definedName name="_50KgV300">#REF!</definedName>
    <definedName name="_AS12" localSheetId="8" hidden="1">{#N/A,#N/A,TRUE,"NAE";#N/A,#N/A,TRUE,"CR";#N/A,#N/A,TRUE,"CS";#N/A,#N/A,TRUE,"CC"}</definedName>
    <definedName name="_AS12" hidden="1">{#N/A,#N/A,TRUE,"NAE";#N/A,#N/A,TRUE,"CR";#N/A,#N/A,TRUE,"CS";#N/A,#N/A,TRUE,"CC"}</definedName>
    <definedName name="_AtRisk_SimSetting_AutomaticallyGenerateReports">FALSE</definedName>
    <definedName name="_AtRisk_SimSetting_AutomaticResultsDisplayMode">0</definedName>
    <definedName name="_AtRisk_SimSetting_ConvergenceConfidenceLevel">0.95</definedName>
    <definedName name="_AtRisk_SimSetting_ConvergencePercentileToTest">0.9</definedName>
    <definedName name="_AtRisk_SimSetting_ConvergencePerformMeanTest">TRUE</definedName>
    <definedName name="_AtRisk_SimSetting_ConvergencePerformPercentileTest">FALSE</definedName>
    <definedName name="_AtRisk_SimSetting_ConvergencePerformStdDeviationTest">FALSE</definedName>
    <definedName name="_AtRisk_SimSetting_ConvergenceTestAllOutputs">TRUE</definedName>
    <definedName name="_AtRisk_SimSetting_ConvergenceTestingPeriod">100</definedName>
    <definedName name="_AtRisk_SimSetting_ConvergenceTolerance">0.03</definedName>
    <definedName name="_AtRisk_SimSetting_LiveUpdate">TRUE</definedName>
    <definedName name="_AtRisk_SimSetting_LiveUpdatePeriod">-1</definedName>
    <definedName name="_AtRisk_SimSetting_RandomNumberGenerator">0</definedName>
    <definedName name="_AtRisk_SimSetting_ReportsList">1</definedName>
    <definedName name="_AtRisk_SimSetting_SimNameCount">0</definedName>
    <definedName name="_AtRisk_SimSetting_SmartSensitivityAnalysisEnabled">TRUE</definedName>
    <definedName name="_AtRisk_SimSetting_StatisticFunctionUpdating">1</definedName>
    <definedName name="_AtRisk_SimSetting_StdRecalcBehavior">0</definedName>
    <definedName name="_AtRisk_SimSetting_StdRecalcWithoutRiskStatic">0</definedName>
    <definedName name="_AtRisk_SimSetting_StdRecalcWithoutRiskStaticPercentile">0.5</definedName>
    <definedName name="_AV20025">#REF!</definedName>
    <definedName name="_AV200251">#REF!</definedName>
    <definedName name="_AV20050">#REF!</definedName>
    <definedName name="_AV200501">#REF!</definedName>
    <definedName name="_CAL96">#REF!</definedName>
    <definedName name="_CEM96">#REF!</definedName>
    <definedName name="_E333" localSheetId="8" hidden="1">{#N/A,#N/A,TRUE,"NAE";#N/A,#N/A,TRUE,"CR";#N/A,#N/A,TRUE,"CS";#N/A,#N/A,TRUE,"CC"}</definedName>
    <definedName name="_E333" hidden="1">{#N/A,#N/A,TRUE,"NAE";#N/A,#N/A,TRUE,"CR";#N/A,#N/A,TRUE,"CS";#N/A,#N/A,TRUE,"CC"}</definedName>
    <definedName name="_EMP96">#REF!</definedName>
    <definedName name="_ENE1" localSheetId="8" hidden="1">{"'RDOJTP'!$A$108:$AG$123"}</definedName>
    <definedName name="_ENE1" hidden="1">{"'RDOJTP'!$A$108:$AG$123"}</definedName>
    <definedName name="_ENE2" localSheetId="8" hidden="1">{"'RDOJTP'!$A$108:$AG$123"}</definedName>
    <definedName name="_ENE2" hidden="1">{"'RDOJTP'!$A$108:$AG$123"}</definedName>
    <definedName name="_ESC96">#REF!</definedName>
    <definedName name="_EW3333" localSheetId="8" hidden="1">{#N/A,#N/A,TRUE,"NAE";#N/A,#N/A,TRUE,"CR";#N/A,#N/A,TRUE,"CS";#N/A,#N/A,TRUE,"CC"}</definedName>
    <definedName name="_EW3333" hidden="1">{#N/A,#N/A,TRUE,"NAE";#N/A,#N/A,TRUE,"CR";#N/A,#N/A,TRUE,"CS";#N/A,#N/A,TRUE,"CC"}</definedName>
    <definedName name="_Fill" hidden="1">#REF!</definedName>
    <definedName name="_xlnm._FilterDatabase" localSheetId="3" hidden="1">Base!$A$1:$U$1525</definedName>
    <definedName name="_xlnm._FilterDatabase" localSheetId="0" hidden="1">Datos!$H$397:$S$429</definedName>
    <definedName name="_xlnm._FilterDatabase" localSheetId="2" hidden="1">Maestro!$A$1:$H$125</definedName>
    <definedName name="_xlnm._FilterDatabase" hidden="1">#REF!</definedName>
    <definedName name="_g545" localSheetId="8" hidden="1">{#N/A,#N/A,TRUE,"NAE";#N/A,#N/A,TRUE,"CR";#N/A,#N/A,TRUE,"CS";#N/A,#N/A,TRUE,"CC"}</definedName>
    <definedName name="_g545" hidden="1">{#N/A,#N/A,TRUE,"NAE";#N/A,#N/A,TRUE,"CR";#N/A,#N/A,TRUE,"CS";#N/A,#N/A,TRUE,"CC"}</definedName>
    <definedName name="_GAS1">#REF!</definedName>
    <definedName name="_HY67" localSheetId="8" hidden="1">{#N/A,#N/A,TRUE,"NAE";#N/A,#N/A,TRUE,"CR";#N/A,#N/A,TRUE,"CS";#N/A,#N/A,TRUE,"CC"}</definedName>
    <definedName name="_HY67" hidden="1">{#N/A,#N/A,TRUE,"NAE";#N/A,#N/A,TRUE,"CR";#N/A,#N/A,TRUE,"CS";#N/A,#N/A,TRUE,"CC"}</definedName>
    <definedName name="_ii8787" localSheetId="8" hidden="1">{#N/A,#N/A,TRUE,"NAE";#N/A,#N/A,TRUE,"CR";#N/A,#N/A,TRUE,"CS";#N/A,#N/A,TRUE,"CC"}</definedName>
    <definedName name="_ii8787" hidden="1">{#N/A,#N/A,TRUE,"NAE";#N/A,#N/A,TRUE,"CR";#N/A,#N/A,TRUE,"CS";#N/A,#N/A,TRUE,"CC"}</definedName>
    <definedName name="_INF1">#REF!</definedName>
    <definedName name="_JU76537" localSheetId="8" hidden="1">{#N/A,#N/A,TRUE,"NAE";#N/A,#N/A,TRUE,"CR";#N/A,#N/A,TRUE,"CS";#N/A,#N/A,TRUE,"CC"}</definedName>
    <definedName name="_JU76537" hidden="1">{#N/A,#N/A,TRUE,"NAE";#N/A,#N/A,TRUE,"CR";#N/A,#N/A,TRUE,"CS";#N/A,#N/A,TRUE,"CC"}</definedName>
    <definedName name="_Key1" hidden="1">#REF!</definedName>
    <definedName name="_Key2" hidden="1">#REF!</definedName>
    <definedName name="_KI5656" localSheetId="8" hidden="1">{#N/A,#N/A,TRUE,"NAE";#N/A,#N/A,TRUE,"CR";#N/A,#N/A,TRUE,"CS";#N/A,#N/A,TRUE,"CC"}</definedName>
    <definedName name="_KI5656" hidden="1">{#N/A,#N/A,TRUE,"NAE";#N/A,#N/A,TRUE,"CR";#N/A,#N/A,TRUE,"CS";#N/A,#N/A,TRUE,"CC"}</definedName>
    <definedName name="_ktr7" localSheetId="8" hidden="1">{#N/A,#N/A,TRUE,"NAE";#N/A,#N/A,TRUE,"CR";#N/A,#N/A,TRUE,"CS";#N/A,#N/A,TRUE,"CC"}</definedName>
    <definedName name="_ktr7" hidden="1">{#N/A,#N/A,TRUE,"NAE";#N/A,#N/A,TRUE,"CR";#N/A,#N/A,TRUE,"CS";#N/A,#N/A,TRUE,"CC"}</definedName>
    <definedName name="_MES1997">#REF!</definedName>
    <definedName name="_MO96">#REF!</definedName>
    <definedName name="_MOE1">#REF!</definedName>
    <definedName name="_MOF1">#REF!</definedName>
    <definedName name="_MOL3">#REF!</definedName>
    <definedName name="_MOL4">#REF!</definedName>
    <definedName name="_MOL5">#REF!</definedName>
    <definedName name="_MOL6">#REF!</definedName>
    <definedName name="_MOL7">#REF!</definedName>
    <definedName name="_MP96">#REF!</definedName>
    <definedName name="_NAL25">#REF!</definedName>
    <definedName name="_Order1" hidden="1">255</definedName>
    <definedName name="_Order2" hidden="1">0</definedName>
    <definedName name="_Parse_In" hidden="1">#REF!</definedName>
    <definedName name="_PYG3" localSheetId="8" hidden="1">{#N/A,#N/A,FALSE,"balance";#N/A,#N/A,FALSE,"PYG"}</definedName>
    <definedName name="_PYG3" hidden="1">{#N/A,#N/A,FALSE,"balance";#N/A,#N/A,FALSE,"PYG"}</definedName>
    <definedName name="_R4444" localSheetId="8" hidden="1">{#N/A,#N/A,TRUE,"NAE";#N/A,#N/A,TRUE,"CR";#N/A,#N/A,TRUE,"CS";#N/A,#N/A,TRUE,"CC"}</definedName>
    <definedName name="_R4444" hidden="1">{#N/A,#N/A,TRUE,"NAE";#N/A,#N/A,TRUE,"CR";#N/A,#N/A,TRUE,"CS";#N/A,#N/A,TRUE,"CC"}</definedName>
    <definedName name="_r7e56" localSheetId="8" hidden="1">{#N/A,#N/A,TRUE,"NAE";#N/A,#N/A,TRUE,"CR";#N/A,#N/A,TRUE,"CS";#N/A,#N/A,TRUE,"CC"}</definedName>
    <definedName name="_r7e56" hidden="1">{#N/A,#N/A,TRUE,"NAE";#N/A,#N/A,TRUE,"CR";#N/A,#N/A,TRUE,"CS";#N/A,#N/A,TRUE,"CC"}</definedName>
    <definedName name="_Regression_Int">1</definedName>
    <definedName name="_rku7" localSheetId="8" hidden="1">{#N/A,#N/A,TRUE,"NAE";#N/A,#N/A,TRUE,"CR";#N/A,#N/A,TRUE,"CS";#N/A,#N/A,TRUE,"CC"}</definedName>
    <definedName name="_rku7" hidden="1">{#N/A,#N/A,TRUE,"NAE";#N/A,#N/A,TRUE,"CR";#N/A,#N/A,TRUE,"CS";#N/A,#N/A,TRUE,"CC"}</definedName>
    <definedName name="_rti888" localSheetId="8" hidden="1">{#N/A,#N/A,TRUE,"NAE";#N/A,#N/A,TRUE,"CR";#N/A,#N/A,TRUE,"CS";#N/A,#N/A,TRUE,"CC"}</definedName>
    <definedName name="_rti888" hidden="1">{#N/A,#N/A,TRUE,"NAE";#N/A,#N/A,TRUE,"CR";#N/A,#N/A,TRUE,"CS";#N/A,#N/A,TRUE,"CC"}</definedName>
    <definedName name="_S334" localSheetId="8" hidden="1">{#N/A,#N/A,TRUE,"NAE";#N/A,#N/A,TRUE,"CR";#N/A,#N/A,TRUE,"CS";#N/A,#N/A,TRUE,"CC"}</definedName>
    <definedName name="_S334" hidden="1">{#N/A,#N/A,TRUE,"NAE";#N/A,#N/A,TRUE,"CR";#N/A,#N/A,TRUE,"CS";#N/A,#N/A,TRUE,"CC"}</definedName>
    <definedName name="_SD12" localSheetId="8" hidden="1">{#N/A,#N/A,TRUE,"NAE";#N/A,#N/A,TRUE,"CR";#N/A,#N/A,TRUE,"CS";#N/A,#N/A,TRUE,"CC"}</definedName>
    <definedName name="_SD12" hidden="1">{#N/A,#N/A,TRUE,"NAE";#N/A,#N/A,TRUE,"CR";#N/A,#N/A,TRUE,"CS";#N/A,#N/A,TRUE,"CC"}</definedName>
    <definedName name="_Sort" hidden="1">#REF!</definedName>
    <definedName name="_SRG6" localSheetId="8" hidden="1">{#N/A,#N/A,TRUE,"NAE";#N/A,#N/A,TRUE,"CR";#N/A,#N/A,TRUE,"CS";#N/A,#N/A,TRUE,"CC"}</definedName>
    <definedName name="_SRG6" hidden="1">{#N/A,#N/A,TRUE,"NAE";#N/A,#N/A,TRUE,"CR";#N/A,#N/A,TRUE,"CS";#N/A,#N/A,TRUE,"CC"}</definedName>
    <definedName name="_T55555" localSheetId="8" hidden="1">{#N/A,#N/A,TRUE,"NAE";#N/A,#N/A,TRUE,"CR";#N/A,#N/A,TRUE,"CS";#N/A,#N/A,TRUE,"CC"}</definedName>
    <definedName name="_T55555" hidden="1">{#N/A,#N/A,TRUE,"NAE";#N/A,#N/A,TRUE,"CR";#N/A,#N/A,TRUE,"CS";#N/A,#N/A,TRUE,"CC"}</definedName>
    <definedName name="_tyk767" localSheetId="8" hidden="1">{#N/A,#N/A,TRUE,"NAE";#N/A,#N/A,TRUE,"CR";#N/A,#N/A,TRUE,"CS";#N/A,#N/A,TRUE,"CC"}</definedName>
    <definedName name="_tyk767" hidden="1">{#N/A,#N/A,TRUE,"NAE";#N/A,#N/A,TRUE,"CR";#N/A,#N/A,TRUE,"CS";#N/A,#N/A,TRUE,"CC"}</definedName>
    <definedName name="_tyo8886" localSheetId="8" hidden="1">{#N/A,#N/A,TRUE,"NAE";#N/A,#N/A,TRUE,"CR";#N/A,#N/A,TRUE,"CS";#N/A,#N/A,TRUE,"CC"}</definedName>
    <definedName name="_tyo8886" hidden="1">{#N/A,#N/A,TRUE,"NAE";#N/A,#N/A,TRUE,"CR";#N/A,#N/A,TRUE,"CS";#N/A,#N/A,TRUE,"CC"}</definedName>
    <definedName name="_WHY6436" localSheetId="8" hidden="1">{#N/A,#N/A,TRUE,"NAE";#N/A,#N/A,TRUE,"CR";#N/A,#N/A,TRUE,"CS";#N/A,#N/A,TRUE,"CC"}</definedName>
    <definedName name="_WHY6436" hidden="1">{#N/A,#N/A,TRUE,"NAE";#N/A,#N/A,TRUE,"CR";#N/A,#N/A,TRUE,"CS";#N/A,#N/A,TRUE,"CC"}</definedName>
    <definedName name="_xlchart.v5.0" hidden="1">Gráficas!$B$30:$B$43</definedName>
    <definedName name="_xlchart.v5.1" hidden="1">Gráficas!$C$30:$C$43</definedName>
    <definedName name="_xlchart.v5.10" hidden="1">'Gráficas (Costo Arrastrado)'!$B$32:$B$46</definedName>
    <definedName name="_xlchart.v5.11" hidden="1">'Gráficas (Costo Arrastrado)'!$C$32:$C$46</definedName>
    <definedName name="_xlchart.v5.2" hidden="1">Gráficas!$B$58:$B$71</definedName>
    <definedName name="_xlchart.v5.3" hidden="1">Gráficas!$C$58:$C$71</definedName>
    <definedName name="_xlchart.v5.4" hidden="1">Gráficas!$B$81:$B$91</definedName>
    <definedName name="_xlchart.v5.5" hidden="1">Gráficas!$C$81:$C$91</definedName>
    <definedName name="_xlchart.v5.6" hidden="1">Gráficas!$B$3:$B$15</definedName>
    <definedName name="_xlchart.v5.7" hidden="1">Gráficas!$C$3:$C$15</definedName>
    <definedName name="_xlchart.v5.8" hidden="1">'Gráficas (Costo Arrastrado)'!$B$3:$B$16</definedName>
    <definedName name="_xlchart.v5.9" hidden="1">'Gráficas (Costo Arrastrado)'!$C$3:$C$16</definedName>
    <definedName name="a" localSheetId="8" hidden="1">{#N/A,#N/A,FALSE,"balance";#N/A,#N/A,FALSE,"PYG"}</definedName>
    <definedName name="a" hidden="1">{#N/A,#N/A,FALSE,"balance";#N/A,#N/A,FALSE,"PYG"}</definedName>
    <definedName name="A_impresión_IM">#REF!</definedName>
    <definedName name="A1_CVC">#REF!</definedName>
    <definedName name="A2_CVC">#REF!</definedName>
    <definedName name="A25NAL">#REF!</definedName>
    <definedName name="A42.5EXP">#REF!</definedName>
    <definedName name="A42.5KgRIO">#REF!</definedName>
    <definedName name="A42.5NAL">#REF!</definedName>
    <definedName name="A50KgV300">#REF!</definedName>
    <definedName name="A50NAL">#REF!</definedName>
    <definedName name="AAAAA" localSheetId="8" hidden="1">{#N/A,#N/A,FALSE,"balance";#N/A,#N/A,FALSE,"PYG"}</definedName>
    <definedName name="AAAAA" hidden="1">{#N/A,#N/A,FALSE,"balance";#N/A,#N/A,FALSE,"PYG"}</definedName>
    <definedName name="AACPM">#REF!</definedName>
    <definedName name="AACPM1">#REF!</definedName>
    <definedName name="AAD" localSheetId="8" hidden="1">{#N/A,#N/A,TRUE,"NAE";#N/A,#N/A,TRUE,"CR";#N/A,#N/A,TRUE,"CS";#N/A,#N/A,TRUE,"CC"}</definedName>
    <definedName name="AAD" hidden="1">{#N/A,#N/A,TRUE,"NAE";#N/A,#N/A,TRUE,"CR";#N/A,#N/A,TRUE,"CS";#N/A,#N/A,TRUE,"CC"}</definedName>
    <definedName name="AAGREC">#REF!</definedName>
    <definedName name="AALQUILER">#REF!</definedName>
    <definedName name="AALQYSTTO">#REF!</definedName>
    <definedName name="AAlqysttoprod">#REF!</definedName>
    <definedName name="AAPORTES">#REF!</definedName>
    <definedName name="AARRIEND">#REF!</definedName>
    <definedName name="AASS" localSheetId="8" hidden="1">{#N/A,#N/A,TRUE,"NAE";#N/A,#N/A,TRUE,"CR";#N/A,#N/A,TRUE,"CS";#N/A,#N/A,TRUE,"CC"}</definedName>
    <definedName name="AASS" hidden="1">{#N/A,#N/A,TRUE,"NAE";#N/A,#N/A,TRUE,"CR";#N/A,#N/A,TRUE,"CS";#N/A,#N/A,TRUE,"CC"}</definedName>
    <definedName name="AAZZ" localSheetId="8" hidden="1">{#N/A,#N/A,TRUE,"NAE";#N/A,#N/A,TRUE,"CR";#N/A,#N/A,TRUE,"CS";#N/A,#N/A,TRUE,"CC"}</definedName>
    <definedName name="AAZZ" hidden="1">{#N/A,#N/A,TRUE,"NAE";#N/A,#N/A,TRUE,"CR";#N/A,#N/A,TRUE,"CS";#N/A,#N/A,TRUE,"CC"}</definedName>
    <definedName name="ABAMP">#REF!</definedName>
    <definedName name="ABauxita">#REF!</definedName>
    <definedName name="ABauxita1">#REF!</definedName>
    <definedName name="ABFHTRHT888" localSheetId="8" hidden="1">{#N/A,#N/A,TRUE,"NAE";#N/A,#N/A,TRUE,"CR";#N/A,#N/A,TRUE,"CS";#N/A,#N/A,TRUE,"CC"}</definedName>
    <definedName name="ABFHTRHT888" hidden="1">{#N/A,#N/A,TRUE,"NAE";#N/A,#N/A,TRUE,"CR";#N/A,#N/A,TRUE,"CS";#N/A,#N/A,TRUE,"CC"}</definedName>
    <definedName name="ABIJAO">#REF!</definedName>
    <definedName name="ABIJAO1">#REF!</definedName>
    <definedName name="Abr_99">#REF!</definedName>
    <definedName name="ACadenas">#REF!</definedName>
    <definedName name="ACadenas1">#REF!</definedName>
    <definedName name="ACAL96">#REF!</definedName>
    <definedName name="ACALAGREC">#REF!</definedName>
    <definedName name="ACALDISGR">#REF!</definedName>
    <definedName name="ACALEMP">#REF!</definedName>
    <definedName name="ACALEMPEXP">#REF!</definedName>
    <definedName name="ACALEMPNAL">#REF!</definedName>
    <definedName name="ACALEND">#REF!</definedName>
    <definedName name="ACALGISLAS">#REF!</definedName>
    <definedName name="ACALGRAEXP">#REF!</definedName>
    <definedName name="ACALGRANAL">#REF!</definedName>
    <definedName name="ACALIZA">#REF!</definedName>
    <definedName name="ACALIZA1">#REF!</definedName>
    <definedName name="ACALIZACEMEXP">#REF!</definedName>
    <definedName name="ACALIZACEMNAL">#REF!</definedName>
    <definedName name="ACALIZACEMSAC">#REF!</definedName>
    <definedName name="ACALMAMP">#REF!</definedName>
    <definedName name="ACARTON">#REF!</definedName>
    <definedName name="ACARTON1">#REF!</definedName>
    <definedName name="ACBIJAO">#REF!</definedName>
    <definedName name="AccessDatabase">"D:\Planning &amp; QS\Planning\Progress Reports\Daily Progress Report\Physical Progress.mdb"</definedName>
    <definedName name="ACEM">#REF!</definedName>
    <definedName name="ACEM96">#REF!</definedName>
    <definedName name="ACEMEN">#REF!</definedName>
    <definedName name="ACEMEXP">#REF!</definedName>
    <definedName name="ACEMNAL">#REF!</definedName>
    <definedName name="ACEMS">#REF!</definedName>
    <definedName name="ACEMSACK">#REF!</definedName>
    <definedName name="ACH4BIJAO">#REF!</definedName>
    <definedName name="ACH4JAGUA">#REF!</definedName>
    <definedName name="ACH5BIJAO">#REF!</definedName>
    <definedName name="ACH5JAGUA">#REF!</definedName>
    <definedName name="ACH5PETCOKE">#REF!</definedName>
    <definedName name="ACH6BIJAO">#REF!</definedName>
    <definedName name="ACH6JAGUA">#REF!</definedName>
    <definedName name="ACH6PETCOKE">#REF!</definedName>
    <definedName name="ACH7BIJAO">#REF!</definedName>
    <definedName name="ACH7JAGUA">#REF!</definedName>
    <definedName name="ACH7PETCOKE">#REF!</definedName>
    <definedName name="ACHERCEMEXP">#REF!</definedName>
    <definedName name="ACHERCEMNAL">#REF!</definedName>
    <definedName name="ACHERDISG">#REF!</definedName>
    <definedName name="ACHEREMP">#REF!</definedName>
    <definedName name="ACHEREMPEXP">#REF!</definedName>
    <definedName name="ACHEREMPNAL">#REF!</definedName>
    <definedName name="ACHERGRAEXP">#REF!</definedName>
    <definedName name="ACHERGRANAL">#REF!</definedName>
    <definedName name="ACHERMAMP">#REF!</definedName>
    <definedName name="ACHERT">#REF!</definedName>
    <definedName name="ACHERT1">#REF!</definedName>
    <definedName name="ACJAGUA">#REF!</definedName>
    <definedName name="ACLIN">#REF!</definedName>
    <definedName name="ACLINCEM">#REF!</definedName>
    <definedName name="aclinexp_cemexp">#REF!</definedName>
    <definedName name="ACLINK">#REF!</definedName>
    <definedName name="ACLINK_CEMEXP">#REF!</definedName>
    <definedName name="ACLINK_CEMNAL">#REF!</definedName>
    <definedName name="ACLINK_EMPEXP">#REF!</definedName>
    <definedName name="ACLINK_GRAEXP">#REF!</definedName>
    <definedName name="ACLINK_GRANAL">#REF!</definedName>
    <definedName name="ACLINKAGREC">#REF!</definedName>
    <definedName name="ACLINKCEMSACK">#REF!</definedName>
    <definedName name="ACLINKCOMP">#REF!</definedName>
    <definedName name="ACLINKCOMP929">#REF!</definedName>
    <definedName name="ACLINKCOMP9291">#REF!</definedName>
    <definedName name="ACLINKDISG">#REF!</definedName>
    <definedName name="ACLINKEMEXP">#REF!</definedName>
    <definedName name="ACLINKEMNAL">#REF!</definedName>
    <definedName name="ACLINKEMP">#REF!</definedName>
    <definedName name="ACLINKETER">#REF!</definedName>
    <definedName name="ACLINKISLA">#REF!</definedName>
    <definedName name="ACLINKMAMP">#REF!</definedName>
    <definedName name="ACLINKUSA">#REF!</definedName>
    <definedName name="ACMOL">#REF!</definedName>
    <definedName name="acmol1">#REF!</definedName>
    <definedName name="ACOMBUST">#REF!</definedName>
    <definedName name="ACombustiblegal">#REF!</definedName>
    <definedName name="ACombustiblegal1">#REF!</definedName>
    <definedName name="ACOREGANAL">#REF!</definedName>
    <definedName name="ACPM">#REF!</definedName>
    <definedName name="ACPM1">#REF!</definedName>
    <definedName name="Actividad">#REF!</definedName>
    <definedName name="ACUM1_CVC">#REF!</definedName>
    <definedName name="ACUM2_CVC">#REF!</definedName>
    <definedName name="ACwvu.PRECIOS_MP." hidden="1">#REF!</definedName>
    <definedName name="adfadfklasdjflasd">#REF!</definedName>
    <definedName name="adfasd">#REF!</definedName>
    <definedName name="adfasdfasdf">#REF!</definedName>
    <definedName name="adfasdfasdfasdfsad">#REF!</definedName>
    <definedName name="adfasdfñakññfñfñ">#REF!</definedName>
    <definedName name="adfgknj" localSheetId="8" hidden="1">{#N/A,#N/A,TRUE,"NAE";#N/A,#N/A,TRUE,"CR";#N/A,#N/A,TRUE,"CS";#N/A,#N/A,TRUE,"CC"}</definedName>
    <definedName name="adfgknj" hidden="1">{#N/A,#N/A,TRUE,"NAE";#N/A,#N/A,TRUE,"CR";#N/A,#N/A,TRUE,"CS";#N/A,#N/A,TRUE,"CC"}</definedName>
    <definedName name="adfjañljfasl">#REF!</definedName>
    <definedName name="adfkaldfasd">#REF!</definedName>
    <definedName name="adfkaldjfalsd">#REF!</definedName>
    <definedName name="ADIC">#REF!</definedName>
    <definedName name="ADISG">#REF!</definedName>
    <definedName name="ADMCOM">#REF!</definedName>
    <definedName name="ADMFP">#REF!</definedName>
    <definedName name="AEHORNO3">#REF!</definedName>
    <definedName name="AEHORNO4">#REF!</definedName>
    <definedName name="AEHORNO5">#REF!</definedName>
    <definedName name="AEHORNO6">#REF!</definedName>
    <definedName name="AEHORNO7">#REF!</definedName>
    <definedName name="AEMOL3">#REF!</definedName>
    <definedName name="AEMP">#REF!</definedName>
    <definedName name="AEMPCEMS">#REF!</definedName>
    <definedName name="AEMPCEMS1">#REF!</definedName>
    <definedName name="AEMPEXP">#REF!</definedName>
    <definedName name="AEMPMAMP">#REF!</definedName>
    <definedName name="AEMPMAMP1">#REF!</definedName>
    <definedName name="AEMPMAMP50">#REF!</definedName>
    <definedName name="AEMPMAMP501">#REF!</definedName>
    <definedName name="AEMPNAL">#REF!</definedName>
    <definedName name="AENERG">#REF!</definedName>
    <definedName name="AENERG1">#REF!</definedName>
    <definedName name="AEnerggruas">#REF!</definedName>
    <definedName name="AEnergíam7">#REF!</definedName>
    <definedName name="AEnergm1">#REF!</definedName>
    <definedName name="AEnergm2">#REF!</definedName>
    <definedName name="AEnergm6">#REF!</definedName>
    <definedName name="AEnergotros">#REF!</definedName>
    <definedName name="AEPASTA1">#REF!</definedName>
    <definedName name="AEPASTA2">#REF!</definedName>
    <definedName name="AEPASTA3">#REF!</definedName>
    <definedName name="AEPASTA4">#REF!</definedName>
    <definedName name="AEPASTA5">#REF!</definedName>
    <definedName name="AEPASTA6">#REF!</definedName>
    <definedName name="AERGRE" localSheetId="8" hidden="1">{#N/A,#N/A,TRUE,"NAE";#N/A,#N/A,TRUE,"CR";#N/A,#N/A,TRUE,"CS";#N/A,#N/A,TRUE,"CC"}</definedName>
    <definedName name="AERGRE" hidden="1">{#N/A,#N/A,TRUE,"NAE";#N/A,#N/A,TRUE,"CR";#N/A,#N/A,TRUE,"CS";#N/A,#N/A,TRUE,"CC"}</definedName>
    <definedName name="AESC96">#REF!</definedName>
    <definedName name="AESCAGREC">#REF!</definedName>
    <definedName name="AESCCEMEXP">#REF!</definedName>
    <definedName name="AESCCEMNAL">#REF!</definedName>
    <definedName name="AESCCEMSACK">#REF!</definedName>
    <definedName name="AESCDIS">#REF!</definedName>
    <definedName name="AESCEMP">#REF!</definedName>
    <definedName name="AEsceternit">#REF!</definedName>
    <definedName name="AESCGRAEXP">#REF!</definedName>
    <definedName name="AESCGRANAL">#REF!</definedName>
    <definedName name="AESCISLAS">#REF!</definedName>
    <definedName name="AESCMAMP">#REF!</definedName>
    <definedName name="AESCOREEXP">#REF!</definedName>
    <definedName name="AESCORENAL">#REF!</definedName>
    <definedName name="AESCORIA">#REF!</definedName>
    <definedName name="AESCORIA1">#REF!</definedName>
    <definedName name="AESLINGAS">#REF!</definedName>
    <definedName name="AESLINGAS1">#REF!</definedName>
    <definedName name="aeslnuevo">#REF!</definedName>
    <definedName name="aesltradic">#REF!</definedName>
    <definedName name="AESTERIL">#REF!</definedName>
    <definedName name="AETERNIT">#REF!</definedName>
    <definedName name="AEXP42.5">#REF!</definedName>
    <definedName name="AEXP42.5N">#REF!</definedName>
    <definedName name="AEXP42.5NUEVO">#REF!</definedName>
    <definedName name="AEXP42.5TRADIC">#REF!</definedName>
    <definedName name="AF">#REF!</definedName>
    <definedName name="afd">#REF!</definedName>
    <definedName name="AFGRGER" localSheetId="8" hidden="1">{#N/A,#N/A,TRUE,"NAE";#N/A,#N/A,TRUE,"CR";#N/A,#N/A,TRUE,"CS";#N/A,#N/A,TRUE,"CC"}</definedName>
    <definedName name="AFGRGER" hidden="1">{#N/A,#N/A,TRUE,"NAE";#N/A,#N/A,TRUE,"CR";#N/A,#N/A,TRUE,"CS";#N/A,#N/A,TRUE,"CC"}</definedName>
    <definedName name="AFUNDAS0.0025">#REF!</definedName>
    <definedName name="AFUNDAS0.00251">#REF!</definedName>
    <definedName name="AFUNDAS1.0">#REF!</definedName>
    <definedName name="AFUNDAS1.01">#REF!</definedName>
    <definedName name="AGAS">#REF!</definedName>
    <definedName name="AGAS1">#REF!</definedName>
    <definedName name="AGASH3">#REF!</definedName>
    <definedName name="AGASH4">#REF!</definedName>
    <definedName name="AGASH5">#REF!</definedName>
    <definedName name="AGASH6">#REF!</definedName>
    <definedName name="AGASH7">#REF!</definedName>
    <definedName name="AGISLAS">#REF!</definedName>
    <definedName name="AGRAEXP">#REF!</definedName>
    <definedName name="AGRANAL">#REF!</definedName>
    <definedName name="AGRECON">#REF!</definedName>
    <definedName name="AGUSA">#REF!</definedName>
    <definedName name="AH3GAS">#REF!</definedName>
    <definedName name="AH4GAS">#REF!</definedName>
    <definedName name="AH5GAS">#REF!</definedName>
    <definedName name="AH6GAS">#REF!</definedName>
    <definedName name="AH7GAS">#REF!</definedName>
    <definedName name="AHEA2SPECIAL">#REF!</definedName>
    <definedName name="AHEA2SPECIAL1">#REF!</definedName>
    <definedName name="AHOM">#REF!</definedName>
    <definedName name="AHOMOG">#REF!</definedName>
    <definedName name="AHORNO3">#REF!</definedName>
    <definedName name="AHORNO4">#REF!</definedName>
    <definedName name="AHORNO5">#REF!</definedName>
    <definedName name="AHORNO6">#REF!</definedName>
    <definedName name="AHORNO7">#REF!</definedName>
    <definedName name="AJAGUA">#REF!</definedName>
    <definedName name="AJAGUA1">#REF!</definedName>
    <definedName name="AJAGUAH4">#REF!</definedName>
    <definedName name="AJAGUAH5">#REF!</definedName>
    <definedName name="AJAGUAH6">#REF!</definedName>
    <definedName name="AJAGUAH7">#REF!</definedName>
    <definedName name="ALAMINA">#REF!</definedName>
    <definedName name="ALAMINA1">#REF!</definedName>
    <definedName name="ALMAC">#REF!</definedName>
    <definedName name="ALQYSTTO">#REF!</definedName>
    <definedName name="ALrefractario">#REF!</definedName>
    <definedName name="ALrefractario1">#REF!</definedName>
    <definedName name="Alternativa_Lote">#REF!</definedName>
    <definedName name="ALUBR1">#REF!</definedName>
    <definedName name="ALUBRICANT">#REF!</definedName>
    <definedName name="ALUBRICANTES">#REF!</definedName>
    <definedName name="AMAM42.5">#REF!</definedName>
    <definedName name="AMAMP">#REF!</definedName>
    <definedName name="AMAMP50">#REF!</definedName>
    <definedName name="AMartillos">#REF!</definedName>
    <definedName name="AMartillos1">#REF!</definedName>
    <definedName name="AMINFe">#REF!</definedName>
    <definedName name="AMINFe1">#REF!</definedName>
    <definedName name="AMMTO">#REF!</definedName>
    <definedName name="AMOE">#REF!</definedName>
    <definedName name="AMOE1">#REF!</definedName>
    <definedName name="AMOF">#REF!</definedName>
    <definedName name="AMOF1">#REF!</definedName>
    <definedName name="AMOL3">#REF!</definedName>
    <definedName name="AMOL4">#REF!</definedName>
    <definedName name="AMOL5">#REF!</definedName>
    <definedName name="AMOL6">#REF!</definedName>
    <definedName name="AMOL7">#REF!</definedName>
    <definedName name="AMOLCOMB">#REF!</definedName>
    <definedName name="Amolino1">#REF!</definedName>
    <definedName name="Amolino2">#REF!</definedName>
    <definedName name="Amolino6">#REF!</definedName>
    <definedName name="Amolino7">#REF!</definedName>
    <definedName name="Amortizaciones_Gradiente">#REF!</definedName>
    <definedName name="AMTTO">#REF!</definedName>
    <definedName name="ANAL25">#REF!</definedName>
    <definedName name="ANAL42.5">#REF!</definedName>
    <definedName name="ANAL50">#REF!</definedName>
    <definedName name="ANAL50KLS">#REF!</definedName>
    <definedName name="anex" localSheetId="8" hidden="1">{#N/A,#N/A,FALSE,"balance";#N/A,#N/A,FALSE,"PYG"}</definedName>
    <definedName name="anex" hidden="1">{#N/A,#N/A,FALSE,"balance";#N/A,#N/A,FALSE,"PYG"}</definedName>
    <definedName name="ANEXO9" localSheetId="8" hidden="1">{#N/A,#N/A,FALSE,"balance";#N/A,#N/A,FALSE,"PYG"}</definedName>
    <definedName name="ANEXO9" hidden="1">{#N/A,#N/A,FALSE,"balance";#N/A,#N/A,FALSE,"PYG"}</definedName>
    <definedName name="anscount">1</definedName>
    <definedName name="ANSUF">#REF!</definedName>
    <definedName name="año">#REF!</definedName>
    <definedName name="Año_Inicio_Amort">#REF!</definedName>
    <definedName name="Año_Inicio_Ventas">#REF!</definedName>
    <definedName name="Año_Ventas_linea1">#REF!</definedName>
    <definedName name="Año_Ventas_linea2">#REF!</definedName>
    <definedName name="AOREGANAL">#REF!</definedName>
    <definedName name="AOREGANAL1">#REF!</definedName>
    <definedName name="APACPM">#REF!</definedName>
    <definedName name="APASCLIN">#REF!</definedName>
    <definedName name="APAST">#REF!</definedName>
    <definedName name="APASTA">#REF!</definedName>
    <definedName name="APASTA_CLINK">#REF!</definedName>
    <definedName name="APASTA1">#REF!</definedName>
    <definedName name="APASTA2">#REF!</definedName>
    <definedName name="APASTA3">#REF!</definedName>
    <definedName name="APASTA4">#REF!</definedName>
    <definedName name="APASTA5">#REF!</definedName>
    <definedName name="APASTA6">#REF!</definedName>
    <definedName name="APCLIEXT">#REF!</definedName>
    <definedName name="APCLIEXT1">#REF!</definedName>
    <definedName name="APCLIN_CEM">#REF!</definedName>
    <definedName name="APCPM">#REF!</definedName>
    <definedName name="APETCOKE">#REF!</definedName>
    <definedName name="APETCOKE1">#REF!</definedName>
    <definedName name="APETCOKEH6">#REF!</definedName>
    <definedName name="APHORNO3">#REF!</definedName>
    <definedName name="APHORNO4">#REF!</definedName>
    <definedName name="APHORNO5">#REF!</definedName>
    <definedName name="APHORNO6">#REF!</definedName>
    <definedName name="APHORNO7">#REF!</definedName>
    <definedName name="Aplicacion">#REF!</definedName>
    <definedName name="APMOE1">#REF!</definedName>
    <definedName name="APMOF">#REF!</definedName>
    <definedName name="APMOF1">#REF!</definedName>
    <definedName name="APOLV96">#REF!</definedName>
    <definedName name="APOLVEXP">#REF!</definedName>
    <definedName name="APOLVILLO">#REF!</definedName>
    <definedName name="APOLVILLO1">#REF!</definedName>
    <definedName name="APOLVNAL">#REF!</definedName>
    <definedName name="APORCEMPNAL">#REF!</definedName>
    <definedName name="Aporte_Mina">#REF!</definedName>
    <definedName name="APORTES">#REF!</definedName>
    <definedName name="APUZZ96">#REF!</definedName>
    <definedName name="AQAQAQ" localSheetId="8" hidden="1">{#N/A,#N/A,TRUE,"NAE";#N/A,#N/A,TRUE,"CR";#N/A,#N/A,TRUE,"CS";#N/A,#N/A,TRUE,"CC"}</definedName>
    <definedName name="AQAQAQ" hidden="1">{#N/A,#N/A,TRUE,"NAE";#N/A,#N/A,TRUE,"CR";#N/A,#N/A,TRUE,"CS";#N/A,#N/A,TRUE,"CC"}</definedName>
    <definedName name="Arancel">#REF!</definedName>
    <definedName name="Arcilla_1">#REF!</definedName>
    <definedName name="Arcilla_4">#REF!</definedName>
    <definedName name="Arcilla_5">#REF!</definedName>
    <definedName name="Arcilla_6">#REF!</definedName>
    <definedName name="Area">#REF!</definedName>
    <definedName name="AreaCom" localSheetId="8" hidden="1">{"'RDOJTP'!$A$108:$AG$123"}</definedName>
    <definedName name="AreaCom" hidden="1">{"'RDOJTP'!$A$108:$AG$123"}</definedName>
    <definedName name="AREAS">#REF!</definedName>
    <definedName name="AREGCALIZ">#REF!</definedName>
    <definedName name="AREPUESTOS">#REF!</definedName>
    <definedName name="Arevestim">#REF!</definedName>
    <definedName name="arevmetal">#REF!</definedName>
    <definedName name="arevmetal1">#REF!</definedName>
    <definedName name="arggdnhj" localSheetId="8" hidden="1">{#N/A,#N/A,TRUE,"NAE";#N/A,#N/A,TRUE,"CR";#N/A,#N/A,TRUE,"CS";#N/A,#N/A,TRUE,"CC"}</definedName>
    <definedName name="arggdnhj" hidden="1">{#N/A,#N/A,TRUE,"NAE";#N/A,#N/A,TRUE,"CR";#N/A,#N/A,TRUE,"CS";#N/A,#N/A,TRUE,"CC"}</definedName>
    <definedName name="ARMANEJO">#REF!</definedName>
    <definedName name="ARMOE1">#REF!</definedName>
    <definedName name="AROLLO">#REF!</definedName>
    <definedName name="AROLLO1">#REF!</definedName>
    <definedName name="ARRIENDOS">#REF!</definedName>
    <definedName name="ARSTTO">#REF!</definedName>
    <definedName name="ARTRANSP">#REF!</definedName>
    <definedName name="ASDF454" localSheetId="8" hidden="1">{#N/A,#N/A,TRUE,"NAE";#N/A,#N/A,TRUE,"CR";#N/A,#N/A,TRUE,"CS";#N/A,#N/A,TRUE,"CC"}</definedName>
    <definedName name="ASDF454" hidden="1">{#N/A,#N/A,TRUE,"NAE";#N/A,#N/A,TRUE,"CR";#N/A,#N/A,TRUE,"CS";#N/A,#N/A,TRUE,"CC"}</definedName>
    <definedName name="ASDFSADV" localSheetId="8" hidden="1">{#N/A,#N/A,TRUE,"NAE";#N/A,#N/A,TRUE,"CR";#N/A,#N/A,TRUE,"CS";#N/A,#N/A,TRUE,"CC"}</definedName>
    <definedName name="ASDFSADV" hidden="1">{#N/A,#N/A,TRUE,"NAE";#N/A,#N/A,TRUE,"CR";#N/A,#N/A,TRUE,"CS";#N/A,#N/A,TRUE,"CC"}</definedName>
    <definedName name="asdgh" localSheetId="8" hidden="1">{#N/A,#N/A,TRUE,"NAE";#N/A,#N/A,TRUE,"CR";#N/A,#N/A,TRUE,"CS";#N/A,#N/A,TRUE,"CC"}</definedName>
    <definedName name="asdgh" hidden="1">{#N/A,#N/A,TRUE,"NAE";#N/A,#N/A,TRUE,"CR";#N/A,#N/A,TRUE,"CS";#N/A,#N/A,TRUE,"CC"}</definedName>
    <definedName name="ASDNIR99" localSheetId="8" hidden="1">{#N/A,#N/A,TRUE,"NAE";#N/A,#N/A,TRUE,"CR";#N/A,#N/A,TRUE,"CS";#N/A,#N/A,TRUE,"CC"}</definedName>
    <definedName name="ASDNIR99" hidden="1">{#N/A,#N/A,TRUE,"NAE";#N/A,#N/A,TRUE,"CR";#N/A,#N/A,TRUE,"CS";#N/A,#N/A,TRUE,"CC"}</definedName>
    <definedName name="asflad">#REF!</definedName>
    <definedName name="ASFTE65" localSheetId="8" hidden="1">{#N/A,#N/A,TRUE,"NAE";#N/A,#N/A,TRUE,"CR";#N/A,#N/A,TRUE,"CS";#N/A,#N/A,TRUE,"CC"}</definedName>
    <definedName name="ASFTE65" hidden="1">{#N/A,#N/A,TRUE,"NAE";#N/A,#N/A,TRUE,"CR";#N/A,#N/A,TRUE,"CS";#N/A,#N/A,TRUE,"CC"}</definedName>
    <definedName name="ASGRTR6453" localSheetId="8" hidden="1">{#N/A,#N/A,TRUE,"NAE";#N/A,#N/A,TRUE,"CR";#N/A,#N/A,TRUE,"CS";#N/A,#N/A,TRUE,"CC"}</definedName>
    <definedName name="ASGRTR6453" hidden="1">{#N/A,#N/A,TRUE,"NAE";#N/A,#N/A,TRUE,"CR";#N/A,#N/A,TRUE,"CS";#N/A,#N/A,TRUE,"CC"}</definedName>
    <definedName name="ASGWET8" localSheetId="8" hidden="1">{#N/A,#N/A,TRUE,"NAE";#N/A,#N/A,TRUE,"CR";#N/A,#N/A,TRUE,"CS";#N/A,#N/A,TRUE,"CC"}</definedName>
    <definedName name="ASGWET8" hidden="1">{#N/A,#N/A,TRUE,"NAE";#N/A,#N/A,TRUE,"CR";#N/A,#N/A,TRUE,"CS";#N/A,#N/A,TRUE,"CC"}</definedName>
    <definedName name="ASITEC">#REF!</definedName>
    <definedName name="ASÑIGJRE8" localSheetId="8" hidden="1">{#N/A,#N/A,TRUE,"NAE";#N/A,#N/A,TRUE,"CR";#N/A,#N/A,TRUE,"CS";#N/A,#N/A,TRUE,"CC"}</definedName>
    <definedName name="ASÑIGJRE8" hidden="1">{#N/A,#N/A,TRUE,"NAE";#N/A,#N/A,TRUE,"CR";#N/A,#N/A,TRUE,"CS";#N/A,#N/A,TRUE,"CC"}</definedName>
    <definedName name="ASTEC">#REF!</definedName>
    <definedName name="AStto_prod">#REF!</definedName>
    <definedName name="ASTTOX3os">#REF!</definedName>
    <definedName name="ATOTAL">#REF!</definedName>
    <definedName name="ATOTYES96">#REF!</definedName>
    <definedName name="ATOTYESO">#REF!</definedName>
    <definedName name="ATRANSESCOR">#REF!</definedName>
    <definedName name="ATRANSOTROS">#REF!</definedName>
    <definedName name="ATRANSP">#REF!</definedName>
    <definedName name="ATRANSP1">#REF!</definedName>
    <definedName name="ATRANSPPOLV">#REF!</definedName>
    <definedName name="ATRANSYESO">#REF!</definedName>
    <definedName name="ATRIT">#REF!</definedName>
    <definedName name="ATRITURACION">#REF!</definedName>
    <definedName name="ATTOX3os">#REF!</definedName>
    <definedName name="AV200251kg">#REF!</definedName>
    <definedName name="AV20025kg">#REF!</definedName>
    <definedName name="AV200501kg">#REF!</definedName>
    <definedName name="AV20050kg">#REF!</definedName>
    <definedName name="AV30042.5">#REF!</definedName>
    <definedName name="AV30042.51">#REF!</definedName>
    <definedName name="AV30042.51kg">#REF!</definedName>
    <definedName name="AV30042.5kg">#REF!</definedName>
    <definedName name="AV30050RIO">#REF!</definedName>
    <definedName name="AV30050RIO1">#REF!</definedName>
    <definedName name="AV40042.5">#REF!</definedName>
    <definedName name="AV40042.51">#REF!</definedName>
    <definedName name="AV40042.51kg">#REF!</definedName>
    <definedName name="AV40042.51SAkg">#REF!</definedName>
    <definedName name="AV40042.5kg">#REF!</definedName>
    <definedName name="AV40042.5SAkg">#REF!</definedName>
    <definedName name="AYESOIMP">#REF!</definedName>
    <definedName name="AYESOIMP1">#REF!</definedName>
    <definedName name="AYESOMON">#REF!</definedName>
    <definedName name="AYESOMON1">#REF!</definedName>
    <definedName name="AYIMP">#REF!</definedName>
    <definedName name="AYIMP1">#REF!</definedName>
    <definedName name="AYIMPAGREC">#REF!</definedName>
    <definedName name="AYIMPCEMEXP">#REF!</definedName>
    <definedName name="AYIMPCEMNAL">#REF!</definedName>
    <definedName name="AYIMPCEMSACK">#REF!</definedName>
    <definedName name="AYIMPDISGR">#REF!</definedName>
    <definedName name="AYIMPEMEXP">#REF!</definedName>
    <definedName name="AYIMPEMNAL">#REF!</definedName>
    <definedName name="AYIMPEMP">#REF!</definedName>
    <definedName name="AYIMPETERNIT">#REF!</definedName>
    <definedName name="AYIMPGISLAS">#REF!</definedName>
    <definedName name="AYIMPGRAEXP">#REF!</definedName>
    <definedName name="AYIMPGRANAL">#REF!</definedName>
    <definedName name="AYIMPMAMP">#REF!</definedName>
    <definedName name="AYIMPUSA">#REF!</definedName>
    <definedName name="AYNAL">#REF!</definedName>
    <definedName name="AYNAL1">#REF!</definedName>
    <definedName name="AYNALAGREC">#REF!</definedName>
    <definedName name="AYNALCEMEXP">#REF!</definedName>
    <definedName name="AYNALCEMNAL">#REF!</definedName>
    <definedName name="AYNALCEMSACK">#REF!</definedName>
    <definedName name="AYNALDISGR">#REF!</definedName>
    <definedName name="AYNALEMEXP">#REF!</definedName>
    <definedName name="AYNALEMNAL">#REF!</definedName>
    <definedName name="AYNALEMP">#REF!</definedName>
    <definedName name="AYNALETERNIT">#REF!</definedName>
    <definedName name="AYNALGISLAS">#REF!</definedName>
    <definedName name="AYNALGRAEXP">#REF!</definedName>
    <definedName name="AYNALGRANAL">#REF!</definedName>
    <definedName name="AYNALMAMP">#REF!</definedName>
    <definedName name="b" localSheetId="8" hidden="1">{#N/A,#N/A,FALSE,"balance";#N/A,#N/A,FALSE,"PYG"}</definedName>
    <definedName name="b" hidden="1">{#N/A,#N/A,FALSE,"balance";#N/A,#N/A,FALSE,"PYG"}</definedName>
    <definedName name="b_CajaF">#REF!</definedName>
    <definedName name="b_Capex_ad">#REF!</definedName>
    <definedName name="b_entAnt">#REF!</definedName>
    <definedName name="b_escP">#REF!</definedName>
    <definedName name="Bauxita">#REF!</definedName>
    <definedName name="Bauxita1">#REF!</definedName>
    <definedName name="bbb" localSheetId="8" hidden="1">{#N/A,#N/A,TRUE,"NAE";#N/A,#N/A,TRUE,"CR";#N/A,#N/A,TRUE,"CS";#N/A,#N/A,TRUE,"CC"}</definedName>
    <definedName name="bbb" hidden="1">{#N/A,#N/A,TRUE,"NAE";#N/A,#N/A,TRUE,"CR";#N/A,#N/A,TRUE,"CS";#N/A,#N/A,TRUE,"CC"}</definedName>
    <definedName name="bbbbb" localSheetId="8" hidden="1">{#N/A,#N/A,TRUE,"NAE";#N/A,#N/A,TRUE,"CR";#N/A,#N/A,TRUE,"CS";#N/A,#N/A,TRUE,"CC"}</definedName>
    <definedName name="bbbbb" hidden="1">{#N/A,#N/A,TRUE,"NAE";#N/A,#N/A,TRUE,"CR";#N/A,#N/A,TRUE,"CS";#N/A,#N/A,TRUE,"CC"}</definedName>
    <definedName name="BBNN" localSheetId="8" hidden="1">{#N/A,#N/A,TRUE,"NAE";#N/A,#N/A,TRUE,"CR";#N/A,#N/A,TRUE,"CS";#N/A,#N/A,TRUE,"CC"}</definedName>
    <definedName name="BBNN" hidden="1">{#N/A,#N/A,TRUE,"NAE";#N/A,#N/A,TRUE,"CR";#N/A,#N/A,TRUE,"CS";#N/A,#N/A,TRUE,"CC"}</definedName>
    <definedName name="BBVV" localSheetId="8" hidden="1">{#N/A,#N/A,TRUE,"NAE";#N/A,#N/A,TRUE,"CR";#N/A,#N/A,TRUE,"CS";#N/A,#N/A,TRUE,"CC"}</definedName>
    <definedName name="BBVV" hidden="1">{#N/A,#N/A,TRUE,"NAE";#N/A,#N/A,TRUE,"CR";#N/A,#N/A,TRUE,"CS";#N/A,#N/A,TRUE,"CC"}</definedName>
    <definedName name="bf" localSheetId="8" hidden="1">{#N/A,#N/A,TRUE,"NAE";#N/A,#N/A,TRUE,"CR";#N/A,#N/A,TRUE,"CS";#N/A,#N/A,TRUE,"CC"}</definedName>
    <definedName name="bf" hidden="1">{#N/A,#N/A,TRUE,"NAE";#N/A,#N/A,TRUE,"CR";#N/A,#N/A,TRUE,"CS";#N/A,#N/A,TRUE,"CC"}</definedName>
    <definedName name="BGBGBGB" localSheetId="8" hidden="1">{#N/A,#N/A,TRUE,"NAE";#N/A,#N/A,TRUE,"CR";#N/A,#N/A,TRUE,"CS";#N/A,#N/A,TRUE,"CC"}</definedName>
    <definedName name="BGBGBGB" hidden="1">{#N/A,#N/A,TRUE,"NAE";#N/A,#N/A,TRUE,"CR";#N/A,#N/A,TRUE,"CS";#N/A,#N/A,TRUE,"CC"}</definedName>
    <definedName name="BIJAO">#REF!</definedName>
    <definedName name="BIJAO1">#REF!</definedName>
    <definedName name="boton_arancel">#REF!</definedName>
    <definedName name="boton_deudaMina">#REF!</definedName>
    <definedName name="boton_deudaNC1">#REF!</definedName>
    <definedName name="boton_Gastos">#REF!</definedName>
    <definedName name="boton_IVA_imp">#REF!</definedName>
    <definedName name="boton_IVA_nal">#REF!</definedName>
    <definedName name="boton_SM_Lote">#REF!</definedName>
    <definedName name="boton_tDeuda">#REF!</definedName>
    <definedName name="boton_ZF">#REF!</definedName>
    <definedName name="Cadenas">#REF!</definedName>
    <definedName name="Cadenas1">#REF!</definedName>
    <definedName name="CAFFRANBGT887" localSheetId="8" hidden="1">{#N/A,#N/A,TRUE,"NAE";#N/A,#N/A,TRUE,"CR";#N/A,#N/A,TRUE,"CS";#N/A,#N/A,TRUE,"CC"}</definedName>
    <definedName name="CAFFRANBGT887" hidden="1">{#N/A,#N/A,TRUE,"NAE";#N/A,#N/A,TRUE,"CR";#N/A,#N/A,TRUE,"CS";#N/A,#N/A,TRUE,"CC"}</definedName>
    <definedName name="CALEMPEXP">#REF!</definedName>
    <definedName name="CALEMPNAL">#REF!</definedName>
    <definedName name="CALENDARIO">#REF!</definedName>
    <definedName name="CALGRAEXP">#REF!</definedName>
    <definedName name="CALGRANAL">#REF!</definedName>
    <definedName name="CALIZA">#REF!</definedName>
    <definedName name="Caliza_1">#REF!</definedName>
    <definedName name="Caliza_4">#REF!</definedName>
    <definedName name="Caliza_5">#REF!</definedName>
    <definedName name="Caliza_6">#REF!</definedName>
    <definedName name="CALIZAAGRECON">#REF!</definedName>
    <definedName name="CALIZACEMEXP">#REF!</definedName>
    <definedName name="CALIZACEMNAL">#REF!</definedName>
    <definedName name="CALIZACEMSAC">#REF!</definedName>
    <definedName name="CALIZADISGRAN">#REF!</definedName>
    <definedName name="CALIZAEMP">#REF!</definedName>
    <definedName name="CALIZAISLAS">#REF!</definedName>
    <definedName name="CALIZAMAMP">#REF!</definedName>
    <definedName name="Capacidad_Total">#REF!</definedName>
    <definedName name="CAPETCOKE">#REF!</definedName>
    <definedName name="CAPEX_Molins">#REF!</definedName>
    <definedName name="Capex2_1">#REF!</definedName>
    <definedName name="Capex2_2">#REF!</definedName>
    <definedName name="Capex2_3">#REF!</definedName>
    <definedName name="cargar_logísticos">#REF!</definedName>
    <definedName name="cargar_ventas">#REF!</definedName>
    <definedName name="CARTON">#REF!</definedName>
    <definedName name="CARTON1">#REF!</definedName>
    <definedName name="causamin">#REF!</definedName>
    <definedName name="cbcbc" localSheetId="8" hidden="1">{#N/A,#N/A,TRUE,"NAE";#N/A,#N/A,TRUE,"CR";#N/A,#N/A,TRUE,"CS";#N/A,#N/A,TRUE,"CC"}</definedName>
    <definedName name="cbcbc" hidden="1">{#N/A,#N/A,TRUE,"NAE";#N/A,#N/A,TRUE,"CR";#N/A,#N/A,TRUE,"CS";#N/A,#N/A,TRUE,"CC"}</definedName>
    <definedName name="CBIJAO">#REF!</definedName>
    <definedName name="CBIJAO1">#REF!</definedName>
    <definedName name="ccc" localSheetId="8" hidden="1">{"'RDOJTP'!$A$108:$AG$123"}</definedName>
    <definedName name="ccc" hidden="1">{"'RDOJTP'!$A$108:$AG$123"}</definedName>
    <definedName name="cccc" localSheetId="8" hidden="1">{#N/A,#N/A,TRUE,"NAE";#N/A,#N/A,TRUE,"CR";#N/A,#N/A,TRUE,"CS";#N/A,#N/A,TRUE,"CC"}</definedName>
    <definedName name="cccc" hidden="1">{#N/A,#N/A,TRUE,"NAE";#N/A,#N/A,TRUE,"CR";#N/A,#N/A,TRUE,"CS";#N/A,#N/A,TRUE,"CC"}</definedName>
    <definedName name="ccccc" localSheetId="8" hidden="1">{#N/A,#N/A,TRUE,"NAE";#N/A,#N/A,TRUE,"CR";#N/A,#N/A,TRUE,"CS";#N/A,#N/A,TRUE,"CC"}</definedName>
    <definedName name="ccccc" hidden="1">{#N/A,#N/A,TRUE,"NAE";#N/A,#N/A,TRUE,"CR";#N/A,#N/A,TRUE,"CS";#N/A,#N/A,TRUE,"CC"}</definedName>
    <definedName name="CCVV" localSheetId="8" hidden="1">{#N/A,#N/A,TRUE,"NAE";#N/A,#N/A,TRUE,"CR";#N/A,#N/A,TRUE,"CS";#N/A,#N/A,TRUE,"CC"}</definedName>
    <definedName name="CCVV" hidden="1">{#N/A,#N/A,TRUE,"NAE";#N/A,#N/A,TRUE,"CR";#N/A,#N/A,TRUE,"CS";#N/A,#N/A,TRUE,"CC"}</definedName>
    <definedName name="cd" localSheetId="8" hidden="1">{#N/A,#N/A,TRUE,"NAE";#N/A,#N/A,TRUE,"CR";#N/A,#N/A,TRUE,"CS";#N/A,#N/A,TRUE,"CC"}</definedName>
    <definedName name="cd" hidden="1">{#N/A,#N/A,TRUE,"NAE";#N/A,#N/A,TRUE,"CR";#N/A,#N/A,TRUE,"CS";#N/A,#N/A,TRUE,"CC"}</definedName>
    <definedName name="CE" localSheetId="8" hidden="1">{"'RDOJTP'!$A$108:$AG$123"}</definedName>
    <definedName name="CE" hidden="1">{"'RDOJTP'!$A$108:$AG$123"}</definedName>
    <definedName name="CEM">#REF!</definedName>
    <definedName name="CEMEN">#REF!</definedName>
    <definedName name="Cemento">#REF!</definedName>
    <definedName name="CEMEXP">#REF!</definedName>
    <definedName name="CEMNAL">#REF!</definedName>
    <definedName name="CEMOSA" localSheetId="8" hidden="1">{"'RDOJTP'!$A$108:$AG$123"}</definedName>
    <definedName name="CEMOSA" hidden="1">{"'RDOJTP'!$A$108:$AG$123"}</definedName>
    <definedName name="CEMOSA3" localSheetId="8" hidden="1">{"'RDOJTP'!$A$108:$AG$123"}</definedName>
    <definedName name="CEMOSA3" hidden="1">{"'RDOJTP'!$A$108:$AG$123"}</definedName>
    <definedName name="CEMSACK">#REF!</definedName>
    <definedName name="CEMSACKS">#REF!</definedName>
    <definedName name="CH4BIJAO">#REF!</definedName>
    <definedName name="CH4JAGUA">#REF!</definedName>
    <definedName name="CH5BIJAO">#REF!</definedName>
    <definedName name="CH5JAGUA">#REF!</definedName>
    <definedName name="CH5PETCOKE">#REF!</definedName>
    <definedName name="CH6BIJAO">#REF!</definedName>
    <definedName name="CH6JAGUA">#REF!</definedName>
    <definedName name="CH6PETCOKE">#REF!</definedName>
    <definedName name="CH7BIJAO">#REF!</definedName>
    <definedName name="CH7JAGUA">#REF!</definedName>
    <definedName name="CH7PETCOKE">#REF!</definedName>
    <definedName name="CHERCEMEXP">#REF!</definedName>
    <definedName name="CHERCEMNAL">#REF!</definedName>
    <definedName name="CHERDISG">#REF!</definedName>
    <definedName name="CHEREMP">#REF!</definedName>
    <definedName name="CHEREMPEXP">#REF!</definedName>
    <definedName name="CHEREMPNAL">#REF!</definedName>
    <definedName name="CHERGRAEXP">#REF!</definedName>
    <definedName name="CHERGRANAL">#REF!</definedName>
    <definedName name="CHERMAMP">#REF!</definedName>
    <definedName name="CHERT">#REF!</definedName>
    <definedName name="CHERT1">#REF!</definedName>
    <definedName name="CIUDAD">#REF!</definedName>
    <definedName name="CIVIL">#REF!</definedName>
    <definedName name="CJAGUA">#REF!</definedName>
    <definedName name="CJAGUA1">#REF!</definedName>
    <definedName name="CLIEXT">#REF!</definedName>
    <definedName name="CLIEXT1">#REF!</definedName>
    <definedName name="cliker_iacol">#REF!</definedName>
    <definedName name="CLIN">#REF!</definedName>
    <definedName name="CLINCEM">#REF!</definedName>
    <definedName name="clinexp_cemexp">#REF!</definedName>
    <definedName name="CLINK">#REF!</definedName>
    <definedName name="CLINK_CEMEXP">#REF!</definedName>
    <definedName name="CLINK_CEMNAL">#REF!</definedName>
    <definedName name="CLINK_CTO">#REF!</definedName>
    <definedName name="CLINK_EMPEXP">#REF!</definedName>
    <definedName name="CLINK_GRAEXP">#REF!</definedName>
    <definedName name="CLINK_GRANAL">#REF!</definedName>
    <definedName name="CLINKAGREC">#REF!</definedName>
    <definedName name="CLINKCEMSACK">#REF!</definedName>
    <definedName name="CLINKCOMP929">#REF!</definedName>
    <definedName name="CLINKCOMP9291">#REF!</definedName>
    <definedName name="CLINKCOPM1">#REF!</definedName>
    <definedName name="CLINKDISG">#REF!</definedName>
    <definedName name="CLINKEMEXP">#REF!</definedName>
    <definedName name="CLINKEMNAL">#REF!</definedName>
    <definedName name="CLINKEMP">#REF!</definedName>
    <definedName name="CLINKER">#REF!</definedName>
    <definedName name="Clinkerext">#REF!</definedName>
    <definedName name="Clinkernal">#REF!</definedName>
    <definedName name="CLINKETER">#REF!</definedName>
    <definedName name="CLINKISLA">#REF!</definedName>
    <definedName name="CLINKMAMP">#REF!</definedName>
    <definedName name="CLINKUSA">#REF!</definedName>
    <definedName name="CM">#REF!</definedName>
    <definedName name="cmol">#REF!</definedName>
    <definedName name="cmol1">#REF!</definedName>
    <definedName name="Comb">#REF!</definedName>
    <definedName name="COMB96">#REF!</definedName>
    <definedName name="COMBUST">#REF!</definedName>
    <definedName name="Combustiblegal">#REF!</definedName>
    <definedName name="Combustiblegal1">#REF!</definedName>
    <definedName name="COMCORP">#REF!</definedName>
    <definedName name="comer_iacol">#REF!</definedName>
    <definedName name="Comision_BancoBog">#REF!</definedName>
    <definedName name="COMP">#REF!</definedName>
    <definedName name="COMPR">#REF!</definedName>
    <definedName name="Consumoclinkext">#REF!</definedName>
    <definedName name="Consumoemp">#REF!</definedName>
    <definedName name="CONTAB">#REF!</definedName>
    <definedName name="Contratistas">#REF!</definedName>
    <definedName name="COREGANAL">#REF!</definedName>
    <definedName name="costo_entrenamiento">#REF!</definedName>
    <definedName name="Costo_Hr_Contratista">#REF!</definedName>
    <definedName name="COSTOS_PROD">#REF!</definedName>
    <definedName name="CP">#REF!</definedName>
    <definedName name="CPETCOKE">#REF!</definedName>
    <definedName name="CPETCOKE1">#REF!</definedName>
    <definedName name="CPRAS">#REF!</definedName>
    <definedName name="CR" localSheetId="8" hidden="1">{#N/A,#N/A,TRUE,"NAE";#N/A,#N/A,TRUE,"CR";#N/A,#N/A,TRUE,"CS";#N/A,#N/A,TRUE,"CC"}</definedName>
    <definedName name="CR" hidden="1">{#N/A,#N/A,TRUE,"NAE";#N/A,#N/A,TRUE,"CR";#N/A,#N/A,TRUE,"CS";#N/A,#N/A,TRUE,"CC"}</definedName>
    <definedName name="CREE">#REF!</definedName>
    <definedName name="csd" localSheetId="8" hidden="1">{#N/A,#N/A,TRUE,"NAE";#N/A,#N/A,TRUE,"CR";#N/A,#N/A,TRUE,"CS";#N/A,#N/A,TRUE,"CC"}</definedName>
    <definedName name="csd" hidden="1">{#N/A,#N/A,TRUE,"NAE";#N/A,#N/A,TRUE,"CR";#N/A,#N/A,TRUE,"CS";#N/A,#N/A,TRUE,"CC"}</definedName>
    <definedName name="CTRCAL">#REF!</definedName>
    <definedName name="dd" localSheetId="8" hidden="1">{#N/A,#N/A,FALSE,"balance";#N/A,#N/A,FALSE,"PYG"}</definedName>
    <definedName name="dd" hidden="1">{#N/A,#N/A,FALSE,"balance";#N/A,#N/A,FALSE,"PYG"}</definedName>
    <definedName name="DDDD" localSheetId="8" hidden="1">{#N/A,#N/A,TRUE,"NAE";#N/A,#N/A,TRUE,"CR";#N/A,#N/A,TRUE,"CS";#N/A,#N/A,TRUE,"CC"}</definedName>
    <definedName name="DDDD" hidden="1">{#N/A,#N/A,TRUE,"NAE";#N/A,#N/A,TRUE,"CR";#N/A,#N/A,TRUE,"CS";#N/A,#N/A,TRUE,"CC"}</definedName>
    <definedName name="dddddddd" localSheetId="8" hidden="1">{#N/A,#N/A,TRUE,"NAE";#N/A,#N/A,TRUE,"CR";#N/A,#N/A,TRUE,"CS";#N/A,#N/A,TRUE,"CC"}</definedName>
    <definedName name="dddddddd" hidden="1">{#N/A,#N/A,TRUE,"NAE";#N/A,#N/A,TRUE,"CR";#N/A,#N/A,TRUE,"CS";#N/A,#N/A,TRUE,"CC"}</definedName>
    <definedName name="DDFF" localSheetId="8" hidden="1">{#N/A,#N/A,TRUE,"NAE";#N/A,#N/A,TRUE,"CR";#N/A,#N/A,TRUE,"CS";#N/A,#N/A,TRUE,"CC"}</definedName>
    <definedName name="DDFF" hidden="1">{#N/A,#N/A,TRUE,"NAE";#N/A,#N/A,TRUE,"CR";#N/A,#N/A,TRUE,"CS";#N/A,#N/A,TRUE,"CC"}</definedName>
    <definedName name="ddr" localSheetId="8" hidden="1">{#N/A,#N/A,FALSE,"balance";#N/A,#N/A,FALSE,"PYG"}</definedName>
    <definedName name="ddr" hidden="1">{#N/A,#N/A,FALSE,"balance";#N/A,#N/A,FALSE,"PYG"}</definedName>
    <definedName name="DDSS" localSheetId="8" hidden="1">{#N/A,#N/A,TRUE,"NAE";#N/A,#N/A,TRUE,"CR";#N/A,#N/A,TRUE,"CS";#N/A,#N/A,TRUE,"CC"}</definedName>
    <definedName name="DDSS" hidden="1">{#N/A,#N/A,TRUE,"NAE";#N/A,#N/A,TRUE,"CR";#N/A,#N/A,TRUE,"CS";#N/A,#N/A,TRUE,"CC"}</definedName>
    <definedName name="de" localSheetId="8" hidden="1">{#N/A,#N/A,TRUE,"NAE";#N/A,#N/A,TRUE,"CR";#N/A,#N/A,TRUE,"CS";#N/A,#N/A,TRUE,"CC"}</definedName>
    <definedName name="de">{#N/A,#N/A,TRUE,"NAE";#N/A,#N/A,TRUE,"CR";#N/A,#N/A,TRUE,"CS";#N/A,#N/A,TRUE,"CC"}</definedName>
    <definedName name="DEDEDEDED" localSheetId="8" hidden="1">{#N/A,#N/A,TRUE,"NAE";#N/A,#N/A,TRUE,"CR";#N/A,#N/A,TRUE,"CS";#N/A,#N/A,TRUE,"CC"}</definedName>
    <definedName name="DEDEDEDED" hidden="1">{#N/A,#N/A,TRUE,"NAE";#N/A,#N/A,TRUE,"CR";#N/A,#N/A,TRUE,"CS";#N/A,#N/A,TRUE,"CC"}</definedName>
    <definedName name="dehertrejy" localSheetId="8" hidden="1">{#N/A,#N/A,TRUE,"NAE";#N/A,#N/A,TRUE,"CR";#N/A,#N/A,TRUE,"CS";#N/A,#N/A,TRUE,"CC"}</definedName>
    <definedName name="dehertrejy" hidden="1">{#N/A,#N/A,TRUE,"NAE";#N/A,#N/A,TRUE,"CR";#N/A,#N/A,TRUE,"CS";#N/A,#N/A,TRUE,"CC"}</definedName>
    <definedName name="Despachos">#REF!</definedName>
    <definedName name="Deuda_Corona">#REF!</definedName>
    <definedName name="DEUDORES" localSheetId="8" hidden="1">{#N/A,#N/A,FALSE,"ERG-OL";#N/A,#N/A,FALSE,"ERGxUF";#N/A,#N/A,FALSE,"ERG-SL";#N/A,#N/A,FALSE,"ERG-AV"}</definedName>
    <definedName name="DEUDORES" hidden="1">{#N/A,#N/A,FALSE,"ERG-OL";#N/A,#N/A,FALSE,"ERGxUF";#N/A,#N/A,FALSE,"ERG-SL";#N/A,#N/A,FALSE,"ERG-AV"}</definedName>
    <definedName name="deyur7t8" localSheetId="8" hidden="1">{#N/A,#N/A,TRUE,"NAE";#N/A,#N/A,TRUE,"CR";#N/A,#N/A,TRUE,"CS";#N/A,#N/A,TRUE,"CC"}</definedName>
    <definedName name="deyur7t8" hidden="1">{#N/A,#N/A,TRUE,"NAE";#N/A,#N/A,TRUE,"CR";#N/A,#N/A,TRUE,"CS";#N/A,#N/A,TRUE,"CC"}</definedName>
    <definedName name="dfg" localSheetId="8" hidden="1">{#N/A,#N/A,FALSE,"balance";#N/A,#N/A,FALSE,"PYG"}</definedName>
    <definedName name="dfg" hidden="1">{#N/A,#N/A,FALSE,"balance";#N/A,#N/A,FALSE,"PYG"}</definedName>
    <definedName name="dfghdtjuy8989" localSheetId="8" hidden="1">{#N/A,#N/A,TRUE,"NAE";#N/A,#N/A,TRUE,"CR";#N/A,#N/A,TRUE,"CS";#N/A,#N/A,TRUE,"CC"}</definedName>
    <definedName name="dfghdtjuy8989" hidden="1">{#N/A,#N/A,TRUE,"NAE";#N/A,#N/A,TRUE,"CR";#N/A,#N/A,TRUE,"CS";#N/A,#N/A,TRUE,"CC"}</definedName>
    <definedName name="dfher76" localSheetId="8" hidden="1">{#N/A,#N/A,TRUE,"NAE";#N/A,#N/A,TRUE,"CR";#N/A,#N/A,TRUE,"CS";#N/A,#N/A,TRUE,"CC"}</definedName>
    <definedName name="dfher76" hidden="1">{#N/A,#N/A,TRUE,"NAE";#N/A,#N/A,TRUE,"CR";#N/A,#N/A,TRUE,"CS";#N/A,#N/A,TRUE,"CC"}</definedName>
    <definedName name="dfjfyu677" localSheetId="8" hidden="1">{#N/A,#N/A,TRUE,"NAE";#N/A,#N/A,TRUE,"CR";#N/A,#N/A,TRUE,"CS";#N/A,#N/A,TRUE,"CC"}</definedName>
    <definedName name="dfjfyu677" hidden="1">{#N/A,#N/A,TRUE,"NAE";#N/A,#N/A,TRUE,"CR";#N/A,#N/A,TRUE,"CS";#N/A,#N/A,TRUE,"CC"}</definedName>
    <definedName name="dghjfuju" localSheetId="8" hidden="1">{#N/A,#N/A,TRUE,"NAE";#N/A,#N/A,TRUE,"CR";#N/A,#N/A,TRUE,"CS";#N/A,#N/A,TRUE,"CC"}</definedName>
    <definedName name="dghjfuju" hidden="1">{#N/A,#N/A,TRUE,"NAE";#N/A,#N/A,TRUE,"CR";#N/A,#N/A,TRUE,"CS";#N/A,#N/A,TRUE,"CC"}</definedName>
    <definedName name="DGHMDMYT" localSheetId="8" hidden="1">{#N/A,#N/A,TRUE,"NAE";#N/A,#N/A,TRUE,"CR";#N/A,#N/A,TRUE,"CS";#N/A,#N/A,TRUE,"CC"}</definedName>
    <definedName name="DGHMDMYT" hidden="1">{#N/A,#N/A,TRUE,"NAE";#N/A,#N/A,TRUE,"CR";#N/A,#N/A,TRUE,"CS";#N/A,#N/A,TRUE,"CC"}</definedName>
    <definedName name="DHFMYTYH" localSheetId="8" hidden="1">{#N/A,#N/A,TRUE,"NAE";#N/A,#N/A,TRUE,"CR";#N/A,#N/A,TRUE,"CS";#N/A,#N/A,TRUE,"CC"}</definedName>
    <definedName name="DHFMYTYH" hidden="1">{#N/A,#N/A,TRUE,"NAE";#N/A,#N/A,TRUE,"CR";#N/A,#N/A,TRUE,"CS";#N/A,#N/A,TRUE,"CC"}</definedName>
    <definedName name="dhjutj" localSheetId="8" hidden="1">{#N/A,#N/A,TRUE,"NAE";#N/A,#N/A,TRUE,"CR";#N/A,#N/A,TRUE,"CS";#N/A,#N/A,TRUE,"CC"}</definedName>
    <definedName name="dhjutj" hidden="1">{#N/A,#N/A,TRUE,"NAE";#N/A,#N/A,TRUE,"CR";#N/A,#N/A,TRUE,"CS";#N/A,#N/A,TRUE,"CC"}</definedName>
    <definedName name="dias_CxC_Clinker">#REF!</definedName>
    <definedName name="dias_cxc_eco">#REF!</definedName>
    <definedName name="dias_cxc_granel">#REF!</definedName>
    <definedName name="dias_cxc_iacol">#REF!</definedName>
    <definedName name="dias_cxc_sacos">#REF!</definedName>
    <definedName name="Dias_hornos">#REF!</definedName>
    <definedName name="Dic_99">#REF!</definedName>
    <definedName name="DIRPN">#REF!</definedName>
    <definedName name="DISCEM">#REF!</definedName>
    <definedName name="Disciplina">#REF!</definedName>
    <definedName name="DISCIPLINAS" localSheetId="8">{"PRO";"MEC";"ELE";"INS";"TUB";"CIV";"PCI";"TLC";"ING"}</definedName>
    <definedName name="DISCIPLINAS">{"PRO";"MEC";"ELE";"INS";"TUB";"CIV";"PCI";"TLC";"ING"}</definedName>
    <definedName name="DISCIPLINAS_1" localSheetId="8">{"PRO";"MEC";"ELE";"INS";"TUB";"CIV";"PCI";"TLC";"ING"}</definedName>
    <definedName name="DISCIPLINAS_1">{"PRO";"MEC";"ELE";"INS";"TUB";"CIV";"PCI";"TLC";"ING"}</definedName>
    <definedName name="DISGRANEL">#REF!</definedName>
    <definedName name="DISTCEM">#REF!</definedName>
    <definedName name="djmufk" localSheetId="8" hidden="1">{#N/A,#N/A,TRUE,"NAE";#N/A,#N/A,TRUE,"CR";#N/A,#N/A,TRUE,"CS";#N/A,#N/A,TRUE,"CC"}</definedName>
    <definedName name="djmufk" hidden="1">{#N/A,#N/A,TRUE,"NAE";#N/A,#N/A,TRUE,"CR";#N/A,#N/A,TRUE,"CS";#N/A,#N/A,TRUE,"CC"}</definedName>
    <definedName name="DMIN">#REF!</definedName>
    <definedName name="dr" localSheetId="8" hidden="1">{#N/A,#N/A,TRUE,"NAE";#N/A,#N/A,TRUE,"CR";#N/A,#N/A,TRUE,"CS";#N/A,#N/A,TRUE,"CC"}</definedName>
    <definedName name="dr" hidden="1">{#N/A,#N/A,TRUE,"NAE";#N/A,#N/A,TRUE,"CR";#N/A,#N/A,TRUE,"CS";#N/A,#N/A,TRUE,"CC"}</definedName>
    <definedName name="dsajmjhh" localSheetId="8" hidden="1">{#N/A,#N/A,TRUE,"NAE";#N/A,#N/A,TRUE,"CR";#N/A,#N/A,TRUE,"CS";#N/A,#N/A,TRUE,"CC"}</definedName>
    <definedName name="dsajmjhh" hidden="1">{#N/A,#N/A,TRUE,"NAE";#N/A,#N/A,TRUE,"CR";#N/A,#N/A,TRUE,"CS";#N/A,#N/A,TRUE,"CC"}</definedName>
    <definedName name="Dscto_IVA">#REF!</definedName>
    <definedName name="dsdgfdhhj" localSheetId="8" hidden="1">{#N/A,#N/A,TRUE,"NAE";#N/A,#N/A,TRUE,"CR";#N/A,#N/A,TRUE,"CS";#N/A,#N/A,TRUE,"CC"}</definedName>
    <definedName name="dsdgfdhhj" hidden="1">{#N/A,#N/A,TRUE,"NAE";#N/A,#N/A,TRUE,"CR";#N/A,#N/A,TRUE,"CS";#N/A,#N/A,TRUE,"CC"}</definedName>
    <definedName name="dshtruyt67556" localSheetId="8" hidden="1">{#N/A,#N/A,TRUE,"NAE";#N/A,#N/A,TRUE,"CR";#N/A,#N/A,TRUE,"CS";#N/A,#N/A,TRUE,"CC"}</definedName>
    <definedName name="dshtruyt67556" hidden="1">{#N/A,#N/A,TRUE,"NAE";#N/A,#N/A,TRUE,"CR";#N/A,#N/A,TRUE,"CS";#N/A,#N/A,TRUE,"CC"}</definedName>
    <definedName name="DUTKI" localSheetId="8" hidden="1">{#N/A,#N/A,TRUE,"NAE";#N/A,#N/A,TRUE,"CR";#N/A,#N/A,TRUE,"CS";#N/A,#N/A,TRUE,"CC"}</definedName>
    <definedName name="DUTKI" hidden="1">{#N/A,#N/A,TRUE,"NAE";#N/A,#N/A,TRUE,"CR";#N/A,#N/A,TRUE,"CS";#N/A,#N/A,TRUE,"CC"}</definedName>
    <definedName name="E0012EE661PMDG000100">#REF!</definedName>
    <definedName name="e46y4" localSheetId="8" hidden="1">{#N/A,#N/A,TRUE,"NAE";#N/A,#N/A,TRUE,"CR";#N/A,#N/A,TRUE,"CS";#N/A,#N/A,TRUE,"CC"}</definedName>
    <definedName name="e46y4" hidden="1">{#N/A,#N/A,TRUE,"NAE";#N/A,#N/A,TRUE,"CR";#N/A,#N/A,TRUE,"CS";#N/A,#N/A,TRUE,"CC"}</definedName>
    <definedName name="eaergth" localSheetId="8" hidden="1">{#N/A,#N/A,TRUE,"NAE";#N/A,#N/A,TRUE,"CR";#N/A,#N/A,TRUE,"CS";#N/A,#N/A,TRUE,"CC"}</definedName>
    <definedName name="eaergth" hidden="1">{#N/A,#N/A,TRUE,"NAE";#N/A,#N/A,TRUE,"CR";#N/A,#N/A,TRUE,"CS";#N/A,#N/A,TRUE,"CC"}</definedName>
    <definedName name="EDS">#REF!</definedName>
    <definedName name="ee" localSheetId="8" hidden="1">{#N/A,#N/A,FALSE,"balance";#N/A,#N/A,FALSE,"PYG"}</definedName>
    <definedName name="ee" hidden="1">{#N/A,#N/A,FALSE,"balance";#N/A,#N/A,FALSE,"PYG"}</definedName>
    <definedName name="EEDD" localSheetId="8" hidden="1">{#N/A,#N/A,TRUE,"NAE";#N/A,#N/A,TRUE,"CR";#N/A,#N/A,TRUE,"CS";#N/A,#N/A,TRUE,"CC"}</definedName>
    <definedName name="EEDD" hidden="1">{#N/A,#N/A,TRUE,"NAE";#N/A,#N/A,TRUE,"CR";#N/A,#N/A,TRUE,"CS";#N/A,#N/A,TRUE,"CC"}</definedName>
    <definedName name="eeee" localSheetId="8" hidden="1">{#N/A,#N/A,TRUE,"NAE";#N/A,#N/A,TRUE,"CR";#N/A,#N/A,TRUE,"CS";#N/A,#N/A,TRUE,"CC"}</definedName>
    <definedName name="eeee" hidden="1">{#N/A,#N/A,TRUE,"NAE";#N/A,#N/A,TRUE,"CR";#N/A,#N/A,TRUE,"CS";#N/A,#N/A,TRUE,"CC"}</definedName>
    <definedName name="eeeeeee" localSheetId="8" hidden="1">{#N/A,#N/A,TRUE,"NAE";#N/A,#N/A,TRUE,"CR";#N/A,#N/A,TRUE,"CS";#N/A,#N/A,TRUE,"CC"}</definedName>
    <definedName name="eeeeeee" hidden="1">{#N/A,#N/A,TRUE,"NAE";#N/A,#N/A,TRUE,"CR";#N/A,#N/A,TRUE,"CS";#N/A,#N/A,TRUE,"CC"}</definedName>
    <definedName name="EFEFEF" localSheetId="8" hidden="1">{#N/A,#N/A,TRUE,"NAE";#N/A,#N/A,TRUE,"CR";#N/A,#N/A,TRUE,"CS";#N/A,#N/A,TRUE,"CC"}</definedName>
    <definedName name="EFEFEF" hidden="1">{#N/A,#N/A,TRUE,"NAE";#N/A,#N/A,TRUE,"CR";#N/A,#N/A,TRUE,"CS";#N/A,#N/A,TRUE,"CC"}</definedName>
    <definedName name="efff">#REF!</definedName>
    <definedName name="EHORNO3">#REF!</definedName>
    <definedName name="EHORNO4">#REF!</definedName>
    <definedName name="EHORNO5">#REF!</definedName>
    <definedName name="EHORNO6">#REF!</definedName>
    <definedName name="EHORNO7">#REF!</definedName>
    <definedName name="ekjtrjhg" localSheetId="8" hidden="1">{#N/A,#N/A,TRUE,"NAE";#N/A,#N/A,TRUE,"CR";#N/A,#N/A,TRUE,"CS";#N/A,#N/A,TRUE,"CC"}</definedName>
    <definedName name="ekjtrjhg" hidden="1">{#N/A,#N/A,TRUE,"NAE";#N/A,#N/A,TRUE,"CR";#N/A,#N/A,TRUE,"CS";#N/A,#N/A,TRUE,"CC"}</definedName>
    <definedName name="EMOL3">#REF!</definedName>
    <definedName name="EMPACADO">#REF!</definedName>
    <definedName name="EMPAQ">#REF!</definedName>
    <definedName name="EMPCEMS">#REF!</definedName>
    <definedName name="EMPCEMS1">#REF!</definedName>
    <definedName name="EMPEXP">#REF!</definedName>
    <definedName name="EMPMAMP">#REF!</definedName>
    <definedName name="EMPMAMP1">#REF!</definedName>
    <definedName name="EMPMAMP50">#REF!</definedName>
    <definedName name="EMPMAMP501">#REF!</definedName>
    <definedName name="EMPNAL">#REF!</definedName>
    <definedName name="ENE" localSheetId="8" hidden="1">{"'RDOJTP'!$A$108:$AG$123"}</definedName>
    <definedName name="ENE" hidden="1">{"'RDOJTP'!$A$108:$AG$123"}</definedName>
    <definedName name="Ene_99">#REF!</definedName>
    <definedName name="ENERG96">#REF!</definedName>
    <definedName name="Energgruas">#REF!</definedName>
    <definedName name="ENERGIA">#REF!</definedName>
    <definedName name="ENERGÍA">#REF!</definedName>
    <definedName name="ENERGIA_410">#REF!</definedName>
    <definedName name="ENERGIA1">#REF!</definedName>
    <definedName name="ENERGÍA1">#REF!</definedName>
    <definedName name="Energíam7">#REF!</definedName>
    <definedName name="Energm1">#REF!</definedName>
    <definedName name="Energm2">#REF!</definedName>
    <definedName name="Energm6">#REF!</definedName>
    <definedName name="Energotros">#REF!</definedName>
    <definedName name="ENERO">#REF!</definedName>
    <definedName name="Entradaclinkext">#REF!</definedName>
    <definedName name="EPASTA1">#REF!</definedName>
    <definedName name="EPASTA2">#REF!</definedName>
    <definedName name="EPASTA3">#REF!</definedName>
    <definedName name="EPASTA4">#REF!</definedName>
    <definedName name="EPASTA5">#REF!</definedName>
    <definedName name="EPASTA6">#REF!</definedName>
    <definedName name="EQMPS">#REF!</definedName>
    <definedName name="er" localSheetId="8" hidden="1">{#N/A,#N/A,FALSE,"balance";#N/A,#N/A,FALSE,"PYG"}</definedName>
    <definedName name="er" hidden="1">{#N/A,#N/A,FALSE,"balance";#N/A,#N/A,FALSE,"PYG"}</definedName>
    <definedName name="ER6U65" localSheetId="8" hidden="1">{#N/A,#N/A,TRUE,"NAE";#N/A,#N/A,TRUE,"CR";#N/A,#N/A,TRUE,"CS";#N/A,#N/A,TRUE,"CC"}</definedName>
    <definedName name="ER6U65" hidden="1">{#N/A,#N/A,TRUE,"NAE";#N/A,#N/A,TRUE,"CR";#N/A,#N/A,TRUE,"CS";#N/A,#N/A,TRUE,"CC"}</definedName>
    <definedName name="ERAGET" localSheetId="8" hidden="1">{#N/A,#N/A,TRUE,"NAE";#N/A,#N/A,TRUE,"CR";#N/A,#N/A,TRUE,"CS";#N/A,#N/A,TRUE,"CC"}</definedName>
    <definedName name="ERAGET" hidden="1">{#N/A,#N/A,TRUE,"NAE";#N/A,#N/A,TRUE,"CR";#N/A,#N/A,TRUE,"CS";#N/A,#N/A,TRUE,"CC"}</definedName>
    <definedName name="ERGT" localSheetId="8" hidden="1">{#N/A,#N/A,TRUE,"NAE";#N/A,#N/A,TRUE,"CR";#N/A,#N/A,TRUE,"CS";#N/A,#N/A,TRUE,"CC"}</definedName>
    <definedName name="ERGT" hidden="1">{#N/A,#N/A,TRUE,"NAE";#N/A,#N/A,TRUE,"CR";#N/A,#N/A,TRUE,"CS";#N/A,#N/A,TRUE,"CC"}</definedName>
    <definedName name="ERGTEH" localSheetId="8" hidden="1">{#N/A,#N/A,TRUE,"NAE";#N/A,#N/A,TRUE,"CR";#N/A,#N/A,TRUE,"CS";#N/A,#N/A,TRUE,"CC"}</definedName>
    <definedName name="ERGTEH" hidden="1">{#N/A,#N/A,TRUE,"NAE";#N/A,#N/A,TRUE,"CR";#N/A,#N/A,TRUE,"CS";#N/A,#N/A,TRUE,"CC"}</definedName>
    <definedName name="ERHTRH" localSheetId="8" hidden="1">{#N/A,#N/A,TRUE,"NAE";#N/A,#N/A,TRUE,"CR";#N/A,#N/A,TRUE,"CS";#N/A,#N/A,TRUE,"CC"}</definedName>
    <definedName name="ERHTRH" hidden="1">{#N/A,#N/A,TRUE,"NAE";#N/A,#N/A,TRUE,"CR";#N/A,#N/A,TRUE,"CS";#N/A,#N/A,TRUE,"CC"}</definedName>
    <definedName name="ERJIY" localSheetId="8" hidden="1">{#N/A,#N/A,TRUE,"NAE";#N/A,#N/A,TRUE,"CR";#N/A,#N/A,TRUE,"CS";#N/A,#N/A,TRUE,"CC"}</definedName>
    <definedName name="ERJIY" hidden="1">{#N/A,#N/A,TRUE,"NAE";#N/A,#N/A,TRUE,"CR";#N/A,#N/A,TRUE,"CS";#N/A,#N/A,TRUE,"CC"}</definedName>
    <definedName name="ERJYEJY" localSheetId="8" hidden="1">{#N/A,#N/A,TRUE,"NAE";#N/A,#N/A,TRUE,"CR";#N/A,#N/A,TRUE,"CS";#N/A,#N/A,TRUE,"CC"}</definedName>
    <definedName name="ERJYEJY" hidden="1">{#N/A,#N/A,TRUE,"NAE";#N/A,#N/A,TRUE,"CR";#N/A,#N/A,TRUE,"CS";#N/A,#N/A,TRUE,"CC"}</definedName>
    <definedName name="erjyt77" localSheetId="8" hidden="1">{#N/A,#N/A,TRUE,"NAE";#N/A,#N/A,TRUE,"CR";#N/A,#N/A,TRUE,"CS";#N/A,#N/A,TRUE,"CC"}</definedName>
    <definedName name="erjyt77" hidden="1">{#N/A,#N/A,TRUE,"NAE";#N/A,#N/A,TRUE,"CR";#N/A,#N/A,TRUE,"CS";#N/A,#N/A,TRUE,"CC"}</definedName>
    <definedName name="ERJYYJY" localSheetId="8" hidden="1">{#N/A,#N/A,TRUE,"NAE";#N/A,#N/A,TRUE,"CR";#N/A,#N/A,TRUE,"CS";#N/A,#N/A,TRUE,"CC"}</definedName>
    <definedName name="ERJYYJY" hidden="1">{#N/A,#N/A,TRUE,"NAE";#N/A,#N/A,TRUE,"CR";#N/A,#N/A,TRUE,"CS";#N/A,#N/A,TRUE,"CC"}</definedName>
    <definedName name="ERMGTR98" localSheetId="8" hidden="1">{#N/A,#N/A,TRUE,"NAE";#N/A,#N/A,TRUE,"CR";#N/A,#N/A,TRUE,"CS";#N/A,#N/A,TRUE,"CC"}</definedName>
    <definedName name="ERMGTR98" hidden="1">{#N/A,#N/A,TRUE,"NAE";#N/A,#N/A,TRUE,"CR";#N/A,#N/A,TRUE,"CS";#N/A,#N/A,TRUE,"CC"}</definedName>
    <definedName name="ert" localSheetId="8" hidden="1">{#N/A,#N/A,FALSE,"balance";#N/A,#N/A,FALSE,"PYG"}</definedName>
    <definedName name="ert" hidden="1">{#N/A,#N/A,FALSE,"balance";#N/A,#N/A,FALSE,"PYG"}</definedName>
    <definedName name="ertthyj" localSheetId="8" hidden="1">{#N/A,#N/A,TRUE,"NAE";#N/A,#N/A,TRUE,"CR";#N/A,#N/A,TRUE,"CS";#N/A,#N/A,TRUE,"CC"}</definedName>
    <definedName name="ertthyj" hidden="1">{#N/A,#N/A,TRUE,"NAE";#N/A,#N/A,TRUE,"CR";#N/A,#N/A,TRUE,"CS";#N/A,#N/A,TRUE,"CC"}</definedName>
    <definedName name="ERTYREUYY" localSheetId="8" hidden="1">{#N/A,#N/A,TRUE,"NAE";#N/A,#N/A,TRUE,"CR";#N/A,#N/A,TRUE,"CS";#N/A,#N/A,TRUE,"CC"}</definedName>
    <definedName name="ERTYREUYY" hidden="1">{#N/A,#N/A,TRUE,"NAE";#N/A,#N/A,TRUE,"CR";#N/A,#N/A,TRUE,"CS";#N/A,#N/A,TRUE,"CC"}</definedName>
    <definedName name="ertyutr688" localSheetId="8" hidden="1">{#N/A,#N/A,TRUE,"NAE";#N/A,#N/A,TRUE,"CR";#N/A,#N/A,TRUE,"CS";#N/A,#N/A,TRUE,"CC"}</definedName>
    <definedName name="ertyutr688" hidden="1">{#N/A,#N/A,TRUE,"NAE";#N/A,#N/A,TRUE,"CR";#N/A,#N/A,TRUE,"CS";#N/A,#N/A,TRUE,"CC"}</definedName>
    <definedName name="erureuy" localSheetId="8" hidden="1">{#N/A,#N/A,TRUE,"NAE";#N/A,#N/A,TRUE,"CR";#N/A,#N/A,TRUE,"CS";#N/A,#N/A,TRUE,"CC"}</definedName>
    <definedName name="erureuy" hidden="1">{#N/A,#N/A,TRUE,"NAE";#N/A,#N/A,TRUE,"CR";#N/A,#N/A,TRUE,"CS";#N/A,#N/A,TRUE,"CC"}</definedName>
    <definedName name="eryhjyej" localSheetId="8" hidden="1">{#N/A,#N/A,TRUE,"NAE";#N/A,#N/A,TRUE,"CR";#N/A,#N/A,TRUE,"CS";#N/A,#N/A,TRUE,"CC"}</definedName>
    <definedName name="eryhjyej" hidden="1">{#N/A,#N/A,TRUE,"NAE";#N/A,#N/A,TRUE,"CR";#N/A,#N/A,TRUE,"CS";#N/A,#N/A,TRUE,"CC"}</definedName>
    <definedName name="eryjy" localSheetId="8" hidden="1">{#N/A,#N/A,TRUE,"NAE";#N/A,#N/A,TRUE,"CR";#N/A,#N/A,TRUE,"CS";#N/A,#N/A,TRUE,"CC"}</definedName>
    <definedName name="eryjy" hidden="1">{#N/A,#N/A,TRUE,"NAE";#N/A,#N/A,TRUE,"CR";#N/A,#N/A,TRUE,"CS";#N/A,#N/A,TRUE,"CC"}</definedName>
    <definedName name="ERYTRETYTR" localSheetId="8" hidden="1">{#N/A,#N/A,TRUE,"NAE";#N/A,#N/A,TRUE,"CR";#N/A,#N/A,TRUE,"CS";#N/A,#N/A,TRUE,"CC"}</definedName>
    <definedName name="ERYTRETYTR" hidden="1">{#N/A,#N/A,TRUE,"NAE";#N/A,#N/A,TRUE,"CR";#N/A,#N/A,TRUE,"CS";#N/A,#N/A,TRUE,"CC"}</definedName>
    <definedName name="eryu6re7" localSheetId="8" hidden="1">{#N/A,#N/A,TRUE,"NAE";#N/A,#N/A,TRUE,"CR";#N/A,#N/A,TRUE,"CS";#N/A,#N/A,TRUE,"CC"}</definedName>
    <definedName name="eryu6re7" hidden="1">{#N/A,#N/A,TRUE,"NAE";#N/A,#N/A,TRUE,"CR";#N/A,#N/A,TRUE,"CS";#N/A,#N/A,TRUE,"CC"}</definedName>
    <definedName name="esc_comer">#REF!</definedName>
    <definedName name="Esc_Precios">#REF!</definedName>
    <definedName name="Esc_Q">#REF!</definedName>
    <definedName name="esc_repagoDeuda">#REF!</definedName>
    <definedName name="Esc_TRM">#REF!</definedName>
    <definedName name="ESCAGREC">#REF!</definedName>
    <definedName name="ESCCEMEXP">#REF!</definedName>
    <definedName name="ESCCEMNAL">#REF!</definedName>
    <definedName name="ESCCEMSACK">#REF!</definedName>
    <definedName name="ESCDIS">#REF!</definedName>
    <definedName name="ESCEMP">#REF!</definedName>
    <definedName name="Esceternit">#REF!</definedName>
    <definedName name="ESCGRAEXP">#REF!</definedName>
    <definedName name="ESCGRANAL">#REF!</definedName>
    <definedName name="ESCISLAS">#REF!</definedName>
    <definedName name="ESCMAMP">#REF!</definedName>
    <definedName name="ESCOREEXP">#REF!</definedName>
    <definedName name="ESCORENAL">#REF!</definedName>
    <definedName name="ESCORIA">#REF!</definedName>
    <definedName name="ESCORIA1">#REF!</definedName>
    <definedName name="ESLINGAS">#REF!</definedName>
    <definedName name="ESLINGAS1">#REF!</definedName>
    <definedName name="eslnuevo">#REF!</definedName>
    <definedName name="esltradic">#REF!</definedName>
    <definedName name="ESTATUS">#REF!</definedName>
    <definedName name="ESTERIL">#REF!</definedName>
    <definedName name="ETERNIT">#REF!</definedName>
    <definedName name="ETTH" localSheetId="8" hidden="1">{#N/A,#N/A,TRUE,"NAE";#N/A,#N/A,TRUE,"CR";#N/A,#N/A,TRUE,"CS";#N/A,#N/A,TRUE,"CC"}</definedName>
    <definedName name="ETTH" hidden="1">{#N/A,#N/A,TRUE,"NAE";#N/A,#N/A,TRUE,"CR";#N/A,#N/A,TRUE,"CS";#N/A,#N/A,TRUE,"CC"}</definedName>
    <definedName name="etyjtryjtrju" localSheetId="8" hidden="1">{#N/A,#N/A,TRUE,"NAE";#N/A,#N/A,TRUE,"CR";#N/A,#N/A,TRUE,"CS";#N/A,#N/A,TRUE,"CC"}</definedName>
    <definedName name="etyjtryjtrju" hidden="1">{#N/A,#N/A,TRUE,"NAE";#N/A,#N/A,TRUE,"CR";#N/A,#N/A,TRUE,"CS";#N/A,#N/A,TRUE,"CC"}</definedName>
    <definedName name="ETYJURKU" localSheetId="8" hidden="1">{#N/A,#N/A,TRUE,"NAE";#N/A,#N/A,TRUE,"CR";#N/A,#N/A,TRUE,"CS";#N/A,#N/A,TRUE,"CC"}</definedName>
    <definedName name="ETYJURKU" hidden="1">{#N/A,#N/A,TRUE,"NAE";#N/A,#N/A,TRUE,"CR";#N/A,#N/A,TRUE,"CS";#N/A,#N/A,TRUE,"CC"}</definedName>
    <definedName name="EUR">#REF!</definedName>
    <definedName name="EV__LASTREFTIME__">41211.7382638889</definedName>
    <definedName name="EWFR" localSheetId="8" hidden="1">{#N/A,#N/A,TRUE,"NAE";#N/A,#N/A,TRUE,"CR";#N/A,#N/A,TRUE,"CS";#N/A,#N/A,TRUE,"CC"}</definedName>
    <definedName name="EWFR" hidden="1">{#N/A,#N/A,TRUE,"NAE";#N/A,#N/A,TRUE,"CR";#N/A,#N/A,TRUE,"CS";#N/A,#N/A,TRUE,"CC"}</definedName>
    <definedName name="EWRIMGTW88" localSheetId="8" hidden="1">{#N/A,#N/A,TRUE,"NAE";#N/A,#N/A,TRUE,"CR";#N/A,#N/A,TRUE,"CS";#N/A,#N/A,TRUE,"CC"}</definedName>
    <definedName name="EWRIMGTW88" hidden="1">{#N/A,#N/A,TRUE,"NAE";#N/A,#N/A,TRUE,"CR";#N/A,#N/A,TRUE,"CS";#N/A,#N/A,TRUE,"CC"}</definedName>
    <definedName name="ewthw" localSheetId="8" hidden="1">{#N/A,#N/A,TRUE,"NAE";#N/A,#N/A,TRUE,"CR";#N/A,#N/A,TRUE,"CS";#N/A,#N/A,TRUE,"CC"}</definedName>
    <definedName name="ewthw" hidden="1">{#N/A,#N/A,TRUE,"NAE";#N/A,#N/A,TRUE,"CR";#N/A,#N/A,TRUE,"CS";#N/A,#N/A,TRUE,"CC"}</definedName>
    <definedName name="EXP42.5">#REF!</definedName>
    <definedName name="EXP42.5KLSNUEVO">#REF!</definedName>
    <definedName name="EXP42.5KLSTRADIC">#REF!</definedName>
    <definedName name="EXP42.5N">#REF!</definedName>
    <definedName name="EYJEYJY" localSheetId="8" hidden="1">{#N/A,#N/A,TRUE,"NAE";#N/A,#N/A,TRUE,"CR";#N/A,#N/A,TRUE,"CS";#N/A,#N/A,TRUE,"CC"}</definedName>
    <definedName name="EYJEYJY" hidden="1">{#N/A,#N/A,TRUE,"NAE";#N/A,#N/A,TRUE,"CR";#N/A,#N/A,TRUE,"CS";#N/A,#N/A,TRUE,"CC"}</definedName>
    <definedName name="EYJYEJY" localSheetId="8" hidden="1">{#N/A,#N/A,TRUE,"NAE";#N/A,#N/A,TRUE,"CR";#N/A,#N/A,TRUE,"CS";#N/A,#N/A,TRUE,"CC"}</definedName>
    <definedName name="EYJYEJY" hidden="1">{#N/A,#N/A,TRUE,"NAE";#N/A,#N/A,TRUE,"CR";#N/A,#N/A,TRUE,"CS";#N/A,#N/A,TRUE,"CC"}</definedName>
    <definedName name="eyrjyteut" localSheetId="8" hidden="1">{#N/A,#N/A,TRUE,"NAE";#N/A,#N/A,TRUE,"CR";#N/A,#N/A,TRUE,"CS";#N/A,#N/A,TRUE,"CC"}</definedName>
    <definedName name="eyrjyteut" hidden="1">{#N/A,#N/A,TRUE,"NAE";#N/A,#N/A,TRUE,"CR";#N/A,#N/A,TRUE,"CS";#N/A,#N/A,TRUE,"CC"}</definedName>
    <definedName name="FA">#REF!</definedName>
    <definedName name="Factor">#REF!</definedName>
    <definedName name="Factor97">#REF!</definedName>
    <definedName name="factoring">#REF!</definedName>
    <definedName name="fadf">#REF!</definedName>
    <definedName name="fca" localSheetId="8" hidden="1">{"'RDOJTP'!$A$108:$AG$123"}</definedName>
    <definedName name="fca" hidden="1">{"'RDOJTP'!$A$108:$AG$123"}</definedName>
    <definedName name="FCBIJAO">#REF!</definedName>
    <definedName name="FCJAGUA">#REF!</definedName>
    <definedName name="FCPETCOKE">#REF!</definedName>
    <definedName name="FDHNHM765" localSheetId="8" hidden="1">{#N/A,#N/A,TRUE,"NAE";#N/A,#N/A,TRUE,"CR";#N/A,#N/A,TRUE,"CS";#N/A,#N/A,TRUE,"CC"}</definedName>
    <definedName name="FDHNHM765" hidden="1">{#N/A,#N/A,TRUE,"NAE";#N/A,#N/A,TRUE,"CR";#N/A,#N/A,TRUE,"CS";#N/A,#N/A,TRUE,"CC"}</definedName>
    <definedName name="fdjyui99" localSheetId="8" hidden="1">{#N/A,#N/A,TRUE,"NAE";#N/A,#N/A,TRUE,"CR";#N/A,#N/A,TRUE,"CS";#N/A,#N/A,TRUE,"CC"}</definedName>
    <definedName name="fdjyui99" hidden="1">{#N/A,#N/A,TRUE,"NAE";#N/A,#N/A,TRUE,"CR";#N/A,#N/A,TRUE,"CS";#N/A,#N/A,TRUE,"CC"}</definedName>
    <definedName name="Feb_99">#REF!</definedName>
    <definedName name="FECHA">#REF!</definedName>
    <definedName name="fees">#REF!</definedName>
    <definedName name="FFFF" localSheetId="8" hidden="1">{"'RDOJTP'!$A$108:$AG$123"}</definedName>
    <definedName name="FFFF" hidden="1">{"'RDOJTP'!$A$108:$AG$123"}</definedName>
    <definedName name="FFFFFFF" localSheetId="8" hidden="1">{"'RDOJTP'!$A$108:$AG$123"}</definedName>
    <definedName name="FFFFFFF" hidden="1">{"'RDOJTP'!$A$108:$AG$123"}</definedName>
    <definedName name="fffg" localSheetId="8" hidden="1">{#N/A,#N/A,TRUE,"NAE";#N/A,#N/A,TRUE,"CR";#N/A,#N/A,TRUE,"CS";#N/A,#N/A,TRUE,"CC"}</definedName>
    <definedName name="fffg" hidden="1">{#N/A,#N/A,TRUE,"NAE";#N/A,#N/A,TRUE,"CR";#N/A,#N/A,TRUE,"CS";#N/A,#N/A,TRUE,"CC"}</definedName>
    <definedName name="FFGG" localSheetId="8" hidden="1">{#N/A,#N/A,TRUE,"NAE";#N/A,#N/A,TRUE,"CR";#N/A,#N/A,TRUE,"CS";#N/A,#N/A,TRUE,"CC"}</definedName>
    <definedName name="FFGG" hidden="1">{#N/A,#N/A,TRUE,"NAE";#N/A,#N/A,TRUE,"CR";#N/A,#N/A,TRUE,"CS";#N/A,#N/A,TRUE,"CC"}</definedName>
    <definedName name="FFGGH64" localSheetId="8" hidden="1">{#N/A,#N/A,TRUE,"NAE";#N/A,#N/A,TRUE,"CR";#N/A,#N/A,TRUE,"CS";#N/A,#N/A,TRUE,"CC"}</definedName>
    <definedName name="FFGGH64" hidden="1">{#N/A,#N/A,TRUE,"NAE";#N/A,#N/A,TRUE,"CR";#N/A,#N/A,TRUE,"CS";#N/A,#N/A,TRUE,"CC"}</definedName>
    <definedName name="FFVV" localSheetId="8" hidden="1">{#N/A,#N/A,TRUE,"NAE";#N/A,#N/A,TRUE,"CR";#N/A,#N/A,TRUE,"CS";#N/A,#N/A,TRUE,"CC"}</definedName>
    <definedName name="FFVV" hidden="1">{#N/A,#N/A,TRUE,"NAE";#N/A,#N/A,TRUE,"CR";#N/A,#N/A,TRUE,"CS";#N/A,#N/A,TRUE,"CC"}</definedName>
    <definedName name="FHFDNHM76" localSheetId="8" hidden="1">{#N/A,#N/A,TRUE,"NAE";#N/A,#N/A,TRUE,"CR";#N/A,#N/A,TRUE,"CS";#N/A,#N/A,TRUE,"CC"}</definedName>
    <definedName name="FHFDNHM76" hidden="1">{#N/A,#N/A,TRUE,"NAE";#N/A,#N/A,TRUE,"CR";#N/A,#N/A,TRUE,"CS";#N/A,#N/A,TRUE,"CC"}</definedName>
    <definedName name="fjty666" localSheetId="8" hidden="1">{#N/A,#N/A,TRUE,"NAE";#N/A,#N/A,TRUE,"CR";#N/A,#N/A,TRUE,"CS";#N/A,#N/A,TRUE,"CC"}</definedName>
    <definedName name="fjty666" hidden="1">{#N/A,#N/A,TRUE,"NAE";#N/A,#N/A,TRUE,"CR";#N/A,#N/A,TRUE,"CS";#N/A,#N/A,TRUE,"CC"}</definedName>
    <definedName name="FLETE_GRANEL">#REF!</definedName>
    <definedName name="FLETE_MILLA1_SACO">#REF!</definedName>
    <definedName name="FLETE_MILLA2_CONST">#REF!</definedName>
    <definedName name="FLETE_MILLA2_DETA">#REF!</definedName>
    <definedName name="FLETE_MILLA2_MAY">#REF!</definedName>
    <definedName name="FLETE_MILLA2_MOD">#REF!</definedName>
    <definedName name="fr" localSheetId="8" hidden="1">{#N/A,#N/A,TRUE,"NAE";#N/A,#N/A,TRUE,"CR";#N/A,#N/A,TRUE,"CS";#N/A,#N/A,TRUE,"CC"}</definedName>
    <definedName name="fr" hidden="1">{#N/A,#N/A,TRUE,"NAE";#N/A,#N/A,TRUE,"CR";#N/A,#N/A,TRUE,"CS";#N/A,#N/A,TRUE,"CC"}</definedName>
    <definedName name="fran" localSheetId="8" hidden="1">{"'RDOJTP'!$A$108:$AG$123"}</definedName>
    <definedName name="fran" hidden="1">{"'RDOJTP'!$A$108:$AG$123"}</definedName>
    <definedName name="frfr" localSheetId="8" hidden="1">{#N/A,#N/A,TRUE,"NAE";#N/A,#N/A,TRUE,"CR";#N/A,#N/A,TRUE,"CS";#N/A,#N/A,TRUE,"CC"}</definedName>
    <definedName name="frfr" hidden="1">{#N/A,#N/A,TRUE,"NAE";#N/A,#N/A,TRUE,"CR";#N/A,#N/A,TRUE,"CS";#N/A,#N/A,TRUE,"CC"}</definedName>
    <definedName name="FRFRGTG" localSheetId="8" hidden="1">{#N/A,#N/A,TRUE,"NAE";#N/A,#N/A,TRUE,"CR";#N/A,#N/A,TRUE,"CS";#N/A,#N/A,TRUE,"CC"}</definedName>
    <definedName name="FRFRGTG" hidden="1">{#N/A,#N/A,TRUE,"NAE";#N/A,#N/A,TRUE,"CR";#N/A,#N/A,TRUE,"CS";#N/A,#N/A,TRUE,"CC"}</definedName>
    <definedName name="FUNDAS0.0025">#REF!</definedName>
    <definedName name="FUNDAS0.00251">#REF!</definedName>
    <definedName name="FUNDAS1.0">#REF!</definedName>
    <definedName name="FUNDAS1.01">#REF!</definedName>
    <definedName name="FYUKUK" localSheetId="8" hidden="1">{#N/A,#N/A,TRUE,"NAE";#N/A,#N/A,TRUE,"CR";#N/A,#N/A,TRUE,"CS";#N/A,#N/A,TRUE,"CC"}</definedName>
    <definedName name="FYUKUK" hidden="1">{#N/A,#N/A,TRUE,"NAE";#N/A,#N/A,TRUE,"CR";#N/A,#N/A,TRUE,"CS";#N/A,#N/A,TRUE,"CC"}</definedName>
    <definedName name="FYULIL.L" localSheetId="8" hidden="1">{#N/A,#N/A,TRUE,"NAE";#N/A,#N/A,TRUE,"CR";#N/A,#N/A,TRUE,"CS";#N/A,#N/A,TRUE,"CC"}</definedName>
    <definedName name="FYULIL.L" hidden="1">{#N/A,#N/A,TRUE,"NAE";#N/A,#N/A,TRUE,"CR";#N/A,#N/A,TRUE,"CS";#N/A,#N/A,TRUE,"CC"}</definedName>
    <definedName name="Gap_Precio">#REF!</definedName>
    <definedName name="GAS">#REF!</definedName>
    <definedName name="GASH3">#REF!</definedName>
    <definedName name="GASH4">#REF!</definedName>
    <definedName name="GASH5">#REF!</definedName>
    <definedName name="GASH6">#REF!</definedName>
    <definedName name="GASH7">#REF!</definedName>
    <definedName name="Gastos_Admon_Adicionales">#REF!</definedName>
    <definedName name="gastos_comer">#REF!</definedName>
    <definedName name="GCAL">#REF!</definedName>
    <definedName name="GCOMCOR">#REF!</definedName>
    <definedName name="GECAL">#REF!</definedName>
    <definedName name="GEFIN">#REF!</definedName>
    <definedName name="get" localSheetId="8" hidden="1">{#N/A,#N/A,TRUE,"NAE";#N/A,#N/A,TRUE,"CR";#N/A,#N/A,TRUE,"CS";#N/A,#N/A,TRUE,"CC"}</definedName>
    <definedName name="get" hidden="1">{#N/A,#N/A,TRUE,"NAE";#N/A,#N/A,TRUE,"CR";#N/A,#N/A,TRUE,"CS";#N/A,#N/A,TRUE,"CC"}</definedName>
    <definedName name="GFDGFFH" localSheetId="8" hidden="1">{#N/A,#N/A,TRUE,"NAE";#N/A,#N/A,TRUE,"CR";#N/A,#N/A,TRUE,"CS";#N/A,#N/A,TRUE,"CC"}</definedName>
    <definedName name="GFDGFFH" hidden="1">{#N/A,#N/A,TRUE,"NAE";#N/A,#N/A,TRUE,"CR";#N/A,#N/A,TRUE,"CS";#N/A,#N/A,TRUE,"CC"}</definedName>
    <definedName name="gfhjyujku" localSheetId="8" hidden="1">{#N/A,#N/A,TRUE,"NAE";#N/A,#N/A,TRUE,"CR";#N/A,#N/A,TRUE,"CS";#N/A,#N/A,TRUE,"CC"}</definedName>
    <definedName name="gfhjyujku" hidden="1">{#N/A,#N/A,TRUE,"NAE";#N/A,#N/A,TRUE,"CR";#N/A,#N/A,TRUE,"CS";#N/A,#N/A,TRUE,"CC"}</definedName>
    <definedName name="GFHYJU" localSheetId="8" hidden="1">{#N/A,#N/A,TRUE,"NAE";#N/A,#N/A,TRUE,"CR";#N/A,#N/A,TRUE,"CS";#N/A,#N/A,TRUE,"CC"}</definedName>
    <definedName name="GFHYJU" hidden="1">{#N/A,#N/A,TRUE,"NAE";#N/A,#N/A,TRUE,"CR";#N/A,#N/A,TRUE,"CS";#N/A,#N/A,TRUE,"CC"}</definedName>
    <definedName name="GG" localSheetId="8" hidden="1">{#N/A,#N/A,TRUE,"NAE";#N/A,#N/A,TRUE,"CR";#N/A,#N/A,TRUE,"CS";#N/A,#N/A,TRUE,"CC"}</definedName>
    <definedName name="GG" hidden="1">{#N/A,#N/A,TRUE,"NAE";#N/A,#N/A,TRUE,"CR";#N/A,#N/A,TRUE,"CS";#N/A,#N/A,TRUE,"CC"}</definedName>
    <definedName name="GGF" localSheetId="8" hidden="1">{#N/A,#N/A,FALSE,"balance";#N/A,#N/A,FALSE,"PYG"}</definedName>
    <definedName name="GGF" hidden="1">{#N/A,#N/A,FALSE,"balance";#N/A,#N/A,FALSE,"PYG"}</definedName>
    <definedName name="ggfa" localSheetId="8" hidden="1">{#N/A,#N/A,FALSE,"balance";#N/A,#N/A,FALSE,"PYG"}</definedName>
    <definedName name="ggfa" hidden="1">{#N/A,#N/A,FALSE,"balance";#N/A,#N/A,FALSE,"PYG"}</definedName>
    <definedName name="gggfgf" localSheetId="8" hidden="1">{#N/A,#N/A,TRUE,"NAE";#N/A,#N/A,TRUE,"CR";#N/A,#N/A,TRUE,"CS";#N/A,#N/A,TRUE,"CC"}</definedName>
    <definedName name="gggfgf" hidden="1">{#N/A,#N/A,TRUE,"NAE";#N/A,#N/A,TRUE,"CR";#N/A,#N/A,TRUE,"CS";#N/A,#N/A,TRUE,"CC"}</definedName>
    <definedName name="gggg" localSheetId="8" hidden="1">{"'RDOJTP'!$A$108:$AG$123"}</definedName>
    <definedName name="gggg" hidden="1">{"'RDOJTP'!$A$108:$AG$123"}</definedName>
    <definedName name="GGGGG" localSheetId="8" hidden="1">{"'RDOJTP'!$A$108:$AG$123"}</definedName>
    <definedName name="GGGGG" hidden="1">{"'RDOJTP'!$A$108:$AG$123"}</definedName>
    <definedName name="GGHH" localSheetId="8" hidden="1">{#N/A,#N/A,TRUE,"NAE";#N/A,#N/A,TRUE,"CR";#N/A,#N/A,TRUE,"CS";#N/A,#N/A,TRUE,"CC"}</definedName>
    <definedName name="GGHH" hidden="1">{#N/A,#N/A,TRUE,"NAE";#N/A,#N/A,TRUE,"CR";#N/A,#N/A,TRUE,"CS";#N/A,#N/A,TRUE,"CC"}</definedName>
    <definedName name="ghkliuui" localSheetId="8" hidden="1">{#N/A,#N/A,TRUE,"NAE";#N/A,#N/A,TRUE,"CR";#N/A,#N/A,TRUE,"CS";#N/A,#N/A,TRUE,"CC"}</definedName>
    <definedName name="ghkliuui" hidden="1">{#N/A,#N/A,TRUE,"NAE";#N/A,#N/A,TRUE,"CR";#N/A,#N/A,TRUE,"CS";#N/A,#N/A,TRUE,"CC"}</definedName>
    <definedName name="ghmh" localSheetId="8" hidden="1">{#N/A,#N/A,TRUE,"NAE";#N/A,#N/A,TRUE,"CR";#N/A,#N/A,TRUE,"CS";#N/A,#N/A,TRUE,"CC"}</definedName>
    <definedName name="ghmh" hidden="1">{#N/A,#N/A,TRUE,"NAE";#N/A,#N/A,TRUE,"CR";#N/A,#N/A,TRUE,"CS";#N/A,#N/A,TRUE,"CC"}</definedName>
    <definedName name="GISLAS">#REF!</definedName>
    <definedName name="GPUB">#REF!</definedName>
    <definedName name="GQRWGR" localSheetId="8" hidden="1">{#N/A,#N/A,TRUE,"NAE";#N/A,#N/A,TRUE,"CR";#N/A,#N/A,TRUE,"CS";#N/A,#N/A,TRUE,"CC"}</definedName>
    <definedName name="GQRWGR" hidden="1">{#N/A,#N/A,TRUE,"NAE";#N/A,#N/A,TRUE,"CR";#N/A,#N/A,TRUE,"CS";#N/A,#N/A,TRUE,"CC"}</definedName>
    <definedName name="Gradiente_Crecimiento">#REF!</definedName>
    <definedName name="GRAEXP">#REF!</definedName>
    <definedName name="GRANAL">#REF!</definedName>
    <definedName name="Granelexp">#REF!</definedName>
    <definedName name="Granelnal">#REF!</definedName>
    <definedName name="GRIF" localSheetId="8" hidden="1">{#N/A,#N/A,TRUE,"NAE";#N/A,#N/A,TRUE,"CR";#N/A,#N/A,TRUE,"CS";#N/A,#N/A,TRUE,"CC"}</definedName>
    <definedName name="GRIF" hidden="1">{#N/A,#N/A,TRUE,"NAE";#N/A,#N/A,TRUE,"CR";#N/A,#N/A,TRUE,"CS";#N/A,#N/A,TRUE,"CC"}</definedName>
    <definedName name="grqagfd" localSheetId="8" hidden="1">{#N/A,#N/A,TRUE,"NAE";#N/A,#N/A,TRUE,"CR";#N/A,#N/A,TRUE,"CS";#N/A,#N/A,TRUE,"CC"}</definedName>
    <definedName name="grqagfd" hidden="1">{#N/A,#N/A,TRUE,"NAE";#N/A,#N/A,TRUE,"CR";#N/A,#N/A,TRUE,"CS";#N/A,#N/A,TRUE,"CC"}</definedName>
    <definedName name="GTGTGT" localSheetId="8" hidden="1">{#N/A,#N/A,TRUE,"NAE";#N/A,#N/A,TRUE,"CR";#N/A,#N/A,TRUE,"CS";#N/A,#N/A,TRUE,"CC"}</definedName>
    <definedName name="GTGTGT" hidden="1">{#N/A,#N/A,TRUE,"NAE";#N/A,#N/A,TRUE,"CR";#N/A,#N/A,TRUE,"CS";#N/A,#N/A,TRUE,"CC"}</definedName>
    <definedName name="gtiup99" localSheetId="8" hidden="1">{#N/A,#N/A,TRUE,"NAE";#N/A,#N/A,TRUE,"CR";#N/A,#N/A,TRUE,"CS";#N/A,#N/A,TRUE,"CC"}</definedName>
    <definedName name="gtiup99" hidden="1">{#N/A,#N/A,TRUE,"NAE";#N/A,#N/A,TRUE,"CR";#N/A,#N/A,TRUE,"CS";#N/A,#N/A,TRUE,"CC"}</definedName>
    <definedName name="Gts_Vtas" localSheetId="8" hidden="1">{"'RDOJTP'!$A$108:$AG$123"}</definedName>
    <definedName name="Gts_Vtas" hidden="1">{"'RDOJTP'!$A$108:$AG$123"}</definedName>
    <definedName name="Gts_Vtas01" localSheetId="8" hidden="1">{"'RDOJTP'!$A$108:$AG$123"}</definedName>
    <definedName name="Gts_Vtas01" hidden="1">{"'RDOJTP'!$A$108:$AG$123"}</definedName>
    <definedName name="GUOÑOÑ" localSheetId="8" hidden="1">{#N/A,#N/A,TRUE,"NAE";#N/A,#N/A,TRUE,"CR";#N/A,#N/A,TRUE,"CS";#N/A,#N/A,TRUE,"CC"}</definedName>
    <definedName name="GUOÑOÑ" hidden="1">{#N/A,#N/A,TRUE,"NAE";#N/A,#N/A,TRUE,"CR";#N/A,#N/A,TRUE,"CS";#N/A,#N/A,TRUE,"CC"}</definedName>
    <definedName name="GUSA">#REF!</definedName>
    <definedName name="GV" localSheetId="8" hidden="1">{#N/A,#N/A,TRUE,"NAE";#N/A,#N/A,TRUE,"CR";#N/A,#N/A,TRUE,"CS";#N/A,#N/A,TRUE,"CC"}</definedName>
    <definedName name="GV" hidden="1">{#N/A,#N/A,TRUE,"NAE";#N/A,#N/A,TRUE,"CR";#N/A,#N/A,TRUE,"CS";#N/A,#N/A,TRUE,"CC"}</definedName>
    <definedName name="H3GAS">#REF!</definedName>
    <definedName name="H4GAS">#REF!</definedName>
    <definedName name="H5GAS">#REF!</definedName>
    <definedName name="H6GAS">#REF!</definedName>
    <definedName name="H7GAS">#REF!</definedName>
    <definedName name="HEA2SPECIAL">#REF!</definedName>
    <definedName name="HEA2SPECIAL1">#REF!</definedName>
    <definedName name="Hedging_Forward_de_Compra">#REF!</definedName>
    <definedName name="Hedging_Forward_de_Venta">#REF!</definedName>
    <definedName name="heru65" localSheetId="8" hidden="1">{#N/A,#N/A,TRUE,"NAE";#N/A,#N/A,TRUE,"CR";#N/A,#N/A,TRUE,"CS";#N/A,#N/A,TRUE,"CC"}</definedName>
    <definedName name="heru65" hidden="1">{#N/A,#N/A,TRUE,"NAE";#N/A,#N/A,TRUE,"CR";#N/A,#N/A,TRUE,"CS";#N/A,#N/A,TRUE,"CC"}</definedName>
    <definedName name="HHGG" localSheetId="8" hidden="1">{#N/A,#N/A,TRUE,"NAE";#N/A,#N/A,TRUE,"CR";#N/A,#N/A,TRUE,"CS";#N/A,#N/A,TRUE,"CC"}</definedName>
    <definedName name="HHGG" hidden="1">{#N/A,#N/A,TRUE,"NAE";#N/A,#N/A,TRUE,"CR";#N/A,#N/A,TRUE,"CS";#N/A,#N/A,TRUE,"CC"}</definedName>
    <definedName name="HHHH" localSheetId="8">{"'8'!$B$1:$I$46"}</definedName>
    <definedName name="HHHH">{"'8'!$B$1:$I$46"}</definedName>
    <definedName name="HHHH_1" localSheetId="8">{"'8'!$B$1:$I$46"}</definedName>
    <definedName name="HHHH_1">{"'8'!$B$1:$I$46"}</definedName>
    <definedName name="HHHH_1_1" localSheetId="8">{"'8'!$B$1:$I$46"}</definedName>
    <definedName name="HHHH_1_1">{"'8'!$B$1:$I$46"}</definedName>
    <definedName name="HHHH_2" localSheetId="8">{"'8'!$B$1:$I$46"}</definedName>
    <definedName name="HHHH_2">{"'8'!$B$1:$I$46"}</definedName>
    <definedName name="hhhhhjkk" localSheetId="8" hidden="1">{#N/A,#N/A,TRUE,"NAE";#N/A,#N/A,TRUE,"CR";#N/A,#N/A,TRUE,"CS";#N/A,#N/A,TRUE,"CC"}</definedName>
    <definedName name="hhhhhjkk" hidden="1">{#N/A,#N/A,TRUE,"NAE";#N/A,#N/A,TRUE,"CR";#N/A,#N/A,TRUE,"CS";#N/A,#N/A,TRUE,"CC"}</definedName>
    <definedName name="HHJJ" localSheetId="8" hidden="1">{#N/A,#N/A,TRUE,"NAE";#N/A,#N/A,TRUE,"CR";#N/A,#N/A,TRUE,"CS";#N/A,#N/A,TRUE,"CC"}</definedName>
    <definedName name="HHJJ" hidden="1">{#N/A,#N/A,TRUE,"NAE";#N/A,#N/A,TRUE,"CR";#N/A,#N/A,TRUE,"CS";#N/A,#N/A,TRUE,"CC"}</definedName>
    <definedName name="HHMHJHJH" localSheetId="8" hidden="1">{#N/A,#N/A,TRUE,"NAE";#N/A,#N/A,TRUE,"CR";#N/A,#N/A,TRUE,"CS";#N/A,#N/A,TRUE,"CC"}</definedName>
    <definedName name="HHMHJHJH" hidden="1">{#N/A,#N/A,TRUE,"NAE";#N/A,#N/A,TRUE,"CR";#N/A,#N/A,TRUE,"CS";#N/A,#N/A,TRUE,"CC"}</definedName>
    <definedName name="HHNN" localSheetId="8" hidden="1">{#N/A,#N/A,TRUE,"NAE";#N/A,#N/A,TRUE,"CR";#N/A,#N/A,TRUE,"CS";#N/A,#N/A,TRUE,"CC"}</definedName>
    <definedName name="HHNN" hidden="1">{#N/A,#N/A,TRUE,"NAE";#N/A,#N/A,TRUE,"CR";#N/A,#N/A,TRUE,"CS";#N/A,#N/A,TRUE,"CC"}</definedName>
    <definedName name="HJHJHJ" localSheetId="8" hidden="1">{#N/A,#N/A,TRUE,"NAE";#N/A,#N/A,TRUE,"CR";#N/A,#N/A,TRUE,"CS";#N/A,#N/A,TRUE,"CC"}</definedName>
    <definedName name="HJHJHJ" hidden="1">{#N/A,#N/A,TRUE,"NAE";#N/A,#N/A,TRUE,"CR";#N/A,#N/A,TRUE,"CS";#N/A,#N/A,TRUE,"CC"}</definedName>
    <definedName name="HOLA" localSheetId="8" hidden="1">{"'RDOJTP'!$A$108:$AG$123"}</definedName>
    <definedName name="HOLA" hidden="1">{"'RDOJTP'!$A$108:$AG$123"}</definedName>
    <definedName name="HOMOG">#REF!</definedName>
    <definedName name="HOMOGENIZ">#REF!</definedName>
    <definedName name="Hora">HOUR(NOW())&amp;":"&amp;MINUTE(NOW())</definedName>
    <definedName name="HORNO3">#REF!</definedName>
    <definedName name="HORNO4">#REF!</definedName>
    <definedName name="HORNO5">#REF!</definedName>
    <definedName name="HORNO6">#REF!</definedName>
    <definedName name="HORNO7">#REF!</definedName>
    <definedName name="hrthju" localSheetId="8" hidden="1">{#N/A,#N/A,TRUE,"NAE";#N/A,#N/A,TRUE,"CR";#N/A,#N/A,TRUE,"CS";#N/A,#N/A,TRUE,"CC"}</definedName>
    <definedName name="hrthju" hidden="1">{#N/A,#N/A,TRUE,"NAE";#N/A,#N/A,TRUE,"CR";#N/A,#N/A,TRUE,"CS";#N/A,#N/A,TRUE,"CC"}</definedName>
    <definedName name="hrthy" localSheetId="8" hidden="1">{#N/A,#N/A,TRUE,"NAE";#N/A,#N/A,TRUE,"CR";#N/A,#N/A,TRUE,"CS";#N/A,#N/A,TRUE,"CC"}</definedName>
    <definedName name="hrthy" hidden="1">{#N/A,#N/A,TRUE,"NAE";#N/A,#N/A,TRUE,"CR";#N/A,#N/A,TRUE,"CS";#N/A,#N/A,TRUE,"CC"}</definedName>
    <definedName name="HTML_CodePage" hidden="1">1252</definedName>
    <definedName name="HTML_Control" localSheetId="8" hidden="1">{"'RDOJTP'!$A$108:$AG$123"}</definedName>
    <definedName name="HTML_Control" hidden="1">{"'RDOJTP'!$A$108:$AG$123"}</definedName>
    <definedName name="HTML_Control_1" localSheetId="8">{"'장비'!$A$3:$M$12"}</definedName>
    <definedName name="HTML_Control_1">{"'장비'!$A$3:$M$12"}</definedName>
    <definedName name="HTML_Control_1_1" localSheetId="8">{"'장비'!$A$3:$M$12"}</definedName>
    <definedName name="HTML_Control_1_1">{"'장비'!$A$3:$M$12"}</definedName>
    <definedName name="HTML_Control_2" localSheetId="8">{"'장비'!$A$3:$M$12"}</definedName>
    <definedName name="HTML_Control_2">{"'장비'!$A$3:$M$12"}</definedName>
    <definedName name="HTML_Description" hidden="1">""</definedName>
    <definedName name="HTML_Email" hidden="1">""</definedName>
    <definedName name="HTML_Header" hidden="1">"RDOJTP"</definedName>
    <definedName name="HTML_LastUpdate" hidden="1">"24/11/98"</definedName>
    <definedName name="HTML_LineAfter" hidden="1">FALSE</definedName>
    <definedName name="HTML_LineBefore" hidden="1">FALSE</definedName>
    <definedName name="HTML_Name" hidden="1">"Ricardo Suárez"</definedName>
    <definedName name="HTML_OBDlg2" hidden="1">TRUE</definedName>
    <definedName name="HTML_OBDlg4" hidden="1">TRUE</definedName>
    <definedName name="HTML_OS" hidden="1">0</definedName>
    <definedName name="HTML_PathFile" hidden="1">"C:\Mis documentos\HTML.htm"</definedName>
    <definedName name="HTML_PathFileMac">"Macintosh HD:HomePageStuff:New_Home_Page:datafile:histret.html"</definedName>
    <definedName name="HTML_Title" hidden="1">"PRESUP99"</definedName>
    <definedName name="HTML1_10">""</definedName>
    <definedName name="HTML1_11">1</definedName>
    <definedName name="HTML1_12">"Zip 100:New_Home_Page:datafile:histret.html"</definedName>
    <definedName name="HTML1_2">1</definedName>
    <definedName name="HTML1_3">"ReturnsHistorical"</definedName>
    <definedName name="HTML1_4">"Historical Returns on Stocks, Bonds and Bills"</definedName>
    <definedName name="HTML1_5">"Ibbotson Data"</definedName>
    <definedName name="HTML1_6">-4146</definedName>
    <definedName name="HTML1_7">-4146</definedName>
    <definedName name="HTML1_8">"3/17/97"</definedName>
    <definedName name="HTML1_9">"Aswath Damodaran"</definedName>
    <definedName name="HTML2_10">""</definedName>
    <definedName name="HTML2_11">1</definedName>
    <definedName name="HTML2_12">"Macintosh HD:New_Home_Page:datafile:histret.html"</definedName>
    <definedName name="HTML2_2">1</definedName>
    <definedName name="HTML2_3">"Historical Returns"</definedName>
    <definedName name="HTML2_4">"Historical Returns on Stocks, Bonds and Bills"</definedName>
    <definedName name="HTML2_5">""</definedName>
    <definedName name="HTML2_6">1</definedName>
    <definedName name="HTML2_7">1</definedName>
    <definedName name="HTML2_8">"2/3/98"</definedName>
    <definedName name="HTML2_9">"Aswath Damodaran"</definedName>
    <definedName name="HTMLCount">2</definedName>
    <definedName name="HTRSJS" localSheetId="8" hidden="1">{#N/A,#N/A,TRUE,"NAE";#N/A,#N/A,TRUE,"CR";#N/A,#N/A,TRUE,"CS";#N/A,#N/A,TRUE,"CC"}</definedName>
    <definedName name="HTRSJS" hidden="1">{#N/A,#N/A,TRUE,"NAE";#N/A,#N/A,TRUE,"CR";#N/A,#N/A,TRUE,"CS";#N/A,#N/A,TRUE,"CC"}</definedName>
    <definedName name="HTRWWRHY" localSheetId="8" hidden="1">{#N/A,#N/A,TRUE,"NAE";#N/A,#N/A,TRUE,"CR";#N/A,#N/A,TRUE,"CS";#N/A,#N/A,TRUE,"CC"}</definedName>
    <definedName name="HTRWWRHY" hidden="1">{#N/A,#N/A,TRUE,"NAE";#N/A,#N/A,TRUE,"CR";#N/A,#N/A,TRUE,"CS";#N/A,#N/A,TRUE,"CC"}</definedName>
    <definedName name="HYHJEYJR787" localSheetId="8" hidden="1">{#N/A,#N/A,TRUE,"NAE";#N/A,#N/A,TRUE,"CR";#N/A,#N/A,TRUE,"CS";#N/A,#N/A,TRUE,"CC"}</definedName>
    <definedName name="HYHJEYJR787" hidden="1">{#N/A,#N/A,TRUE,"NAE";#N/A,#N/A,TRUE,"CR";#N/A,#N/A,TRUE,"CS";#N/A,#N/A,TRUE,"CC"}</definedName>
    <definedName name="HYHYHJU" localSheetId="8" hidden="1">{#N/A,#N/A,TRUE,"NAE";#N/A,#N/A,TRUE,"CR";#N/A,#N/A,TRUE,"CS";#N/A,#N/A,TRUE,"CC"}</definedName>
    <definedName name="HYHYHJU" hidden="1">{#N/A,#N/A,TRUE,"NAE";#N/A,#N/A,TRUE,"CR";#N/A,#N/A,TRUE,"CS";#N/A,#N/A,TRUE,"CC"}</definedName>
    <definedName name="HYHYHY" localSheetId="8" hidden="1">{#N/A,#N/A,TRUE,"NAE";#N/A,#N/A,TRUE,"CR";#N/A,#N/A,TRUE,"CS";#N/A,#N/A,TRUE,"CC"}</definedName>
    <definedName name="HYHYHY" hidden="1">{#N/A,#N/A,TRUE,"NAE";#N/A,#N/A,TRUE,"CR";#N/A,#N/A,TRUE,"CS";#N/A,#N/A,TRUE,"CC"}</definedName>
    <definedName name="ID_Actividad">#REF!</definedName>
    <definedName name="ID_Aplicacion">#REF!</definedName>
    <definedName name="ID_Area">#REF!</definedName>
    <definedName name="ID_Disciplina">#REF!</definedName>
    <definedName name="ID_Status">#REF!</definedName>
    <definedName name="IEWNGIW" localSheetId="8" hidden="1">{#N/A,#N/A,TRUE,"NAE";#N/A,#N/A,TRUE,"CR";#N/A,#N/A,TRUE,"CS";#N/A,#N/A,TRUE,"CC"}</definedName>
    <definedName name="IEWNGIW" hidden="1">{#N/A,#N/A,TRUE,"NAE";#N/A,#N/A,TRUE,"CR";#N/A,#N/A,TRUE,"CS";#N/A,#N/A,TRUE,"CC"}</definedName>
    <definedName name="iiii" localSheetId="8" hidden="1">{#N/A,#N/A,TRUE,"NAE";#N/A,#N/A,TRUE,"CR";#N/A,#N/A,TRUE,"CS";#N/A,#N/A,TRUE,"CC"}</definedName>
    <definedName name="iiii" hidden="1">{#N/A,#N/A,TRUE,"NAE";#N/A,#N/A,TRUE,"CR";#N/A,#N/A,TRUE,"CS";#N/A,#N/A,TRUE,"CC"}</definedName>
    <definedName name="IIIIIOI" localSheetId="8" hidden="1">{#N/A,#N/A,TRUE,"NAE";#N/A,#N/A,TRUE,"CR";#N/A,#N/A,TRUE,"CS";#N/A,#N/A,TRUE,"CC"}</definedName>
    <definedName name="IIIIIOI" hidden="1">{#N/A,#N/A,TRUE,"NAE";#N/A,#N/A,TRUE,"CR";#N/A,#N/A,TRUE,"CS";#N/A,#N/A,TRUE,"CC"}</definedName>
    <definedName name="IIKK" localSheetId="8" hidden="1">{#N/A,#N/A,TRUE,"NAE";#N/A,#N/A,TRUE,"CR";#N/A,#N/A,TRUE,"CS";#N/A,#N/A,TRUE,"CC"}</definedName>
    <definedName name="IIKK" hidden="1">{#N/A,#N/A,TRUE,"NAE";#N/A,#N/A,TRUE,"CR";#N/A,#N/A,TRUE,"CS";#N/A,#N/A,TRUE,"CC"}</definedName>
    <definedName name="ILILIL" localSheetId="8" hidden="1">{#N/A,#N/A,TRUE,"NAE";#N/A,#N/A,TRUE,"CR";#N/A,#N/A,TRUE,"CS";#N/A,#N/A,TRUE,"CC"}</definedName>
    <definedName name="ILILIL" hidden="1">{#N/A,#N/A,TRUE,"NAE";#N/A,#N/A,TRUE,"CR";#N/A,#N/A,TRUE,"CS";#N/A,#N/A,TRUE,"CC"}</definedName>
    <definedName name="ILIULO" localSheetId="8" hidden="1">{#N/A,#N/A,TRUE,"NAE";#N/A,#N/A,TRUE,"CR";#N/A,#N/A,TRUE,"CS";#N/A,#N/A,TRUE,"CC"}</definedName>
    <definedName name="ILIULO" hidden="1">{#N/A,#N/A,TRUE,"NAE";#N/A,#N/A,TRUE,"CR";#N/A,#N/A,TRUE,"CS";#N/A,#N/A,TRUE,"CC"}</definedName>
    <definedName name="ILKJM" localSheetId="8" hidden="1">{#N/A,#N/A,TRUE,"NAE";#N/A,#N/A,TRUE,"CR";#N/A,#N/A,TRUE,"CS";#N/A,#N/A,TRUE,"CC"}</definedName>
    <definedName name="ILKJM" hidden="1">{#N/A,#N/A,TRUE,"NAE";#N/A,#N/A,TRUE,"CR";#N/A,#N/A,TRUE,"CS";#N/A,#N/A,TRUE,"CC"}</definedName>
    <definedName name="ILOILOÑ" localSheetId="8" hidden="1">{#N/A,#N/A,TRUE,"NAE";#N/A,#N/A,TRUE,"CR";#N/A,#N/A,TRUE,"CS";#N/A,#N/A,TRUE,"CC"}</definedName>
    <definedName name="ILOILOÑ" hidden="1">{#N/A,#N/A,TRUE,"NAE";#N/A,#N/A,TRUE,"CR";#N/A,#N/A,TRUE,"CS";#N/A,#N/A,TRUE,"CC"}</definedName>
    <definedName name="Imp_Venta_Mina">#REF!</definedName>
    <definedName name="Importaciones">#REF!</definedName>
    <definedName name="Imput_Combustibles">#REF!</definedName>
    <definedName name="INF">#REF!</definedName>
    <definedName name="InFinalcemento">#REF!</definedName>
    <definedName name="InFinalclinkfab">#REF!</definedName>
    <definedName name="ingenieros">#REF!</definedName>
    <definedName name="InInicialCaliza">#REF!</definedName>
    <definedName name="InInicialcemento">#REF!</definedName>
    <definedName name="InInicialclinkfab">#REF!</definedName>
    <definedName name="InInicialPasta">#REF!</definedName>
    <definedName name="INSUFLADO">#REF!</definedName>
    <definedName name="INSUM96">#REF!</definedName>
    <definedName name="Inv_Sost_COP">#REF!</definedName>
    <definedName name="Inv_Sost_USD">#REF!</definedName>
    <definedName name="inven" localSheetId="8" hidden="1">{#N/A,#N/A,FALSE,"balance";#N/A,#N/A,FALSE,"PYG"}</definedName>
    <definedName name="inven" hidden="1">{#N/A,#N/A,FALSE,"balance";#N/A,#N/A,FALSE,"PYG"}</definedName>
    <definedName name="Inversion_2">#REF!</definedName>
    <definedName name="IOERHJRE" localSheetId="8" hidden="1">{#N/A,#N/A,TRUE,"NAE";#N/A,#N/A,TRUE,"CR";#N/A,#N/A,TRUE,"CS";#N/A,#N/A,TRUE,"CC"}</definedName>
    <definedName name="IOERHJRE" hidden="1">{#N/A,#N/A,TRUE,"NAE";#N/A,#N/A,TRUE,"CR";#N/A,#N/A,TRUE,"CS";#N/A,#N/A,TRUE,"CC"}</definedName>
    <definedName name="IQ_ACCOUNT_CHANGE" hidden="1">"c1449"</definedName>
    <definedName name="IQ_ACCOUNTS_PAY" hidden="1">"c1343"</definedName>
    <definedName name="IQ_ACCR_INT_PAY" hidden="1">"c1"</definedName>
    <definedName name="IQ_ACCR_INT_PAY_CF" hidden="1">"c2"</definedName>
    <definedName name="IQ_ACCR_INT_RECEIV" hidden="1">"c3"</definedName>
    <definedName name="IQ_ACCR_INT_RECEIV_CF" hidden="1">"c4"</definedName>
    <definedName name="IQ_ACCRUED_EXP" hidden="1">"c1341"</definedName>
    <definedName name="IQ_ACCT_RECV_10YR_ANN_GROWTH" hidden="1">"c1924"</definedName>
    <definedName name="IQ_ACCT_RECV_1YR_ANN_GROWTH" hidden="1">"c1919"</definedName>
    <definedName name="IQ_ACCT_RECV_2YR_ANN_GROWTH" hidden="1">"c1920"</definedName>
    <definedName name="IQ_ACCT_RECV_3YR_ANN_GROWTH" hidden="1">"c1921"</definedName>
    <definedName name="IQ_ACCT_RECV_5YR_ANN_GROWTH" hidden="1">"c1922"</definedName>
    <definedName name="IQ_ACCT_RECV_7YR_ANN_GROWTH" hidden="1">"c1923"</definedName>
    <definedName name="IQ_ACCUM_DEP" hidden="1">"c1340"</definedName>
    <definedName name="IQ_ACCUMULATED_PENSION_OBLIGATION" hidden="1">"c2244"</definedName>
    <definedName name="IQ_ACCUMULATED_PENSION_OBLIGATION_DOMESTIC" hidden="1">"c2657"</definedName>
    <definedName name="IQ_ACCUMULATED_PENSION_OBLIGATION_FOREIGN" hidden="1">"c2665"</definedName>
    <definedName name="IQ_ACQ_COST_SUB" hidden="1">"c2125"</definedName>
    <definedName name="IQ_ACQ_COSTS_CAPITALIZED" hidden="1">"c5"</definedName>
    <definedName name="IQ_ACQUIRE_REAL_ESTATE_CF" hidden="1">"c6"</definedName>
    <definedName name="IQ_ACQUISITION_RE_ASSETS" hidden="1">"c1628"</definedName>
    <definedName name="IQ_AD" hidden="1">"c7"</definedName>
    <definedName name="IQ_ADD_PAID_IN" hidden="1">"c1344"</definedName>
    <definedName name="IQ_ADJ_AVG_BANK_ASSETS" hidden="1">"c2671"</definedName>
    <definedName name="IQ_ADMIN_RATIO" hidden="1">"c2784"</definedName>
    <definedName name="IQ_ADVERTISING" hidden="1">"c2246"</definedName>
    <definedName name="IQ_ADVERTISING_MARKETING" hidden="1">"c1566"</definedName>
    <definedName name="IQ_AE" hidden="1">"c8"</definedName>
    <definedName name="IQ_AE_BNK" hidden="1">"c9"</definedName>
    <definedName name="IQ_AE_BR" hidden="1">"c10"</definedName>
    <definedName name="IQ_AE_FIN" hidden="1">"c11"</definedName>
    <definedName name="IQ_AE_INS" hidden="1">"c12"</definedName>
    <definedName name="IQ_AE_REIT" hidden="1">"c13"</definedName>
    <definedName name="IQ_AE_UTI" hidden="1">"c14"</definedName>
    <definedName name="IQ_AH_EARNED" hidden="1">"c2744"</definedName>
    <definedName name="IQ_AH_POLICY_BENEFITS_EXP" hidden="1">"c2789"</definedName>
    <definedName name="IQ_AIR_AIRPLANES_NOT_IN_SERVICE" hidden="1">"c2842"</definedName>
    <definedName name="IQ_AIR_AIRPLANES_SUBLEASED" hidden="1">"c2841"</definedName>
    <definedName name="IQ_AIR_ASK" hidden="1">"c2813"</definedName>
    <definedName name="IQ_AIR_ASK_INCREASE" hidden="1">"c2826"</definedName>
    <definedName name="IQ_AIR_ASM" hidden="1">"c2812"</definedName>
    <definedName name="IQ_AIR_ASM_INCREASE" hidden="1">"c2825"</definedName>
    <definedName name="IQ_AIR_AVG_AGE" hidden="1">"c2843"</definedName>
    <definedName name="IQ_AIR_BREAK_EVEN_FACTOR" hidden="1">"c2822"</definedName>
    <definedName name="IQ_AIR_CAPITAL_LEASE" hidden="1">"c2833"</definedName>
    <definedName name="IQ_AIR_COMPLETION_FACTOR" hidden="1">"c2824"</definedName>
    <definedName name="IQ_AIR_ENPLANED_PSGRS" hidden="1">"c2809"</definedName>
    <definedName name="IQ_AIR_FUEL_CONSUMED" hidden="1">"c2806"</definedName>
    <definedName name="IQ_AIR_FUEL_CONSUMED_L" hidden="1">"c2807"</definedName>
    <definedName name="IQ_AIR_FUEL_COST" hidden="1">"c2803"</definedName>
    <definedName name="IQ_AIR_FUEL_COST_L" hidden="1">"c2804"</definedName>
    <definedName name="IQ_AIR_FUEL_EXP" hidden="1">"c2802"</definedName>
    <definedName name="IQ_AIR_FUEL_EXP_PERCENT" hidden="1">"c2805"</definedName>
    <definedName name="IQ_AIR_LEASED" hidden="1">"c2835"</definedName>
    <definedName name="IQ_AIR_LOAD_FACTOR" hidden="1">"c2823"</definedName>
    <definedName name="IQ_AIR_NEW_AIRPLANES" hidden="1">"c2839"</definedName>
    <definedName name="IQ_AIR_OPER_EXP_ASK" hidden="1">"c2821"</definedName>
    <definedName name="IQ_AIR_OPER_EXP_ASM" hidden="1">"c2820"</definedName>
    <definedName name="IQ_AIR_OPER_LEASE" hidden="1">"c2834"</definedName>
    <definedName name="IQ_AIR_OPER_REV_YIELD_ASK" hidden="1">"c2819"</definedName>
    <definedName name="IQ_AIR_OPER_REV_YIELD_ASM" hidden="1">"c2818"</definedName>
    <definedName name="IQ_AIR_OPTIONS" hidden="1">"c2837"</definedName>
    <definedName name="IQ_AIR_ORDERS" hidden="1">"c2836"</definedName>
    <definedName name="IQ_AIR_OWNED" hidden="1">"c2832"</definedName>
    <definedName name="IQ_AIR_PSGR_REV_YIELD_ASK" hidden="1">"c2817"</definedName>
    <definedName name="IQ_AIR_PSGR_REV_YIELD_ASM" hidden="1">"c2816"</definedName>
    <definedName name="IQ_AIR_PSGR_REV_YIELD_RPK" hidden="1">"c2815"</definedName>
    <definedName name="IQ_AIR_PSGR_REV_YIELD_RPM" hidden="1">"c2814"</definedName>
    <definedName name="IQ_AIR_PURCHASE_RIGHTS" hidden="1">"c2838"</definedName>
    <definedName name="IQ_AIR_RETIRED_AIRPLANES" hidden="1">"c2840"</definedName>
    <definedName name="IQ_AIR_REV_PSGRS_CARRIED" hidden="1">"c2808"</definedName>
    <definedName name="IQ_AIR_REV_SCHEDULED_SERVICE" hidden="1">"c2830"</definedName>
    <definedName name="IQ_AIR_RPK" hidden="1">"c2811"</definedName>
    <definedName name="IQ_AIR_RPM" hidden="1">"c2810"</definedName>
    <definedName name="IQ_AIR_STAGE_LENGTH" hidden="1">"c2828"</definedName>
    <definedName name="IQ_AIR_STAGE_LENGTH_KM" hidden="1">"c2829"</definedName>
    <definedName name="IQ_AIR_TOTAL" hidden="1">"c2831"</definedName>
    <definedName name="IQ_AIR_UTILIZATION" hidden="1">"c2827"</definedName>
    <definedName name="IQ_ALLOW_BORROW_CONST" hidden="1">"c15"</definedName>
    <definedName name="IQ_ALLOW_CONST" hidden="1">"c1342"</definedName>
    <definedName name="IQ_ALLOW_DOUBT_ACCT" hidden="1">"c2092"</definedName>
    <definedName name="IQ_ALLOW_EQUITY_CONST" hidden="1">"c16"</definedName>
    <definedName name="IQ_ALLOW_LL" hidden="1">"c17"</definedName>
    <definedName name="IQ_ALLOWANCE_10YR_ANN_GROWTH" hidden="1">"c18"</definedName>
    <definedName name="IQ_ALLOWANCE_1YR_ANN_GROWTH" hidden="1">"c19"</definedName>
    <definedName name="IQ_ALLOWANCE_2YR_ANN_GROWTH" hidden="1">"c20"</definedName>
    <definedName name="IQ_ALLOWANCE_3YR_ANN_GROWTH" hidden="1">"c21"</definedName>
    <definedName name="IQ_ALLOWANCE_5YR_ANN_GROWTH" hidden="1">"c22"</definedName>
    <definedName name="IQ_ALLOWANCE_7YR_ANN_GROWTH" hidden="1">"c23"</definedName>
    <definedName name="IQ_ALLOWANCE_CHARGE_OFFS" hidden="1">"c24"</definedName>
    <definedName name="IQ_ALLOWANCE_NON_PERF_LOANS" hidden="1">"c25"</definedName>
    <definedName name="IQ_ALLOWANCE_TOTAL_LOANS" hidden="1">"c26"</definedName>
    <definedName name="IQ_AMORTIZATION" hidden="1">"c1591"</definedName>
    <definedName name="IQ_AMT_OUT" hidden="1">"c2145"</definedName>
    <definedName name="IQ_ANNU_DISTRIBUTION_UNIT" hidden="1">"c3004"</definedName>
    <definedName name="IQ_ANNUALIZED_DIVIDEND" hidden="1">"c1579"</definedName>
    <definedName name="IQ_ANNUITY_LIAB" hidden="1">"c27"</definedName>
    <definedName name="IQ_ANNUITY_PAY" hidden="1">"c28"</definedName>
    <definedName name="IQ_ANNUITY_POLICY_EXP" hidden="1">"c29"</definedName>
    <definedName name="IQ_ANNUITY_REC" hidden="1">"c30"</definedName>
    <definedName name="IQ_ANNUITY_REV" hidden="1">"c31"</definedName>
    <definedName name="IQ_AP" hidden="1">"c32"</definedName>
    <definedName name="IQ_AP_BNK" hidden="1">"c33"</definedName>
    <definedName name="IQ_AP_BR" hidden="1">"c34"</definedName>
    <definedName name="IQ_AP_FIN" hidden="1">"c35"</definedName>
    <definedName name="IQ_AP_INS" hidden="1">"c36"</definedName>
    <definedName name="IQ_AP_REIT" hidden="1">"c37"</definedName>
    <definedName name="IQ_AP_UTI" hidden="1">"c38"</definedName>
    <definedName name="IQ_APIC" hidden="1">"c39"</definedName>
    <definedName name="IQ_AR" hidden="1">"c40"</definedName>
    <definedName name="IQ_AR_BR" hidden="1">"c41"</definedName>
    <definedName name="IQ_AR_LT" hidden="1">"c42"</definedName>
    <definedName name="IQ_AR_REIT" hidden="1">"c43"</definedName>
    <definedName name="IQ_AR_TURNS" hidden="1">"c44"</definedName>
    <definedName name="IQ_AR_UTI" hidden="1">"c45"</definedName>
    <definedName name="IQ_ARPU" hidden="1">"c2126"</definedName>
    <definedName name="IQ_ASSET_MGMT_FEE" hidden="1">"c46"</definedName>
    <definedName name="IQ_ASSET_TURNS" hidden="1">"c47"</definedName>
    <definedName name="IQ_ASSET_WRITEDOWN" hidden="1">"c48"</definedName>
    <definedName name="IQ_ASSET_WRITEDOWN_BNK" hidden="1">"c49"</definedName>
    <definedName name="IQ_ASSET_WRITEDOWN_BR" hidden="1">"c50"</definedName>
    <definedName name="IQ_ASSET_WRITEDOWN_CF" hidden="1">"c51"</definedName>
    <definedName name="IQ_ASSET_WRITEDOWN_CF_BNK" hidden="1">"c52"</definedName>
    <definedName name="IQ_ASSET_WRITEDOWN_CF_BR" hidden="1">"c53"</definedName>
    <definedName name="IQ_ASSET_WRITEDOWN_CF_FIN" hidden="1">"c54"</definedName>
    <definedName name="IQ_ASSET_WRITEDOWN_CF_INS" hidden="1">"c55"</definedName>
    <definedName name="IQ_ASSET_WRITEDOWN_CF_REIT" hidden="1">"c56"</definedName>
    <definedName name="IQ_ASSET_WRITEDOWN_CF_UTI" hidden="1">"c57"</definedName>
    <definedName name="IQ_ASSET_WRITEDOWN_FIN" hidden="1">"c58"</definedName>
    <definedName name="IQ_ASSET_WRITEDOWN_INS" hidden="1">"c59"</definedName>
    <definedName name="IQ_ASSET_WRITEDOWN_REIT" hidden="1">"c60"</definedName>
    <definedName name="IQ_ASSET_WRITEDOWN_UTI" hidden="1">"c61"</definedName>
    <definedName name="IQ_ASSETS_CAP_LEASE_DEPR" hidden="1">"c2068"</definedName>
    <definedName name="IQ_ASSETS_CAP_LEASE_GROSS" hidden="1">"c2069"</definedName>
    <definedName name="IQ_ASSETS_OPER_LEASE_DEPR" hidden="1">"c2070"</definedName>
    <definedName name="IQ_ASSETS_OPER_LEASE_GROSS" hidden="1">"c2071"</definedName>
    <definedName name="IQ_ASSUMED_AH_EARNED" hidden="1">"c2741"</definedName>
    <definedName name="IQ_ASSUMED_EARNED" hidden="1">"c2731"</definedName>
    <definedName name="IQ_ASSUMED_LIFE_EARNED" hidden="1">"c2736"</definedName>
    <definedName name="IQ_ASSUMED_LIFE_IN_FORCE" hidden="1">"c2766"</definedName>
    <definedName name="IQ_ASSUMED_PC_EARNED" hidden="1">"c2746"</definedName>
    <definedName name="IQ_ASSUMED_WRITTEN" hidden="1">"c2725"</definedName>
    <definedName name="IQ_AUDITOR_NAME" hidden="1">"c1539"</definedName>
    <definedName name="IQ_AUDITOR_OPINION" hidden="1">"c1540"</definedName>
    <definedName name="IQ_AUTO_WRITTEN" hidden="1">"c62"</definedName>
    <definedName name="IQ_AVG_BANK_ASSETS" hidden="1">"c2072"</definedName>
    <definedName name="IQ_AVG_BANK_LOANS" hidden="1">"c2073"</definedName>
    <definedName name="IQ_AVG_BROKER_REC" hidden="1">"c63"</definedName>
    <definedName name="IQ_AVG_BROKER_REC_NO" hidden="1">"c64"</definedName>
    <definedName name="IQ_AVG_DAILY_VOL" hidden="1">"c65"</definedName>
    <definedName name="IQ_AVG_INT_BEAR_LIAB" hidden="1">"c66"</definedName>
    <definedName name="IQ_AVG_INT_BEAR_LIAB_10YR_ANN_GROWTH" hidden="1">"c67"</definedName>
    <definedName name="IQ_AVG_INT_BEAR_LIAB_1YR_ANN_GROWTH" hidden="1">"c68"</definedName>
    <definedName name="IQ_AVG_INT_BEAR_LIAB_2YR_ANN_GROWTH" hidden="1">"c69"</definedName>
    <definedName name="IQ_AVG_INT_BEAR_LIAB_3YR_ANN_GROWTH" hidden="1">"c70"</definedName>
    <definedName name="IQ_AVG_INT_BEAR_LIAB_5YR_ANN_GROWTH" hidden="1">"c71"</definedName>
    <definedName name="IQ_AVG_INT_BEAR_LIAB_7YR_ANN_GROWTH" hidden="1">"c72"</definedName>
    <definedName name="IQ_AVG_INT_EARN_ASSETS" hidden="1">"c73"</definedName>
    <definedName name="IQ_AVG_INT_EARN_ASSETS_10YR_ANN_GROWTH" hidden="1">"c74"</definedName>
    <definedName name="IQ_AVG_INT_EARN_ASSETS_1YR_ANN_GROWTH" hidden="1">"c75"</definedName>
    <definedName name="IQ_AVG_INT_EARN_ASSETS_2YR_ANN_GROWTH" hidden="1">"c76"</definedName>
    <definedName name="IQ_AVG_INT_EARN_ASSETS_3YR_ANN_GROWTH" hidden="1">"c77"</definedName>
    <definedName name="IQ_AVG_INT_EARN_ASSETS_5YR_ANN_GROWTH" hidden="1">"c78"</definedName>
    <definedName name="IQ_AVG_INT_EARN_ASSETS_7YR_ANN_GROWTH" hidden="1">"c79"</definedName>
    <definedName name="IQ_AVG_MKTCAP" hidden="1">"c80"</definedName>
    <definedName name="IQ_AVG_PRICE" hidden="1">"c81"</definedName>
    <definedName name="IQ_AVG_SHAREOUTSTANDING" hidden="1">"c83"</definedName>
    <definedName name="IQ_AVG_TEV" hidden="1">"c84"</definedName>
    <definedName name="IQ_AVG_VOLUME" hidden="1">"c1346"</definedName>
    <definedName name="IQ_BANK_DEBT" hidden="1">"c2544"</definedName>
    <definedName name="IQ_BANK_DEBT_PCT" hidden="1">"c2545"</definedName>
    <definedName name="IQ_BASIC_EPS_EXCL" hidden="1">"c85"</definedName>
    <definedName name="IQ_BASIC_EPS_INCL" hidden="1">"c86"</definedName>
    <definedName name="IQ_BASIC_NORMAL_EPS" hidden="1">"c1592"</definedName>
    <definedName name="IQ_BASIC_WEIGHT" hidden="1">"c87"</definedName>
    <definedName name="IQ_BENCHMARK_SECURITY" hidden="1">"c2154"</definedName>
    <definedName name="IQ_BENCHMARK_SPRD" hidden="1">"c2153"</definedName>
    <definedName name="IQ_BETA" hidden="1">"c2133"</definedName>
    <definedName name="IQ_BETA_1YR" hidden="1">"c1966"</definedName>
    <definedName name="IQ_BETA_1YR_RSQ" hidden="1">"c2132"</definedName>
    <definedName name="IQ_BETA_2YR" hidden="1">"c1965"</definedName>
    <definedName name="IQ_BETA_2YR_RSQ" hidden="1">"c2131"</definedName>
    <definedName name="IQ_BETA_5YR" hidden="1">"c88"</definedName>
    <definedName name="IQ_BETA_5YR_RSQ" hidden="1">"c2130"</definedName>
    <definedName name="IQ_BIG_INT_BEAR_CD" hidden="1">"c89"</definedName>
    <definedName name="IQ_BOARD_MEMBER" hidden="1">"c96"</definedName>
    <definedName name="IQ_BOARD_MEMBER_BACKGROUND" hidden="1">"c2101"</definedName>
    <definedName name="IQ_BOARD_MEMBER_TITLE" hidden="1">"c97"</definedName>
    <definedName name="IQ_BOND_COUPON" hidden="1">"c2183"</definedName>
    <definedName name="IQ_BOND_COUPON_TYPE" hidden="1">"c2184"</definedName>
    <definedName name="IQ_BOND_PRICE" hidden="1">"c2162"</definedName>
    <definedName name="IQ_BROK_COMISSION" hidden="1">"c98"</definedName>
    <definedName name="IQ_BUILDINGS" hidden="1">"c99"</definedName>
    <definedName name="IQ_BUSINESS_DESCRIPTION" hidden="1">"c322"</definedName>
    <definedName name="IQ_BV_OVER_SHARES" hidden="1">"c1349"</definedName>
    <definedName name="IQ_BV_SHARE" hidden="1">"c100"</definedName>
    <definedName name="IQ_CABLE_ARPU" hidden="1">"c2869"</definedName>
    <definedName name="IQ_CABLE_ARPU_ANALOG" hidden="1">"c2864"</definedName>
    <definedName name="IQ_CABLE_ARPU_BASIC" hidden="1">"c2866"</definedName>
    <definedName name="IQ_CABLE_ARPU_BBAND" hidden="1">"c2867"</definedName>
    <definedName name="IQ_CABLE_ARPU_DIG" hidden="1">"c2865"</definedName>
    <definedName name="IQ_CABLE_ARPU_PHONE" hidden="1">"c2868"</definedName>
    <definedName name="IQ_CABLE_BASIC_PENETRATION" hidden="1">"c2850"</definedName>
    <definedName name="IQ_CABLE_BBAND_PENETRATION" hidden="1">"c2852"</definedName>
    <definedName name="IQ_CABLE_BBAND_PENETRATION_THP" hidden="1">"c2851"</definedName>
    <definedName name="IQ_CABLE_CHURN" hidden="1">"c2874"</definedName>
    <definedName name="IQ_CABLE_CHURN_BASIC" hidden="1">"c2871"</definedName>
    <definedName name="IQ_CABLE_CHURN_BBAND" hidden="1">"c2872"</definedName>
    <definedName name="IQ_CABLE_CHURN_DIG" hidden="1">"c2870"</definedName>
    <definedName name="IQ_CABLE_CHURN_PHONE" hidden="1">"c2873"</definedName>
    <definedName name="IQ_CABLE_HOMES_PER_MILE" hidden="1">"c2849"</definedName>
    <definedName name="IQ_CABLE_HP_BBAND" hidden="1">"c2845"</definedName>
    <definedName name="IQ_CABLE_HP_DIG" hidden="1">"c2844"</definedName>
    <definedName name="IQ_CABLE_HP_PHONE" hidden="1">"c2846"</definedName>
    <definedName name="IQ_CABLE_MILES_PASSED" hidden="1">"c2848"</definedName>
    <definedName name="IQ_CABLE_OTHER_REV" hidden="1">"c2882"</definedName>
    <definedName name="IQ_CABLE_PHONE_PENETRATION" hidden="1">"c2853"</definedName>
    <definedName name="IQ_CABLE_PROGRAMMING_COSTS" hidden="1">"c2884"</definedName>
    <definedName name="IQ_CABLE_REV_ADVERT" hidden="1">"c2880"</definedName>
    <definedName name="IQ_CABLE_REV_ANALOG" hidden="1">"c2875"</definedName>
    <definedName name="IQ_CABLE_REV_BASIC" hidden="1">"c2877"</definedName>
    <definedName name="IQ_CABLE_REV_BBAND" hidden="1">"c2878"</definedName>
    <definedName name="IQ_CABLE_REV_COMMERCIAL" hidden="1">"c2881"</definedName>
    <definedName name="IQ_CABLE_REV_DIG" hidden="1">"c2876"</definedName>
    <definedName name="IQ_CABLE_REV_PHONE" hidden="1">"c2879"</definedName>
    <definedName name="IQ_CABLE_RGU" hidden="1">"c2863"</definedName>
    <definedName name="IQ_CABLE_SUBS_ANALOG" hidden="1">"c2855"</definedName>
    <definedName name="IQ_CABLE_SUBS_BASIC" hidden="1">"c2857"</definedName>
    <definedName name="IQ_CABLE_SUBS_BBAND" hidden="1">"c2858"</definedName>
    <definedName name="IQ_CABLE_SUBS_BUNDLED" hidden="1">"c2861"</definedName>
    <definedName name="IQ_CABLE_SUBS_DIG" hidden="1">"c2856"</definedName>
    <definedName name="IQ_CABLE_SUBS_NON_VIDEO" hidden="1">"c2860"</definedName>
    <definedName name="IQ_CABLE_SUBS_PHONE" hidden="1">"c2859"</definedName>
    <definedName name="IQ_CABLE_SUBS_TOTAL" hidden="1">"c2862"</definedName>
    <definedName name="IQ_CABLE_THP" hidden="1">"c2847"</definedName>
    <definedName name="IQ_CABLE_TOTAL_PENETRATION" hidden="1">"c2854"</definedName>
    <definedName name="IQ_CABLE_TOTAL_REV" hidden="1">"c2883"</definedName>
    <definedName name="IQ_CAL_Q" hidden="1">"c101"</definedName>
    <definedName name="IQ_CAL_Y" hidden="1">"c102"</definedName>
    <definedName name="IQ_CALC_TYPE_BS" hidden="1">"c3086"</definedName>
    <definedName name="IQ_CALC_TYPE_CF" hidden="1">"c3085"</definedName>
    <definedName name="IQ_CALC_TYPE_IS" hidden="1">"c3084"</definedName>
    <definedName name="IQ_CALL_FEATURE" hidden="1">"c2197"</definedName>
    <definedName name="IQ_CALLABLE" hidden="1">"c2196"</definedName>
    <definedName name="IQ_CAP_LOSS_CF_1YR" hidden="1">"c3474"</definedName>
    <definedName name="IQ_CAP_LOSS_CF_2YR" hidden="1">"c3475"</definedName>
    <definedName name="IQ_CAP_LOSS_CF_3YR" hidden="1">"c3476"</definedName>
    <definedName name="IQ_CAP_LOSS_CF_4YR" hidden="1">"c3477"</definedName>
    <definedName name="IQ_CAP_LOSS_CF_5YR" hidden="1">"c3478"</definedName>
    <definedName name="IQ_CAP_LOSS_CF_AFTER_FIVE" hidden="1">"c3479"</definedName>
    <definedName name="IQ_CAP_LOSS_CF_MAX_YEAR" hidden="1">"c3482"</definedName>
    <definedName name="IQ_CAP_LOSS_CF_NO_EXP" hidden="1">"c3480"</definedName>
    <definedName name="IQ_CAP_LOSS_CF_TOTAL" hidden="1">"c3481"</definedName>
    <definedName name="IQ_CAPEX" hidden="1">"c103"</definedName>
    <definedName name="IQ_CAPEX_10YR_ANN_GROWTH" hidden="1">"c104"</definedName>
    <definedName name="IQ_CAPEX_1YR_ANN_GROWTH" hidden="1">"c105"</definedName>
    <definedName name="IQ_CAPEX_2YR_ANN_GROWTH" hidden="1">"c106"</definedName>
    <definedName name="IQ_CAPEX_3YR_ANN_GROWTH" hidden="1">"c107"</definedName>
    <definedName name="IQ_CAPEX_5YR_ANN_GROWTH" hidden="1">"c108"</definedName>
    <definedName name="IQ_CAPEX_7YR_ANN_GROWTH" hidden="1">"c109"</definedName>
    <definedName name="IQ_CAPEX_BNK" hidden="1">"c110"</definedName>
    <definedName name="IQ_CAPEX_BR" hidden="1">"c111"</definedName>
    <definedName name="IQ_CAPEX_FIN" hidden="1">"c112"</definedName>
    <definedName name="IQ_CAPEX_INS" hidden="1">"c113"</definedName>
    <definedName name="IQ_CAPEX_UTI" hidden="1">"c114"</definedName>
    <definedName name="IQ_CAPITAL_LEASE" hidden="1">"c1350"</definedName>
    <definedName name="IQ_CAPITAL_LEASES" hidden="1">"c115"</definedName>
    <definedName name="IQ_CAPITAL_LEASES_TOTAL" hidden="1">"c3031"</definedName>
    <definedName name="IQ_CAPITAL_LEASES_TOTAL_PCT" hidden="1">"c2506"</definedName>
    <definedName name="IQ_CAPITALIZED_INTEREST" hidden="1">"c2076"</definedName>
    <definedName name="IQ_CAPITALIZED_INTEREST_BOP" hidden="1">"c3459"</definedName>
    <definedName name="IQ_CAPITALIZED_INTEREST_EOP" hidden="1">"c3464"</definedName>
    <definedName name="IQ_CAPITALIZED_INTEREST_EXP" hidden="1">"c3461"</definedName>
    <definedName name="IQ_CAPITALIZED_INTEREST_OTHER_ADJ" hidden="1">"c3463"</definedName>
    <definedName name="IQ_CAPITALIZED_INTEREST_WRITE_OFF" hidden="1">"c3462"</definedName>
    <definedName name="IQ_CASH" hidden="1">"c1458"</definedName>
    <definedName name="IQ_CASH_ACQUIRE_CF" hidden="1">"c1630"</definedName>
    <definedName name="IQ_CASH_CONVERSION" hidden="1">"c117"</definedName>
    <definedName name="IQ_CASH_DUE_BANKS" hidden="1">"c1351"</definedName>
    <definedName name="IQ_CASH_EQUIV" hidden="1">"c118"</definedName>
    <definedName name="IQ_CASH_FINAN" hidden="1">"c119"</definedName>
    <definedName name="IQ_CASH_INTEREST" hidden="1">"c120"</definedName>
    <definedName name="IQ_CASH_INVEST" hidden="1">"c121"</definedName>
    <definedName name="IQ_CASH_OPER" hidden="1">"c122"</definedName>
    <definedName name="IQ_CASH_SEGREG" hidden="1">"c123"</definedName>
    <definedName name="IQ_CASH_SHARE" hidden="1">"c1911"</definedName>
    <definedName name="IQ_CASH_ST" hidden="1">"c1355"</definedName>
    <definedName name="IQ_CASH_ST_INVEST" hidden="1">"c124"</definedName>
    <definedName name="IQ_CASH_TAXES" hidden="1">"c125"</definedName>
    <definedName name="IQ_CEDED_AH_EARNED" hidden="1">"c2743"</definedName>
    <definedName name="IQ_CEDED_CLAIM_EXP_INCUR" hidden="1">"c2756"</definedName>
    <definedName name="IQ_CEDED_CLAIM_EXP_PAID" hidden="1">"c2759"</definedName>
    <definedName name="IQ_CEDED_CLAIM_EXP_RES" hidden="1">"c2753"</definedName>
    <definedName name="IQ_CEDED_EARNED" hidden="1">"c2733"</definedName>
    <definedName name="IQ_CEDED_LIFE_EARNED" hidden="1">"c2738"</definedName>
    <definedName name="IQ_CEDED_LIFE_IN_FORCE" hidden="1">"c2768"</definedName>
    <definedName name="IQ_CEDED_PC_EARNED" hidden="1">"c2748"</definedName>
    <definedName name="IQ_CEDED_WRITTEN" hidden="1">"c2727"</definedName>
    <definedName name="IQ_CFO_10YR_ANN_GROWTH" hidden="1">"c126"</definedName>
    <definedName name="IQ_CFO_1YR_ANN_GROWTH" hidden="1">"c127"</definedName>
    <definedName name="IQ_CFO_2YR_ANN_GROWTH" hidden="1">"c128"</definedName>
    <definedName name="IQ_CFO_3YR_ANN_GROWTH" hidden="1">"c129"</definedName>
    <definedName name="IQ_CFO_5YR_ANN_GROWTH" hidden="1">"c130"</definedName>
    <definedName name="IQ_CFO_7YR_ANN_GROWTH" hidden="1">"c131"</definedName>
    <definedName name="IQ_CFO_CURRENT_LIAB" hidden="1">"c132"</definedName>
    <definedName name="IQ_CHANGE_AP" hidden="1">"c133"</definedName>
    <definedName name="IQ_CHANGE_AP_BNK" hidden="1">"c134"</definedName>
    <definedName name="IQ_CHANGE_AP_BR" hidden="1">"c135"</definedName>
    <definedName name="IQ_CHANGE_AP_FIN" hidden="1">"c136"</definedName>
    <definedName name="IQ_CHANGE_AP_INS" hidden="1">"c137"</definedName>
    <definedName name="IQ_CHANGE_AP_REIT" hidden="1">"c138"</definedName>
    <definedName name="IQ_CHANGE_AP_UTI" hidden="1">"c139"</definedName>
    <definedName name="IQ_CHANGE_AR" hidden="1">"c140"</definedName>
    <definedName name="IQ_CHANGE_AR_BNK" hidden="1">"c141"</definedName>
    <definedName name="IQ_CHANGE_AR_BR" hidden="1">"c142"</definedName>
    <definedName name="IQ_CHANGE_AR_FIN" hidden="1">"c143"</definedName>
    <definedName name="IQ_CHANGE_AR_INS" hidden="1">"c144"</definedName>
    <definedName name="IQ_CHANGE_AR_REIT" hidden="1">"c145"</definedName>
    <definedName name="IQ_CHANGE_AR_UTI" hidden="1">"c146"</definedName>
    <definedName name="IQ_CHANGE_DEF_TAX" hidden="1">"c147"</definedName>
    <definedName name="IQ_CHANGE_DEPOSIT_ACCT" hidden="1">"c148"</definedName>
    <definedName name="IQ_CHANGE_INC_TAX" hidden="1">"c149"</definedName>
    <definedName name="IQ_CHANGE_INS_RES_LIAB" hidden="1">"c150"</definedName>
    <definedName name="IQ_CHANGE_INVENTORY" hidden="1">"c151"</definedName>
    <definedName name="IQ_CHANGE_NET_OPER_ASSETS" hidden="1">"c3592"</definedName>
    <definedName name="IQ_CHANGE_NET_WORKING_CAPITAL" hidden="1">"c1909"</definedName>
    <definedName name="IQ_CHANGE_OTHER_NET_OPER_ASSETS" hidden="1">"c3593"</definedName>
    <definedName name="IQ_CHANGE_OTHER_NET_OPER_ASSETS_BNK" hidden="1">"c3594"</definedName>
    <definedName name="IQ_CHANGE_OTHER_NET_OPER_ASSETS_BR" hidden="1">"c3595"</definedName>
    <definedName name="IQ_CHANGE_OTHER_NET_OPER_ASSETS_FIN" hidden="1">"c3596"</definedName>
    <definedName name="IQ_CHANGE_OTHER_NET_OPER_ASSETS_INS" hidden="1">"c3597"</definedName>
    <definedName name="IQ_CHANGE_OTHER_NET_OPER_ASSETS_REIT" hidden="1">"c3598"</definedName>
    <definedName name="IQ_CHANGE_OTHER_NET_OPER_ASSETS_UTI" hidden="1">"c3599"</definedName>
    <definedName name="IQ_CHANGE_OTHER_WORK_CAP" hidden="1">"c152"</definedName>
    <definedName name="IQ_CHANGE_OTHER_WORK_CAP_BNK" hidden="1">"c153"</definedName>
    <definedName name="IQ_CHANGE_OTHER_WORK_CAP_BR" hidden="1">"c154"</definedName>
    <definedName name="IQ_CHANGE_OTHER_WORK_CAP_FIN" hidden="1">"c155"</definedName>
    <definedName name="IQ_CHANGE_OTHER_WORK_CAP_INS" hidden="1">"c156"</definedName>
    <definedName name="IQ_CHANGE_OTHER_WORK_CAP_REIT" hidden="1">"c157"</definedName>
    <definedName name="IQ_CHANGE_OTHER_WORK_CAP_UTI" hidden="1">"c158"</definedName>
    <definedName name="IQ_CHANGE_TRADING_ASSETS" hidden="1">"c159"</definedName>
    <definedName name="IQ_CHANGE_UNEARN_REV" hidden="1">"c160"</definedName>
    <definedName name="IQ_CHANGE_WORK_CAP" hidden="1">"c161"</definedName>
    <definedName name="IQ_CHANGES_WORK_CAP" hidden="1">"c1357"</definedName>
    <definedName name="IQ_CHARGE_OFFS_GROSS" hidden="1">"c162"</definedName>
    <definedName name="IQ_CHARGE_OFFS_NET" hidden="1">"c163"</definedName>
    <definedName name="IQ_CHARGE_OFFS_RECOVERED" hidden="1">"c164"</definedName>
    <definedName name="IQ_CHARGE_OFFS_TOTAL_AVG_LOANS" hidden="1">"c165"</definedName>
    <definedName name="IQ_CITY" hidden="1">"c166"</definedName>
    <definedName name="IQ_CL_DUE_AFTER_FIVE" hidden="1">"c167"</definedName>
    <definedName name="IQ_CL_DUE_CY" hidden="1">"c168"</definedName>
    <definedName name="IQ_CL_DUE_CY1" hidden="1">"c169"</definedName>
    <definedName name="IQ_CL_DUE_CY2" hidden="1">"c170"</definedName>
    <definedName name="IQ_CL_DUE_CY3" hidden="1">"c171"</definedName>
    <definedName name="IQ_CL_DUE_CY4" hidden="1">"c172"</definedName>
    <definedName name="IQ_CL_DUE_NEXT_FIVE" hidden="1">"c173"</definedName>
    <definedName name="IQ_CL_OBLIGATION_IMMEDIATE" hidden="1">"c2253"</definedName>
    <definedName name="IQ_CLASSA_OPTIONS_BEG_OS" hidden="1">"c2679"</definedName>
    <definedName name="IQ_CLASSA_OPTIONS_CANCELLED" hidden="1">"c2682"</definedName>
    <definedName name="IQ_CLASSA_OPTIONS_END_OS" hidden="1">"c2683"</definedName>
    <definedName name="IQ_CLASSA_OPTIONS_EXERCISED" hidden="1">"c2681"</definedName>
    <definedName name="IQ_CLASSA_OPTIONS_GRANTED" hidden="1">"c2680"</definedName>
    <definedName name="IQ_CLASSA_OPTIONS_STRIKE_PRICE_OS" hidden="1">"c2684"</definedName>
    <definedName name="IQ_CLASSA_OUTSTANDING_BS_DATE" hidden="1">"c1971"</definedName>
    <definedName name="IQ_CLASSA_OUTSTANDING_FILING_DATE" hidden="1">"c1973"</definedName>
    <definedName name="IQ_CLASSA_STRIKE_PRICE_GRANTED" hidden="1">"c2685"</definedName>
    <definedName name="IQ_CLASSA_WARRANTS_BEG_OS" hidden="1">"c2705"</definedName>
    <definedName name="IQ_CLASSA_WARRANTS_CANCELLED" hidden="1">"c2708"</definedName>
    <definedName name="IQ_CLASSA_WARRANTS_END_OS" hidden="1">"c2709"</definedName>
    <definedName name="IQ_CLASSA_WARRANTS_EXERCISED" hidden="1">"c2707"</definedName>
    <definedName name="IQ_CLASSA_WARRANTS_ISSUED" hidden="1">"c2706"</definedName>
    <definedName name="IQ_CLASSA_WARRANTS_STRIKE_PRICE_ISSUED" hidden="1">"c2711"</definedName>
    <definedName name="IQ_CLASSA_WARRANTS_STRIKE_PRICE_OS" hidden="1">"c2710"</definedName>
    <definedName name="IQ_CLOSEPRICE" hidden="1">"c174"</definedName>
    <definedName name="IQ_CLOSEPRICE_ADJ" hidden="1">"c2115"</definedName>
    <definedName name="IQ_COGS" hidden="1">"c175"</definedName>
    <definedName name="IQ_COMBINED_RATIO" hidden="1">"c176"</definedName>
    <definedName name="IQ_COMMERCIAL_DOM" hidden="1">"c177"</definedName>
    <definedName name="IQ_COMMERCIAL_FIRE_WRITTEN" hidden="1">"c178"</definedName>
    <definedName name="IQ_COMMERCIAL_MORT" hidden="1">"c179"</definedName>
    <definedName name="IQ_COMMISS_FEES" hidden="1">"c180"</definedName>
    <definedName name="IQ_COMMISSION_DEF" hidden="1">"c181"</definedName>
    <definedName name="IQ_COMMON" hidden="1">"c182"</definedName>
    <definedName name="IQ_COMMON_APIC" hidden="1">"c183"</definedName>
    <definedName name="IQ_COMMON_APIC_BNK" hidden="1">"c184"</definedName>
    <definedName name="IQ_COMMON_APIC_BR" hidden="1">"c185"</definedName>
    <definedName name="IQ_COMMON_APIC_FIN" hidden="1">"c186"</definedName>
    <definedName name="IQ_COMMON_APIC_INS" hidden="1">"c187"</definedName>
    <definedName name="IQ_COMMON_APIC_REIT" hidden="1">"c188"</definedName>
    <definedName name="IQ_COMMON_APIC_UTI" hidden="1">"c189"</definedName>
    <definedName name="IQ_COMMON_DIV" hidden="1">"c3006"</definedName>
    <definedName name="IQ_COMMON_DIV_CF" hidden="1">"c190"</definedName>
    <definedName name="IQ_COMMON_EQUITY_10YR_ANN_GROWTH" hidden="1">"c191"</definedName>
    <definedName name="IQ_COMMON_EQUITY_1YR_ANN_GROWTH" hidden="1">"c192"</definedName>
    <definedName name="IQ_COMMON_EQUITY_2YR_ANN_GROWTH" hidden="1">"c193"</definedName>
    <definedName name="IQ_COMMON_EQUITY_3YR_ANN_GROWTH" hidden="1">"c194"</definedName>
    <definedName name="IQ_COMMON_EQUITY_5YR_ANN_GROWTH" hidden="1">"c195"</definedName>
    <definedName name="IQ_COMMON_EQUITY_7YR_ANN_GROWTH" hidden="1">"c196"</definedName>
    <definedName name="IQ_COMMON_ISSUED" hidden="1">"c197"</definedName>
    <definedName name="IQ_COMMON_ISSUED_BNK" hidden="1">"c198"</definedName>
    <definedName name="IQ_COMMON_ISSUED_BR" hidden="1">"c199"</definedName>
    <definedName name="IQ_COMMON_ISSUED_FIN" hidden="1">"c200"</definedName>
    <definedName name="IQ_COMMON_ISSUED_INS" hidden="1">"c201"</definedName>
    <definedName name="IQ_COMMON_ISSUED_REIT" hidden="1">"c202"</definedName>
    <definedName name="IQ_COMMON_ISSUED_UTI" hidden="1">"c203"</definedName>
    <definedName name="IQ_COMMON_PER_ADR" hidden="1">"c204"</definedName>
    <definedName name="IQ_COMMON_PREF_DIV_CF" hidden="1">"c205"</definedName>
    <definedName name="IQ_COMMON_REP" hidden="1">"c206"</definedName>
    <definedName name="IQ_COMMON_REP_BNK" hidden="1">"c207"</definedName>
    <definedName name="IQ_COMMON_REP_BR" hidden="1">"c208"</definedName>
    <definedName name="IQ_COMMON_REP_FIN" hidden="1">"c209"</definedName>
    <definedName name="IQ_COMMON_REP_INS" hidden="1">"c210"</definedName>
    <definedName name="IQ_COMMON_REP_REIT" hidden="1">"c211"</definedName>
    <definedName name="IQ_COMMON_REP_UTI" hidden="1">"c212"</definedName>
    <definedName name="IQ_COMMON_STOCK" hidden="1">"c1358"</definedName>
    <definedName name="IQ_COMP_BENEFITS" hidden="1">"c213"</definedName>
    <definedName name="IQ_COMPANY_ADDRESS" hidden="1">"c214"</definedName>
    <definedName name="IQ_COMPANY_ID" hidden="1">"c3513"</definedName>
    <definedName name="IQ_COMPANY_NAME" hidden="1">"c215"</definedName>
    <definedName name="IQ_COMPANY_NAME_LONG" hidden="1">"c1585"</definedName>
    <definedName name="IQ_COMPANY_PHONE" hidden="1">"c216"</definedName>
    <definedName name="IQ_COMPANY_STATUS" hidden="1">"c2097"</definedName>
    <definedName name="IQ_COMPANY_STREET1" hidden="1">"c217"</definedName>
    <definedName name="IQ_COMPANY_STREET2" hidden="1">"c218"</definedName>
    <definedName name="IQ_COMPANY_TICKER" hidden="1">"c219"</definedName>
    <definedName name="IQ_COMPANY_TYPE" hidden="1">"c2096"</definedName>
    <definedName name="IQ_COMPANY_WEBSITE" hidden="1">"c220"</definedName>
    <definedName name="IQ_COMPANY_ZIP" hidden="1">"c221"</definedName>
    <definedName name="IQ_CONSTRUCTION_LOANS" hidden="1">"c222"</definedName>
    <definedName name="IQ_CONSUMER_LOANS" hidden="1">"c223"</definedName>
    <definedName name="IQ_CONV_DATE" hidden="1">"c2191"</definedName>
    <definedName name="IQ_CONV_PREMIUM" hidden="1">"c2195"</definedName>
    <definedName name="IQ_CONV_PRICE" hidden="1">"c2193"</definedName>
    <definedName name="IQ_CONV_RATE" hidden="1">"c2192"</definedName>
    <definedName name="IQ_CONV_SECURITY" hidden="1">"c2189"</definedName>
    <definedName name="IQ_CONV_SECURITY_ISSUER" hidden="1">"c2190"</definedName>
    <definedName name="IQ_CONV_SECURITY_PRICE" hidden="1">"c2194"</definedName>
    <definedName name="IQ_CONVERT" hidden="1">"c2536"</definedName>
    <definedName name="IQ_CONVERT_PCT" hidden="1">"c2537"</definedName>
    <definedName name="IQ_CONVEXITY" hidden="1">"c2182"</definedName>
    <definedName name="IQ_COST_BORROWING" hidden="1">"c2936"</definedName>
    <definedName name="IQ_COST_BORROWINGS" hidden="1">"c225"</definedName>
    <definedName name="IQ_COST_REV" hidden="1">"c226"</definedName>
    <definedName name="IQ_COST_REVENUE" hidden="1">"c1359"</definedName>
    <definedName name="IQ_COST_SAVINGS" hidden="1">"c227"</definedName>
    <definedName name="IQ_COST_SERVICE" hidden="1">"c228"</definedName>
    <definedName name="IQ_COST_TOTAL_BORROWINGS" hidden="1">"c229"</definedName>
    <definedName name="IQ_COUNTRY_NAME" hidden="1">"c230"</definedName>
    <definedName name="IQ_COVERED_POPS" hidden="1">"c2124"</definedName>
    <definedName name="IQ_CP" hidden="1">"c2495"</definedName>
    <definedName name="IQ_CP_PCT" hidden="1">"c2496"</definedName>
    <definedName name="IQ_CQ" hidden="1">5000</definedName>
    <definedName name="IQ_CREDIT_CARD_FEE_BNK" hidden="1">"c231"</definedName>
    <definedName name="IQ_CREDIT_CARD_FEE_FIN" hidden="1">"c1583"</definedName>
    <definedName name="IQ_CREDIT_LOSS_CF" hidden="1">"c232"</definedName>
    <definedName name="IQ_CUMULATIVE_SPLIT_FACTOR" hidden="1">"c2094"</definedName>
    <definedName name="IQ_CURR_DOMESTIC_TAXES" hidden="1">"c2074"</definedName>
    <definedName name="IQ_CURR_FOREIGN_TAXES" hidden="1">"c2075"</definedName>
    <definedName name="IQ_CURRENCY_FACTOR_BS" hidden="1">"c233"</definedName>
    <definedName name="IQ_CURRENCY_FACTOR_IS" hidden="1">"c234"</definedName>
    <definedName name="IQ_CURRENCY_GAIN" hidden="1">"c235"</definedName>
    <definedName name="IQ_CURRENCY_GAIN_BR" hidden="1">"c236"</definedName>
    <definedName name="IQ_CURRENCY_GAIN_FIN" hidden="1">"c237"</definedName>
    <definedName name="IQ_CURRENCY_GAIN_INS" hidden="1">"c238"</definedName>
    <definedName name="IQ_CURRENCY_GAIN_REIT" hidden="1">"c239"</definedName>
    <definedName name="IQ_CURRENCY_GAIN_UTI" hidden="1">"c240"</definedName>
    <definedName name="IQ_CURRENT_PORT" hidden="1">"c241"</definedName>
    <definedName name="IQ_CURRENT_PORT_BNK" hidden="1">"c242"</definedName>
    <definedName name="IQ_CURRENT_PORT_DEBT" hidden="1">"c243"</definedName>
    <definedName name="IQ_CURRENT_PORT_DEBT_BNK" hidden="1">"c244"</definedName>
    <definedName name="IQ_CURRENT_PORT_DEBT_BR" hidden="1">"c1567"</definedName>
    <definedName name="IQ_CURRENT_PORT_DEBT_FIN" hidden="1">"c1568"</definedName>
    <definedName name="IQ_CURRENT_PORT_DEBT_INS" hidden="1">"c1569"</definedName>
    <definedName name="IQ_CURRENT_PORT_DEBT_REIT" hidden="1">"c1570"</definedName>
    <definedName name="IQ_CURRENT_PORT_DEBT_UTI" hidden="1">"c1571"</definedName>
    <definedName name="IQ_CURRENT_PORT_LEASES" hidden="1">"c245"</definedName>
    <definedName name="IQ_CURRENT_PORT_PCT" hidden="1">"c2541"</definedName>
    <definedName name="IQ_CURRENT_RATIO" hidden="1">"c246"</definedName>
    <definedName name="IQ_CY" hidden="1">10000</definedName>
    <definedName name="IQ_DA" hidden="1">"c247"</definedName>
    <definedName name="IQ_DA_BR" hidden="1">"c248"</definedName>
    <definedName name="IQ_DA_CF" hidden="1">"c249"</definedName>
    <definedName name="IQ_DA_CF_BNK" hidden="1">"c250"</definedName>
    <definedName name="IQ_DA_CF_BR" hidden="1">"c251"</definedName>
    <definedName name="IQ_DA_CF_FIN" hidden="1">"c252"</definedName>
    <definedName name="IQ_DA_CF_INS" hidden="1">"c253"</definedName>
    <definedName name="IQ_DA_CF_REIT" hidden="1">"c254"</definedName>
    <definedName name="IQ_DA_CF_UTI" hidden="1">"c255"</definedName>
    <definedName name="IQ_DA_FIN" hidden="1">"c256"</definedName>
    <definedName name="IQ_DA_INS" hidden="1">"c257"</definedName>
    <definedName name="IQ_DA_REIT" hidden="1">"c258"</definedName>
    <definedName name="IQ_DA_SUPPL" hidden="1">"c259"</definedName>
    <definedName name="IQ_DA_SUPPL_BR" hidden="1">"c260"</definedName>
    <definedName name="IQ_DA_SUPPL_CF" hidden="1">"c261"</definedName>
    <definedName name="IQ_DA_SUPPL_CF_BNK" hidden="1">"c262"</definedName>
    <definedName name="IQ_DA_SUPPL_CF_BR" hidden="1">"c263"</definedName>
    <definedName name="IQ_DA_SUPPL_CF_FIN" hidden="1">"c264"</definedName>
    <definedName name="IQ_DA_SUPPL_CF_INS" hidden="1">"c265"</definedName>
    <definedName name="IQ_DA_SUPPL_CF_REIT" hidden="1">"c266"</definedName>
    <definedName name="IQ_DA_SUPPL_CF_UTI" hidden="1">"c267"</definedName>
    <definedName name="IQ_DA_SUPPL_FIN" hidden="1">"c268"</definedName>
    <definedName name="IQ_DA_SUPPL_INS" hidden="1">"c269"</definedName>
    <definedName name="IQ_DA_SUPPL_REIT" hidden="1">"c270"</definedName>
    <definedName name="IQ_DA_SUPPL_UTI" hidden="1">"c271"</definedName>
    <definedName name="IQ_DA_UTI" hidden="1">"c272"</definedName>
    <definedName name="IQ_DATED_DATE" hidden="1">"c2185"</definedName>
    <definedName name="IQ_DAY_COUNT" hidden="1">"c2161"</definedName>
    <definedName name="IQ_DAYS_COVER_SHORT" hidden="1">"c1578"</definedName>
    <definedName name="IQ_DAYS_INVENTORY_OUT" hidden="1">"c273"</definedName>
    <definedName name="IQ_DAYS_PAY_OUTST" hidden="1">"c1362"</definedName>
    <definedName name="IQ_DAYS_PAYABLE_OUT" hidden="1">"c274"</definedName>
    <definedName name="IQ_DAYS_SALES_OUT" hidden="1">"c275"</definedName>
    <definedName name="IQ_DAYS_SALES_OUTST" hidden="1">"c1363"</definedName>
    <definedName name="IQ_DEBT_ADJ" hidden="1">"c2515"</definedName>
    <definedName name="IQ_DEBT_ADJ_PCT" hidden="1">"c2516"</definedName>
    <definedName name="IQ_DEBT_EQUIV_NET_PBO" hidden="1">"c2938"</definedName>
    <definedName name="IQ_DEBT_EQUIV_OPER_LEASE" hidden="1">"c2935"</definedName>
    <definedName name="IQ_DEF_ACQ_CST" hidden="1">"c1364"</definedName>
    <definedName name="IQ_DEF_AMORT" hidden="1">"c276"</definedName>
    <definedName name="IQ_DEF_AMORT_BNK" hidden="1">"c277"</definedName>
    <definedName name="IQ_DEF_AMORT_BR" hidden="1">"c278"</definedName>
    <definedName name="IQ_DEF_AMORT_FIN" hidden="1">"c279"</definedName>
    <definedName name="IQ_DEF_AMORT_INS" hidden="1">"c280"</definedName>
    <definedName name="IQ_DEF_AMORT_REIT" hidden="1">"c281"</definedName>
    <definedName name="IQ_DEF_AMORT_UTI" hidden="1">"c282"</definedName>
    <definedName name="IQ_DEF_BENEFIT_INTEREST_COST" hidden="1">"c283"</definedName>
    <definedName name="IQ_DEF_BENEFIT_INTEREST_COST_DOMESTIC" hidden="1">"c2652"</definedName>
    <definedName name="IQ_DEF_BENEFIT_INTEREST_COST_FOREIGN" hidden="1">"c2660"</definedName>
    <definedName name="IQ_DEF_BENEFIT_OTHER_COST" hidden="1">"c284"</definedName>
    <definedName name="IQ_DEF_BENEFIT_OTHER_COST_DOMESTIC" hidden="1">"c2654"</definedName>
    <definedName name="IQ_DEF_BENEFIT_OTHER_COST_FOREIGN" hidden="1">"c2662"</definedName>
    <definedName name="IQ_DEF_BENEFIT_ROA" hidden="1">"c285"</definedName>
    <definedName name="IQ_DEF_BENEFIT_ROA_DOMESTIC" hidden="1">"c2653"</definedName>
    <definedName name="IQ_DEF_BENEFIT_ROA_FOREIGN" hidden="1">"c2661"</definedName>
    <definedName name="IQ_DEF_BENEFIT_SERVICE_COST" hidden="1">"c286"</definedName>
    <definedName name="IQ_DEF_BENEFIT_SERVICE_COST_DOMESTIC" hidden="1">"c2651"</definedName>
    <definedName name="IQ_DEF_BENEFIT_SERVICE_COST_FOREIGN" hidden="1">"c2659"</definedName>
    <definedName name="IQ_DEF_BENEFIT_TOTAL_COST" hidden="1">"c287"</definedName>
    <definedName name="IQ_DEF_BENEFIT_TOTAL_COST_DOMESTIC" hidden="1">"c2655"</definedName>
    <definedName name="IQ_DEF_BENEFIT_TOTAL_COST_FOREIGN" hidden="1">"c2663"</definedName>
    <definedName name="IQ_DEF_CHARGES_BR" hidden="1">"c288"</definedName>
    <definedName name="IQ_DEF_CHARGES_CF" hidden="1">"c289"</definedName>
    <definedName name="IQ_DEF_CHARGES_FIN" hidden="1">"c290"</definedName>
    <definedName name="IQ_DEF_CHARGES_INS" hidden="1">"c291"</definedName>
    <definedName name="IQ_DEF_CHARGES_LT" hidden="1">"c292"</definedName>
    <definedName name="IQ_DEF_CHARGES_LT_BNK" hidden="1">"c293"</definedName>
    <definedName name="IQ_DEF_CHARGES_LT_BR" hidden="1">"c294"</definedName>
    <definedName name="IQ_DEF_CHARGES_LT_FIN" hidden="1">"c295"</definedName>
    <definedName name="IQ_DEF_CHARGES_LT_INS" hidden="1">"c296"</definedName>
    <definedName name="IQ_DEF_CHARGES_LT_REIT" hidden="1">"c297"</definedName>
    <definedName name="IQ_DEF_CHARGES_LT_UTI" hidden="1">"c298"</definedName>
    <definedName name="IQ_DEF_CHARGES_REIT" hidden="1">"c299"</definedName>
    <definedName name="IQ_DEF_CONTRIBUTION_TOTAL_COST" hidden="1">"c300"</definedName>
    <definedName name="IQ_DEF_INC_TAX" hidden="1">"c1365"</definedName>
    <definedName name="IQ_DEF_POLICY_ACQ_COSTS" hidden="1">"c301"</definedName>
    <definedName name="IQ_DEF_POLICY_ACQ_COSTS_CF" hidden="1">"c302"</definedName>
    <definedName name="IQ_DEF_POLICY_AMORT" hidden="1">"c303"</definedName>
    <definedName name="IQ_DEF_TAX_ASSET_LT_BR" hidden="1">"c304"</definedName>
    <definedName name="IQ_DEF_TAX_ASSET_LT_FIN" hidden="1">"c305"</definedName>
    <definedName name="IQ_DEF_TAX_ASSET_LT_INS" hidden="1">"c306"</definedName>
    <definedName name="IQ_DEF_TAX_ASSET_LT_REIT" hidden="1">"c307"</definedName>
    <definedName name="IQ_DEF_TAX_ASSET_LT_UTI" hidden="1">"c308"</definedName>
    <definedName name="IQ_DEF_TAX_ASSETS_CURRENT" hidden="1">"c309"</definedName>
    <definedName name="IQ_DEF_TAX_ASSETS_LT" hidden="1">"c310"</definedName>
    <definedName name="IQ_DEF_TAX_ASSETS_LT_BNK" hidden="1">"c311"</definedName>
    <definedName name="IQ_DEF_TAX_LIAB_CURRENT" hidden="1">"c312"</definedName>
    <definedName name="IQ_DEF_TAX_LIAB_LT" hidden="1">"c313"</definedName>
    <definedName name="IQ_DEF_TAX_LIAB_LT_BNK" hidden="1">"c314"</definedName>
    <definedName name="IQ_DEF_TAX_LIAB_LT_BR" hidden="1">"c315"</definedName>
    <definedName name="IQ_DEF_TAX_LIAB_LT_FIN" hidden="1">"c316"</definedName>
    <definedName name="IQ_DEF_TAX_LIAB_LT_INS" hidden="1">"c317"</definedName>
    <definedName name="IQ_DEF_TAX_LIAB_LT_REIT" hidden="1">"c318"</definedName>
    <definedName name="IQ_DEF_TAX_LIAB_LT_UTI" hidden="1">"c319"</definedName>
    <definedName name="IQ_DEFERRED_DOMESTIC_TAXES" hidden="1">"c2077"</definedName>
    <definedName name="IQ_DEFERRED_FOREIGN_TAXES" hidden="1">"c2078"</definedName>
    <definedName name="IQ_DEFERRED_INC_TAX" hidden="1">"c1447"</definedName>
    <definedName name="IQ_DEFERRED_TAXES" hidden="1">"c1356"</definedName>
    <definedName name="IQ_DEMAND_DEP" hidden="1">"c320"</definedName>
    <definedName name="IQ_DEPOSITS_FIN" hidden="1">"c321"</definedName>
    <definedName name="IQ_DEPRE_AMORT" hidden="1">"c1360"</definedName>
    <definedName name="IQ_DEPRE_AMORT_SUPPL" hidden="1">"c1593"</definedName>
    <definedName name="IQ_DEPRE_DEPLE" hidden="1">"c1361"</definedName>
    <definedName name="IQ_DEPRE_SUPP" hidden="1">"c1443"</definedName>
    <definedName name="IQ_DESCRIPTION_LONG" hidden="1">"c1520"</definedName>
    <definedName name="IQ_DEVELOP_LAND" hidden="1">"c323"</definedName>
    <definedName name="IQ_DIFF_LASTCLOSE_TARGET_PRICE" hidden="1">"c1854"</definedName>
    <definedName name="IQ_DILUT_ADJUST" hidden="1">"c1621"</definedName>
    <definedName name="IQ_DILUT_EPS_EXCL" hidden="1">"c324"</definedName>
    <definedName name="IQ_DILUT_EPS_INCL" hidden="1">"c325"</definedName>
    <definedName name="IQ_DILUT_EPS_NORM" hidden="1">"c1903"</definedName>
    <definedName name="IQ_DILUT_NI" hidden="1">"c2079"</definedName>
    <definedName name="IQ_DILUT_NORMAL_EPS" hidden="1">"c1594"</definedName>
    <definedName name="IQ_DILUT_WEIGHT" hidden="1">"c326"</definedName>
    <definedName name="IQ_DIRECT_AH_EARNED" hidden="1">"c2740"</definedName>
    <definedName name="IQ_DIRECT_EARNED" hidden="1">"c2730"</definedName>
    <definedName name="IQ_DIRECT_LIFE_EARNED" hidden="1">"c2735"</definedName>
    <definedName name="IQ_DIRECT_LIFE_IN_FORCE" hidden="1">"c2765"</definedName>
    <definedName name="IQ_DIRECT_PC_EARNED" hidden="1">"c2745"</definedName>
    <definedName name="IQ_DIRECT_WRITTEN" hidden="1">"c2724"</definedName>
    <definedName name="IQ_DISCONT_OPER" hidden="1">"c1367"</definedName>
    <definedName name="IQ_DISCOUNT_RATE_PENSION_DOMESTIC" hidden="1">"c327"</definedName>
    <definedName name="IQ_DISCOUNT_RATE_PENSION_FOREIGN" hidden="1">"c328"</definedName>
    <definedName name="IQ_DISTR_EXCESS_EARN" hidden="1">"c329"</definedName>
    <definedName name="IQ_DISTRIBUTABLE_CASH" hidden="1">"c3002"</definedName>
    <definedName name="IQ_DISTRIBUTABLE_CASH_PAYOUT" hidden="1">"c3005"</definedName>
    <definedName name="IQ_DISTRIBUTABLE_CASH_SHARE" hidden="1">"c3003"</definedName>
    <definedName name="IQ_DIV_AMOUNT" hidden="1">"c3041"</definedName>
    <definedName name="IQ_DIV_PAYMENT_DATE" hidden="1">"c2205"</definedName>
    <definedName name="IQ_DIV_RECORD_DATE" hidden="1">"c2204"</definedName>
    <definedName name="IQ_DIV_SHARE" hidden="1">"c330"</definedName>
    <definedName name="IQ_DIVEST_CF" hidden="1">"c331"</definedName>
    <definedName name="IQ_DIVID_SHARE" hidden="1">"c1366"</definedName>
    <definedName name="IQ_DIVIDEND_YIELD" hidden="1">"c332"</definedName>
    <definedName name="IQ_DO" hidden="1">"c333"</definedName>
    <definedName name="IQ_DO_ASSETS_CURRENT" hidden="1">"c334"</definedName>
    <definedName name="IQ_DO_ASSETS_LT" hidden="1">"c335"</definedName>
    <definedName name="IQ_DO_CF" hidden="1">"c336"</definedName>
    <definedName name="IQ_DPAC_ACC" hidden="1">"c2799"</definedName>
    <definedName name="IQ_DPAC_AMORT" hidden="1">"c2795"</definedName>
    <definedName name="IQ_DPAC_BEG" hidden="1">"c2791"</definedName>
    <definedName name="IQ_DPAC_COMMISSIONS" hidden="1">"c2792"</definedName>
    <definedName name="IQ_DPAC_END" hidden="1">"c2801"</definedName>
    <definedName name="IQ_DPAC_FX" hidden="1">"c2798"</definedName>
    <definedName name="IQ_DPAC_OTHER_ADJ" hidden="1">"c2800"</definedName>
    <definedName name="IQ_DPAC_OTHERS" hidden="1">"c2793"</definedName>
    <definedName name="IQ_DPAC_PERIOD" hidden="1">"c2794"</definedName>
    <definedName name="IQ_DPAC_REAL_GAIN" hidden="1">"c2797"</definedName>
    <definedName name="IQ_DPAC_UNREAL_GAIN" hidden="1">"c2796"</definedName>
    <definedName name="IQ_DPS_10YR_ANN_GROWTH" hidden="1">"c337"</definedName>
    <definedName name="IQ_DPS_1YR_ANN_GROWTH" hidden="1">"c338"</definedName>
    <definedName name="IQ_DPS_2YR_ANN_GROWTH" hidden="1">"c339"</definedName>
    <definedName name="IQ_DPS_3YR_ANN_GROWTH" hidden="1">"c340"</definedName>
    <definedName name="IQ_DPS_5YR_ANN_GROWTH" hidden="1">"c341"</definedName>
    <definedName name="IQ_DPS_7YR_ANN_GROWTH" hidden="1">"c342"</definedName>
    <definedName name="IQ_DURATION" hidden="1">"c2181"</definedName>
    <definedName name="IQ_EARNING_ASSET_YIELD" hidden="1">"c343"</definedName>
    <definedName name="IQ_EARNING_CO" hidden="1">"c344"</definedName>
    <definedName name="IQ_EARNING_CO_10YR_ANN_GROWTH" hidden="1">"c345"</definedName>
    <definedName name="IQ_EARNING_CO_1YR_ANN_GROWTH" hidden="1">"c346"</definedName>
    <definedName name="IQ_EARNING_CO_2YR_ANN_GROWTH" hidden="1">"c347"</definedName>
    <definedName name="IQ_EARNING_CO_3YR_ANN_GROWTH" hidden="1">"c348"</definedName>
    <definedName name="IQ_EARNING_CO_5YR_ANN_GROWTH" hidden="1">"c349"</definedName>
    <definedName name="IQ_EARNING_CO_7YR_ANN_GROWTH" hidden="1">"c350"</definedName>
    <definedName name="IQ_EARNING_CO_MARGIN" hidden="1">"c351"</definedName>
    <definedName name="IQ_EARNINGS_ANNOUNCE_DATE" hidden="1">"c1649"</definedName>
    <definedName name="IQ_EBIT" hidden="1">"c352"</definedName>
    <definedName name="IQ_EBIT_10YR_ANN_GROWTH" hidden="1">"c353"</definedName>
    <definedName name="IQ_EBIT_1YR_ANN_GROWTH" hidden="1">"c354"</definedName>
    <definedName name="IQ_EBIT_2YR_ANN_GROWTH" hidden="1">"c355"</definedName>
    <definedName name="IQ_EBIT_3YR_ANN_GROWTH" hidden="1">"c356"</definedName>
    <definedName name="IQ_EBIT_5YR_ANN_GROWTH" hidden="1">"c357"</definedName>
    <definedName name="IQ_EBIT_7YR_ANN_GROWTH" hidden="1">"c358"</definedName>
    <definedName name="IQ_EBIT_EQ_INC" hidden="1">"c3498"</definedName>
    <definedName name="IQ_EBIT_EQ_INC_EXCL_SBC" hidden="1">"c3502"</definedName>
    <definedName name="IQ_EBIT_EXCL_SBC" hidden="1">"c3082"</definedName>
    <definedName name="IQ_EBIT_INT" hidden="1">"c360"</definedName>
    <definedName name="IQ_EBIT_MARGIN" hidden="1">"c359"</definedName>
    <definedName name="IQ_EBIT_OVER_IE" hidden="1">"c1369"</definedName>
    <definedName name="IQ_EBITA" hidden="1">"c1910"</definedName>
    <definedName name="IQ_EBITA_10YR_ANN_GROWTH" hidden="1">"c1954"</definedName>
    <definedName name="IQ_EBITA_1YR_ANN_GROWTH" hidden="1">"c1949"</definedName>
    <definedName name="IQ_EBITA_2YR_ANN_GROWTH" hidden="1">"c1950"</definedName>
    <definedName name="IQ_EBITA_3YR_ANN_GROWTH" hidden="1">"c1951"</definedName>
    <definedName name="IQ_EBITA_5YR_ANN_GROWTH" hidden="1">"c1952"</definedName>
    <definedName name="IQ_EBITA_7YR_ANN_GROWTH" hidden="1">"c1953"</definedName>
    <definedName name="IQ_EBITA_EQ_INC" hidden="1">"c3497"</definedName>
    <definedName name="IQ_EBITA_EQ_INC_EXCL_SBC" hidden="1">"c3501"</definedName>
    <definedName name="IQ_EBITA_EXCL_SBC" hidden="1">"c3080"</definedName>
    <definedName name="IQ_EBITA_MARGIN" hidden="1">"c1963"</definedName>
    <definedName name="IQ_EBITDA" hidden="1">"c361"</definedName>
    <definedName name="IQ_EBITDA_10YR_ANN_GROWTH" hidden="1">"c362"</definedName>
    <definedName name="IQ_EBITDA_1YR_ANN_GROWTH" hidden="1">"c363"</definedName>
    <definedName name="IQ_EBITDA_2YR_ANN_GROWTH" hidden="1">"c364"</definedName>
    <definedName name="IQ_EBITDA_3YR_ANN_GROWTH" hidden="1">"c365"</definedName>
    <definedName name="IQ_EBITDA_5YR_ANN_GROWTH" hidden="1">"c366"</definedName>
    <definedName name="IQ_EBITDA_7YR_ANN_GROWTH" hidden="1">"c367"</definedName>
    <definedName name="IQ_EBITDA_CAPEX_INT" hidden="1">"c368"</definedName>
    <definedName name="IQ_EBITDA_CAPEX_OVER_TOTAL_IE" hidden="1">"c1370"</definedName>
    <definedName name="IQ_EBITDA_EQ_INC" hidden="1">"c3496"</definedName>
    <definedName name="IQ_EBITDA_EQ_INC_EXCL_SBC" hidden="1">"c3500"</definedName>
    <definedName name="IQ_EBITDA_EXCL_SBC" hidden="1">"c3081"</definedName>
    <definedName name="IQ_EBITDA_INT" hidden="1">"c373"</definedName>
    <definedName name="IQ_EBITDA_MARGIN" hidden="1">"c372"</definedName>
    <definedName name="IQ_EBITDA_OVER_TOTAL_IE" hidden="1">"c1371"</definedName>
    <definedName name="IQ_EBITDAR" hidden="1">"c2989"</definedName>
    <definedName name="IQ_EBITDAR_EQ_INC" hidden="1">"c3499"</definedName>
    <definedName name="IQ_EBITDAR_EQ_INC_EXCL_SBC" hidden="1">"c3503"</definedName>
    <definedName name="IQ_EBITDAR_EXCL_SBC" hidden="1">"c3083"</definedName>
    <definedName name="IQ_EBT" hidden="1">"c376"</definedName>
    <definedName name="IQ_EBT_BNK" hidden="1">"c377"</definedName>
    <definedName name="IQ_EBT_BR" hidden="1">"c378"</definedName>
    <definedName name="IQ_EBT_EXCL" hidden="1">"c379"</definedName>
    <definedName name="IQ_EBT_EXCL_BNK" hidden="1">"c380"</definedName>
    <definedName name="IQ_EBT_EXCL_BR" hidden="1">"c381"</definedName>
    <definedName name="IQ_EBT_EXCL_FIN" hidden="1">"c382"</definedName>
    <definedName name="IQ_EBT_EXCL_INS" hidden="1">"c383"</definedName>
    <definedName name="IQ_EBT_EXCL_MARGIN" hidden="1">"c1462"</definedName>
    <definedName name="IQ_EBT_EXCL_REIT" hidden="1">"c384"</definedName>
    <definedName name="IQ_EBT_EXCL_UTI" hidden="1">"c385"</definedName>
    <definedName name="IQ_EBT_FIN" hidden="1">"c386"</definedName>
    <definedName name="IQ_EBT_INCL_MARGIN" hidden="1">"c387"</definedName>
    <definedName name="IQ_EBT_INS" hidden="1">"c388"</definedName>
    <definedName name="IQ_EBT_REIT" hidden="1">"c389"</definedName>
    <definedName name="IQ_EBT_UTI" hidden="1">"c390"</definedName>
    <definedName name="IQ_EFFECT_SPECIAL_CHARGE" hidden="1">"c1595"</definedName>
    <definedName name="IQ_EFFECT_TAX_RATE" hidden="1">"c1899"</definedName>
    <definedName name="IQ_EFFICIENCY_RATIO" hidden="1">"c391"</definedName>
    <definedName name="IQ_EMPLOYEES" hidden="1">"c392"</definedName>
    <definedName name="IQ_ENTERPRISE_VALUE" hidden="1">"c1348"</definedName>
    <definedName name="IQ_EPS_10YR_ANN_GROWTH" hidden="1">"c393"</definedName>
    <definedName name="IQ_EPS_1YR_ANN_GROWTH" hidden="1">"c394"</definedName>
    <definedName name="IQ_EPS_2YR_ANN_GROWTH" hidden="1">"c395"</definedName>
    <definedName name="IQ_EPS_3YR_ANN_GROWTH" hidden="1">"c396"</definedName>
    <definedName name="IQ_EPS_5YR_ANN_GROWTH" hidden="1">"c397"</definedName>
    <definedName name="IQ_EPS_7YR_ANN_GROWTH" hidden="1">"c398"</definedName>
    <definedName name="IQ_EPS_ACT_OR_EST" hidden="1">"c2213"</definedName>
    <definedName name="IQ_EPS_EST" hidden="1">"c399"</definedName>
    <definedName name="IQ_EPS_HIGH_EST" hidden="1">"c400"</definedName>
    <definedName name="IQ_EPS_LOW_EST" hidden="1">"c401"</definedName>
    <definedName name="IQ_EPS_MEDIAN_EST" hidden="1">"c1661"</definedName>
    <definedName name="IQ_EPS_NORM" hidden="1">"c1902"</definedName>
    <definedName name="IQ_EPS_NUM_EST" hidden="1">"c402"</definedName>
    <definedName name="IQ_EPS_STDDEV_EST" hidden="1">"c403"</definedName>
    <definedName name="IQ_EQUITY_AFFIL" hidden="1">"c1451"</definedName>
    <definedName name="IQ_EQUITY_METHOD" hidden="1">"c404"</definedName>
    <definedName name="IQ_EQV_OVER_BV" hidden="1">"c1596"</definedName>
    <definedName name="IQ_EQV_OVER_LTM_PRETAX_INC" hidden="1">"c1390"</definedName>
    <definedName name="IQ_ESOP_DEBT" hidden="1">"c1597"</definedName>
    <definedName name="IQ_EST_ACT_EPS" hidden="1">"c1648"</definedName>
    <definedName name="IQ_EST_CURRENCY" hidden="1">"c2140"</definedName>
    <definedName name="IQ_EST_DATE" hidden="1">"c1634"</definedName>
    <definedName name="IQ_EST_EPS_DIFF" hidden="1">"c1864"</definedName>
    <definedName name="IQ_EST_EPS_GROWTH_1YR" hidden="1">"c1636"</definedName>
    <definedName name="IQ_EST_EPS_GROWTH_5YR" hidden="1">"c1655"</definedName>
    <definedName name="IQ_EST_EPS_GROWTH_Q_1YR" hidden="1">"c1641"</definedName>
    <definedName name="IQ_EV_OVER_EMPLOYEE" hidden="1">"c1428"</definedName>
    <definedName name="IQ_EV_OVER_LTM_EBIT" hidden="1">"c1426"</definedName>
    <definedName name="IQ_EV_OVER_LTM_EBITDA" hidden="1">"c1427"</definedName>
    <definedName name="IQ_EV_OVER_LTM_REVENUE" hidden="1">"c1429"</definedName>
    <definedName name="IQ_EVAL_DATE" hidden="1">"c2180"</definedName>
    <definedName name="IQ_EXCHANGE" hidden="1">"c405"</definedName>
    <definedName name="IQ_EXERCISE_PRICE" hidden="1">"c1897"</definedName>
    <definedName name="IQ_EXERCISED" hidden="1">"c406"</definedName>
    <definedName name="IQ_EXP_RETURN_PENSION_DOMESTIC" hidden="1">"c407"</definedName>
    <definedName name="IQ_EXP_RETURN_PENSION_FOREIGN" hidden="1">"c408"</definedName>
    <definedName name="IQ_EXPLORE_DRILL" hidden="1">"c409"</definedName>
    <definedName name="IQ_EXTRA_ACC_ITEMS" hidden="1">"c410"</definedName>
    <definedName name="IQ_EXTRA_ACC_ITEMS_BNK" hidden="1">"c411"</definedName>
    <definedName name="IQ_EXTRA_ACC_ITEMS_BR" hidden="1">"c412"</definedName>
    <definedName name="IQ_EXTRA_ACC_ITEMS_FIN" hidden="1">"c413"</definedName>
    <definedName name="IQ_EXTRA_ACC_ITEMS_INS" hidden="1">"c414"</definedName>
    <definedName name="IQ_EXTRA_ACC_ITEMS_REIT" hidden="1">"c415"</definedName>
    <definedName name="IQ_EXTRA_ACC_ITEMS_UTI" hidden="1">"c416"</definedName>
    <definedName name="IQ_EXTRA_ITEMS" hidden="1">"c1459"</definedName>
    <definedName name="IQ_FDIC" hidden="1">"c417"</definedName>
    <definedName name="IQ_FEDFUNDS_SOLD" hidden="1">"c2256"</definedName>
    <definedName name="IQ_FFO" hidden="1">"c1574"</definedName>
    <definedName name="IQ_FFO_PAYOUT_RATIO" hidden="1">"c3492"</definedName>
    <definedName name="IQ_FHLB_DEBT" hidden="1">"c423"</definedName>
    <definedName name="IQ_FHLB_DUE_CY" hidden="1">"c2080"</definedName>
    <definedName name="IQ_FHLB_DUE_CY1" hidden="1">"c2081"</definedName>
    <definedName name="IQ_FHLB_DUE_CY2" hidden="1">"c2082"</definedName>
    <definedName name="IQ_FHLB_DUE_CY3" hidden="1">"c2083"</definedName>
    <definedName name="IQ_FHLB_DUE_CY4" hidden="1">"c2084"</definedName>
    <definedName name="IQ_FHLB_DUE_NEXT_FIVE" hidden="1">"c2085"</definedName>
    <definedName name="IQ_FILING_CURRENCY" hidden="1">"c2129"</definedName>
    <definedName name="IQ_FILINGDATE_BS" hidden="1">"c424"</definedName>
    <definedName name="IQ_FILINGDATE_CF" hidden="1">"c425"</definedName>
    <definedName name="IQ_FILINGDATE_IS" hidden="1">"c426"</definedName>
    <definedName name="IQ_FILM_RIGHTS" hidden="1">"c2254"</definedName>
    <definedName name="IQ_FIN_DIV_ASSETS_CURRENT" hidden="1">"c427"</definedName>
    <definedName name="IQ_FIN_DIV_ASSETS_LT" hidden="1">"c428"</definedName>
    <definedName name="IQ_FIN_DIV_DEBT_CURRENT" hidden="1">"c429"</definedName>
    <definedName name="IQ_FIN_DIV_DEBT_LT" hidden="1">"c430"</definedName>
    <definedName name="IQ_FIN_DIV_EXP" hidden="1">"c431"</definedName>
    <definedName name="IQ_FIN_DIV_INT_EXP" hidden="1">"c432"</definedName>
    <definedName name="IQ_FIN_DIV_LIAB_CURRENT" hidden="1">"c433"</definedName>
    <definedName name="IQ_FIN_DIV_LIAB_LT" hidden="1">"c434"</definedName>
    <definedName name="IQ_FIN_DIV_LOANS_CURRENT" hidden="1">"c435"</definedName>
    <definedName name="IQ_FIN_DIV_LOANS_LT" hidden="1">"c436"</definedName>
    <definedName name="IQ_FIN_DIV_REV" hidden="1">"c437"</definedName>
    <definedName name="IQ_FINANCING_CASH" hidden="1">"c1405"</definedName>
    <definedName name="IQ_FINANCING_CASH_SUPPL" hidden="1">"c1406"</definedName>
    <definedName name="IQ_FINISHED_INV" hidden="1">"c438"</definedName>
    <definedName name="IQ_FIRST_INT_DATE" hidden="1">"c2186"</definedName>
    <definedName name="IQ_FIRST_YEAR_LIFE" hidden="1">"c439"</definedName>
    <definedName name="IQ_FIRST_YEAR_LIFE_PREM" hidden="1">"c2787"</definedName>
    <definedName name="IQ_FIRST_YEAR_PREM" hidden="1">"c2786"</definedName>
    <definedName name="IQ_FIRSTPRICINGDATE" hidden="1">"c3050"</definedName>
    <definedName name="IQ_FISCAL_Q" hidden="1">"c440"</definedName>
    <definedName name="IQ_FISCAL_Y" hidden="1">"c441"</definedName>
    <definedName name="IQ_FIVE_PERCENT_OWNER" hidden="1">"c442"</definedName>
    <definedName name="IQ_FIVEPERCENT_PERCENT" hidden="1">"c443"</definedName>
    <definedName name="IQ_FIVEPERCENT_SHARES" hidden="1">"c444"</definedName>
    <definedName name="IQ_FIXED_ASSET_TURNS" hidden="1">"c445"</definedName>
    <definedName name="IQ_FLOAT_PERCENT" hidden="1">"c1575"</definedName>
    <definedName name="IQ_FOREIGN_DEP_IB" hidden="1">"c446"</definedName>
    <definedName name="IQ_FOREIGN_DEP_NON_IB" hidden="1">"c447"</definedName>
    <definedName name="IQ_FOREIGN_EXCHANGE" hidden="1">"c1376"</definedName>
    <definedName name="IQ_FOREIGN_LOANS" hidden="1">"c448"</definedName>
    <definedName name="IQ_FQ" hidden="1">500</definedName>
    <definedName name="IQ_FUEL" hidden="1">"c449"</definedName>
    <definedName name="IQ_FULL_TIME" hidden="1">"c450"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X" hidden="1">"c451"</definedName>
    <definedName name="IQ_FY" hidden="1">1000</definedName>
    <definedName name="IQ_GA_EXP" hidden="1">"c2241"</definedName>
    <definedName name="IQ_GAIN_ASSETS" hidden="1">"c452"</definedName>
    <definedName name="IQ_GAIN_ASSETS_BNK" hidden="1">"c453"</definedName>
    <definedName name="IQ_GAIN_ASSETS_BR" hidden="1">"c454"</definedName>
    <definedName name="IQ_GAIN_ASSETS_CF" hidden="1">"c455"</definedName>
    <definedName name="IQ_GAIN_ASSETS_CF_BNK" hidden="1">"c456"</definedName>
    <definedName name="IQ_GAIN_ASSETS_CF_BR" hidden="1">"c457"</definedName>
    <definedName name="IQ_GAIN_ASSETS_CF_FIN" hidden="1">"c458"</definedName>
    <definedName name="IQ_GAIN_ASSETS_CF_INS" hidden="1">"c459"</definedName>
    <definedName name="IQ_GAIN_ASSETS_CF_REIT" hidden="1">"c460"</definedName>
    <definedName name="IQ_GAIN_ASSETS_CF_UTI" hidden="1">"c461"</definedName>
    <definedName name="IQ_GAIN_ASSETS_FIN" hidden="1">"c462"</definedName>
    <definedName name="IQ_GAIN_ASSETS_INS" hidden="1">"c463"</definedName>
    <definedName name="IQ_GAIN_ASSETS_REIT" hidden="1">"c471"</definedName>
    <definedName name="IQ_GAIN_ASSETS_REV" hidden="1">"c472"</definedName>
    <definedName name="IQ_GAIN_ASSETS_REV_BNK" hidden="1">"c473"</definedName>
    <definedName name="IQ_GAIN_ASSETS_REV_BR" hidden="1">"c474"</definedName>
    <definedName name="IQ_GAIN_ASSETS_REV_FIN" hidden="1">"c475"</definedName>
    <definedName name="IQ_GAIN_ASSETS_REV_INS" hidden="1">"c476"</definedName>
    <definedName name="IQ_GAIN_ASSETS_REV_REIT" hidden="1">"c477"</definedName>
    <definedName name="IQ_GAIN_ASSETS_REV_UTI" hidden="1">"c478"</definedName>
    <definedName name="IQ_GAIN_ASSETS_UTI" hidden="1">"c479"</definedName>
    <definedName name="IQ_GAIN_INVEST" hidden="1">"c1463"</definedName>
    <definedName name="IQ_GAIN_INVEST_BNK" hidden="1">"c1582"</definedName>
    <definedName name="IQ_GAIN_INVEST_BR" hidden="1">"c1464"</definedName>
    <definedName name="IQ_GAIN_INVEST_CF" hidden="1">"c480"</definedName>
    <definedName name="IQ_GAIN_INVEST_CF_BNK" hidden="1">"c481"</definedName>
    <definedName name="IQ_GAIN_INVEST_CF_BR" hidden="1">"c482"</definedName>
    <definedName name="IQ_GAIN_INVEST_CF_FIN" hidden="1">"c483"</definedName>
    <definedName name="IQ_GAIN_INVEST_CF_INS" hidden="1">"c484"</definedName>
    <definedName name="IQ_GAIN_INVEST_CF_REIT" hidden="1">"c485"</definedName>
    <definedName name="IQ_GAIN_INVEST_CF_UTI" hidden="1">"c486"</definedName>
    <definedName name="IQ_GAIN_INVEST_FIN" hidden="1">"c1465"</definedName>
    <definedName name="IQ_GAIN_INVEST_INS" hidden="1">"c1466"</definedName>
    <definedName name="IQ_GAIN_INVEST_REIT" hidden="1">"c1467"</definedName>
    <definedName name="IQ_GAIN_INVEST_REV" hidden="1">"c494"</definedName>
    <definedName name="IQ_GAIN_INVEST_REV_BNK" hidden="1">"c495"</definedName>
    <definedName name="IQ_GAIN_INVEST_REV_BR" hidden="1">"c496"</definedName>
    <definedName name="IQ_GAIN_INVEST_REV_FIN" hidden="1">"c497"</definedName>
    <definedName name="IQ_GAIN_INVEST_REV_INS" hidden="1">"c498"</definedName>
    <definedName name="IQ_GAIN_INVEST_REV_REIT" hidden="1">"c499"</definedName>
    <definedName name="IQ_GAIN_INVEST_REV_UTI" hidden="1">"c500"</definedName>
    <definedName name="IQ_GAIN_INVEST_UTI" hidden="1">"c1468"</definedName>
    <definedName name="IQ_GAIN_LOANS_REC" hidden="1">"c501"</definedName>
    <definedName name="IQ_GAIN_LOANS_RECEIV" hidden="1">"c502"</definedName>
    <definedName name="IQ_GAIN_LOANS_RECEIV_REV_FIN" hidden="1">"c503"</definedName>
    <definedName name="IQ_GAIN_LOANS_REV" hidden="1">"c504"</definedName>
    <definedName name="IQ_GAIN_SALE_ASSETS" hidden="1">"c1377"</definedName>
    <definedName name="IQ_GOODWILL_NET" hidden="1">"c1380"</definedName>
    <definedName name="IQ_GP" hidden="1">"c511"</definedName>
    <definedName name="IQ_GP_10YR_ANN_GROWTH" hidden="1">"c512"</definedName>
    <definedName name="IQ_GP_1YR_ANN_GROWTH" hidden="1">"c513"</definedName>
    <definedName name="IQ_GP_2YR_ANN_GROWTH" hidden="1">"c514"</definedName>
    <definedName name="IQ_GP_3YR_ANN_GROWTH" hidden="1">"c515"</definedName>
    <definedName name="IQ_GP_5YR_ANN_GROWTH" hidden="1">"c516"</definedName>
    <definedName name="IQ_GP_7YR_ANN_GROWTH" hidden="1">"c517"</definedName>
    <definedName name="IQ_GPPE" hidden="1">"c518"</definedName>
    <definedName name="IQ_GROSS_AH_EARNED" hidden="1">"c2742"</definedName>
    <definedName name="IQ_GROSS_CLAIM_EXP_INCUR" hidden="1">"c2755"</definedName>
    <definedName name="IQ_GROSS_CLAIM_EXP_PAID" hidden="1">"c2758"</definedName>
    <definedName name="IQ_GROSS_CLAIM_EXP_RES" hidden="1">"c2752"</definedName>
    <definedName name="IQ_GROSS_DIVID" hidden="1">"c1446"</definedName>
    <definedName name="IQ_GROSS_EARNED" hidden="1">"c2732"</definedName>
    <definedName name="IQ_GROSS_LIFE_EARNED" hidden="1">"c2737"</definedName>
    <definedName name="IQ_GROSS_LIFE_IN_FORCE" hidden="1">"c2767"</definedName>
    <definedName name="IQ_GROSS_LOANS" hidden="1">"c521"</definedName>
    <definedName name="IQ_GROSS_LOANS_10YR_ANN_GROWTH" hidden="1">"c522"</definedName>
    <definedName name="IQ_GROSS_LOANS_1YR_ANN_GROWTH" hidden="1">"c523"</definedName>
    <definedName name="IQ_GROSS_LOANS_2YR_ANN_GROWTH" hidden="1">"c524"</definedName>
    <definedName name="IQ_GROSS_LOANS_3YR_ANN_GROWTH" hidden="1">"c525"</definedName>
    <definedName name="IQ_GROSS_LOANS_5YR_ANN_GROWTH" hidden="1">"c526"</definedName>
    <definedName name="IQ_GROSS_LOANS_7YR_ANN_GROWTH" hidden="1">"c527"</definedName>
    <definedName name="IQ_GROSS_LOANS_TOTAL_DEPOSITS" hidden="1">"c528"</definedName>
    <definedName name="IQ_GROSS_MARGIN" hidden="1">"c529"</definedName>
    <definedName name="IQ_GROSS_PC_EARNED" hidden="1">"c2747"</definedName>
    <definedName name="IQ_GROSS_PROFIT" hidden="1">"c1378"</definedName>
    <definedName name="IQ_GROSS_SPRD" hidden="1">"c2155"</definedName>
    <definedName name="IQ_GROSS_WRITTEN" hidden="1">"c2726"</definedName>
    <definedName name="IQ_GW" hidden="1">"c530"</definedName>
    <definedName name="IQ_GW_AMORT_BR" hidden="1">"c532"</definedName>
    <definedName name="IQ_GW_AMORT_FIN" hidden="1">"c540"</definedName>
    <definedName name="IQ_GW_AMORT_INS" hidden="1">"c541"</definedName>
    <definedName name="IQ_GW_AMORT_REIT" hidden="1">"c542"</definedName>
    <definedName name="IQ_GW_AMORT_UTI" hidden="1">"c543"</definedName>
    <definedName name="IQ_GW_INTAN_AMORT" hidden="1">"c1469"</definedName>
    <definedName name="IQ_GW_INTAN_AMORT_BNK" hidden="1">"c544"</definedName>
    <definedName name="IQ_GW_INTAN_AMORT_BR" hidden="1">"c1470"</definedName>
    <definedName name="IQ_GW_INTAN_AMORT_CF" hidden="1">"c1471"</definedName>
    <definedName name="IQ_GW_INTAN_AMORT_CF_BNK" hidden="1">"c1472"</definedName>
    <definedName name="IQ_GW_INTAN_AMORT_CF_BR" hidden="1">"c1473"</definedName>
    <definedName name="IQ_GW_INTAN_AMORT_CF_FIN" hidden="1">"c1474"</definedName>
    <definedName name="IQ_GW_INTAN_AMORT_CF_INS" hidden="1">"c1475"</definedName>
    <definedName name="IQ_GW_INTAN_AMORT_CF_REIT" hidden="1">"c1476"</definedName>
    <definedName name="IQ_GW_INTAN_AMORT_CF_UTI" hidden="1">"c1477"</definedName>
    <definedName name="IQ_GW_INTAN_AMORT_FIN" hidden="1">"c1478"</definedName>
    <definedName name="IQ_GW_INTAN_AMORT_INS" hidden="1">"c1479"</definedName>
    <definedName name="IQ_GW_INTAN_AMORT_REIT" hidden="1">"c1480"</definedName>
    <definedName name="IQ_GW_INTAN_AMORT_UTI" hidden="1">"c1481"</definedName>
    <definedName name="IQ_HIGHPRICE" hidden="1">"c545"</definedName>
    <definedName name="IQ_HOMEOWNERS_WRITTEN" hidden="1">"c546"</definedName>
    <definedName name="IQ_IMPAIR_OIL" hidden="1">"c547"</definedName>
    <definedName name="IQ_IMPAIRMENT_GW" hidden="1">"c548"</definedName>
    <definedName name="IQ_IMPUT_OPER_LEASE_DEPR" hidden="1">"c2987"</definedName>
    <definedName name="IQ_IMPUT_OPER_LEASE_INT_EXP" hidden="1">"c2986"</definedName>
    <definedName name="IQ_INC_AFTER_TAX" hidden="1">"c1598"</definedName>
    <definedName name="IQ_INC_AVAIL_EXCL" hidden="1">"c1395"</definedName>
    <definedName name="IQ_INC_AVAIL_INCL" hidden="1">"c1396"</definedName>
    <definedName name="IQ_INC_BEFORE_TAX" hidden="1">"c1375"</definedName>
    <definedName name="IQ_INC_EQUITY" hidden="1">"c549"</definedName>
    <definedName name="IQ_INC_EQUITY_BR" hidden="1">"c550"</definedName>
    <definedName name="IQ_INC_EQUITY_CF" hidden="1">"c551"</definedName>
    <definedName name="IQ_INC_EQUITY_FIN" hidden="1">"c552"</definedName>
    <definedName name="IQ_INC_EQUITY_INS" hidden="1">"c553"</definedName>
    <definedName name="IQ_INC_EQUITY_REC_BNK" hidden="1">"c554"</definedName>
    <definedName name="IQ_INC_EQUITY_REIT" hidden="1">"c555"</definedName>
    <definedName name="IQ_INC_EQUITY_REV_BNK" hidden="1">"c556"</definedName>
    <definedName name="IQ_INC_EQUITY_UTI" hidden="1">"c557"</definedName>
    <definedName name="IQ_INC_REAL_ESTATE_REC" hidden="1">"c558"</definedName>
    <definedName name="IQ_INC_REAL_ESTATE_REV" hidden="1">"c559"</definedName>
    <definedName name="IQ_INC_TAX" hidden="1">"c560"</definedName>
    <definedName name="IQ_INC_TAX_EXCL" hidden="1">"c1599"</definedName>
    <definedName name="IQ_INC_TAX_PAY_CURRENT" hidden="1">"c561"</definedName>
    <definedName name="IQ_INC_TRADE_ACT" hidden="1">"c562"</definedName>
    <definedName name="IQ_INS_ANNUITY_LIAB" hidden="1">"c563"</definedName>
    <definedName name="IQ_INS_ANNUITY_REV" hidden="1">"c2788"</definedName>
    <definedName name="IQ_INS_DIV_EXP" hidden="1">"c564"</definedName>
    <definedName name="IQ_INS_DIV_REV" hidden="1">"c565"</definedName>
    <definedName name="IQ_INS_IN_FORCE" hidden="1">"c566"</definedName>
    <definedName name="IQ_INS_LIAB" hidden="1">"c567"</definedName>
    <definedName name="IQ_INS_POLICY_EXP" hidden="1">"c568"</definedName>
    <definedName name="IQ_INS_REV" hidden="1">"c569"</definedName>
    <definedName name="IQ_INS_SETTLE" hidden="1">"c570"</definedName>
    <definedName name="IQ_INS_SETTLE_BNK" hidden="1">"c571"</definedName>
    <definedName name="IQ_INS_SETTLE_BR" hidden="1">"c572"</definedName>
    <definedName name="IQ_INS_SETTLE_FIN" hidden="1">"c573"</definedName>
    <definedName name="IQ_INS_SETTLE_INS" hidden="1">"c574"</definedName>
    <definedName name="IQ_INS_SETTLE_REIT" hidden="1">"c575"</definedName>
    <definedName name="IQ_INS_SETTLE_UTI" hidden="1">"c576"</definedName>
    <definedName name="IQ_INSIDER_3MTH_BOUGHT_PCT" hidden="1">"c1534"</definedName>
    <definedName name="IQ_INSIDER_3MTH_NET_PCT" hidden="1">"c1535"</definedName>
    <definedName name="IQ_INSIDER_3MTH_SOLD_PCT" hidden="1">"c1533"</definedName>
    <definedName name="IQ_INSIDER_6MTH_BOUGHT_PCT" hidden="1">"c1537"</definedName>
    <definedName name="IQ_INSIDER_6MTH_NET_PCT" hidden="1">"c1538"</definedName>
    <definedName name="IQ_INSIDER_6MTH_SOLD_PCT" hidden="1">"c1536"</definedName>
    <definedName name="IQ_INSIDER_OVER_TOTAL" hidden="1">"c1581"</definedName>
    <definedName name="IQ_INSIDER_OWNER" hidden="1">"c577"</definedName>
    <definedName name="IQ_INSIDER_PERCENT" hidden="1">"c578"</definedName>
    <definedName name="IQ_INSIDER_SHARES" hidden="1">"c579"</definedName>
    <definedName name="IQ_INSTITUTIONAL_OVER_TOTAL" hidden="1">"c1580"</definedName>
    <definedName name="IQ_INSTITUTIONAL_OWNER" hidden="1">"c580"</definedName>
    <definedName name="IQ_INSTITUTIONAL_PERCENT" hidden="1">"c581"</definedName>
    <definedName name="IQ_INSTITUTIONAL_SHARES" hidden="1">"c582"</definedName>
    <definedName name="IQ_INSUR_RECEIV" hidden="1">"c1600"</definedName>
    <definedName name="IQ_INT_BORROW" hidden="1">"c583"</definedName>
    <definedName name="IQ_INT_DEPOSITS" hidden="1">"c584"</definedName>
    <definedName name="IQ_INT_DIV_INC" hidden="1">"c585"</definedName>
    <definedName name="IQ_INT_EXP_BR" hidden="1">"c586"</definedName>
    <definedName name="IQ_INT_EXP_COVERAGE" hidden="1">"c587"</definedName>
    <definedName name="IQ_INT_EXP_FIN" hidden="1">"c588"</definedName>
    <definedName name="IQ_INT_EXP_INCL_CAP" hidden="1">"c2988"</definedName>
    <definedName name="IQ_INT_EXP_INS" hidden="1">"c589"</definedName>
    <definedName name="IQ_INT_EXP_LTD" hidden="1">"c2086"</definedName>
    <definedName name="IQ_INT_EXP_REIT" hidden="1">"c590"</definedName>
    <definedName name="IQ_INT_EXP_TOTAL" hidden="1">"c591"</definedName>
    <definedName name="IQ_INT_EXP_UTI" hidden="1">"c592"</definedName>
    <definedName name="IQ_INT_INC_BR" hidden="1">"c593"</definedName>
    <definedName name="IQ_INT_INC_FIN" hidden="1">"c594"</definedName>
    <definedName name="IQ_INT_INC_INVEST" hidden="1">"c595"</definedName>
    <definedName name="IQ_INT_INC_LOANS" hidden="1">"c596"</definedName>
    <definedName name="IQ_INT_INC_REIT" hidden="1">"c597"</definedName>
    <definedName name="IQ_INT_INC_TOTAL" hidden="1">"c598"</definedName>
    <definedName name="IQ_INT_INC_UTI" hidden="1">"c599"</definedName>
    <definedName name="IQ_INT_INV_INC" hidden="1">"c600"</definedName>
    <definedName name="IQ_INT_INV_INC_REIT" hidden="1">"c601"</definedName>
    <definedName name="IQ_INT_INV_INC_UTI" hidden="1">"c602"</definedName>
    <definedName name="IQ_INT_ON_BORROWING_COVERAGE" hidden="1">"c603"</definedName>
    <definedName name="IQ_INT_RATE_SPREAD" hidden="1">"c604"</definedName>
    <definedName name="IQ_INTANGIBLES_NET" hidden="1">"c1407"</definedName>
    <definedName name="IQ_INTEREST_CASH_DEPOSITS" hidden="1">"c2255"</definedName>
    <definedName name="IQ_INTEREST_EXP" hidden="1">"c618"</definedName>
    <definedName name="IQ_INTEREST_EXP_NET" hidden="1">"c1450"</definedName>
    <definedName name="IQ_INTEREST_EXP_NON" hidden="1">"c1383"</definedName>
    <definedName name="IQ_INTEREST_EXP_SUPPL" hidden="1">"c1460"</definedName>
    <definedName name="IQ_INTEREST_INC" hidden="1">"c1393"</definedName>
    <definedName name="IQ_INTEREST_INC_NON" hidden="1">"c1384"</definedName>
    <definedName name="IQ_INTEREST_INVEST_INC" hidden="1">"c619"</definedName>
    <definedName name="IQ_INV_10YR_ANN_GROWTH" hidden="1">"c1930"</definedName>
    <definedName name="IQ_INV_1YR_ANN_GROWTH" hidden="1">"c1925"</definedName>
    <definedName name="IQ_INV_2YR_ANN_GROWTH" hidden="1">"c1926"</definedName>
    <definedName name="IQ_INV_3YR_ANN_GROWTH" hidden="1">"c1927"</definedName>
    <definedName name="IQ_INV_5YR_ANN_GROWTH" hidden="1">"c1928"</definedName>
    <definedName name="IQ_INV_7YR_ANN_GROWTH" hidden="1">"c1929"</definedName>
    <definedName name="IQ_INV_BANKING_FEE" hidden="1">"c620"</definedName>
    <definedName name="IQ_INV_METHOD" hidden="1">"c621"</definedName>
    <definedName name="IQ_INVENTORY" hidden="1">"c622"</definedName>
    <definedName name="IQ_INVENTORY_TURNS" hidden="1">"c623"</definedName>
    <definedName name="IQ_INVENTORY_UTI" hidden="1">"c624"</definedName>
    <definedName name="IQ_INVEST_DEBT" hidden="1">"c625"</definedName>
    <definedName name="IQ_INVEST_EQUITY_PREF" hidden="1">"c626"</definedName>
    <definedName name="IQ_INVEST_FHLB" hidden="1">"c627"</definedName>
    <definedName name="IQ_INVEST_LOANS_CF" hidden="1">"c628"</definedName>
    <definedName name="IQ_INVEST_LOANS_CF_BNK" hidden="1">"c629"</definedName>
    <definedName name="IQ_INVEST_LOANS_CF_BR" hidden="1">"c630"</definedName>
    <definedName name="IQ_INVEST_LOANS_CF_FIN" hidden="1">"c631"</definedName>
    <definedName name="IQ_INVEST_LOANS_CF_INS" hidden="1">"c632"</definedName>
    <definedName name="IQ_INVEST_LOANS_CF_REIT" hidden="1">"c633"</definedName>
    <definedName name="IQ_INVEST_LOANS_CF_UTI" hidden="1">"c634"</definedName>
    <definedName name="IQ_INVEST_REAL_ESTATE" hidden="1">"c635"</definedName>
    <definedName name="IQ_INVEST_SECURITY" hidden="1">"c636"</definedName>
    <definedName name="IQ_INVEST_SECURITY_CF" hidden="1">"c637"</definedName>
    <definedName name="IQ_INVEST_SECURITY_CF_BNK" hidden="1">"c638"</definedName>
    <definedName name="IQ_INVEST_SECURITY_CF_BR" hidden="1">"c639"</definedName>
    <definedName name="IQ_INVEST_SECURITY_CF_FIN" hidden="1">"c640"</definedName>
    <definedName name="IQ_INVEST_SECURITY_CF_INS" hidden="1">"c641"</definedName>
    <definedName name="IQ_INVEST_SECURITY_CF_REIT" hidden="1">"c642"</definedName>
    <definedName name="IQ_INVEST_SECURITY_CF_UTI" hidden="1">"c643"</definedName>
    <definedName name="IQ_IPRD" hidden="1">"c644"</definedName>
    <definedName name="IQ_ISS_DEBT_NET" hidden="1">"c1391"</definedName>
    <definedName name="IQ_ISS_STOCK_NET" hidden="1">"c1601"</definedName>
    <definedName name="IQ_ISSUE_CURRENCY" hidden="1">"c2156"</definedName>
    <definedName name="IQ_ISSUE_NAME" hidden="1">"c2142"</definedName>
    <definedName name="IQ_ISSUER" hidden="1">"c2143"</definedName>
    <definedName name="IQ_ISSUER_PARENT" hidden="1">"c2144"</definedName>
    <definedName name="IQ_JR_SUB_DEBT" hidden="1">"c2534"</definedName>
    <definedName name="IQ_JR_SUB_DEBT_EBITDA" hidden="1">"c2560"</definedName>
    <definedName name="IQ_JR_SUB_DEBT_EBITDA_CAPEX" hidden="1">"c2561"</definedName>
    <definedName name="IQ_JR_SUB_DEBT_PCT" hidden="1">"c2535"</definedName>
    <definedName name="IQ_LAND" hidden="1">"c645"</definedName>
    <definedName name="IQ_LAST_PMT_DATE" hidden="1">"c2188"</definedName>
    <definedName name="IQ_LAST_SPLIT_DATE" hidden="1">"c2095"</definedName>
    <definedName name="IQ_LAST_SPLIT_FACTOR" hidden="1">"c2093"</definedName>
    <definedName name="IQ_LASTPRICINGDATE" hidden="1">"c3051"</definedName>
    <definedName name="IQ_LASTSALEPRICE" hidden="1">"c646"</definedName>
    <definedName name="IQ_LASTSALEPRICE_DATE" hidden="1">"c2109"</definedName>
    <definedName name="IQ_LATESTK" hidden="1">1000</definedName>
    <definedName name="IQ_LATESTQ" hidden="1">500</definedName>
    <definedName name="IQ_LEGAL_SETTLE" hidden="1">"c647"</definedName>
    <definedName name="IQ_LEGAL_SETTLE_BNK" hidden="1">"c648"</definedName>
    <definedName name="IQ_LEGAL_SETTLE_BR" hidden="1">"c649"</definedName>
    <definedName name="IQ_LEGAL_SETTLE_FIN" hidden="1">"c650"</definedName>
    <definedName name="IQ_LEGAL_SETTLE_INS" hidden="1">"c651"</definedName>
    <definedName name="IQ_LEGAL_SETTLE_REIT" hidden="1">"c652"</definedName>
    <definedName name="IQ_LEGAL_SETTLE_UTI" hidden="1">"c653"</definedName>
    <definedName name="IQ_LEVERAGE_RATIO" hidden="1">"c654"</definedName>
    <definedName name="IQ_LEVERED_FCF" hidden="1">"c1907"</definedName>
    <definedName name="IQ_LFCF_10YR_ANN_GROWTH" hidden="1">"c1942"</definedName>
    <definedName name="IQ_LFCF_1YR_ANN_GROWTH" hidden="1">"c1937"</definedName>
    <definedName name="IQ_LFCF_2YR_ANN_GROWTH" hidden="1">"c1938"</definedName>
    <definedName name="IQ_LFCF_3YR_ANN_GROWTH" hidden="1">"c1939"</definedName>
    <definedName name="IQ_LFCF_5YR_ANN_GROWTH" hidden="1">"c1940"</definedName>
    <definedName name="IQ_LFCF_7YR_ANN_GROWTH" hidden="1">"c1941"</definedName>
    <definedName name="IQ_LFCF_MARGIN" hidden="1">"c1961"</definedName>
    <definedName name="IQ_LH_STATUTORY_SURPLUS" hidden="1">"c2771"</definedName>
    <definedName name="IQ_LICENSED_POPS" hidden="1">"c2123"</definedName>
    <definedName name="IQ_LIFE_EARNED" hidden="1">"c2739"</definedName>
    <definedName name="IQ_LIFOR" hidden="1">"c655"</definedName>
    <definedName name="IQ_LL" hidden="1">"c656"</definedName>
    <definedName name="IQ_LOAN_LEASE_RECEIV" hidden="1">"c657"</definedName>
    <definedName name="IQ_LOAN_LOSS" hidden="1">"c1386"</definedName>
    <definedName name="IQ_LOAN_SERVICE_REV" hidden="1">"c658"</definedName>
    <definedName name="IQ_LOANS_CF" hidden="1">"c659"</definedName>
    <definedName name="IQ_LOANS_CF_BNK" hidden="1">"c660"</definedName>
    <definedName name="IQ_LOANS_CF_BR" hidden="1">"c661"</definedName>
    <definedName name="IQ_LOANS_CF_FIN" hidden="1">"c662"</definedName>
    <definedName name="IQ_LOANS_CF_INS" hidden="1">"c663"</definedName>
    <definedName name="IQ_LOANS_CF_REIT" hidden="1">"c664"</definedName>
    <definedName name="IQ_LOANS_CF_UTI" hidden="1">"c665"</definedName>
    <definedName name="IQ_LOANS_FOR_SALE" hidden="1">"c666"</definedName>
    <definedName name="IQ_LOANS_PAST_DUE" hidden="1">"c667"</definedName>
    <definedName name="IQ_LOANS_RECEIV_CURRENT" hidden="1">"c668"</definedName>
    <definedName name="IQ_LOANS_RECEIV_LT" hidden="1">"c669"</definedName>
    <definedName name="IQ_LOANS_RECEIV_LT_UTI" hidden="1">"c670"</definedName>
    <definedName name="IQ_LONG_TERM_DEBT" hidden="1">"c1387"</definedName>
    <definedName name="IQ_LONG_TERM_DEBT_OVER_TOTAL_CAP" hidden="1">"c1388"</definedName>
    <definedName name="IQ_LONG_TERM_GROWTH" hidden="1">"c671"</definedName>
    <definedName name="IQ_LONG_TERM_INV" hidden="1">"c1389"</definedName>
    <definedName name="IQ_LOSS_LOSS_EXP" hidden="1">"c672"</definedName>
    <definedName name="IQ_LOSS_TO_NET_EARNED" hidden="1">"c2751"</definedName>
    <definedName name="IQ_LOWPRICE" hidden="1">"c673"</definedName>
    <definedName name="IQ_LT_DEBT" hidden="1">"c674"</definedName>
    <definedName name="IQ_LT_DEBT_BNK" hidden="1">"c675"</definedName>
    <definedName name="IQ_LT_DEBT_BR" hidden="1">"c676"</definedName>
    <definedName name="IQ_LT_DEBT_CAPITAL" hidden="1">"c677"</definedName>
    <definedName name="IQ_LT_DEBT_CAPITAL_LEASES" hidden="1">"c2542"</definedName>
    <definedName name="IQ_LT_DEBT_CAPITAL_LEASES_PCT" hidden="1">"c2543"</definedName>
    <definedName name="IQ_LT_DEBT_EQUITY" hidden="1">"c678"</definedName>
    <definedName name="IQ_LT_DEBT_FIN" hidden="1">"c679"</definedName>
    <definedName name="IQ_LT_DEBT_INS" hidden="1">"c680"</definedName>
    <definedName name="IQ_LT_DEBT_ISSUED" hidden="1">"c681"</definedName>
    <definedName name="IQ_LT_DEBT_ISSUED_BNK" hidden="1">"c682"</definedName>
    <definedName name="IQ_LT_DEBT_ISSUED_BR" hidden="1">"c683"</definedName>
    <definedName name="IQ_LT_DEBT_ISSUED_FIN" hidden="1">"c684"</definedName>
    <definedName name="IQ_LT_DEBT_ISSUED_INS" hidden="1">"c685"</definedName>
    <definedName name="IQ_LT_DEBT_ISSUED_REIT" hidden="1">"c686"</definedName>
    <definedName name="IQ_LT_DEBT_ISSUED_UTI" hidden="1">"c687"</definedName>
    <definedName name="IQ_LT_DEBT_REIT" hidden="1">"c688"</definedName>
    <definedName name="IQ_LT_DEBT_REPAID" hidden="1">"c689"</definedName>
    <definedName name="IQ_LT_DEBT_REPAID_BNK" hidden="1">"c690"</definedName>
    <definedName name="IQ_LT_DEBT_REPAID_BR" hidden="1">"c691"</definedName>
    <definedName name="IQ_LT_DEBT_REPAID_FIN" hidden="1">"c692"</definedName>
    <definedName name="IQ_LT_DEBT_REPAID_INS" hidden="1">"c693"</definedName>
    <definedName name="IQ_LT_DEBT_REPAID_REIT" hidden="1">"c694"</definedName>
    <definedName name="IQ_LT_DEBT_REPAID_UTI" hidden="1">"c695"</definedName>
    <definedName name="IQ_LT_DEBT_UTI" hidden="1">"c696"</definedName>
    <definedName name="IQ_LT_INVEST" hidden="1">"c697"</definedName>
    <definedName name="IQ_LT_INVEST_BR" hidden="1">"c698"</definedName>
    <definedName name="IQ_LT_INVEST_FIN" hidden="1">"c699"</definedName>
    <definedName name="IQ_LT_INVEST_REIT" hidden="1">"c700"</definedName>
    <definedName name="IQ_LT_INVEST_UTI" hidden="1">"c701"</definedName>
    <definedName name="IQ_LT_NOTE_RECEIV" hidden="1">"c1602"</definedName>
    <definedName name="IQ_LTD_DUE_AFTER_FIVE" hidden="1">"c704"</definedName>
    <definedName name="IQ_LTD_DUE_CY" hidden="1">"c705"</definedName>
    <definedName name="IQ_LTD_DUE_CY1" hidden="1">"c706"</definedName>
    <definedName name="IQ_LTD_DUE_CY2" hidden="1">"c707"</definedName>
    <definedName name="IQ_LTD_DUE_CY3" hidden="1">"c708"</definedName>
    <definedName name="IQ_LTD_DUE_CY4" hidden="1">"c709"</definedName>
    <definedName name="IQ_LTD_DUE_NEXT_FIVE" hidden="1">"c710"</definedName>
    <definedName name="IQ_LTM" hidden="1">2000</definedName>
    <definedName name="IQ_LTM_REVENUE_OVER_EMPLOYEES" hidden="1">"c1437"</definedName>
    <definedName name="IQ_MACHINERY" hidden="1">"c711"</definedName>
    <definedName name="IQ_MAINT_CAPEX" hidden="1">"c2947"</definedName>
    <definedName name="IQ_MAINT_REPAIR" hidden="1">"c2087"</definedName>
    <definedName name="IQ_MARKET_CAP_LFCF" hidden="1">"c2209"</definedName>
    <definedName name="IQ_MARKETCAP" hidden="1">"c712"</definedName>
    <definedName name="IQ_MARKETING" hidden="1">"c2239"</definedName>
    <definedName name="IQ_MATURITY_DATE" hidden="1">"c2146"</definedName>
    <definedName name="IQ_MC_RATIO" hidden="1">"c2783"</definedName>
    <definedName name="IQ_MC_STATUTORY_SURPLUS" hidden="1">"c2772"</definedName>
    <definedName name="IQ_MERGER" hidden="1">"c713"</definedName>
    <definedName name="IQ_MERGER_BNK" hidden="1">"c714"</definedName>
    <definedName name="IQ_MERGER_BR" hidden="1">"c715"</definedName>
    <definedName name="IQ_MERGER_FIN" hidden="1">"c716"</definedName>
    <definedName name="IQ_MERGER_INS" hidden="1">"c717"</definedName>
    <definedName name="IQ_MERGER_REIT" hidden="1">"c718"</definedName>
    <definedName name="IQ_MERGER_RESTRUCTURE" hidden="1">"c719"</definedName>
    <definedName name="IQ_MERGER_RESTRUCTURE_BNK" hidden="1">"c720"</definedName>
    <definedName name="IQ_MERGER_RESTRUCTURE_BR" hidden="1">"c721"</definedName>
    <definedName name="IQ_MERGER_RESTRUCTURE_FIN" hidden="1">"c722"</definedName>
    <definedName name="IQ_MERGER_RESTRUCTURE_INS" hidden="1">"c723"</definedName>
    <definedName name="IQ_MERGER_RESTRUCTURE_REIT" hidden="1">"c724"</definedName>
    <definedName name="IQ_MERGER_RESTRUCTURE_UTI" hidden="1">"c725"</definedName>
    <definedName name="IQ_MERGER_UTI" hidden="1">"c726"</definedName>
    <definedName name="IQ_MINORITY_INTEREST" hidden="1">"c727"</definedName>
    <definedName name="IQ_MINORITY_INTEREST_BNK" hidden="1">"c728"</definedName>
    <definedName name="IQ_MINORITY_INTEREST_BR" hidden="1">"c729"</definedName>
    <definedName name="IQ_MINORITY_INTEREST_CF" hidden="1">"c730"</definedName>
    <definedName name="IQ_MINORITY_INTEREST_FIN" hidden="1">"c731"</definedName>
    <definedName name="IQ_MINORITY_INTEREST_INS" hidden="1">"c732"</definedName>
    <definedName name="IQ_MINORITY_INTEREST_IS" hidden="1">"c733"</definedName>
    <definedName name="IQ_MINORITY_INTEREST_REIT" hidden="1">"c734"</definedName>
    <definedName name="IQ_MINORITY_INTEREST_TOTAL" hidden="1">"c1905"</definedName>
    <definedName name="IQ_MINORITY_INTEREST_UTI" hidden="1">"c735"</definedName>
    <definedName name="IQ_MISC_ADJUST_CF" hidden="1">"c736"</definedName>
    <definedName name="IQ_MISC_EARN_ADJ" hidden="1">"c1603"</definedName>
    <definedName name="IQ_MKTCAP_EBT_EXCL" hidden="1">"c737"</definedName>
    <definedName name="IQ_MKTCAP_EBT_EXCL_AVG" hidden="1">"c738"</definedName>
    <definedName name="IQ_MKTCAP_EBT_INCL_AVG" hidden="1">"c739"</definedName>
    <definedName name="IQ_MKTCAP_TOTAL_REV" hidden="1">"c740"</definedName>
    <definedName name="IQ_MKTCAP_TOTAL_REV_AVG" hidden="1">"c741"</definedName>
    <definedName name="IQ_MM_ACCOUNT" hidden="1">"c743"</definedName>
    <definedName name="IQ_MORT_BANK_ACT" hidden="1">"c744"</definedName>
    <definedName name="IQ_MORT_BANKING_FEE" hidden="1">"c745"</definedName>
    <definedName name="IQ_MORT_INT_INC" hidden="1">"c746"</definedName>
    <definedName name="IQ_MORT_LOANS" hidden="1">"c747"</definedName>
    <definedName name="IQ_MORT_SECURITY" hidden="1">"c748"</definedName>
    <definedName name="IQ_MORTGAGE_SERV_RIGHTS" hidden="1">"c2242"</definedName>
    <definedName name="IQ_NET_CHANGE" hidden="1">"c749"</definedName>
    <definedName name="IQ_NET_CLAIM_EXP_INCUR" hidden="1">"c2757"</definedName>
    <definedName name="IQ_NET_CLAIM_EXP_INCUR_CY" hidden="1">"c2761"</definedName>
    <definedName name="IQ_NET_CLAIM_EXP_INCUR_PY" hidden="1">"c2762"</definedName>
    <definedName name="IQ_NET_CLAIM_EXP_PAID" hidden="1">"c2760"</definedName>
    <definedName name="IQ_NET_CLAIM_EXP_PAID_CY" hidden="1">"c2763"</definedName>
    <definedName name="IQ_NET_CLAIM_EXP_PAID_PY" hidden="1">"c2764"</definedName>
    <definedName name="IQ_NET_CLAIM_EXP_RES" hidden="1">"c2754"</definedName>
    <definedName name="IQ_NET_DEBT" hidden="1">"c1584"</definedName>
    <definedName name="IQ_NET_DEBT_EBITDA" hidden="1">"c750"</definedName>
    <definedName name="IQ_NET_DEBT_EBITDA_CAPEX" hidden="1">"c2949"</definedName>
    <definedName name="IQ_NET_DEBT_ISSUED" hidden="1">"c751"</definedName>
    <definedName name="IQ_NET_DEBT_ISSUED_BNK" hidden="1">"c752"</definedName>
    <definedName name="IQ_NET_DEBT_ISSUED_BR" hidden="1">"c753"</definedName>
    <definedName name="IQ_NET_DEBT_ISSUED_FIN" hidden="1">"c754"</definedName>
    <definedName name="IQ_NET_DEBT_ISSUED_INS" hidden="1">"c755"</definedName>
    <definedName name="IQ_NET_DEBT_ISSUED_REIT" hidden="1">"c756"</definedName>
    <definedName name="IQ_NET_DEBT_ISSUED_UTI" hidden="1">"c757"</definedName>
    <definedName name="IQ_NET_EARNED" hidden="1">"c2734"</definedName>
    <definedName name="IQ_NET_INC" hidden="1">"c1394"</definedName>
    <definedName name="IQ_NET_INC_BEFORE" hidden="1">"c1368"</definedName>
    <definedName name="IQ_NET_INC_CF" hidden="1">"c1397"</definedName>
    <definedName name="IQ_NET_INC_MARGIN" hidden="1">"c1398"</definedName>
    <definedName name="IQ_NET_INT_INC_10YR_ANN_GROWTH" hidden="1">"c758"</definedName>
    <definedName name="IQ_NET_INT_INC_1YR_ANN_GROWTH" hidden="1">"c759"</definedName>
    <definedName name="IQ_NET_INT_INC_2YR_ANN_GROWTH" hidden="1">"c760"</definedName>
    <definedName name="IQ_NET_INT_INC_3YR_ANN_GROWTH" hidden="1">"c761"</definedName>
    <definedName name="IQ_NET_INT_INC_5YR_ANN_GROWTH" hidden="1">"c762"</definedName>
    <definedName name="IQ_NET_INT_INC_7YR_ANN_GROWTH" hidden="1">"c763"</definedName>
    <definedName name="IQ_NET_INT_INC_BNK" hidden="1">"c764"</definedName>
    <definedName name="IQ_NET_INT_INC_BR" hidden="1">"c765"</definedName>
    <definedName name="IQ_NET_INT_INC_FIN" hidden="1">"c766"</definedName>
    <definedName name="IQ_NET_INT_INC_TOTAL_REV" hidden="1">"c767"</definedName>
    <definedName name="IQ_NET_INT_MARGIN" hidden="1">"c768"</definedName>
    <definedName name="IQ_NET_INTEREST_EXP" hidden="1">"c769"</definedName>
    <definedName name="IQ_NET_INTEREST_EXP_REIT" hidden="1">"c770"</definedName>
    <definedName name="IQ_NET_INTEREST_EXP_UTI" hidden="1">"c771"</definedName>
    <definedName name="IQ_NET_INTEREST_INC" hidden="1">"c1392"</definedName>
    <definedName name="IQ_NET_INTEREST_INC_AFTER_LL" hidden="1">"c1604"</definedName>
    <definedName name="IQ_NET_LIFE_INS_IN_FORCE" hidden="1">"c2769"</definedName>
    <definedName name="IQ_NET_LOANS" hidden="1">"c772"</definedName>
    <definedName name="IQ_NET_LOANS_10YR_ANN_GROWTH" hidden="1">"c773"</definedName>
    <definedName name="IQ_NET_LOANS_1YR_ANN_GROWTH" hidden="1">"c774"</definedName>
    <definedName name="IQ_NET_LOANS_2YR_ANN_GROWTH" hidden="1">"c775"</definedName>
    <definedName name="IQ_NET_LOANS_3YR_ANN_GROWTH" hidden="1">"c776"</definedName>
    <definedName name="IQ_NET_LOANS_5YR_ANN_GROWTH" hidden="1">"c777"</definedName>
    <definedName name="IQ_NET_LOANS_7YR_ANN_GROWTH" hidden="1">"c778"</definedName>
    <definedName name="IQ_NET_LOANS_TOTAL_DEPOSITS" hidden="1">"c779"</definedName>
    <definedName name="IQ_NET_RENTAL_EXP_FN" hidden="1">"c780"</definedName>
    <definedName name="IQ_NET_TO_GROSS_EARNED" hidden="1">"c2750"</definedName>
    <definedName name="IQ_NET_TO_GROSS_WRITTEN" hidden="1">"c2729"</definedName>
    <definedName name="IQ_NET_WORKING_CAP" hidden="1">"c3493"</definedName>
    <definedName name="IQ_NET_WRITTEN" hidden="1">"c2728"</definedName>
    <definedName name="IQ_NEW_PREM" hidden="1">"c2785"</definedName>
    <definedName name="IQ_NEXT_CALL_DATE" hidden="1">"c2198"</definedName>
    <definedName name="IQ_NEXT_CALL_PRICE" hidden="1">"c2199"</definedName>
    <definedName name="IQ_NEXT_INT_DATE" hidden="1">"c2187"</definedName>
    <definedName name="IQ_NEXT_PUT_DATE" hidden="1">"c2200"</definedName>
    <definedName name="IQ_NEXT_PUT_PRICE" hidden="1">"c2201"</definedName>
    <definedName name="IQ_NI" hidden="1">"c781"</definedName>
    <definedName name="IQ_NI_10YR_ANN_GROWTH" hidden="1">"c782"</definedName>
    <definedName name="IQ_NI_1YR_ANN_GROWTH" hidden="1">"c783"</definedName>
    <definedName name="IQ_NI_2YR_ANN_GROWTH" hidden="1">"c784"</definedName>
    <definedName name="IQ_NI_3YR_ANN_GROWTH" hidden="1">"c785"</definedName>
    <definedName name="IQ_NI_5YR_ANN_GROWTH" hidden="1">"c786"</definedName>
    <definedName name="IQ_NI_7YR_ANN_GROWTH" hidden="1">"c787"</definedName>
    <definedName name="IQ_NI_AFTER_CAPITALIZED" hidden="1">"c788"</definedName>
    <definedName name="IQ_NI_AVAIL_EXCL" hidden="1">"c789"</definedName>
    <definedName name="IQ_NI_AVAIL_EXCL_MARGIN" hidden="1">"c790"</definedName>
    <definedName name="IQ_NI_AVAIL_INCL" hidden="1">"c791"</definedName>
    <definedName name="IQ_NI_BEFORE_CAPITALIZED" hidden="1">"c792"</definedName>
    <definedName name="IQ_NI_CF" hidden="1">"c793"</definedName>
    <definedName name="IQ_NI_MARGIN" hidden="1">"c794"</definedName>
    <definedName name="IQ_NI_NORM" hidden="1">"c1901"</definedName>
    <definedName name="IQ_NI_NORM_10YR_ANN_GROWTH" hidden="1">"c1960"</definedName>
    <definedName name="IQ_NI_NORM_1YR_ANN_GROWTH" hidden="1">"c1955"</definedName>
    <definedName name="IQ_NI_NORM_2YR_ANN_GROWTH" hidden="1">"c1956"</definedName>
    <definedName name="IQ_NI_NORM_3YR_ANN_GROWTH" hidden="1">"c1957"</definedName>
    <definedName name="IQ_NI_NORM_5YR_ANN_GROWTH" hidden="1">"c1958"</definedName>
    <definedName name="IQ_NI_NORM_7YR_ANN_GROWTH" hidden="1">"c1959"</definedName>
    <definedName name="IQ_NI_NORM_MARGIN" hidden="1">"c1964"</definedName>
    <definedName name="IQ_NI_SFAS" hidden="1">"c795"</definedName>
    <definedName name="IQ_NOL_CF_1YR" hidden="1">"c3465"</definedName>
    <definedName name="IQ_NOL_CF_2YR" hidden="1">"c3466"</definedName>
    <definedName name="IQ_NOL_CF_3YR" hidden="1">"c3467"</definedName>
    <definedName name="IQ_NOL_CF_4YR" hidden="1">"c3468"</definedName>
    <definedName name="IQ_NOL_CF_5YR" hidden="1">"c3469"</definedName>
    <definedName name="IQ_NOL_CF_AFTER_FIVE" hidden="1">"c3470"</definedName>
    <definedName name="IQ_NOL_CF_MAX_YEAR" hidden="1">"c3473"</definedName>
    <definedName name="IQ_NOL_CF_NO_EXP" hidden="1">"c3471"</definedName>
    <definedName name="IQ_NOL_CF_TOTAL" hidden="1">"c3472"</definedName>
    <definedName name="IQ_NON_ACCRUAL_LOANS" hidden="1">"c796"</definedName>
    <definedName name="IQ_NON_CASH" hidden="1">"c1399"</definedName>
    <definedName name="IQ_NON_CASH_ITEMS" hidden="1">"c797"</definedName>
    <definedName name="IQ_NON_INS_EXP" hidden="1">"c798"</definedName>
    <definedName name="IQ_NON_INS_REV" hidden="1">"c799"</definedName>
    <definedName name="IQ_NON_INT_BEAR_CD" hidden="1">"c800"</definedName>
    <definedName name="IQ_NON_INT_EXP" hidden="1">"c801"</definedName>
    <definedName name="IQ_NON_INT_INC" hidden="1">"c802"</definedName>
    <definedName name="IQ_NON_INT_INC_10YR_ANN_GROWTH" hidden="1">"c803"</definedName>
    <definedName name="IQ_NON_INT_INC_1YR_ANN_GROWTH" hidden="1">"c804"</definedName>
    <definedName name="IQ_NON_INT_INC_2YR_ANN_GROWTH" hidden="1">"c805"</definedName>
    <definedName name="IQ_NON_INT_INC_3YR_ANN_GROWTH" hidden="1">"c806"</definedName>
    <definedName name="IQ_NON_INT_INC_5YR_ANN_GROWTH" hidden="1">"c807"</definedName>
    <definedName name="IQ_NON_INT_INC_7YR_ANN_GROWTH" hidden="1">"c808"</definedName>
    <definedName name="IQ_NON_INTEREST_EXP" hidden="1">"c1400"</definedName>
    <definedName name="IQ_NON_INTEREST_INC" hidden="1">"c1401"</definedName>
    <definedName name="IQ_NON_OPER_EXP" hidden="1">"c809"</definedName>
    <definedName name="IQ_NON_OPER_INC" hidden="1">"c810"</definedName>
    <definedName name="IQ_NON_PERF_ASSETS_10YR_ANN_GROWTH" hidden="1">"c811"</definedName>
    <definedName name="IQ_NON_PERF_ASSETS_1YR_ANN_GROWTH" hidden="1">"c812"</definedName>
    <definedName name="IQ_NON_PERF_ASSETS_2YR_ANN_GROWTH" hidden="1">"c813"</definedName>
    <definedName name="IQ_NON_PERF_ASSETS_3YR_ANN_GROWTH" hidden="1">"c814"</definedName>
    <definedName name="IQ_NON_PERF_ASSETS_5YR_ANN_GROWTH" hidden="1">"c815"</definedName>
    <definedName name="IQ_NON_PERF_ASSETS_7YR_ANN_GROWTH" hidden="1">"c816"</definedName>
    <definedName name="IQ_NON_PERF_ASSETS_TOTAL_ASSETS" hidden="1">"c817"</definedName>
    <definedName name="IQ_NON_PERF_LOANS_10YR_ANN_GROWTH" hidden="1">"c818"</definedName>
    <definedName name="IQ_NON_PERF_LOANS_1YR_ANN_GROWTH" hidden="1">"c819"</definedName>
    <definedName name="IQ_NON_PERF_LOANS_2YR_ANN_GROWTH" hidden="1">"c820"</definedName>
    <definedName name="IQ_NON_PERF_LOANS_3YR_ANN_GROWTH" hidden="1">"c821"</definedName>
    <definedName name="IQ_NON_PERF_LOANS_5YR_ANN_GROWTH" hidden="1">"c822"</definedName>
    <definedName name="IQ_NON_PERF_LOANS_7YR_ANN_GROWTH" hidden="1">"c823"</definedName>
    <definedName name="IQ_NON_PERF_LOANS_TOTAL_ASSETS" hidden="1">"c824"</definedName>
    <definedName name="IQ_NON_PERF_LOANS_TOTAL_LOANS" hidden="1">"c825"</definedName>
    <definedName name="IQ_NON_PERFORMING_ASSETS" hidden="1">"c826"</definedName>
    <definedName name="IQ_NON_PERFORMING_LOANS" hidden="1">"c827"</definedName>
    <definedName name="IQ_NONCASH_PENSION_EXP" hidden="1">"c3000"</definedName>
    <definedName name="IQ_NONRECOURSE_DEBT" hidden="1">"c2550"</definedName>
    <definedName name="IQ_NONRECOURSE_DEBT_PCT" hidden="1">"c2551"</definedName>
    <definedName name="IQ_NONUTIL_REV" hidden="1">"c2089"</definedName>
    <definedName name="IQ_NORMAL_INC_AFTER" hidden="1">"c1605"</definedName>
    <definedName name="IQ_NORMAL_INC_AVAIL" hidden="1">"c1606"</definedName>
    <definedName name="IQ_NORMAL_INC_BEFORE" hidden="1">"c1607"</definedName>
    <definedName name="IQ_NOTES_PAY" hidden="1">"c1423"</definedName>
    <definedName name="IQ_NOW_ACCOUNT" hidden="1">"c828"</definedName>
    <definedName name="IQ_NPPE" hidden="1">"c829"</definedName>
    <definedName name="IQ_NPPE_10YR_ANN_GROWTH" hidden="1">"c830"</definedName>
    <definedName name="IQ_NPPE_1YR_ANN_GROWTH" hidden="1">"c831"</definedName>
    <definedName name="IQ_NPPE_2YR_ANN_GROWTH" hidden="1">"c832"</definedName>
    <definedName name="IQ_NPPE_3YR_ANN_GROWTH" hidden="1">"c833"</definedName>
    <definedName name="IQ_NPPE_5YR_ANN_GROWTH" hidden="1">"c834"</definedName>
    <definedName name="IQ_NPPE_7YR_ANN_GROWTH" hidden="1">"c835"</definedName>
    <definedName name="IQ_NTM" hidden="1">6000</definedName>
    <definedName name="IQ_NUKE" hidden="1">"c836"</definedName>
    <definedName name="IQ_NUKE_CF" hidden="1">"c837"</definedName>
    <definedName name="IQ_NUKE_CONTR" hidden="1">"c838"</definedName>
    <definedName name="IQ_NUM_BRANCHES" hidden="1">"c2088"</definedName>
    <definedName name="IQ_NUMBER_ADRHOLDERS" hidden="1">"c1970"</definedName>
    <definedName name="IQ_NUMBER_DAYS" hidden="1">"c1904"</definedName>
    <definedName name="IQ_NUMBER_SHAREHOLDERS" hidden="1">"c1967"</definedName>
    <definedName name="IQ_NUMBER_SHAREHOLDERS_CLASSA" hidden="1">"c1968"</definedName>
    <definedName name="IQ_NUMBER_SHAREHOLDERS_OTHER" hidden="1">"c1969"</definedName>
    <definedName name="IQ_OCCUPY_EXP" hidden="1">"c839"</definedName>
    <definedName name="IQ_OFFER_AMOUNT" hidden="1">"c2152"</definedName>
    <definedName name="IQ_OFFER_COUPON" hidden="1">"c2147"</definedName>
    <definedName name="IQ_OFFER_COUPON_TYPE" hidden="1">"c2148"</definedName>
    <definedName name="IQ_OFFER_DATE" hidden="1">"c2149"</definedName>
    <definedName name="IQ_OFFER_PRICE" hidden="1">"c2150"</definedName>
    <definedName name="IQ_OFFER_YIELD" hidden="1">"c2151"</definedName>
    <definedName name="IQ_OG_10DISC" hidden="1">"c1998"</definedName>
    <definedName name="IQ_OG_10DISC_GAS" hidden="1">"c2018"</definedName>
    <definedName name="IQ_OG_10DISC_OIL" hidden="1">"c2008"</definedName>
    <definedName name="IQ_OG_ACQ_COST_PROVED" hidden="1">"c1975"</definedName>
    <definedName name="IQ_OG_ACQ_COST_PROVED_GAS" hidden="1">"c1987"</definedName>
    <definedName name="IQ_OG_ACQ_COST_PROVED_OIL" hidden="1">"c1981"</definedName>
    <definedName name="IQ_OG_ACQ_COST_UNPROVED" hidden="1">"c1976"</definedName>
    <definedName name="IQ_OG_ACQ_COST_UNPROVED_GAS" hidden="1">"c1988"</definedName>
    <definedName name="IQ_OG_ACQ_COST_UNPROVED_OIL" hidden="1">"c1982"</definedName>
    <definedName name="IQ_OG_AVG_DAILY_PROD_GAS" hidden="1">"c2910"</definedName>
    <definedName name="IQ_OG_AVG_DAILY_PROD_NGL" hidden="1">"c2911"</definedName>
    <definedName name="IQ_OG_AVG_DAILY_PROD_OIL" hidden="1">"c2909"</definedName>
    <definedName name="IQ_OG_CLOSE_BALANCE_GAS" hidden="1">"c2049"</definedName>
    <definedName name="IQ_OG_CLOSE_BALANCE_NGL" hidden="1">"c2920"</definedName>
    <definedName name="IQ_OG_CLOSE_BALANCE_OIL" hidden="1">"c2037"</definedName>
    <definedName name="IQ_OG_DCF_BEFORE_TAXES" hidden="1">"c2023"</definedName>
    <definedName name="IQ_OG_DCF_BEFORE_TAXES_GAS" hidden="1">"c2025"</definedName>
    <definedName name="IQ_OG_DCF_BEFORE_TAXES_OIL" hidden="1">"c2024"</definedName>
    <definedName name="IQ_OG_DEVELOPED_RESERVES_GAS" hidden="1">"c2053"</definedName>
    <definedName name="IQ_OG_DEVELOPED_RESERVES_NGL" hidden="1">"c2922"</definedName>
    <definedName name="IQ_OG_DEVELOPED_RESERVES_OIL" hidden="1">"c2054"</definedName>
    <definedName name="IQ_OG_DEVELOPMENT_COSTS" hidden="1">"c1978"</definedName>
    <definedName name="IQ_OG_DEVELOPMENT_COSTS_GAS" hidden="1">"c1990"</definedName>
    <definedName name="IQ_OG_DEVELOPMENT_COSTS_OIL" hidden="1">"c1984"</definedName>
    <definedName name="IQ_OG_EQUITY_DCF" hidden="1">"c2002"</definedName>
    <definedName name="IQ_OG_EQUITY_DCF_GAS" hidden="1">"c2022"</definedName>
    <definedName name="IQ_OG_EQUITY_DCF_OIL" hidden="1">"c2012"</definedName>
    <definedName name="IQ_OG_EQUTY_RESERVES_GAS" hidden="1">"c2050"</definedName>
    <definedName name="IQ_OG_EQUTY_RESERVES_NGL" hidden="1">"c2921"</definedName>
    <definedName name="IQ_OG_EQUTY_RESERVES_OIL" hidden="1">"c2038"</definedName>
    <definedName name="IQ_OG_EXPLORATION_COSTS" hidden="1">"c1977"</definedName>
    <definedName name="IQ_OG_EXPLORATION_COSTS_GAS" hidden="1">"c1989"</definedName>
    <definedName name="IQ_OG_EXPLORATION_COSTS_OIL" hidden="1">"c1983"</definedName>
    <definedName name="IQ_OG_EXT_DISC_GAS" hidden="1">"c2043"</definedName>
    <definedName name="IQ_OG_EXT_DISC_NGL" hidden="1">"c2914"</definedName>
    <definedName name="IQ_OG_EXT_DISC_OIL" hidden="1">"c2031"</definedName>
    <definedName name="IQ_OG_FUTURE_CASH_INFLOWS" hidden="1">"c1993"</definedName>
    <definedName name="IQ_OG_FUTURE_CASH_INFLOWS_GAS" hidden="1">"c2013"</definedName>
    <definedName name="IQ_OG_FUTURE_CASH_INFLOWS_OIL" hidden="1">"c2003"</definedName>
    <definedName name="IQ_OG_FUTURE_DEVELOPMENT_COSTS" hidden="1">"c1995"</definedName>
    <definedName name="IQ_OG_FUTURE_DEVELOPMENT_COSTS_GAS" hidden="1">"c2015"</definedName>
    <definedName name="IQ_OG_FUTURE_DEVELOPMENT_COSTS_OIL" hidden="1">"c2005"</definedName>
    <definedName name="IQ_OG_FUTURE_INC_TAXES" hidden="1">"c1997"</definedName>
    <definedName name="IQ_OG_FUTURE_INC_TAXES_GAS" hidden="1">"c2017"</definedName>
    <definedName name="IQ_OG_FUTURE_INC_TAXES_OIL" hidden="1">"c2007"</definedName>
    <definedName name="IQ_OG_FUTURE_PRODUCTION_COSTS" hidden="1">"c1994"</definedName>
    <definedName name="IQ_OG_FUTURE_PRODUCTION_COSTS_GAS" hidden="1">"c2014"</definedName>
    <definedName name="IQ_OG_FUTURE_PRODUCTION_COSTS_OIL" hidden="1">"c2004"</definedName>
    <definedName name="IQ_OG_GAS_PRICE_HEDGED" hidden="1">"c2056"</definedName>
    <definedName name="IQ_OG_GAS_PRICE_UNHEDGED" hidden="1">"c2058"</definedName>
    <definedName name="IQ_OG_IMPROVED_RECOVERY_GAS" hidden="1">"c2044"</definedName>
    <definedName name="IQ_OG_IMPROVED_RECOVERY_NGL" hidden="1">"c2915"</definedName>
    <definedName name="IQ_OG_IMPROVED_RECOVERY_OIL" hidden="1">"c2032"</definedName>
    <definedName name="IQ_OG_LIQUID_GAS_PRICE_HEDGED" hidden="1">"c2233"</definedName>
    <definedName name="IQ_OG_LIQUID_GAS_PRICE_UNHEDGED" hidden="1">"c2234"</definedName>
    <definedName name="IQ_OG_NET_FUTURE_CASH_FLOWS" hidden="1">"c1996"</definedName>
    <definedName name="IQ_OG_NET_FUTURE_CASH_FLOWS_GAS" hidden="1">"c2016"</definedName>
    <definedName name="IQ_OG_NET_FUTURE_CASH_FLOWS_OIL" hidden="1">"c2006"</definedName>
    <definedName name="IQ_OG_OIL_PRICE_HEDGED" hidden="1">"c2055"</definedName>
    <definedName name="IQ_OG_OIL_PRICE_UNHEDGED" hidden="1">"c2057"</definedName>
    <definedName name="IQ_OG_OPEN_BALANCE_GAS" hidden="1">"c2041"</definedName>
    <definedName name="IQ_OG_OPEN_BALANCE_NGL" hidden="1">"c2912"</definedName>
    <definedName name="IQ_OG_OPEN_BALANCE_OIL" hidden="1">"c2029"</definedName>
    <definedName name="IQ_OG_OTHER_ADJ_FCF" hidden="1">"c1999"</definedName>
    <definedName name="IQ_OG_OTHER_ADJ_FCF_GAS" hidden="1">"c2019"</definedName>
    <definedName name="IQ_OG_OTHER_ADJ_FCF_OIL" hidden="1">"c2009"</definedName>
    <definedName name="IQ_OG_OTHER_ADJ_GAS" hidden="1">"c2048"</definedName>
    <definedName name="IQ_OG_OTHER_ADJ_NGL" hidden="1">"c2919"</definedName>
    <definedName name="IQ_OG_OTHER_ADJ_OIL" hidden="1">"c2036"</definedName>
    <definedName name="IQ_OG_OTHER_COSTS" hidden="1">"c1979"</definedName>
    <definedName name="IQ_OG_OTHER_COSTS_GAS" hidden="1">"c1991"</definedName>
    <definedName name="IQ_OG_OTHER_COSTS_OIL" hidden="1">"c1985"</definedName>
    <definedName name="IQ_OG_PRODUCTION_GAS" hidden="1">"c2047"</definedName>
    <definedName name="IQ_OG_PRODUCTION_NGL" hidden="1">"c2918"</definedName>
    <definedName name="IQ_OG_PRODUCTION_OIL" hidden="1">"c2035"</definedName>
    <definedName name="IQ_OG_PURCHASES_GAS" hidden="1">"c2045"</definedName>
    <definedName name="IQ_OG_PURCHASES_NGL" hidden="1">"c2916"</definedName>
    <definedName name="IQ_OG_PURCHASES_OIL" hidden="1">"c2033"</definedName>
    <definedName name="IQ_OG_REVISIONS_GAS" hidden="1">"c2042"</definedName>
    <definedName name="IQ_OG_REVISIONS_NGL" hidden="1">"c2913"</definedName>
    <definedName name="IQ_OG_REVISIONS_OIL" hidden="1">"c2030"</definedName>
    <definedName name="IQ_OG_SALES_IN_PLACE_GAS" hidden="1">"c2046"</definedName>
    <definedName name="IQ_OG_SALES_IN_PLACE_NGL" hidden="1">"c2917"</definedName>
    <definedName name="IQ_OG_SALES_IN_PLACE_OIL" hidden="1">"c2034"</definedName>
    <definedName name="IQ_OG_STANDARDIZED_DCF" hidden="1">"c2000"</definedName>
    <definedName name="IQ_OG_STANDARDIZED_DCF_GAS" hidden="1">"c2020"</definedName>
    <definedName name="IQ_OG_STANDARDIZED_DCF_HEDGED" hidden="1">"c2001"</definedName>
    <definedName name="IQ_OG_STANDARDIZED_DCF_HEDGED_GAS" hidden="1">"c2021"</definedName>
    <definedName name="IQ_OG_STANDARDIZED_DCF_HEDGED_OIL" hidden="1">"c2011"</definedName>
    <definedName name="IQ_OG_STANDARDIZED_DCF_OIL" hidden="1">"c2010"</definedName>
    <definedName name="IQ_OG_TAXES" hidden="1">"c2026"</definedName>
    <definedName name="IQ_OG_TAXES_GAS" hidden="1">"c2028"</definedName>
    <definedName name="IQ_OG_TAXES_OIL" hidden="1">"c2027"</definedName>
    <definedName name="IQ_OG_TOTAL_COSTS" hidden="1">"c1980"</definedName>
    <definedName name="IQ_OG_TOTAL_COSTS_GAS" hidden="1">"c1992"</definedName>
    <definedName name="IQ_OG_TOTAL_COSTS_OIL" hidden="1">"c1986"</definedName>
    <definedName name="IQ_OG_TOTAL_EST_PROVED_RESERVES_GAS" hidden="1">"c2052"</definedName>
    <definedName name="IQ_OG_TOTAL_GAS_PRODUCTION" hidden="1">"c2060"</definedName>
    <definedName name="IQ_OG_TOTAL_LIQUID_GAS_PRODUCTION" hidden="1">"c2235"</definedName>
    <definedName name="IQ_OG_TOTAL_OIL_PRODUCTION" hidden="1">"c2059"</definedName>
    <definedName name="IQ_OG_TOTAL_OIL_PRODUCTON" hidden="1">"c2059"</definedName>
    <definedName name="IQ_OG_UNDEVELOPED_RESERVES_GAS" hidden="1">"c2051"</definedName>
    <definedName name="IQ_OG_UNDEVELOPED_RESERVES_NGL" hidden="1">"c2923"</definedName>
    <definedName name="IQ_OG_UNDEVELOPED_RESERVES_OIL" hidden="1">"c2039"</definedName>
    <definedName name="IQ_OIL_IMPAIR" hidden="1">"c840"</definedName>
    <definedName name="IQ_OL_COMM_AFTER_FIVE" hidden="1">"c841"</definedName>
    <definedName name="IQ_OL_COMM_CY" hidden="1">"c842"</definedName>
    <definedName name="IQ_OL_COMM_CY1" hidden="1">"c843"</definedName>
    <definedName name="IQ_OL_COMM_CY2" hidden="1">"c844"</definedName>
    <definedName name="IQ_OL_COMM_CY3" hidden="1">"c845"</definedName>
    <definedName name="IQ_OL_COMM_CY4" hidden="1">"c846"</definedName>
    <definedName name="IQ_OL_COMM_NEXT_FIVE" hidden="1">"c847"</definedName>
    <definedName name="IQ_OPEB_ACCRUED_LIAB" hidden="1">"c3308"</definedName>
    <definedName name="IQ_OPEB_ACCRUED_LIAB_DOM" hidden="1">"c3306"</definedName>
    <definedName name="IQ_OPEB_ACCRUED_LIAB_FOREIGN" hidden="1">"c3307"</definedName>
    <definedName name="IQ_OPEB_ACCUM_OTHER_CI" hidden="1">"c3314"</definedName>
    <definedName name="IQ_OPEB_ACCUM_OTHER_CI_DOM" hidden="1">"c3312"</definedName>
    <definedName name="IQ_OPEB_ACCUM_OTHER_CI_FOREIGN" hidden="1">"c3313"</definedName>
    <definedName name="IQ_OPEB_ASSETS" hidden="1">"c3356"</definedName>
    <definedName name="IQ_OPEB_ASSETS_ACQ" hidden="1">"c3347"</definedName>
    <definedName name="IQ_OPEB_ASSETS_ACQ_DOM" hidden="1">"c3345"</definedName>
    <definedName name="IQ_OPEB_ASSETS_ACQ_FOREIGN" hidden="1">"c3346"</definedName>
    <definedName name="IQ_OPEB_ASSETS_ACTUAL_RETURN" hidden="1">"c3332"</definedName>
    <definedName name="IQ_OPEB_ASSETS_ACTUAL_RETURN_DOM" hidden="1">"c3330"</definedName>
    <definedName name="IQ_OPEB_ASSETS_ACTUAL_RETURN_FOREIGN" hidden="1">"c3331"</definedName>
    <definedName name="IQ_OPEB_ASSETS_BEG" hidden="1">"c3329"</definedName>
    <definedName name="IQ_OPEB_ASSETS_BEG_DOM" hidden="1">"c3327"</definedName>
    <definedName name="IQ_OPEB_ASSETS_BEG_FOREIGN" hidden="1">"c3328"</definedName>
    <definedName name="IQ_OPEB_ASSETS_BENEFITS_PAID" hidden="1">"c3341"</definedName>
    <definedName name="IQ_OPEB_ASSETS_BENEFITS_PAID_DOM" hidden="1">"c3339"</definedName>
    <definedName name="IQ_OPEB_ASSETS_BENEFITS_PAID_FOREIGN" hidden="1">"c3340"</definedName>
    <definedName name="IQ_OPEB_ASSETS_CURTAIL" hidden="1">"c3350"</definedName>
    <definedName name="IQ_OPEB_ASSETS_CURTAIL_DOM" hidden="1">"c3348"</definedName>
    <definedName name="IQ_OPEB_ASSETS_CURTAIL_FOREIGN" hidden="1">"c3349"</definedName>
    <definedName name="IQ_OPEB_ASSETS_DOM" hidden="1">"c3354"</definedName>
    <definedName name="IQ_OPEB_ASSETS_EMPLOYER_CONTRIBUTIONS" hidden="1">"c3335"</definedName>
    <definedName name="IQ_OPEB_ASSETS_EMPLOYER_CONTRIBUTIONS_DOM" hidden="1">"c3333"</definedName>
    <definedName name="IQ_OPEB_ASSETS_EMPLOYER_CONTRIBUTIONS_FOREIGN" hidden="1">"c3334"</definedName>
    <definedName name="IQ_OPEB_ASSETS_FOREIGN" hidden="1">"c3355"</definedName>
    <definedName name="IQ_OPEB_ASSETS_FX_ADJ" hidden="1">"c3344"</definedName>
    <definedName name="IQ_OPEB_ASSETS_FX_ADJ_DOM" hidden="1">"c3342"</definedName>
    <definedName name="IQ_OPEB_ASSETS_FX_ADJ_FOREIGN" hidden="1">"c3343"</definedName>
    <definedName name="IQ_OPEB_ASSETS_OTHER_PLAN_ADJ" hidden="1">"c3353"</definedName>
    <definedName name="IQ_OPEB_ASSETS_OTHER_PLAN_ADJ_DOM" hidden="1">"c3351"</definedName>
    <definedName name="IQ_OPEB_ASSETS_OTHER_PLAN_ADJ_FOREIGN" hidden="1">"c3352"</definedName>
    <definedName name="IQ_OPEB_ASSETS_PARTICIP_CONTRIBUTIONS" hidden="1">"c3338"</definedName>
    <definedName name="IQ_OPEB_ASSETS_PARTICIP_CONTRIBUTIONS_DOM" hidden="1">"c3336"</definedName>
    <definedName name="IQ_OPEB_ASSETS_PARTICIP_CONTRIBUTIONS_FOREIGN" hidden="1">"c3337"</definedName>
    <definedName name="IQ_OPEB_BENEFIT_INFO_DATE" hidden="1">"c3410"</definedName>
    <definedName name="IQ_OPEB_BENEFIT_INFO_DATE_DOM" hidden="1">"c3408"</definedName>
    <definedName name="IQ_OPEB_BENEFIT_INFO_DATE_FOREIGN" hidden="1">"c3409"</definedName>
    <definedName name="IQ_OPEB_BREAKDOWN_EQ" hidden="1">"c3275"</definedName>
    <definedName name="IQ_OPEB_BREAKDOWN_EQ_DOM" hidden="1">"c3273"</definedName>
    <definedName name="IQ_OPEB_BREAKDOWN_EQ_FOREIGN" hidden="1">"c3274"</definedName>
    <definedName name="IQ_OPEB_BREAKDOWN_FI" hidden="1">"c3278"</definedName>
    <definedName name="IQ_OPEB_BREAKDOWN_FI_DOM" hidden="1">"c3276"</definedName>
    <definedName name="IQ_OPEB_BREAKDOWN_FI_FOREIGN" hidden="1">"c3277"</definedName>
    <definedName name="IQ_OPEB_BREAKDOWN_OTHER" hidden="1">"c3284"</definedName>
    <definedName name="IQ_OPEB_BREAKDOWN_OTHER_DOM" hidden="1">"c3282"</definedName>
    <definedName name="IQ_OPEB_BREAKDOWN_OTHER_FOREIGN" hidden="1">"c3283"</definedName>
    <definedName name="IQ_OPEB_BREAKDOWN_PCT_EQ" hidden="1">"c3263"</definedName>
    <definedName name="IQ_OPEB_BREAKDOWN_PCT_EQ_DOM" hidden="1">"c3261"</definedName>
    <definedName name="IQ_OPEB_BREAKDOWN_PCT_EQ_FOREIGN" hidden="1">"c3262"</definedName>
    <definedName name="IQ_OPEB_BREAKDOWN_PCT_FI" hidden="1">"c3266"</definedName>
    <definedName name="IQ_OPEB_BREAKDOWN_PCT_FI_DOM" hidden="1">"c3264"</definedName>
    <definedName name="IQ_OPEB_BREAKDOWN_PCT_FI_FOREIGN" hidden="1">"c3265"</definedName>
    <definedName name="IQ_OPEB_BREAKDOWN_PCT_OTHER" hidden="1">"c3272"</definedName>
    <definedName name="IQ_OPEB_BREAKDOWN_PCT_OTHER_DOM" hidden="1">"c3270"</definedName>
    <definedName name="IQ_OPEB_BREAKDOWN_PCT_OTHER_FOREIGN" hidden="1">"c3271"</definedName>
    <definedName name="IQ_OPEB_BREAKDOWN_PCT_RE" hidden="1">"c3269"</definedName>
    <definedName name="IQ_OPEB_BREAKDOWN_PCT_RE_DOM" hidden="1">"c3267"</definedName>
    <definedName name="IQ_OPEB_BREAKDOWN_PCT_RE_FOREIGN" hidden="1">"c3268"</definedName>
    <definedName name="IQ_OPEB_BREAKDOWN_RE" hidden="1">"c3281"</definedName>
    <definedName name="IQ_OPEB_BREAKDOWN_RE_DOM" hidden="1">"c3279"</definedName>
    <definedName name="IQ_OPEB_BREAKDOWN_RE_FOREIGN" hidden="1">"c3280"</definedName>
    <definedName name="IQ_OPEB_DECREASE_EFFECT_PBO" hidden="1">"c3458"</definedName>
    <definedName name="IQ_OPEB_DECREASE_EFFECT_PBO_DOM" hidden="1">"c3456"</definedName>
    <definedName name="IQ_OPEB_DECREASE_EFFECT_PBO_FOREIGN" hidden="1">"c3457"</definedName>
    <definedName name="IQ_OPEB_DECREASE_EFFECT_SERVICE_INT_COST" hidden="1">"c3455"</definedName>
    <definedName name="IQ_OPEB_DECREASE_EFFECT_SERVICE_INT_COST_DOM" hidden="1">"c3453"</definedName>
    <definedName name="IQ_OPEB_DECREASE_EFFECT_SERVICE_INT_COST_FOREIGN" hidden="1">"c3454"</definedName>
    <definedName name="IQ_OPEB_DISC_RATE_MAX" hidden="1">"c3422"</definedName>
    <definedName name="IQ_OPEB_DISC_RATE_MAX_DOM" hidden="1">"c3420"</definedName>
    <definedName name="IQ_OPEB_DISC_RATE_MAX_FOREIGN" hidden="1">"c3421"</definedName>
    <definedName name="IQ_OPEB_DISC_RATE_MIN" hidden="1">"c3419"</definedName>
    <definedName name="IQ_OPEB_DISC_RATE_MIN_DOM" hidden="1">"c3417"</definedName>
    <definedName name="IQ_OPEB_DISC_RATE_MIN_FOREIGN" hidden="1">"c3418"</definedName>
    <definedName name="IQ_OPEB_EST_BENEFIT_1YR" hidden="1">"c3287"</definedName>
    <definedName name="IQ_OPEB_EST_BENEFIT_1YR_DOM" hidden="1">"c3285"</definedName>
    <definedName name="IQ_OPEB_EST_BENEFIT_1YR_FOREIGN" hidden="1">"c3286"</definedName>
    <definedName name="IQ_OPEB_EST_BENEFIT_2YR" hidden="1">"c3290"</definedName>
    <definedName name="IQ_OPEB_EST_BENEFIT_2YR_DOM" hidden="1">"c3288"</definedName>
    <definedName name="IQ_OPEB_EST_BENEFIT_2YR_FOREIGN" hidden="1">"c3289"</definedName>
    <definedName name="IQ_OPEB_EST_BENEFIT_3YR" hidden="1">"c3293"</definedName>
    <definedName name="IQ_OPEB_EST_BENEFIT_3YR_DOM" hidden="1">"c3291"</definedName>
    <definedName name="IQ_OPEB_EST_BENEFIT_3YR_FOREIGN" hidden="1">"c3292"</definedName>
    <definedName name="IQ_OPEB_EST_BENEFIT_4YR" hidden="1">"c3296"</definedName>
    <definedName name="IQ_OPEB_EST_BENEFIT_4YR_DOM" hidden="1">"c3294"</definedName>
    <definedName name="IQ_OPEB_EST_BENEFIT_4YR_FOREIGN" hidden="1">"c3295"</definedName>
    <definedName name="IQ_OPEB_EST_BENEFIT_5YR" hidden="1">"c3299"</definedName>
    <definedName name="IQ_OPEB_EST_BENEFIT_5YR_DOM" hidden="1">"c3297"</definedName>
    <definedName name="IQ_OPEB_EST_BENEFIT_5YR_FOREIGN" hidden="1">"c3298"</definedName>
    <definedName name="IQ_OPEB_EST_BENEFIT_AFTER5" hidden="1">"c3302"</definedName>
    <definedName name="IQ_OPEB_EST_BENEFIT_AFTER5_DOM" hidden="1">"c3300"</definedName>
    <definedName name="IQ_OPEB_EST_BENEFIT_AFTER5_FOREIGN" hidden="1">"c3301"</definedName>
    <definedName name="IQ_OPEB_EXP_RATE_RETURN_MAX" hidden="1">"c3434"</definedName>
    <definedName name="IQ_OPEB_EXP_RATE_RETURN_MAX_DOM" hidden="1">"c3432"</definedName>
    <definedName name="IQ_OPEB_EXP_RATE_RETURN_MAX_FOREIGN" hidden="1">"c3433"</definedName>
    <definedName name="IQ_OPEB_EXP_RATE_RETURN_MIN" hidden="1">"c3431"</definedName>
    <definedName name="IQ_OPEB_EXP_RATE_RETURN_MIN_DOM" hidden="1">"c3429"</definedName>
    <definedName name="IQ_OPEB_EXP_RATE_RETURN_MIN_FOREIGN" hidden="1">"c3430"</definedName>
    <definedName name="IQ_OPEB_EXP_RETURN" hidden="1">"c3398"</definedName>
    <definedName name="IQ_OPEB_EXP_RETURN_DOM" hidden="1">"c3396"</definedName>
    <definedName name="IQ_OPEB_EXP_RETURN_FOREIGN" hidden="1">"c3397"</definedName>
    <definedName name="IQ_OPEB_HEALTH_COST_TREND_INITIAL" hidden="1">"c3413"</definedName>
    <definedName name="IQ_OPEB_HEALTH_COST_TREND_INITIAL_DOM" hidden="1">"c3411"</definedName>
    <definedName name="IQ_OPEB_HEALTH_COST_TREND_INITIAL_FOREIGN" hidden="1">"c3412"</definedName>
    <definedName name="IQ_OPEB_HEALTH_COST_TREND_ULTIMATE" hidden="1">"c3416"</definedName>
    <definedName name="IQ_OPEB_HEALTH_COST_TREND_ULTIMATE_DOM" hidden="1">"c3414"</definedName>
    <definedName name="IQ_OPEB_HEALTH_COST_TREND_ULTIMATE_FOREIGN" hidden="1">"c3415"</definedName>
    <definedName name="IQ_OPEB_INCREASE_EFFECT_PBO" hidden="1">"c3452"</definedName>
    <definedName name="IQ_OPEB_INCREASE_EFFECT_PBO_DOM" hidden="1">"c3450"</definedName>
    <definedName name="IQ_OPEB_INCREASE_EFFECT_PBO_FOREIGN" hidden="1">"c3451"</definedName>
    <definedName name="IQ_OPEB_INCREASE_EFFECT_SERVICE_INT_COST" hidden="1">"c3449"</definedName>
    <definedName name="IQ_OPEB_INCREASE_EFFECT_SERVICE_INT_COST_DOM" hidden="1">"c3447"</definedName>
    <definedName name="IQ_OPEB_INCREASE_EFFECT_SERVICE_INT_COST_FOREIGN" hidden="1">"c3448"</definedName>
    <definedName name="IQ_OPEB_INTAN_ASSETS" hidden="1">"c3311"</definedName>
    <definedName name="IQ_OPEB_INTAN_ASSETS_DOM" hidden="1">"c3309"</definedName>
    <definedName name="IQ_OPEB_INTAN_ASSETS_FOREIGN" hidden="1">"c3310"</definedName>
    <definedName name="IQ_OPEB_INTEREST_COST" hidden="1">"c3395"</definedName>
    <definedName name="IQ_OPEB_INTEREST_COST_DOM" hidden="1">"c3393"</definedName>
    <definedName name="IQ_OPEB_INTEREST_COST_FOREIGN" hidden="1">"c3394"</definedName>
    <definedName name="IQ_OPEB_NET_ASSET_RECOG" hidden="1">"c3326"</definedName>
    <definedName name="IQ_OPEB_NET_ASSET_RECOG_DOM" hidden="1">"c3324"</definedName>
    <definedName name="IQ_OPEB_NET_ASSET_RECOG_FOREIGN" hidden="1">"c3325"</definedName>
    <definedName name="IQ_OPEB_OBLIGATION_ACCUMULATED" hidden="1">"c3407"</definedName>
    <definedName name="IQ_OPEB_OBLIGATION_ACCUMULATED_DOM" hidden="1">"c3405"</definedName>
    <definedName name="IQ_OPEB_OBLIGATION_ACCUMULATED_FOREIGN" hidden="1">"c3406"</definedName>
    <definedName name="IQ_OPEB_OBLIGATION_ACQ" hidden="1">"c3380"</definedName>
    <definedName name="IQ_OPEB_OBLIGATION_ACQ_DOM" hidden="1">"c3378"</definedName>
    <definedName name="IQ_OPEB_OBLIGATION_ACQ_FOREIGN" hidden="1">"c3379"</definedName>
    <definedName name="IQ_OPEB_OBLIGATION_ACTUARIAL_GAIN_LOSS" hidden="1">"c3371"</definedName>
    <definedName name="IQ_OPEB_OBLIGATION_ACTUARIAL_GAIN_LOSS_DOM" hidden="1">"c3369"</definedName>
    <definedName name="IQ_OPEB_OBLIGATION_ACTUARIAL_GAIN_LOSS_FOREIGN" hidden="1">"c3370"</definedName>
    <definedName name="IQ_OPEB_OBLIGATION_BEG" hidden="1">"c3359"</definedName>
    <definedName name="IQ_OPEB_OBLIGATION_BEG_DOM" hidden="1">"c3357"</definedName>
    <definedName name="IQ_OPEB_OBLIGATION_BEG_FOREIGN" hidden="1">"c3358"</definedName>
    <definedName name="IQ_OPEB_OBLIGATION_CURTAIL" hidden="1">"c3383"</definedName>
    <definedName name="IQ_OPEB_OBLIGATION_CURTAIL_DOM" hidden="1">"c3381"</definedName>
    <definedName name="IQ_OPEB_OBLIGATION_CURTAIL_FOREIGN" hidden="1">"c3382"</definedName>
    <definedName name="IQ_OPEB_OBLIGATION_EMPLOYEE_CONTRIBUTIONS" hidden="1">"c3368"</definedName>
    <definedName name="IQ_OPEB_OBLIGATION_EMPLOYEE_CONTRIBUTIONS_DOM" hidden="1">"c3366"</definedName>
    <definedName name="IQ_OPEB_OBLIGATION_EMPLOYEE_CONTRIBUTIONS_FOREIGN" hidden="1">"c3367"</definedName>
    <definedName name="IQ_OPEB_OBLIGATION_FX_ADJ" hidden="1">"c3377"</definedName>
    <definedName name="IQ_OPEB_OBLIGATION_FX_ADJ_DOM" hidden="1">"c3375"</definedName>
    <definedName name="IQ_OPEB_OBLIGATION_FX_ADJ_FOREIGN" hidden="1">"c3376"</definedName>
    <definedName name="IQ_OPEB_OBLIGATION_INTEREST_COST" hidden="1">"c3365"</definedName>
    <definedName name="IQ_OPEB_OBLIGATION_INTEREST_COST_DOM" hidden="1">"c3363"</definedName>
    <definedName name="IQ_OPEB_OBLIGATION_INTEREST_COST_FOREIGN" hidden="1">"c3364"</definedName>
    <definedName name="IQ_OPEB_OBLIGATION_OTHER_PLAN_ADJ" hidden="1">"c3386"</definedName>
    <definedName name="IQ_OPEB_OBLIGATION_OTHER_PLAN_ADJ_DOM" hidden="1">"c3384"</definedName>
    <definedName name="IQ_OPEB_OBLIGATION_OTHER_PLAN_ADJ_FOREIGN" hidden="1">"c3385"</definedName>
    <definedName name="IQ_OPEB_OBLIGATION_PAID" hidden="1">"c3374"</definedName>
    <definedName name="IQ_OPEB_OBLIGATION_PAID_DOM" hidden="1">"c3372"</definedName>
    <definedName name="IQ_OPEB_OBLIGATION_PAID_FOREIGN" hidden="1">"c3373"</definedName>
    <definedName name="IQ_OPEB_OBLIGATION_PROJECTED" hidden="1">"c3389"</definedName>
    <definedName name="IQ_OPEB_OBLIGATION_PROJECTED_DOM" hidden="1">"c3387"</definedName>
    <definedName name="IQ_OPEB_OBLIGATION_PROJECTED_FOREIGN" hidden="1">"c3388"</definedName>
    <definedName name="IQ_OPEB_OBLIGATION_SERVICE_COST" hidden="1">"c3362"</definedName>
    <definedName name="IQ_OPEB_OBLIGATION_SERVICE_COST_DOM" hidden="1">"c3360"</definedName>
    <definedName name="IQ_OPEB_OBLIGATION_SERVICE_COST_FOREIGN" hidden="1">"c3361"</definedName>
    <definedName name="IQ_OPEB_OTHER" hidden="1">"c3317"</definedName>
    <definedName name="IQ_OPEB_OTHER_ADJ" hidden="1">"c3323"</definedName>
    <definedName name="IQ_OPEB_OTHER_ADJ_DOM" hidden="1">"c3321"</definedName>
    <definedName name="IQ_OPEB_OTHER_ADJ_FOREIGN" hidden="1">"c3322"</definedName>
    <definedName name="IQ_OPEB_OTHER_COST" hidden="1">"c3401"</definedName>
    <definedName name="IQ_OPEB_OTHER_COST_DOM" hidden="1">"c3399"</definedName>
    <definedName name="IQ_OPEB_OTHER_COST_FOREIGN" hidden="1">"c3400"</definedName>
    <definedName name="IQ_OPEB_OTHER_DOM" hidden="1">"c3315"</definedName>
    <definedName name="IQ_OPEB_OTHER_FOREIGN" hidden="1">"c3316"</definedName>
    <definedName name="IQ_OPEB_PBO_ASSUMED_RATE_RET_MAX" hidden="1">"c3440"</definedName>
    <definedName name="IQ_OPEB_PBO_ASSUMED_RATE_RET_MAX_DOM" hidden="1">"c3438"</definedName>
    <definedName name="IQ_OPEB_PBO_ASSUMED_RATE_RET_MAX_FOREIGN" hidden="1">"c3439"</definedName>
    <definedName name="IQ_OPEB_PBO_ASSUMED_RATE_RET_MIN" hidden="1">"c3437"</definedName>
    <definedName name="IQ_OPEB_PBO_ASSUMED_RATE_RET_MIN_DOM" hidden="1">"c3435"</definedName>
    <definedName name="IQ_OPEB_PBO_ASSUMED_RATE_RET_MIN_FOREIGN" hidden="1">"c3436"</definedName>
    <definedName name="IQ_OPEB_PBO_RATE_COMP_INCREASE_MAX" hidden="1">"c3446"</definedName>
    <definedName name="IQ_OPEB_PBO_RATE_COMP_INCREASE_MAX_DOM" hidden="1">"c3444"</definedName>
    <definedName name="IQ_OPEB_PBO_RATE_COMP_INCREASE_MAX_FOREIGN" hidden="1">"c3445"</definedName>
    <definedName name="IQ_OPEB_PBO_RATE_COMP_INCREASE_MIN" hidden="1">"c3443"</definedName>
    <definedName name="IQ_OPEB_PBO_RATE_COMP_INCREASE_MIN_DOM" hidden="1">"c3441"</definedName>
    <definedName name="IQ_OPEB_PBO_RATE_COMP_INCREASE_MIN_FOREIGN" hidden="1">"c3442"</definedName>
    <definedName name="IQ_OPEB_PREPAID_COST" hidden="1">"c3305"</definedName>
    <definedName name="IQ_OPEB_PREPAID_COST_DOM" hidden="1">"c3303"</definedName>
    <definedName name="IQ_OPEB_PREPAID_COST_FOREIGN" hidden="1">"c3304"</definedName>
    <definedName name="IQ_OPEB_RATE_COMP_INCREASE_MAX" hidden="1">"c3428"</definedName>
    <definedName name="IQ_OPEB_RATE_COMP_INCREASE_MAX_DOM" hidden="1">"c3426"</definedName>
    <definedName name="IQ_OPEB_RATE_COMP_INCREASE_MAX_FOREIGN" hidden="1">"c3427"</definedName>
    <definedName name="IQ_OPEB_RATE_COMP_INCREASE_MIN" hidden="1">"c3425"</definedName>
    <definedName name="IQ_OPEB_RATE_COMP_INCREASE_MIN_DOM" hidden="1">"c3423"</definedName>
    <definedName name="IQ_OPEB_RATE_COMP_INCREASE_MIN_FOREIGN" hidden="1">"c3424"</definedName>
    <definedName name="IQ_OPEB_SERVICE_COST" hidden="1">"c3392"</definedName>
    <definedName name="IQ_OPEB_SERVICE_COST_DOM" hidden="1">"c3390"</definedName>
    <definedName name="IQ_OPEB_SERVICE_COST_FOREIGN" hidden="1">"c3391"</definedName>
    <definedName name="IQ_OPEB_TOTAL_COST" hidden="1">"c3404"</definedName>
    <definedName name="IQ_OPEB_TOTAL_COST_DOM" hidden="1">"c3402"</definedName>
    <definedName name="IQ_OPEB_TOTAL_COST_FOREIGN" hidden="1">"c3403"</definedName>
    <definedName name="IQ_OPEB_UNRECOG_PRIOR" hidden="1">"c3320"</definedName>
    <definedName name="IQ_OPEB_UNRECOG_PRIOR_DOM" hidden="1">"c3318"</definedName>
    <definedName name="IQ_OPEB_UNRECOG_PRIOR_FOREIGN" hidden="1">"c3319"</definedName>
    <definedName name="IQ_OPENPRICE" hidden="1">"c848"</definedName>
    <definedName name="IQ_OPER_INC" hidden="1">"c849"</definedName>
    <definedName name="IQ_OPER_INC_BR" hidden="1">"c850"</definedName>
    <definedName name="IQ_OPER_INC_FIN" hidden="1">"c851"</definedName>
    <definedName name="IQ_OPER_INC_INS" hidden="1">"c852"</definedName>
    <definedName name="IQ_OPER_INC_MARGIN" hidden="1">"c1448"</definedName>
    <definedName name="IQ_OPER_INC_REIT" hidden="1">"c853"</definedName>
    <definedName name="IQ_OPER_INC_UTI" hidden="1">"c854"</definedName>
    <definedName name="IQ_OPERATIONS_EXP" hidden="1">"c855"</definedName>
    <definedName name="IQ_OPTIONS_BEG_OS" hidden="1">"c1572"</definedName>
    <definedName name="IQ_OPTIONS_CANCELLED" hidden="1">"c856"</definedName>
    <definedName name="IQ_OPTIONS_END_OS" hidden="1">"c1573"</definedName>
    <definedName name="IQ_OPTIONS_EXERCISED" hidden="1">"c2116"</definedName>
    <definedName name="IQ_OPTIONS_GRANTED" hidden="1">"c2673"</definedName>
    <definedName name="IQ_OPTIONS_ISSUED" hidden="1">"c857"</definedName>
    <definedName name="IQ_OPTIONS_STRIKE_PRICE_GRANTED" hidden="1">"c2678"</definedName>
    <definedName name="IQ_OPTIONS_STRIKE_PRICE_OS" hidden="1">"c2677"</definedName>
    <definedName name="IQ_ORDER_BACKLOG" hidden="1">"c2090"</definedName>
    <definedName name="IQ_OTHER_ADJUST_GROSS_LOANS" hidden="1">"c859"</definedName>
    <definedName name="IQ_OTHER_ASSETS" hidden="1">"c860"</definedName>
    <definedName name="IQ_OTHER_ASSETS_BNK" hidden="1">"c861"</definedName>
    <definedName name="IQ_OTHER_ASSETS_BR" hidden="1">"c862"</definedName>
    <definedName name="IQ_OTHER_ASSETS_FIN" hidden="1">"c863"</definedName>
    <definedName name="IQ_OTHER_ASSETS_INS" hidden="1">"c864"</definedName>
    <definedName name="IQ_OTHER_ASSETS_REIT" hidden="1">"c865"</definedName>
    <definedName name="IQ_OTHER_ASSETS_SERV_RIGHTS" hidden="1">"c2243"</definedName>
    <definedName name="IQ_OTHER_ASSETS_UTI" hidden="1">"c866"</definedName>
    <definedName name="IQ_OTHER_BEARING_LIAB" hidden="1">"c1608"</definedName>
    <definedName name="IQ_OTHER_BENEFITS_OBLIGATION" hidden="1">"c867"</definedName>
    <definedName name="IQ_OTHER_CA" hidden="1">"c868"</definedName>
    <definedName name="IQ_OTHER_CA_SUPPL" hidden="1">"c869"</definedName>
    <definedName name="IQ_OTHER_CA_SUPPL_BNK" hidden="1">"c870"</definedName>
    <definedName name="IQ_OTHER_CA_SUPPL_BR" hidden="1">"c871"</definedName>
    <definedName name="IQ_OTHER_CA_SUPPL_FIN" hidden="1">"c872"</definedName>
    <definedName name="IQ_OTHER_CA_SUPPL_INS" hidden="1">"c873"</definedName>
    <definedName name="IQ_OTHER_CA_SUPPL_REIT" hidden="1">"c874"</definedName>
    <definedName name="IQ_OTHER_CA_SUPPL_UTI" hidden="1">"c875"</definedName>
    <definedName name="IQ_OTHER_CA_UTI" hidden="1">"c876"</definedName>
    <definedName name="IQ_OTHER_CL" hidden="1">"c877"</definedName>
    <definedName name="IQ_OTHER_CL_SUPPL" hidden="1">"c878"</definedName>
    <definedName name="IQ_OTHER_CL_SUPPL_BNK" hidden="1">"c879"</definedName>
    <definedName name="IQ_OTHER_CL_SUPPL_BR" hidden="1">"c880"</definedName>
    <definedName name="IQ_OTHER_CL_SUPPL_FIN" hidden="1">"c881"</definedName>
    <definedName name="IQ_OTHER_CL_SUPPL_REIT" hidden="1">"c882"</definedName>
    <definedName name="IQ_OTHER_CL_SUPPL_UTI" hidden="1">"c883"</definedName>
    <definedName name="IQ_OTHER_CL_UTI" hidden="1">"c884"</definedName>
    <definedName name="IQ_OTHER_CURRENT_ASSETS" hidden="1">"c1403"</definedName>
    <definedName name="IQ_OTHER_CURRENT_LIAB" hidden="1">"c1404"</definedName>
    <definedName name="IQ_OTHER_DEBT" hidden="1">"c2507"</definedName>
    <definedName name="IQ_OTHER_DEBT_PCT" hidden="1">"c2508"</definedName>
    <definedName name="IQ_OTHER_DEP" hidden="1">"c885"</definedName>
    <definedName name="IQ_OTHER_EARNING" hidden="1">"c1609"</definedName>
    <definedName name="IQ_OTHER_EQUITY" hidden="1">"c886"</definedName>
    <definedName name="IQ_OTHER_EQUITY_BNK" hidden="1">"c887"</definedName>
    <definedName name="IQ_OTHER_EQUITY_BR" hidden="1">"c888"</definedName>
    <definedName name="IQ_OTHER_EQUITY_FIN" hidden="1">"c889"</definedName>
    <definedName name="IQ_OTHER_EQUITY_INS" hidden="1">"c890"</definedName>
    <definedName name="IQ_OTHER_EQUITY_REIT" hidden="1">"c891"</definedName>
    <definedName name="IQ_OTHER_EQUITY_UTI" hidden="1">"c892"</definedName>
    <definedName name="IQ_OTHER_FINANCE_ACT" hidden="1">"c893"</definedName>
    <definedName name="IQ_OTHER_FINANCE_ACT_BNK" hidden="1">"c894"</definedName>
    <definedName name="IQ_OTHER_FINANCE_ACT_BR" hidden="1">"c895"</definedName>
    <definedName name="IQ_OTHER_FINANCE_ACT_FIN" hidden="1">"c896"</definedName>
    <definedName name="IQ_OTHER_FINANCE_ACT_INS" hidden="1">"c897"</definedName>
    <definedName name="IQ_OTHER_FINANCE_ACT_REIT" hidden="1">"c898"</definedName>
    <definedName name="IQ_OTHER_FINANCE_ACT_SUPPL" hidden="1">"c899"</definedName>
    <definedName name="IQ_OTHER_FINANCE_ACT_SUPPL_BNK" hidden="1">"c900"</definedName>
    <definedName name="IQ_OTHER_FINANCE_ACT_SUPPL_BR" hidden="1">"c901"</definedName>
    <definedName name="IQ_OTHER_FINANCE_ACT_SUPPL_FIN" hidden="1">"c902"</definedName>
    <definedName name="IQ_OTHER_FINANCE_ACT_SUPPL_INS" hidden="1">"c903"</definedName>
    <definedName name="IQ_OTHER_FINANCE_ACT_SUPPL_REIT" hidden="1">"c904"</definedName>
    <definedName name="IQ_OTHER_FINANCE_ACT_SUPPL_UTI" hidden="1">"c905"</definedName>
    <definedName name="IQ_OTHER_FINANCE_ACT_UTI" hidden="1">"c906"</definedName>
    <definedName name="IQ_OTHER_INTAN" hidden="1">"c907"</definedName>
    <definedName name="IQ_OTHER_INTAN_BNK" hidden="1">"c908"</definedName>
    <definedName name="IQ_OTHER_INTAN_BR" hidden="1">"c909"</definedName>
    <definedName name="IQ_OTHER_INTAN_FIN" hidden="1">"c910"</definedName>
    <definedName name="IQ_OTHER_INTAN_INS" hidden="1">"c911"</definedName>
    <definedName name="IQ_OTHER_INTAN_REIT" hidden="1">"c912"</definedName>
    <definedName name="IQ_OTHER_INTAN_UTI" hidden="1">"c913"</definedName>
    <definedName name="IQ_OTHER_INV" hidden="1">"c914"</definedName>
    <definedName name="IQ_OTHER_INVEST" hidden="1">"c915"</definedName>
    <definedName name="IQ_OTHER_INVEST_ACT" hidden="1">"c916"</definedName>
    <definedName name="IQ_OTHER_INVEST_ACT_BNK" hidden="1">"c917"</definedName>
    <definedName name="IQ_OTHER_INVEST_ACT_BR" hidden="1">"c918"</definedName>
    <definedName name="IQ_OTHER_INVEST_ACT_FIN" hidden="1">"c919"</definedName>
    <definedName name="IQ_OTHER_INVEST_ACT_INS" hidden="1">"c920"</definedName>
    <definedName name="IQ_OTHER_INVEST_ACT_REIT" hidden="1">"c921"</definedName>
    <definedName name="IQ_OTHER_INVEST_ACT_SUPPL" hidden="1">"c922"</definedName>
    <definedName name="IQ_OTHER_INVEST_ACT_SUPPL_BNK" hidden="1">"c923"</definedName>
    <definedName name="IQ_OTHER_INVEST_ACT_SUPPL_BR" hidden="1">"c924"</definedName>
    <definedName name="IQ_OTHER_INVEST_ACT_SUPPL_FIN" hidden="1">"c925"</definedName>
    <definedName name="IQ_OTHER_INVEST_ACT_SUPPL_INS" hidden="1">"c926"</definedName>
    <definedName name="IQ_OTHER_INVEST_ACT_SUPPL_REIT" hidden="1">"c927"</definedName>
    <definedName name="IQ_OTHER_INVEST_ACT_SUPPL_UTI" hidden="1">"c928"</definedName>
    <definedName name="IQ_OTHER_INVEST_ACT_UTI" hidden="1">"c929"</definedName>
    <definedName name="IQ_OTHER_INVESTING" hidden="1">"c1408"</definedName>
    <definedName name="IQ_OTHER_LIAB" hidden="1">"c930"</definedName>
    <definedName name="IQ_OTHER_LIAB_BNK" hidden="1">"c931"</definedName>
    <definedName name="IQ_OTHER_LIAB_BR" hidden="1">"c932"</definedName>
    <definedName name="IQ_OTHER_LIAB_FIN" hidden="1">"c933"</definedName>
    <definedName name="IQ_OTHER_LIAB_INS" hidden="1">"c934"</definedName>
    <definedName name="IQ_OTHER_LIAB_LT" hidden="1">"c935"</definedName>
    <definedName name="IQ_OTHER_LIAB_LT_BNK" hidden="1">"c936"</definedName>
    <definedName name="IQ_OTHER_LIAB_LT_BR" hidden="1">"c937"</definedName>
    <definedName name="IQ_OTHER_LIAB_LT_FIN" hidden="1">"c938"</definedName>
    <definedName name="IQ_OTHER_LIAB_LT_INS" hidden="1">"c939"</definedName>
    <definedName name="IQ_OTHER_LIAB_LT_REIT" hidden="1">"c940"</definedName>
    <definedName name="IQ_OTHER_LIAB_LT_UTI" hidden="1">"c941"</definedName>
    <definedName name="IQ_OTHER_LIAB_REIT" hidden="1">"c942"</definedName>
    <definedName name="IQ_OTHER_LIAB_UTI" hidden="1">"c943"</definedName>
    <definedName name="IQ_OTHER_LIAB_WRITTEN" hidden="1">"c944"</definedName>
    <definedName name="IQ_OTHER_LOANS" hidden="1">"c945"</definedName>
    <definedName name="IQ_OTHER_LONG_TERM" hidden="1">"c1409"</definedName>
    <definedName name="IQ_OTHER_LT_ASSETS" hidden="1">"c946"</definedName>
    <definedName name="IQ_OTHER_LT_ASSETS_BNK" hidden="1">"c947"</definedName>
    <definedName name="IQ_OTHER_LT_ASSETS_BR" hidden="1">"c948"</definedName>
    <definedName name="IQ_OTHER_LT_ASSETS_FIN" hidden="1">"c949"</definedName>
    <definedName name="IQ_OTHER_LT_ASSETS_INS" hidden="1">"c950"</definedName>
    <definedName name="IQ_OTHER_LT_ASSETS_REIT" hidden="1">"c951"</definedName>
    <definedName name="IQ_OTHER_LT_ASSETS_UTI" hidden="1">"c952"</definedName>
    <definedName name="IQ_OTHER_NET" hidden="1">"c1453"</definedName>
    <definedName name="IQ_OTHER_NON_INT_EXP" hidden="1">"c953"</definedName>
    <definedName name="IQ_OTHER_NON_INT_EXP_TOTAL" hidden="1">"c954"</definedName>
    <definedName name="IQ_OTHER_NON_INT_INC" hidden="1">"c955"</definedName>
    <definedName name="IQ_OTHER_NON_OPER_EXP" hidden="1">"c956"</definedName>
    <definedName name="IQ_OTHER_NON_OPER_EXP_BR" hidden="1">"c957"</definedName>
    <definedName name="IQ_OTHER_NON_OPER_EXP_FIN" hidden="1">"c958"</definedName>
    <definedName name="IQ_OTHER_NON_OPER_EXP_INS" hidden="1">"c959"</definedName>
    <definedName name="IQ_OTHER_NON_OPER_EXP_REIT" hidden="1">"c960"</definedName>
    <definedName name="IQ_OTHER_NON_OPER_EXP_SUPPL" hidden="1">"c961"</definedName>
    <definedName name="IQ_OTHER_NON_OPER_EXP_SUPPL_BR" hidden="1">"c962"</definedName>
    <definedName name="IQ_OTHER_NON_OPER_EXP_SUPPL_FIN" hidden="1">"c963"</definedName>
    <definedName name="IQ_OTHER_NON_OPER_EXP_SUPPL_INS" hidden="1">"c964"</definedName>
    <definedName name="IQ_OTHER_NON_OPER_EXP_SUPPL_REIT" hidden="1">"c965"</definedName>
    <definedName name="IQ_OTHER_NON_OPER_EXP_SUPPL_UTI" hidden="1">"c966"</definedName>
    <definedName name="IQ_OTHER_NON_OPER_EXP_UTI" hidden="1">"c967"</definedName>
    <definedName name="IQ_OTHER_OPER" hidden="1">"c982"</definedName>
    <definedName name="IQ_OTHER_OPER_ACT" hidden="1">"c983"</definedName>
    <definedName name="IQ_OTHER_OPER_ACT_BNK" hidden="1">"c984"</definedName>
    <definedName name="IQ_OTHER_OPER_ACT_BR" hidden="1">"c985"</definedName>
    <definedName name="IQ_OTHER_OPER_ACT_FIN" hidden="1">"c986"</definedName>
    <definedName name="IQ_OTHER_OPER_ACT_INS" hidden="1">"c987"</definedName>
    <definedName name="IQ_OTHER_OPER_ACT_REIT" hidden="1">"c988"</definedName>
    <definedName name="IQ_OTHER_OPER_ACT_UTI" hidden="1">"c989"</definedName>
    <definedName name="IQ_OTHER_OPER_BR" hidden="1">"c990"</definedName>
    <definedName name="IQ_OTHER_OPER_FIN" hidden="1">"c991"</definedName>
    <definedName name="IQ_OTHER_OPER_INS" hidden="1">"c992"</definedName>
    <definedName name="IQ_OTHER_OPER_REIT" hidden="1">"c993"</definedName>
    <definedName name="IQ_OTHER_OPER_SUPPL_BR" hidden="1">"c994"</definedName>
    <definedName name="IQ_OTHER_OPER_SUPPL_FIN" hidden="1">"c995"</definedName>
    <definedName name="IQ_OTHER_OPER_SUPPL_INS" hidden="1">"c996"</definedName>
    <definedName name="IQ_OTHER_OPER_SUPPL_REIT" hidden="1">"c997"</definedName>
    <definedName name="IQ_OTHER_OPER_SUPPL_UTI" hidden="1">"c998"</definedName>
    <definedName name="IQ_OTHER_OPER_TOT_BNK" hidden="1">"c999"</definedName>
    <definedName name="IQ_OTHER_OPER_TOT_BR" hidden="1">"c1000"</definedName>
    <definedName name="IQ_OTHER_OPER_TOT_FIN" hidden="1">"c1001"</definedName>
    <definedName name="IQ_OTHER_OPER_TOT_INS" hidden="1">"c1002"</definedName>
    <definedName name="IQ_OTHER_OPER_TOT_REIT" hidden="1">"c1003"</definedName>
    <definedName name="IQ_OTHER_OPER_TOT_UTI" hidden="1">"c1004"</definedName>
    <definedName name="IQ_OTHER_OPER_UTI" hidden="1">"c1005"</definedName>
    <definedName name="IQ_OTHER_OPTIONS_BEG_OS" hidden="1">"c2686"</definedName>
    <definedName name="IQ_OTHER_OPTIONS_CANCELLED" hidden="1">"c2689"</definedName>
    <definedName name="IQ_OTHER_OPTIONS_END_OS" hidden="1">"c2690"</definedName>
    <definedName name="IQ_OTHER_OPTIONS_EXERCISED" hidden="1">"c2688"</definedName>
    <definedName name="IQ_OTHER_OPTIONS_GRANTED" hidden="1">"c2687"</definedName>
    <definedName name="IQ_OTHER_OPTIONS_STRIKE_PRICE_OS" hidden="1">"c2691"</definedName>
    <definedName name="IQ_OTHER_OUTSTANDING_BS_DATE" hidden="1">"c1972"</definedName>
    <definedName name="IQ_OTHER_OUTSTANDING_FILING_DATE" hidden="1">"c1974"</definedName>
    <definedName name="IQ_OTHER_PC_WRITTEN" hidden="1">"c1006"</definedName>
    <definedName name="IQ_OTHER_REAL_ESTATE" hidden="1">"c1007"</definedName>
    <definedName name="IQ_OTHER_RECEIV" hidden="1">"c1008"</definedName>
    <definedName name="IQ_OTHER_RECEIV_INS" hidden="1">"c1009"</definedName>
    <definedName name="IQ_OTHER_REV" hidden="1">"c1010"</definedName>
    <definedName name="IQ_OTHER_REV_BR" hidden="1">"c1011"</definedName>
    <definedName name="IQ_OTHER_REV_FIN" hidden="1">"c1012"</definedName>
    <definedName name="IQ_OTHER_REV_INS" hidden="1">"c1013"</definedName>
    <definedName name="IQ_OTHER_REV_REIT" hidden="1">"c1014"</definedName>
    <definedName name="IQ_OTHER_REV_SUPPL" hidden="1">"c1015"</definedName>
    <definedName name="IQ_OTHER_REV_SUPPL_BR" hidden="1">"c1016"</definedName>
    <definedName name="IQ_OTHER_REV_SUPPL_FIN" hidden="1">"c1017"</definedName>
    <definedName name="IQ_OTHER_REV_SUPPL_INS" hidden="1">"c1018"</definedName>
    <definedName name="IQ_OTHER_REV_SUPPL_REIT" hidden="1">"c1019"</definedName>
    <definedName name="IQ_OTHER_REV_SUPPL_UTI" hidden="1">"c1020"</definedName>
    <definedName name="IQ_OTHER_REV_UTI" hidden="1">"c1021"</definedName>
    <definedName name="IQ_OTHER_REVENUE" hidden="1">"c1410"</definedName>
    <definedName name="IQ_OTHER_STRIKE_PRICE_GRANTED" hidden="1">"c2692"</definedName>
    <definedName name="IQ_OTHER_UNDRAWN" hidden="1">"c2522"</definedName>
    <definedName name="IQ_OTHER_UNUSUAL" hidden="1">"c1488"</definedName>
    <definedName name="IQ_OTHER_UNUSUAL_BNK" hidden="1">"c1560"</definedName>
    <definedName name="IQ_OTHER_UNUSUAL_BR" hidden="1">"c1561"</definedName>
    <definedName name="IQ_OTHER_UNUSUAL_FIN" hidden="1">"c1562"</definedName>
    <definedName name="IQ_OTHER_UNUSUAL_INS" hidden="1">"c1563"</definedName>
    <definedName name="IQ_OTHER_UNUSUAL_REIT" hidden="1">"c1564"</definedName>
    <definedName name="IQ_OTHER_UNUSUAL_SUPPL" hidden="1">"c1494"</definedName>
    <definedName name="IQ_OTHER_UNUSUAL_SUPPL_BNK" hidden="1">"c1495"</definedName>
    <definedName name="IQ_OTHER_UNUSUAL_SUPPL_BR" hidden="1">"c1496"</definedName>
    <definedName name="IQ_OTHER_UNUSUAL_SUPPL_FIN" hidden="1">"c1497"</definedName>
    <definedName name="IQ_OTHER_UNUSUAL_SUPPL_INS" hidden="1">"c1498"</definedName>
    <definedName name="IQ_OTHER_UNUSUAL_SUPPL_REIT" hidden="1">"c1499"</definedName>
    <definedName name="IQ_OTHER_UNUSUAL_SUPPL_UTI" hidden="1">"c1500"</definedName>
    <definedName name="IQ_OTHER_UNUSUAL_UTI" hidden="1">"c1565"</definedName>
    <definedName name="IQ_OTHER_WARRANTS_BEG_OS" hidden="1">"c2712"</definedName>
    <definedName name="IQ_OTHER_WARRANTS_CANCELLED" hidden="1">"c2715"</definedName>
    <definedName name="IQ_OTHER_WARRANTS_END_OS" hidden="1">"c2716"</definedName>
    <definedName name="IQ_OTHER_WARRANTS_EXERCISED" hidden="1">"c2714"</definedName>
    <definedName name="IQ_OTHER_WARRANTS_ISSUED" hidden="1">"c2713"</definedName>
    <definedName name="IQ_OTHER_WARRANTS_STRIKE_PRICE_ISSUED" hidden="1">"c2718"</definedName>
    <definedName name="IQ_OTHER_WARRANTS_STRIKE_PRICE_OS" hidden="1">"c2717"</definedName>
    <definedName name="IQ_OUTSTANDING_BS_DATE" hidden="1">"c2128"</definedName>
    <definedName name="IQ_OUTSTANDING_FILING_DATE" hidden="1">"c2127"</definedName>
    <definedName name="IQ_OWNERSHIP" hidden="1">"c2160"</definedName>
    <definedName name="IQ_PART_TIME" hidden="1">"c1024"</definedName>
    <definedName name="IQ_PAY_ACCRUED" hidden="1">"c1457"</definedName>
    <definedName name="IQ_PAYOUT_RATIO" hidden="1">"c1900"</definedName>
    <definedName name="IQ_PBV" hidden="1">"c1025"</definedName>
    <definedName name="IQ_PBV_AVG" hidden="1">"c1026"</definedName>
    <definedName name="IQ_PC_EARNED" hidden="1">"c2749"</definedName>
    <definedName name="IQ_PC_GAAP_COMBINED_RATIO" hidden="1">"c2781"</definedName>
    <definedName name="IQ_PC_GAAP_COMBINED_RATIO_EXCL_CL" hidden="1">"c2782"</definedName>
    <definedName name="IQ_PC_GAAP_EXPENSE_RATIO" hidden="1">"c2780"</definedName>
    <definedName name="IQ_PC_GAAP_LOSS" hidden="1">"c2779"</definedName>
    <definedName name="IQ_PC_POLICY_BENEFITS_EXP" hidden="1">"c2790"</definedName>
    <definedName name="IQ_PC_STAT_COMBINED_RATIO" hidden="1">"c2778"</definedName>
    <definedName name="IQ_PC_STAT_COMBINED_RATIO_EXCL_DIV" hidden="1">"c2777"</definedName>
    <definedName name="IQ_PC_STAT_DIVIDEND_RATIO" hidden="1">"c2776"</definedName>
    <definedName name="IQ_PC_STAT_EXPENSE_RATIO" hidden="1">"c2775"</definedName>
    <definedName name="IQ_PC_STAT_LOSS_RATIO" hidden="1">"c2774"</definedName>
    <definedName name="IQ_PC_STATUTORY_SURPLUS" hidden="1">"c2770"</definedName>
    <definedName name="IQ_PC_WRITTEN" hidden="1">"c1027"</definedName>
    <definedName name="IQ_PE_EXCL" hidden="1">"c1028"</definedName>
    <definedName name="IQ_PE_EXCL_AVG" hidden="1">"c1029"</definedName>
    <definedName name="IQ_PE_EXCL_FWD" hidden="1">"c1030"</definedName>
    <definedName name="IQ_PE_NORMALIZED" hidden="1">"c2207"</definedName>
    <definedName name="IQ_PE_RATIO" hidden="1">"c1610"</definedName>
    <definedName name="IQ_PENSION" hidden="1">"c1031"</definedName>
    <definedName name="IQ_PENSION_ACCRUED_LIAB" hidden="1">"c3134"</definedName>
    <definedName name="IQ_PENSION_ACCRUED_LIAB_DOM" hidden="1">"c3132"</definedName>
    <definedName name="IQ_PENSION_ACCRUED_LIAB_FOREIGN" hidden="1">"c3133"</definedName>
    <definedName name="IQ_PENSION_ACCUM_OTHER_CI" hidden="1">"c3140"</definedName>
    <definedName name="IQ_PENSION_ACCUM_OTHER_CI_DOM" hidden="1">"c3138"</definedName>
    <definedName name="IQ_PENSION_ACCUM_OTHER_CI_FOREIGN" hidden="1">"c3139"</definedName>
    <definedName name="IQ_PENSION_ACCUMULATED_OBLIGATION" hidden="1">"c3570"</definedName>
    <definedName name="IQ_PENSION_ACCUMULATED_OBLIGATION_DOMESTIC" hidden="1">"c3568"</definedName>
    <definedName name="IQ_PENSION_ACCUMULATED_OBLIGATION_FOREIGN" hidden="1">"c3569"</definedName>
    <definedName name="IQ_PENSION_ASSETS" hidden="1">"c3182"</definedName>
    <definedName name="IQ_PENSION_ASSETS_ACQ" hidden="1">"c3173"</definedName>
    <definedName name="IQ_PENSION_ASSETS_ACQ_DOM" hidden="1">"c3171"</definedName>
    <definedName name="IQ_PENSION_ASSETS_ACQ_FOREIGN" hidden="1">"c3172"</definedName>
    <definedName name="IQ_PENSION_ASSETS_ACTUAL_RETURN" hidden="1">"c3158"</definedName>
    <definedName name="IQ_PENSION_ASSETS_ACTUAL_RETURN_DOM" hidden="1">"c3156"</definedName>
    <definedName name="IQ_PENSION_ASSETS_ACTUAL_RETURN_FOREIGN" hidden="1">"c3157"</definedName>
    <definedName name="IQ_PENSION_ASSETS_BEG" hidden="1">"c3155"</definedName>
    <definedName name="IQ_PENSION_ASSETS_BEG_DOM" hidden="1">"c3153"</definedName>
    <definedName name="IQ_PENSION_ASSETS_BEG_FOREIGN" hidden="1">"c3154"</definedName>
    <definedName name="IQ_PENSION_ASSETS_BENEFITS_PAID" hidden="1">"c3167"</definedName>
    <definedName name="IQ_PENSION_ASSETS_BENEFITS_PAID_DOM" hidden="1">"c3165"</definedName>
    <definedName name="IQ_PENSION_ASSETS_BENEFITS_PAID_FOREIGN" hidden="1">"c3166"</definedName>
    <definedName name="IQ_PENSION_ASSETS_CURTAIL" hidden="1">"c3176"</definedName>
    <definedName name="IQ_PENSION_ASSETS_CURTAIL_DOM" hidden="1">"c3174"</definedName>
    <definedName name="IQ_PENSION_ASSETS_CURTAIL_FOREIGN" hidden="1">"c3175"</definedName>
    <definedName name="IQ_PENSION_ASSETS_DOM" hidden="1">"c3180"</definedName>
    <definedName name="IQ_PENSION_ASSETS_EMPLOYER_CONTRIBUTIONS" hidden="1">"c3161"</definedName>
    <definedName name="IQ_PENSION_ASSETS_EMPLOYER_CONTRIBUTIONS_DOM" hidden="1">"c3159"</definedName>
    <definedName name="IQ_PENSION_ASSETS_EMPLOYER_CONTRIBUTIONS_FOREIGN" hidden="1">"c3160"</definedName>
    <definedName name="IQ_PENSION_ASSETS_FOREIGN" hidden="1">"c3181"</definedName>
    <definedName name="IQ_PENSION_ASSETS_FX_ADJ" hidden="1">"c3170"</definedName>
    <definedName name="IQ_PENSION_ASSETS_FX_ADJ_DOM" hidden="1">"c3168"</definedName>
    <definedName name="IQ_PENSION_ASSETS_FX_ADJ_FOREIGN" hidden="1">"c3169"</definedName>
    <definedName name="IQ_PENSION_ASSETS_OTHER_PLAN_ADJ" hidden="1">"c3179"</definedName>
    <definedName name="IQ_PENSION_ASSETS_OTHER_PLAN_ADJ_DOM" hidden="1">"c3177"</definedName>
    <definedName name="IQ_PENSION_ASSETS_OTHER_PLAN_ADJ_FOREIGN" hidden="1">"c3178"</definedName>
    <definedName name="IQ_PENSION_ASSETS_PARTICIP_CONTRIBUTIONS" hidden="1">"c3164"</definedName>
    <definedName name="IQ_PENSION_ASSETS_PARTICIP_CONTRIBUTIONS_DOM" hidden="1">"c3162"</definedName>
    <definedName name="IQ_PENSION_ASSETS_PARTICIP_CONTRIBUTIONS_FOREIGN" hidden="1">"c3163"</definedName>
    <definedName name="IQ_PENSION_BENEFIT_INFO_DATE" hidden="1">"c3230"</definedName>
    <definedName name="IQ_PENSION_BENEFIT_INFO_DATE_DOM" hidden="1">"c3228"</definedName>
    <definedName name="IQ_PENSION_BENEFIT_INFO_DATE_FOREIGN" hidden="1">"c3229"</definedName>
    <definedName name="IQ_PENSION_BREAKDOWN_EQ" hidden="1">"c3101"</definedName>
    <definedName name="IQ_PENSION_BREAKDOWN_EQ_DOM" hidden="1">"c3099"</definedName>
    <definedName name="IQ_PENSION_BREAKDOWN_EQ_FOREIGN" hidden="1">"c3100"</definedName>
    <definedName name="IQ_PENSION_BREAKDOWN_FI" hidden="1">"c3104"</definedName>
    <definedName name="IQ_PENSION_BREAKDOWN_FI_DOM" hidden="1">"c3102"</definedName>
    <definedName name="IQ_PENSION_BREAKDOWN_FI_FOREIGN" hidden="1">"c3103"</definedName>
    <definedName name="IQ_PENSION_BREAKDOWN_OTHER" hidden="1">"c3110"</definedName>
    <definedName name="IQ_PENSION_BREAKDOWN_OTHER_DOM" hidden="1">"c3108"</definedName>
    <definedName name="IQ_PENSION_BREAKDOWN_OTHER_FOREIGN" hidden="1">"c3109"</definedName>
    <definedName name="IQ_PENSION_BREAKDOWN_PCT_EQ" hidden="1">"c3089"</definedName>
    <definedName name="IQ_PENSION_BREAKDOWN_PCT_EQ_DOM" hidden="1">"c3087"</definedName>
    <definedName name="IQ_PENSION_BREAKDOWN_PCT_EQ_FOREIGN" hidden="1">"c3088"</definedName>
    <definedName name="IQ_PENSION_BREAKDOWN_PCT_FI" hidden="1">"c3092"</definedName>
    <definedName name="IQ_PENSION_BREAKDOWN_PCT_FI_DOM" hidden="1">"c3090"</definedName>
    <definedName name="IQ_PENSION_BREAKDOWN_PCT_FI_FOREIGN" hidden="1">"c3091"</definedName>
    <definedName name="IQ_PENSION_BREAKDOWN_PCT_OTHER" hidden="1">"c3098"</definedName>
    <definedName name="IQ_PENSION_BREAKDOWN_PCT_OTHER_DOM" hidden="1">"c3096"</definedName>
    <definedName name="IQ_PENSION_BREAKDOWN_PCT_OTHER_FOREIGN" hidden="1">"c3097"</definedName>
    <definedName name="IQ_PENSION_BREAKDOWN_PCT_RE" hidden="1">"c3095"</definedName>
    <definedName name="IQ_PENSION_BREAKDOWN_PCT_RE_DOM" hidden="1">"c3093"</definedName>
    <definedName name="IQ_PENSION_BREAKDOWN_PCT_RE_FOREIGN" hidden="1">"c3094"</definedName>
    <definedName name="IQ_PENSION_BREAKDOWN_RE" hidden="1">"c3107"</definedName>
    <definedName name="IQ_PENSION_BREAKDOWN_RE_DOM" hidden="1">"c3105"</definedName>
    <definedName name="IQ_PENSION_BREAKDOWN_RE_FOREIGN" hidden="1">"c3106"</definedName>
    <definedName name="IQ_PENSION_CONTRIBUTION_TOTAL_COST" hidden="1">"c3559"</definedName>
    <definedName name="IQ_PENSION_DISC_RATE_MAX" hidden="1">"c3236"</definedName>
    <definedName name="IQ_PENSION_DISC_RATE_MAX_DOM" hidden="1">"c3234"</definedName>
    <definedName name="IQ_PENSION_DISC_RATE_MAX_FOREIGN" hidden="1">"c3235"</definedName>
    <definedName name="IQ_PENSION_DISC_RATE_MIN" hidden="1">"c3233"</definedName>
    <definedName name="IQ_PENSION_DISC_RATE_MIN_DOM" hidden="1">"c3231"</definedName>
    <definedName name="IQ_PENSION_DISC_RATE_MIN_FOREIGN" hidden="1">"c3232"</definedName>
    <definedName name="IQ_PENSION_DISCOUNT_RATE_DOMESTIC" hidden="1">"c3573"</definedName>
    <definedName name="IQ_PENSION_DISCOUNT_RATE_FOREIGN" hidden="1">"c3574"</definedName>
    <definedName name="IQ_PENSION_EST_BENEFIT_1YR" hidden="1">"c3113"</definedName>
    <definedName name="IQ_PENSION_EST_BENEFIT_1YR_DOM" hidden="1">"c3111"</definedName>
    <definedName name="IQ_PENSION_EST_BENEFIT_1YR_FOREIGN" hidden="1">"c3112"</definedName>
    <definedName name="IQ_PENSION_EST_BENEFIT_2YR" hidden="1">"c3116"</definedName>
    <definedName name="IQ_PENSION_EST_BENEFIT_2YR_DOM" hidden="1">"c3114"</definedName>
    <definedName name="IQ_PENSION_EST_BENEFIT_2YR_FOREIGN" hidden="1">"c3115"</definedName>
    <definedName name="IQ_PENSION_EST_BENEFIT_3YR" hidden="1">"c3119"</definedName>
    <definedName name="IQ_PENSION_EST_BENEFIT_3YR_DOM" hidden="1">"c3117"</definedName>
    <definedName name="IQ_PENSION_EST_BENEFIT_3YR_FOREIGN" hidden="1">"c3118"</definedName>
    <definedName name="IQ_PENSION_EST_BENEFIT_4YR" hidden="1">"c3122"</definedName>
    <definedName name="IQ_PENSION_EST_BENEFIT_4YR_DOM" hidden="1">"c3120"</definedName>
    <definedName name="IQ_PENSION_EST_BENEFIT_4YR_FOREIGN" hidden="1">"c3121"</definedName>
    <definedName name="IQ_PENSION_EST_BENEFIT_5YR" hidden="1">"c3125"</definedName>
    <definedName name="IQ_PENSION_EST_BENEFIT_5YR_DOM" hidden="1">"c3123"</definedName>
    <definedName name="IQ_PENSION_EST_BENEFIT_5YR_FOREIGN" hidden="1">"c3124"</definedName>
    <definedName name="IQ_PENSION_EST_BENEFIT_AFTER5" hidden="1">"c3128"</definedName>
    <definedName name="IQ_PENSION_EST_BENEFIT_AFTER5_DOM" hidden="1">"c3126"</definedName>
    <definedName name="IQ_PENSION_EST_BENEFIT_AFTER5_FOREIGN" hidden="1">"c3127"</definedName>
    <definedName name="IQ_PENSION_EST_CONTRIBUTIONS_NEXTYR" hidden="1">"c3218"</definedName>
    <definedName name="IQ_PENSION_EST_CONTRIBUTIONS_NEXTYR_DOM" hidden="1">"c3216"</definedName>
    <definedName name="IQ_PENSION_EST_CONTRIBUTIONS_NEXTYR_FOREIGN" hidden="1">"c3217"</definedName>
    <definedName name="IQ_PENSION_EXP_RATE_RETURN_MAX" hidden="1">"c3248"</definedName>
    <definedName name="IQ_PENSION_EXP_RATE_RETURN_MAX_DOM" hidden="1">"c3246"</definedName>
    <definedName name="IQ_PENSION_EXP_RATE_RETURN_MAX_FOREIGN" hidden="1">"c3247"</definedName>
    <definedName name="IQ_PENSION_EXP_RATE_RETURN_MIN" hidden="1">"c3245"</definedName>
    <definedName name="IQ_PENSION_EXP_RATE_RETURN_MIN_DOM" hidden="1">"c3243"</definedName>
    <definedName name="IQ_PENSION_EXP_RATE_RETURN_MIN_FOREIGN" hidden="1">"c3244"</definedName>
    <definedName name="IQ_PENSION_EXP_RETURN_DOMESTIC" hidden="1">"c3571"</definedName>
    <definedName name="IQ_PENSION_EXP_RETURN_FOREIGN" hidden="1">"c3572"</definedName>
    <definedName name="IQ_PENSION_INTAN_ASSETS" hidden="1">"c3137"</definedName>
    <definedName name="IQ_PENSION_INTAN_ASSETS_DOM" hidden="1">"c3135"</definedName>
    <definedName name="IQ_PENSION_INTAN_ASSETS_FOREIGN" hidden="1">"c3136"</definedName>
    <definedName name="IQ_PENSION_INTEREST_COST" hidden="1">"c3582"</definedName>
    <definedName name="IQ_PENSION_INTEREST_COST_DOM" hidden="1">"c3580"</definedName>
    <definedName name="IQ_PENSION_INTEREST_COST_FOREIGN" hidden="1">"c3581"</definedName>
    <definedName name="IQ_PENSION_NET_ASSET_RECOG" hidden="1">"c3152"</definedName>
    <definedName name="IQ_PENSION_NET_ASSET_RECOG_DOM" hidden="1">"c3150"</definedName>
    <definedName name="IQ_PENSION_NET_ASSET_RECOG_FOREIGN" hidden="1">"c3151"</definedName>
    <definedName name="IQ_PENSION_OBLIGATION_ACQ" hidden="1">"c3206"</definedName>
    <definedName name="IQ_PENSION_OBLIGATION_ACQ_DOM" hidden="1">"c3204"</definedName>
    <definedName name="IQ_PENSION_OBLIGATION_ACQ_FOREIGN" hidden="1">"c3205"</definedName>
    <definedName name="IQ_PENSION_OBLIGATION_ACTUARIAL_GAIN_LOSS" hidden="1">"c3197"</definedName>
    <definedName name="IQ_PENSION_OBLIGATION_ACTUARIAL_GAIN_LOSS_DOM" hidden="1">"c3195"</definedName>
    <definedName name="IQ_PENSION_OBLIGATION_ACTUARIAL_GAIN_LOSS_FOREIGN" hidden="1">"c3196"</definedName>
    <definedName name="IQ_PENSION_OBLIGATION_BEG" hidden="1">"c3185"</definedName>
    <definedName name="IQ_PENSION_OBLIGATION_BEG_DOM" hidden="1">"c3183"</definedName>
    <definedName name="IQ_PENSION_OBLIGATION_BEG_FOREIGN" hidden="1">"c3184"</definedName>
    <definedName name="IQ_PENSION_OBLIGATION_CURTAIL" hidden="1">"c3209"</definedName>
    <definedName name="IQ_PENSION_OBLIGATION_CURTAIL_DOM" hidden="1">"c3207"</definedName>
    <definedName name="IQ_PENSION_OBLIGATION_CURTAIL_FOREIGN" hidden="1">"c3208"</definedName>
    <definedName name="IQ_PENSION_OBLIGATION_EMPLOYEE_CONTRIBUTIONS" hidden="1">"c3194"</definedName>
    <definedName name="IQ_PENSION_OBLIGATION_EMPLOYEE_CONTRIBUTIONS_DOM" hidden="1">"c3192"</definedName>
    <definedName name="IQ_PENSION_OBLIGATION_EMPLOYEE_CONTRIBUTIONS_FOREIGN" hidden="1">"c3193"</definedName>
    <definedName name="IQ_PENSION_OBLIGATION_FX_ADJ" hidden="1">"c3203"</definedName>
    <definedName name="IQ_PENSION_OBLIGATION_FX_ADJ_DOM" hidden="1">"c3201"</definedName>
    <definedName name="IQ_PENSION_OBLIGATION_FX_ADJ_FOREIGN" hidden="1">"c3202"</definedName>
    <definedName name="IQ_PENSION_OBLIGATION_INTEREST_COST" hidden="1">"c3191"</definedName>
    <definedName name="IQ_PENSION_OBLIGATION_INTEREST_COST_DOM" hidden="1">"c3189"</definedName>
    <definedName name="IQ_PENSION_OBLIGATION_INTEREST_COST_FOREIGN" hidden="1">"c3190"</definedName>
    <definedName name="IQ_PENSION_OBLIGATION_OTHER_COST" hidden="1">"c3555"</definedName>
    <definedName name="IQ_PENSION_OBLIGATION_OTHER_COST_DOM" hidden="1">"c3553"</definedName>
    <definedName name="IQ_PENSION_OBLIGATION_OTHER_COST_FOREIGN" hidden="1">"c3554"</definedName>
    <definedName name="IQ_PENSION_OBLIGATION_OTHER_PLAN_ADJ" hidden="1">"c3212"</definedName>
    <definedName name="IQ_PENSION_OBLIGATION_OTHER_PLAN_ADJ_DOM" hidden="1">"c3210"</definedName>
    <definedName name="IQ_PENSION_OBLIGATION_OTHER_PLAN_ADJ_FOREIGN" hidden="1">"c3211"</definedName>
    <definedName name="IQ_PENSION_OBLIGATION_PAID" hidden="1">"c3200"</definedName>
    <definedName name="IQ_PENSION_OBLIGATION_PAID_DOM" hidden="1">"c3198"</definedName>
    <definedName name="IQ_PENSION_OBLIGATION_PAID_FOREIGN" hidden="1">"c3199"</definedName>
    <definedName name="IQ_PENSION_OBLIGATION_PROJECTED" hidden="1">"c3215"</definedName>
    <definedName name="IQ_PENSION_OBLIGATION_PROJECTED_DOM" hidden="1">"c3213"</definedName>
    <definedName name="IQ_PENSION_OBLIGATION_PROJECTED_FOREIGN" hidden="1">"c3214"</definedName>
    <definedName name="IQ_PENSION_OBLIGATION_ROA" hidden="1">"c3552"</definedName>
    <definedName name="IQ_PENSION_OBLIGATION_ROA_DOM" hidden="1">"c3550"</definedName>
    <definedName name="IQ_PENSION_OBLIGATION_ROA_FOREIGN" hidden="1">"c3551"</definedName>
    <definedName name="IQ_PENSION_OBLIGATION_SERVICE_COST" hidden="1">"c3188"</definedName>
    <definedName name="IQ_PENSION_OBLIGATION_SERVICE_COST_DOM" hidden="1">"c3186"</definedName>
    <definedName name="IQ_PENSION_OBLIGATION_SERVICE_COST_FOREIGN" hidden="1">"c3187"</definedName>
    <definedName name="IQ_PENSION_OBLIGATION_TOTAL_COST" hidden="1">"c3558"</definedName>
    <definedName name="IQ_PENSION_OBLIGATION_TOTAL_COST_DOM" hidden="1">"c3556"</definedName>
    <definedName name="IQ_PENSION_OBLIGATION_TOTAL_COST_FOREIGN" hidden="1">"c3557"</definedName>
    <definedName name="IQ_PENSION_OTHER" hidden="1">"c3143"</definedName>
    <definedName name="IQ_PENSION_OTHER_ADJ" hidden="1">"c3149"</definedName>
    <definedName name="IQ_PENSION_OTHER_ADJ_DOM" hidden="1">"c3147"</definedName>
    <definedName name="IQ_PENSION_OTHER_ADJ_FOREIGN" hidden="1">"c3148"</definedName>
    <definedName name="IQ_PENSION_OTHER_DOM" hidden="1">"c3141"</definedName>
    <definedName name="IQ_PENSION_OTHER_FOREIGN" hidden="1">"c3142"</definedName>
    <definedName name="IQ_PENSION_PBO_ASSUMED_RATE_RET_MAX" hidden="1">"c3254"</definedName>
    <definedName name="IQ_PENSION_PBO_ASSUMED_RATE_RET_MAX_DOM" hidden="1">"c3252"</definedName>
    <definedName name="IQ_PENSION_PBO_ASSUMED_RATE_RET_MAX_FOREIGN" hidden="1">"c3253"</definedName>
    <definedName name="IQ_PENSION_PBO_ASSUMED_RATE_RET_MIN" hidden="1">"c3251"</definedName>
    <definedName name="IQ_PENSION_PBO_ASSUMED_RATE_RET_MIN_DOM" hidden="1">"c3249"</definedName>
    <definedName name="IQ_PENSION_PBO_ASSUMED_RATE_RET_MIN_FOREIGN" hidden="1">"c3250"</definedName>
    <definedName name="IQ_PENSION_PBO_RATE_COMP_INCREASE_MAX" hidden="1">"c3260"</definedName>
    <definedName name="IQ_PENSION_PBO_RATE_COMP_INCREASE_MAX_DOM" hidden="1">"c3258"</definedName>
    <definedName name="IQ_PENSION_PBO_RATE_COMP_INCREASE_MAX_FOREIGN" hidden="1">"c3259"</definedName>
    <definedName name="IQ_PENSION_PBO_RATE_COMP_INCREASE_MIN" hidden="1">"c3257"</definedName>
    <definedName name="IQ_PENSION_PBO_RATE_COMP_INCREASE_MIN_DOM" hidden="1">"c3255"</definedName>
    <definedName name="IQ_PENSION_PBO_RATE_COMP_INCREASE_MIN_FOREIGN" hidden="1">"c3256"</definedName>
    <definedName name="IQ_PENSION_PREPAID_COST" hidden="1">"c3131"</definedName>
    <definedName name="IQ_PENSION_PREPAID_COST_DOM" hidden="1">"c3129"</definedName>
    <definedName name="IQ_PENSION_PREPAID_COST_FOREIGN" hidden="1">"c3130"</definedName>
    <definedName name="IQ_PENSION_PROJECTED_OBLIGATION" hidden="1">"c3566"</definedName>
    <definedName name="IQ_PENSION_PROJECTED_OBLIGATION_DOMESTIC" hidden="1">"c3564"</definedName>
    <definedName name="IQ_PENSION_PROJECTED_OBLIGATION_FOREIGN" hidden="1">"c3565"</definedName>
    <definedName name="IQ_PENSION_QUART_ADDL_CONTRIBUTIONS_EXP" hidden="1">"c3224"</definedName>
    <definedName name="IQ_PENSION_QUART_ADDL_CONTRIBUTIONS_EXP_DOM" hidden="1">"c3222"</definedName>
    <definedName name="IQ_PENSION_QUART_ADDL_CONTRIBUTIONS_EXP_FOREIGN" hidden="1">"c3223"</definedName>
    <definedName name="IQ_PENSION_QUART_EMPLOYER_CONTRIBUTIONS" hidden="1">"c3221"</definedName>
    <definedName name="IQ_PENSION_QUART_EMPLOYER_CONTRIBUTIONS_DOM" hidden="1">"c3219"</definedName>
    <definedName name="IQ_PENSION_QUART_EMPLOYER_CONTRIBUTIONS_FOREIGN" hidden="1">"c3220"</definedName>
    <definedName name="IQ_PENSION_RATE_COMP_GROWTH_DOMESTIC" hidden="1">"c3575"</definedName>
    <definedName name="IQ_PENSION_RATE_COMP_GROWTH_FOREIGN" hidden="1">"c3576"</definedName>
    <definedName name="IQ_PENSION_RATE_COMP_INCREASE_MAX" hidden="1">"c3242"</definedName>
    <definedName name="IQ_PENSION_RATE_COMP_INCREASE_MAX_DOM" hidden="1">"c3240"</definedName>
    <definedName name="IQ_PENSION_RATE_COMP_INCREASE_MAX_FOREIGN" hidden="1">"c3241"</definedName>
    <definedName name="IQ_PENSION_RATE_COMP_INCREASE_MIN" hidden="1">"c3239"</definedName>
    <definedName name="IQ_PENSION_RATE_COMP_INCREASE_MIN_DOM" hidden="1">"c3237"</definedName>
    <definedName name="IQ_PENSION_RATE_COMP_INCREASE_MIN_FOREIGN" hidden="1">"c3238"</definedName>
    <definedName name="IQ_PENSION_SERVICE_COST" hidden="1">"c3579"</definedName>
    <definedName name="IQ_PENSION_SERVICE_COST_DOM" hidden="1">"c3577"</definedName>
    <definedName name="IQ_PENSION_SERVICE_COST_FOREIGN" hidden="1">"c3578"</definedName>
    <definedName name="IQ_PENSION_TOTAL_ASSETS" hidden="1">"c3563"</definedName>
    <definedName name="IQ_PENSION_TOTAL_ASSETS_DOMESTIC" hidden="1">"c3561"</definedName>
    <definedName name="IQ_PENSION_TOTAL_ASSETS_FOREIGN" hidden="1">"c3562"</definedName>
    <definedName name="IQ_PENSION_TOTAL_EXP" hidden="1">"c3560"</definedName>
    <definedName name="IQ_PENSION_UNFUNDED_ADDL_MIN_LIAB" hidden="1">"c3227"</definedName>
    <definedName name="IQ_PENSION_UNFUNDED_ADDL_MIN_LIAB_DOM" hidden="1">"c3225"</definedName>
    <definedName name="IQ_PENSION_UNFUNDED_ADDL_MIN_LIAB_FOREIGN" hidden="1">"c3226"</definedName>
    <definedName name="IQ_PENSION_UNRECOG_PRIOR" hidden="1">"c3146"</definedName>
    <definedName name="IQ_PENSION_UNRECOG_PRIOR_DOM" hidden="1">"c3144"</definedName>
    <definedName name="IQ_PENSION_UNRECOG_PRIOR_FOREIGN" hidden="1">"c3145"</definedName>
    <definedName name="IQ_PENSION_UV_LIAB" hidden="1">"c3567"</definedName>
    <definedName name="IQ_PERIODDATE" hidden="1">"c1414"</definedName>
    <definedName name="IQ_PERIODDATE_BS" hidden="1">"c1032"</definedName>
    <definedName name="IQ_PERIODDATE_CF" hidden="1">"c1033"</definedName>
    <definedName name="IQ_PERIODDATE_IS" hidden="1">"c1034"</definedName>
    <definedName name="IQ_PERIODLENGTH_CF" hidden="1">"c1502"</definedName>
    <definedName name="IQ_PERIODLENGTH_IS" hidden="1">"c1503"</definedName>
    <definedName name="IQ_PERTYPE" hidden="1">"c1611"</definedName>
    <definedName name="IQ_PLL" hidden="1">"c2114"</definedName>
    <definedName name="IQ_PMT_FREQ" hidden="1">"c2236"</definedName>
    <definedName name="IQ_POLICY_BENEFITS" hidden="1">"c1036"</definedName>
    <definedName name="IQ_POLICY_COST" hidden="1">"c1037"</definedName>
    <definedName name="IQ_POLICY_LIAB" hidden="1">"c1612"</definedName>
    <definedName name="IQ_POLICY_LOANS" hidden="1">"c1038"</definedName>
    <definedName name="IQ_POST_RETIRE_EXP" hidden="1">"c1039"</definedName>
    <definedName name="IQ_POSTPAID_CHURN" hidden="1">"c2121"</definedName>
    <definedName name="IQ_POSTPAID_SUBS" hidden="1">"c2118"</definedName>
    <definedName name="IQ_PRE_OPEN_COST" hidden="1">"c1040"</definedName>
    <definedName name="IQ_PREF_CONVERT" hidden="1">"c1041"</definedName>
    <definedName name="IQ_PREF_DIV_CF" hidden="1">"c1042"</definedName>
    <definedName name="IQ_PREF_DIV_OTHER" hidden="1">"c1043"</definedName>
    <definedName name="IQ_PREF_DIVID" hidden="1">"c1461"</definedName>
    <definedName name="IQ_PREF_EQUITY" hidden="1">"c1044"</definedName>
    <definedName name="IQ_PREF_ISSUED" hidden="1">"c1045"</definedName>
    <definedName name="IQ_PREF_ISSUED_BNK" hidden="1">"c1046"</definedName>
    <definedName name="IQ_PREF_ISSUED_BR" hidden="1">"c1047"</definedName>
    <definedName name="IQ_PREF_ISSUED_FIN" hidden="1">"c1048"</definedName>
    <definedName name="IQ_PREF_ISSUED_INS" hidden="1">"c1049"</definedName>
    <definedName name="IQ_PREF_ISSUED_REIT" hidden="1">"c1050"</definedName>
    <definedName name="IQ_PREF_ISSUED_UTI" hidden="1">"c1051"</definedName>
    <definedName name="IQ_PREF_NON_REDEEM" hidden="1">"c1052"</definedName>
    <definedName name="IQ_PREF_OTHER" hidden="1">"c1053"</definedName>
    <definedName name="IQ_PREF_OTHER_BNK" hidden="1">"c1054"</definedName>
    <definedName name="IQ_PREF_OTHER_BR" hidden="1">"c1055"</definedName>
    <definedName name="IQ_PREF_OTHER_FIN" hidden="1">"c1056"</definedName>
    <definedName name="IQ_PREF_OTHER_INS" hidden="1">"c1057"</definedName>
    <definedName name="IQ_PREF_OTHER_REIT" hidden="1">"c1058"</definedName>
    <definedName name="IQ_PREF_REDEEM" hidden="1">"c1059"</definedName>
    <definedName name="IQ_PREF_REP" hidden="1">"c1060"</definedName>
    <definedName name="IQ_PREF_REP_BNK" hidden="1">"c1061"</definedName>
    <definedName name="IQ_PREF_REP_BR" hidden="1">"c1062"</definedName>
    <definedName name="IQ_PREF_REP_FIN" hidden="1">"c1063"</definedName>
    <definedName name="IQ_PREF_REP_INS" hidden="1">"c1064"</definedName>
    <definedName name="IQ_PREF_REP_REIT" hidden="1">"c1065"</definedName>
    <definedName name="IQ_PREF_REP_UTI" hidden="1">"c1066"</definedName>
    <definedName name="IQ_PREF_STOCK" hidden="1">"c1416"</definedName>
    <definedName name="IQ_PREF_TOT" hidden="1">"c1415"</definedName>
    <definedName name="IQ_PREMIUMS_ANNUITY_REV" hidden="1">"c1067"</definedName>
    <definedName name="IQ_PREPAID_CHURN" hidden="1">"c2120"</definedName>
    <definedName name="IQ_PREPAID_EXP" hidden="1">"c1068"</definedName>
    <definedName name="IQ_PREPAID_EXPEN" hidden="1">"c1418"</definedName>
    <definedName name="IQ_PREPAID_SUBS" hidden="1">"c2117"</definedName>
    <definedName name="IQ_PRICE_OVER_BVPS" hidden="1">"c1412"</definedName>
    <definedName name="IQ_PRICE_OVER_LTM_EPS" hidden="1">"c1413"</definedName>
    <definedName name="IQ_PRICE_TARGET" hidden="1">"c82"</definedName>
    <definedName name="IQ_PRICEDATE" hidden="1">"c1069"</definedName>
    <definedName name="IQ_PRICING_DATE" hidden="1">"c1613"</definedName>
    <definedName name="IQ_PRIMARY_INDUSTRY" hidden="1">"c1070"</definedName>
    <definedName name="IQ_PRINCIPAL_AMT" hidden="1">"c2157"</definedName>
    <definedName name="IQ_PRO_FORMA_BASIC_EPS" hidden="1">"c1614"</definedName>
    <definedName name="IQ_PRO_FORMA_DILUT_EPS" hidden="1">"c1615"</definedName>
    <definedName name="IQ_PRO_FORMA_NET_INC" hidden="1">"c1452"</definedName>
    <definedName name="IQ_PROFESSIONAL" hidden="1">"c1071"</definedName>
    <definedName name="IQ_PROFESSIONAL_TITLE" hidden="1">"c1072"</definedName>
    <definedName name="IQ_PROJECTED_PENSION_OBLIGATION" hidden="1">"c1292"</definedName>
    <definedName name="IQ_PROJECTED_PENSION_OBLIGATION_DOMESTIC" hidden="1">"c2656"</definedName>
    <definedName name="IQ_PROJECTED_PENSION_OBLIGATION_FOREIGN" hidden="1">"c2664"</definedName>
    <definedName name="IQ_PROPERTY_EXP" hidden="1">"c1073"</definedName>
    <definedName name="IQ_PROPERTY_GROSS" hidden="1">"c1379"</definedName>
    <definedName name="IQ_PROPERTY_MGMT_FEE" hidden="1">"c1074"</definedName>
    <definedName name="IQ_PROPERTY_NET" hidden="1">"c1402"</definedName>
    <definedName name="IQ_PROV_BAD_DEBTS" hidden="1">"c1075"</definedName>
    <definedName name="IQ_PROV_BAD_DEBTS_CF" hidden="1">"c1076"</definedName>
    <definedName name="IQ_PROVISION_10YR_ANN_GROWTH" hidden="1">"c1077"</definedName>
    <definedName name="IQ_PROVISION_1YR_ANN_GROWTH" hidden="1">"c1078"</definedName>
    <definedName name="IQ_PROVISION_2YR_ANN_GROWTH" hidden="1">"c1079"</definedName>
    <definedName name="IQ_PROVISION_3YR_ANN_GROWTH" hidden="1">"c1080"</definedName>
    <definedName name="IQ_PROVISION_5YR_ANN_GROWTH" hidden="1">"c1081"</definedName>
    <definedName name="IQ_PROVISION_7YR_ANN_GROWTH" hidden="1">"c1082"</definedName>
    <definedName name="IQ_PROVISION_CHARGE_OFFS" hidden="1">"c1083"</definedName>
    <definedName name="IQ_PTBV" hidden="1">"c1084"</definedName>
    <definedName name="IQ_PTBV_AVG" hidden="1">"c1085"</definedName>
    <definedName name="IQ_QUICK_RATIO" hidden="1">"c1086"</definedName>
    <definedName name="IQ_RATE_COMP_GROWTH_DOMESTIC" hidden="1">"c1087"</definedName>
    <definedName name="IQ_RATE_COMP_GROWTH_FOREIGN" hidden="1">"c1088"</definedName>
    <definedName name="IQ_RAW_INV" hidden="1">"c1089"</definedName>
    <definedName name="IQ_RC" hidden="1">"c2497"</definedName>
    <definedName name="IQ_RC_PCT" hidden="1">"c2498"</definedName>
    <definedName name="IQ_RD_EXP" hidden="1">"c1090"</definedName>
    <definedName name="IQ_RD_EXP_FN" hidden="1">"c1091"</definedName>
    <definedName name="IQ_RE" hidden="1">"c1092"</definedName>
    <definedName name="IQ_REAL_ESTATE" hidden="1">"c1093"</definedName>
    <definedName name="IQ_REAL_ESTATE_ASSETS" hidden="1">"c1094"</definedName>
    <definedName name="IQ_REDEEM_PREF_STOCK" hidden="1">"c1417"</definedName>
    <definedName name="IQ_REG_ASSETS" hidden="1">"c1095"</definedName>
    <definedName name="IQ_REINSUR_PAY" hidden="1">"c1096"</definedName>
    <definedName name="IQ_REINSUR_PAY_CF" hidden="1">"c1097"</definedName>
    <definedName name="IQ_REINSUR_RECOVER" hidden="1">"c1098"</definedName>
    <definedName name="IQ_REINSUR_RECOVER_CF" hidden="1">"c1099"</definedName>
    <definedName name="IQ_REINSURANCE" hidden="1">"c1100"</definedName>
    <definedName name="IQ_RENTAL_REV" hidden="1">"c1101"</definedName>
    <definedName name="IQ_RESEARCH_DEV" hidden="1">"c1419"</definedName>
    <definedName name="IQ_RESIDENTIAL_LOANS" hidden="1">"c1102"</definedName>
    <definedName name="IQ_RESTATEMENT_BS" hidden="1">"c1643"</definedName>
    <definedName name="IQ_RESTATEMENT_CF" hidden="1">"c1644"</definedName>
    <definedName name="IQ_RESTATEMENT_IS" hidden="1">"c1642"</definedName>
    <definedName name="IQ_RESTR_STOCK_COMP" hidden="1">"c3506"</definedName>
    <definedName name="IQ_RESTR_STOCK_COMP_PRETAX" hidden="1">"c3504"</definedName>
    <definedName name="IQ_RESTR_STOCK_COMP_TAX" hidden="1">"c3505"</definedName>
    <definedName name="IQ_RESTRICTED_CASH" hidden="1">"c1103"</definedName>
    <definedName name="IQ_RESTRUCTURE" hidden="1">"c1104"</definedName>
    <definedName name="IQ_RESTRUCTURE_BNK" hidden="1">"c1105"</definedName>
    <definedName name="IQ_RESTRUCTURE_BR" hidden="1">"c1106"</definedName>
    <definedName name="IQ_RESTRUCTURE_CF" hidden="1">"c1107"</definedName>
    <definedName name="IQ_RESTRUCTURE_FIN" hidden="1">"c1108"</definedName>
    <definedName name="IQ_RESTRUCTURE_INS" hidden="1">"c1109"</definedName>
    <definedName name="IQ_RESTRUCTURE_REIT" hidden="1">"c1110"</definedName>
    <definedName name="IQ_RESTRUCTURE_UTI" hidden="1">"c1111"</definedName>
    <definedName name="IQ_RESTRUCTURED_LOANS" hidden="1">"c1112"</definedName>
    <definedName name="IQ_RETAIL_ACQUIRED_FRANCHISE_STORES" hidden="1">"c2895"</definedName>
    <definedName name="IQ_RETAIL_ACQUIRED_OWNED_STORES" hidden="1">"c2903"</definedName>
    <definedName name="IQ_RETAIL_ACQUIRED_STORES" hidden="1">"c2887"</definedName>
    <definedName name="IQ_RETAIL_AVG_STORE_SIZE_GROSS" hidden="1">"c2066"</definedName>
    <definedName name="IQ_RETAIL_AVG_STORE_SIZE_NET" hidden="1">"c2067"</definedName>
    <definedName name="IQ_RETAIL_AVG_WK_SALES" hidden="1">"c2891"</definedName>
    <definedName name="IQ_RETAIL_AVG_WK_SALES_FRANCHISE" hidden="1">"c2899"</definedName>
    <definedName name="IQ_RETAIL_AVG_WK_SALES_OWNED" hidden="1">"c2907"</definedName>
    <definedName name="IQ_RETAIL_CLOSED_FRANCHISE_STORES" hidden="1">"c2896"</definedName>
    <definedName name="IQ_RETAIL_CLOSED_OWNED_STORES" hidden="1">"c2904"</definedName>
    <definedName name="IQ_RETAIL_CLOSED_STORES" hidden="1">"c2063"</definedName>
    <definedName name="IQ_RETAIL_FRANCHISE_STORES_BEG" hidden="1">"c2893"</definedName>
    <definedName name="IQ_RETAIL_OPENED_FRANCHISE_STORES" hidden="1">"c2894"</definedName>
    <definedName name="IQ_RETAIL_OPENED_OWNED_STORES" hidden="1">"c2902"</definedName>
    <definedName name="IQ_RETAIL_OPENED_STORES" hidden="1">"c2062"</definedName>
    <definedName name="IQ_RETAIL_OWNED_STORES_BEG" hidden="1">"c2901"</definedName>
    <definedName name="IQ_RETAIL_SALES_SQFT_ALL_GROSS" hidden="1">"c2138"</definedName>
    <definedName name="IQ_RETAIL_SALES_SQFT_ALL_NET" hidden="1">"c2139"</definedName>
    <definedName name="IQ_RETAIL_SALES_SQFT_COMPARABLE_GROSS" hidden="1">"c2136"</definedName>
    <definedName name="IQ_RETAIL_SALES_SQFT_COMPARABLE_NET" hidden="1">"c2137"</definedName>
    <definedName name="IQ_RETAIL_SALES_SQFT_OWNED_GROSS" hidden="1">"c2134"</definedName>
    <definedName name="IQ_RETAIL_SALES_SQFT_OWNED_NET" hidden="1">"c2135"</definedName>
    <definedName name="IQ_RETAIL_SOLD_FRANCHISE_STORES" hidden="1">"c2897"</definedName>
    <definedName name="IQ_RETAIL_SOLD_OWNED_STORES" hidden="1">"c2905"</definedName>
    <definedName name="IQ_RETAIL_SOLD_STORES" hidden="1">"c2889"</definedName>
    <definedName name="IQ_RETAIL_SQ_FOOTAGE" hidden="1">"c2064"</definedName>
    <definedName name="IQ_RETAIL_STORE_SELLING_AREA" hidden="1">"c2065"</definedName>
    <definedName name="IQ_RETAIL_STORES_BEG" hidden="1">"c2885"</definedName>
    <definedName name="IQ_RETAIL_TOTAL_FRANCHISE_STORES" hidden="1">"c2898"</definedName>
    <definedName name="IQ_RETAIL_TOTAL_OWNED_STORES" hidden="1">"c2906"</definedName>
    <definedName name="IQ_RETAIL_TOTAL_STORES" hidden="1">"c2061"</definedName>
    <definedName name="IQ_RETAINED_EARN" hidden="1">"c1420"</definedName>
    <definedName name="IQ_RETURN_ASSETS" hidden="1">"c1113"</definedName>
    <definedName name="IQ_RETURN_ASSETS_BANK" hidden="1">"c1114"</definedName>
    <definedName name="IQ_RETURN_ASSETS_BROK" hidden="1">"c1115"</definedName>
    <definedName name="IQ_RETURN_ASSETS_FS" hidden="1">"c1116"</definedName>
    <definedName name="IQ_RETURN_CAPITAL" hidden="1">"c1117"</definedName>
    <definedName name="IQ_RETURN_EQUITY" hidden="1">"c1118"</definedName>
    <definedName name="IQ_RETURN_EQUITY_BANK" hidden="1">"c1119"</definedName>
    <definedName name="IQ_RETURN_EQUITY_BROK" hidden="1">"c1120"</definedName>
    <definedName name="IQ_RETURN_EQUITY_FS" hidden="1">"c1121"</definedName>
    <definedName name="IQ_RETURN_INVESTMENT" hidden="1">"c1421"</definedName>
    <definedName name="IQ_REV" hidden="1">"c1122"</definedName>
    <definedName name="IQ_REV_BEFORE_LL" hidden="1">"c1123"</definedName>
    <definedName name="IQ_REV_UTI" hidden="1">"c1125"</definedName>
    <definedName name="IQ_REVENUE" hidden="1">"c1422"</definedName>
    <definedName name="IQ_REVISION_DATE_" hidden="1">38804.6174189815</definedName>
    <definedName name="IQ_RISK_ADJ_BANK_ASSETS" hidden="1">"c2670"</definedName>
    <definedName name="IQ_SALARY" hidden="1">"c1130"</definedName>
    <definedName name="IQ_SALE_INTAN_CF" hidden="1">"c1131"</definedName>
    <definedName name="IQ_SALE_INTAN_CF_BNK" hidden="1">"c1132"</definedName>
    <definedName name="IQ_SALE_INTAN_CF_BR" hidden="1">"c1133"</definedName>
    <definedName name="IQ_SALE_INTAN_CF_FIN" hidden="1">"c1134"</definedName>
    <definedName name="IQ_SALE_INTAN_CF_INS" hidden="1">"c1135"</definedName>
    <definedName name="IQ_SALE_INTAN_CF_REIT" hidden="1">"c1627"</definedName>
    <definedName name="IQ_SALE_INTAN_CF_UTI" hidden="1">"c1136"</definedName>
    <definedName name="IQ_SALE_PPE_CF" hidden="1">"c1137"</definedName>
    <definedName name="IQ_SALE_PPE_CF_BNK" hidden="1">"c1138"</definedName>
    <definedName name="IQ_SALE_PPE_CF_BR" hidden="1">"c1139"</definedName>
    <definedName name="IQ_SALE_PPE_CF_FIN" hidden="1">"c1140"</definedName>
    <definedName name="IQ_SALE_PPE_CF_INS" hidden="1">"c1141"</definedName>
    <definedName name="IQ_SALE_PPE_CF_UTI" hidden="1">"c1142"</definedName>
    <definedName name="IQ_SALE_RE_ASSETS" hidden="1">"c1629"</definedName>
    <definedName name="IQ_SALE_REAL_ESTATE_CF" hidden="1">"c1143"</definedName>
    <definedName name="IQ_SALE_REAL_ESTATE_CF_BNK" hidden="1">"c1144"</definedName>
    <definedName name="IQ_SALE_REAL_ESTATE_CF_BR" hidden="1">"c1145"</definedName>
    <definedName name="IQ_SALE_REAL_ESTATE_CF_FIN" hidden="1">"c1146"</definedName>
    <definedName name="IQ_SALE_REAL_ESTATE_CF_INS" hidden="1">"c1147"</definedName>
    <definedName name="IQ_SALE_REAL_ESTATE_CF_UTI" hidden="1">"c1148"</definedName>
    <definedName name="IQ_SALES_MARKETING" hidden="1">"c2240"</definedName>
    <definedName name="IQ_SAME_STORE" hidden="1">"c1149"</definedName>
    <definedName name="IQ_SAME_STORE_FRANCHISE" hidden="1">"c2900"</definedName>
    <definedName name="IQ_SAME_STORE_OWNED" hidden="1">"c2908"</definedName>
    <definedName name="IQ_SAME_STORE_TOTAL" hidden="1">"c2892"</definedName>
    <definedName name="IQ_SAVING_DEP" hidden="1">"c1150"</definedName>
    <definedName name="IQ_SECUR_RECEIV" hidden="1">"c1151"</definedName>
    <definedName name="IQ_SECURED_DEBT" hidden="1">"c2546"</definedName>
    <definedName name="IQ_SECURED_DEBT_PCT" hidden="1">"c2547"</definedName>
    <definedName name="IQ_SECURITY_BORROW" hidden="1">"c1152"</definedName>
    <definedName name="IQ_SECURITY_LEVEL" hidden="1">"c2159"</definedName>
    <definedName name="IQ_SECURITY_NOTES" hidden="1">"c2202"</definedName>
    <definedName name="IQ_SECURITY_OWN" hidden="1">"c1153"</definedName>
    <definedName name="IQ_SECURITY_RESELL" hidden="1">"c1154"</definedName>
    <definedName name="IQ_SECURITY_TYPE" hidden="1">"c2158"</definedName>
    <definedName name="IQ_SEPARATE_ACCT_ASSETS" hidden="1">"c1155"</definedName>
    <definedName name="IQ_SEPARATE_ACCT_LIAB" hidden="1">"c1156"</definedName>
    <definedName name="IQ_SERV_CHARGE_DEPOSITS" hidden="1">"c1157"</definedName>
    <definedName name="IQ_SGA" hidden="1">"c1158"</definedName>
    <definedName name="IQ_SGA_BNK" hidden="1">"c1159"</definedName>
    <definedName name="IQ_SGA_INS" hidden="1">"c1160"</definedName>
    <definedName name="IQ_SGA_MARGIN" hidden="1">"c1898"</definedName>
    <definedName name="IQ_SGA_REIT" hidden="1">"c1161"</definedName>
    <definedName name="IQ_SGA_SUPPL" hidden="1">"c1162"</definedName>
    <definedName name="IQ_SGA_UTI" hidden="1">"c1163"</definedName>
    <definedName name="IQ_SHAREOUTSTANDING" hidden="1">"c1347"</definedName>
    <definedName name="IQ_SHARESOUTSTANDING" hidden="1">"c1164"</definedName>
    <definedName name="IQ_SHORT_INTEREST" hidden="1">"c1165"</definedName>
    <definedName name="IQ_SHORT_INTEREST_OVER_FLOAT" hidden="1">"c1577"</definedName>
    <definedName name="IQ_SHORT_INTEREST_PERCENT" hidden="1">"c1576"</definedName>
    <definedName name="IQ_SHORT_TERM_INVEST" hidden="1">"c1425"</definedName>
    <definedName name="IQ_SMALL_INT_BEAR_CD" hidden="1">"c1166"</definedName>
    <definedName name="IQ_SOFTWARE" hidden="1">"c1167"</definedName>
    <definedName name="IQ_SOURCE" hidden="1">"c1168"</definedName>
    <definedName name="IQ_SP" hidden="1">"c2171"</definedName>
    <definedName name="IQ_SP_DATE" hidden="1">"c2172"</definedName>
    <definedName name="IQ_SP_REASON" hidden="1">"c2174"</definedName>
    <definedName name="IQ_SP_STATUS" hidden="1">"c2173"</definedName>
    <definedName name="IQ_SPECIAL_DIV_CF" hidden="1">"c1169"</definedName>
    <definedName name="IQ_SPECIAL_DIV_CF_BNK" hidden="1">"c1170"</definedName>
    <definedName name="IQ_SPECIAL_DIV_CF_BR" hidden="1">"c1171"</definedName>
    <definedName name="IQ_SPECIAL_DIV_CF_FIN" hidden="1">"c1172"</definedName>
    <definedName name="IQ_SPECIAL_DIV_CF_INS" hidden="1">"c1173"</definedName>
    <definedName name="IQ_SPECIAL_DIV_CF_REIT" hidden="1">"c1174"</definedName>
    <definedName name="IQ_SPECIAL_DIV_CF_UTI" hidden="1">"c1175"</definedName>
    <definedName name="IQ_SPECIAL_DIV_SHARE" hidden="1">"c3007"</definedName>
    <definedName name="IQ_SR_BONDS_NOTES" hidden="1">"c2501"</definedName>
    <definedName name="IQ_SR_BONDS_NOTES_PCT" hidden="1">"c2502"</definedName>
    <definedName name="IQ_SR_DEBT" hidden="1">"c2526"</definedName>
    <definedName name="IQ_SR_DEBT_EBITDA" hidden="1">"c2552"</definedName>
    <definedName name="IQ_SR_DEBT_EBITDA_CAPEX" hidden="1">"c2553"</definedName>
    <definedName name="IQ_SR_DEBT_PCT" hidden="1">"c2527"</definedName>
    <definedName name="IQ_SR_SUB_DEBT" hidden="1">"c2530"</definedName>
    <definedName name="IQ_SR_SUB_DEBT_EBITDA" hidden="1">"c2556"</definedName>
    <definedName name="IQ_SR_SUB_DEBT_EBITDA_CAPEX" hidden="1">"c2557"</definedName>
    <definedName name="IQ_SR_SUB_DEBT_PCT" hidden="1">"c2531"</definedName>
    <definedName name="IQ_ST_DEBT" hidden="1">"c1176"</definedName>
    <definedName name="IQ_ST_DEBT_BNK" hidden="1">"c1177"</definedName>
    <definedName name="IQ_ST_DEBT_BR" hidden="1">"c1178"</definedName>
    <definedName name="IQ_ST_DEBT_FIN" hidden="1">"c1179"</definedName>
    <definedName name="IQ_ST_DEBT_INS" hidden="1">"c1180"</definedName>
    <definedName name="IQ_ST_DEBT_ISSUED" hidden="1">"c1181"</definedName>
    <definedName name="IQ_ST_DEBT_ISSUED_BNK" hidden="1">"c1182"</definedName>
    <definedName name="IQ_ST_DEBT_ISSUED_BR" hidden="1">"c1183"</definedName>
    <definedName name="IQ_ST_DEBT_ISSUED_FIN" hidden="1">"c1184"</definedName>
    <definedName name="IQ_ST_DEBT_ISSUED_INS" hidden="1">"c1185"</definedName>
    <definedName name="IQ_ST_DEBT_ISSUED_REIT" hidden="1">"c1186"</definedName>
    <definedName name="IQ_ST_DEBT_ISSUED_UTI" hidden="1">"c1187"</definedName>
    <definedName name="IQ_ST_DEBT_PCT" hidden="1">"c2539"</definedName>
    <definedName name="IQ_ST_DEBT_REIT" hidden="1">"c1188"</definedName>
    <definedName name="IQ_ST_DEBT_REPAID" hidden="1">"c1189"</definedName>
    <definedName name="IQ_ST_DEBT_REPAID_BNK" hidden="1">"c1190"</definedName>
    <definedName name="IQ_ST_DEBT_REPAID_BR" hidden="1">"c1191"</definedName>
    <definedName name="IQ_ST_DEBT_REPAID_FIN" hidden="1">"c1192"</definedName>
    <definedName name="IQ_ST_DEBT_REPAID_INS" hidden="1">"c1193"</definedName>
    <definedName name="IQ_ST_DEBT_REPAID_REIT" hidden="1">"c1194"</definedName>
    <definedName name="IQ_ST_DEBT_REPAID_UTI" hidden="1">"c1195"</definedName>
    <definedName name="IQ_ST_DEBT_UTI" hidden="1">"c1196"</definedName>
    <definedName name="IQ_ST_INVEST" hidden="1">"c1197"</definedName>
    <definedName name="IQ_ST_INVEST_UTI" hidden="1">"c1198"</definedName>
    <definedName name="IQ_ST_NOTE_RECEIV" hidden="1">"c1199"</definedName>
    <definedName name="IQ_STATE" hidden="1">"c1200"</definedName>
    <definedName name="IQ_STATUTORY_SURPLUS" hidden="1">"c1201"</definedName>
    <definedName name="IQ_STOCK_BASED" hidden="1">"c1202"</definedName>
    <definedName name="IQ_STOCK_BASED_AT" hidden="1">"c2999"</definedName>
    <definedName name="IQ_STOCK_BASED_CF" hidden="1">"c1203"</definedName>
    <definedName name="IQ_STOCK_BASED_COGS" hidden="1">"c2990"</definedName>
    <definedName name="IQ_STOCK_BASED_COMP" hidden="1">"c3512"</definedName>
    <definedName name="IQ_STOCK_BASED_COMP_PRETAX" hidden="1">"c3510"</definedName>
    <definedName name="IQ_STOCK_BASED_COMP_TAX" hidden="1">"c3511"</definedName>
    <definedName name="IQ_STOCK_BASED_GA" hidden="1">"c2993"</definedName>
    <definedName name="IQ_STOCK_BASED_OTHER" hidden="1">"c2995"</definedName>
    <definedName name="IQ_STOCK_BASED_RD" hidden="1">"c2991"</definedName>
    <definedName name="IQ_STOCK_BASED_SGA" hidden="1">"c2994"</definedName>
    <definedName name="IQ_STOCK_BASED_SM" hidden="1">"c2992"</definedName>
    <definedName name="IQ_STOCK_BASED_TOTAL" hidden="1">"c3040"</definedName>
    <definedName name="IQ_STOCK_OPTIONS_COMP" hidden="1">"c3509"</definedName>
    <definedName name="IQ_STOCK_OPTIONS_COMP_PRETAX" hidden="1">"c3507"</definedName>
    <definedName name="IQ_STOCK_OPTIONS_COMP_TAX" hidden="1">"c3508"</definedName>
    <definedName name="IQ_STRIKE_PRICE_ISSUED" hidden="1">"c1645"</definedName>
    <definedName name="IQ_STRIKE_PRICE_OS" hidden="1">"c1646"</definedName>
    <definedName name="IQ_STW" hidden="1">"c2166"</definedName>
    <definedName name="IQ_SUB_BONDS_NOTES" hidden="1">"c2503"</definedName>
    <definedName name="IQ_SUB_BONDS_NOTES_PCT" hidden="1">"c2504"</definedName>
    <definedName name="IQ_SUB_DEBT" hidden="1">"c2532"</definedName>
    <definedName name="IQ_SUB_DEBT_EBITDA" hidden="1">"c2558"</definedName>
    <definedName name="IQ_SUB_DEBT_EBITDA_CAPEX" hidden="1">"c2559"</definedName>
    <definedName name="IQ_SUB_DEBT_PCT" hidden="1">"c2533"</definedName>
    <definedName name="IQ_SUB_LEASE_AFTER_FIVE" hidden="1">"c1207"</definedName>
    <definedName name="IQ_SUB_LEASE_INC_CY" hidden="1">"c1208"</definedName>
    <definedName name="IQ_SUB_LEASE_INC_CY1" hidden="1">"c1209"</definedName>
    <definedName name="IQ_SUB_LEASE_INC_CY2" hidden="1">"c1210"</definedName>
    <definedName name="IQ_SUB_LEASE_INC_CY3" hidden="1">"c1211"</definedName>
    <definedName name="IQ_SUB_LEASE_INC_CY4" hidden="1">"c1212"</definedName>
    <definedName name="IQ_SUB_LEASE_NEXT_FIVE" hidden="1">"c1213"</definedName>
    <definedName name="IQ_SVA" hidden="1">"c1214"</definedName>
    <definedName name="IQ_TAX_BENEFIT_CF_1YR" hidden="1">"c3483"</definedName>
    <definedName name="IQ_TAX_BENEFIT_CF_2YR" hidden="1">"c3484"</definedName>
    <definedName name="IQ_TAX_BENEFIT_CF_3YR" hidden="1">"c3485"</definedName>
    <definedName name="IQ_TAX_BENEFIT_CF_4YR" hidden="1">"c3486"</definedName>
    <definedName name="IQ_TAX_BENEFIT_CF_5YR" hidden="1">"c3487"</definedName>
    <definedName name="IQ_TAX_BENEFIT_CF_AFTER_FIVE" hidden="1">"c3488"</definedName>
    <definedName name="IQ_TAX_BENEFIT_CF_MAX_YEAR" hidden="1">"c3491"</definedName>
    <definedName name="IQ_TAX_BENEFIT_CF_NO_EXP" hidden="1">"c3489"</definedName>
    <definedName name="IQ_TAX_BENEFIT_CF_TOTAL" hidden="1">"c3490"</definedName>
    <definedName name="IQ_TAX_BENEFIT_OPTIONS" hidden="1">"c1215"</definedName>
    <definedName name="IQ_TAX_EQUIV_NET_INT_INC" hidden="1">"c1216"</definedName>
    <definedName name="IQ_TBV" hidden="1">"c1906"</definedName>
    <definedName name="IQ_TBV_10YR_ANN_GROWTH" hidden="1">"c1936"</definedName>
    <definedName name="IQ_TBV_1YR_ANN_GROWTH" hidden="1">"c1931"</definedName>
    <definedName name="IQ_TBV_2YR_ANN_GROWTH" hidden="1">"c1932"</definedName>
    <definedName name="IQ_TBV_3YR_ANN_GROWTH" hidden="1">"c1933"</definedName>
    <definedName name="IQ_TBV_5YR_ANN_GROWTH" hidden="1">"c1934"</definedName>
    <definedName name="IQ_TBV_7YR_ANN_GROWTH" hidden="1">"c1935"</definedName>
    <definedName name="IQ_TBV_SHARE" hidden="1">"c1217"</definedName>
    <definedName name="IQ_TEMPLATE" hidden="1">"c1521"</definedName>
    <definedName name="IQ_TENANT" hidden="1">"c1218"</definedName>
    <definedName name="IQ_TERM_LOANS" hidden="1">"c2499"</definedName>
    <definedName name="IQ_TERM_LOANS_PCT" hidden="1">"c2500"</definedName>
    <definedName name="IQ_TEV" hidden="1">"c1219"</definedName>
    <definedName name="IQ_TEV_EBIT" hidden="1">"c1220"</definedName>
    <definedName name="IQ_TEV_EBIT_AVG" hidden="1">"c1221"</definedName>
    <definedName name="IQ_TEV_EBITDA" hidden="1">"c1222"</definedName>
    <definedName name="IQ_TEV_EBITDA_AVG" hidden="1">"c1223"</definedName>
    <definedName name="IQ_TEV_EMPLOYEE_AVG" hidden="1">"c1225"</definedName>
    <definedName name="IQ_TEV_TOTAL_REV" hidden="1">"c1226"</definedName>
    <definedName name="IQ_TEV_TOTAL_REV_AVG" hidden="1">"c1227"</definedName>
    <definedName name="IQ_TEV_UFCF" hidden="1">"c2208"</definedName>
    <definedName name="IQ_TIER_ONE_CAPITAL" hidden="1">"c2667"</definedName>
    <definedName name="IQ_TIER_ONE_RATIO" hidden="1">"c1229"</definedName>
    <definedName name="IQ_TIER_TWO_CAPITAL" hidden="1">"c2669"</definedName>
    <definedName name="IQ_TIME_DEP" hidden="1">"c1230"</definedName>
    <definedName name="IQ_TODAY" hidden="1">0</definedName>
    <definedName name="IQ_TOT_ADJ_INC" hidden="1">"c1616"</definedName>
    <definedName name="IQ_TOTAL_AR_BR" hidden="1">"c1231"</definedName>
    <definedName name="IQ_TOTAL_AR_REIT" hidden="1">"c1232"</definedName>
    <definedName name="IQ_TOTAL_AR_UTI" hidden="1">"c1233"</definedName>
    <definedName name="IQ_TOTAL_ASSETS" hidden="1">"c1234"</definedName>
    <definedName name="IQ_TOTAL_ASSETS_10YR_ANN_GROWTH" hidden="1">"c1235"</definedName>
    <definedName name="IQ_TOTAL_ASSETS_1YR_ANN_GROWTH" hidden="1">"c1236"</definedName>
    <definedName name="IQ_TOTAL_ASSETS_2YR_ANN_GROWTH" hidden="1">"c1237"</definedName>
    <definedName name="IQ_TOTAL_ASSETS_3YR_ANN_GROWTH" hidden="1">"c1238"</definedName>
    <definedName name="IQ_TOTAL_ASSETS_5YR_ANN_GROWTH" hidden="1">"c1239"</definedName>
    <definedName name="IQ_TOTAL_ASSETS_7YR_ANN_GROWTH" hidden="1">"c1240"</definedName>
    <definedName name="IQ_TOTAL_AVG_CE_TOTAL_AVG_ASSETS" hidden="1">"c1241"</definedName>
    <definedName name="IQ_TOTAL_AVG_EQUITY_TOTAL_AVG_ASSETS" hidden="1">"c1242"</definedName>
    <definedName name="IQ_TOTAL_BANK_CAPITAL" hidden="1">"c2668"</definedName>
    <definedName name="IQ_TOTAL_CA" hidden="1">"c1243"</definedName>
    <definedName name="IQ_TOTAL_CAP" hidden="1">"c1507"</definedName>
    <definedName name="IQ_TOTAL_CAPITAL_RATIO" hidden="1">"c1244"</definedName>
    <definedName name="IQ_TOTAL_CASH_DIVID" hidden="1">"c1455"</definedName>
    <definedName name="IQ_TOTAL_CASH_FINAN" hidden="1">"c1352"</definedName>
    <definedName name="IQ_TOTAL_CASH_INVEST" hidden="1">"c1353"</definedName>
    <definedName name="IQ_TOTAL_CASH_OPER" hidden="1">"c1354"</definedName>
    <definedName name="IQ_TOTAL_CHURN" hidden="1">"c2122"</definedName>
    <definedName name="IQ_TOTAL_CL" hidden="1">"c1245"</definedName>
    <definedName name="IQ_TOTAL_COMMON" hidden="1">"c1411"</definedName>
    <definedName name="IQ_TOTAL_COMMON_EQUITY" hidden="1">"c1246"</definedName>
    <definedName name="IQ_TOTAL_CURRENT_ASSETS" hidden="1">"c1430"</definedName>
    <definedName name="IQ_TOTAL_CURRENT_LIAB" hidden="1">"c1431"</definedName>
    <definedName name="IQ_TOTAL_DEBT" hidden="1">"c1247"</definedName>
    <definedName name="IQ_TOTAL_DEBT_CAPITAL" hidden="1">"c1248"</definedName>
    <definedName name="IQ_TOTAL_DEBT_EBITDA" hidden="1">"c1249"</definedName>
    <definedName name="IQ_TOTAL_DEBT_EBITDA_CAPEX" hidden="1">"c2948"</definedName>
    <definedName name="IQ_TOTAL_DEBT_EQUITY" hidden="1">"c1250"</definedName>
    <definedName name="IQ_TOTAL_DEBT_EXCL_FIN" hidden="1">"c2937"</definedName>
    <definedName name="IQ_TOTAL_DEBT_ISSUED" hidden="1">"c1251"</definedName>
    <definedName name="IQ_TOTAL_DEBT_ISSUED_BNK" hidden="1">"c1252"</definedName>
    <definedName name="IQ_TOTAL_DEBT_ISSUED_BR" hidden="1">"c1253"</definedName>
    <definedName name="IQ_TOTAL_DEBT_ISSUED_FIN" hidden="1">"c1254"</definedName>
    <definedName name="IQ_TOTAL_DEBT_ISSUED_REIT" hidden="1">"c1255"</definedName>
    <definedName name="IQ_TOTAL_DEBT_ISSUED_UTI" hidden="1">"c1256"</definedName>
    <definedName name="IQ_TOTAL_DEBT_ISSUES_INS" hidden="1">"c1257"</definedName>
    <definedName name="IQ_TOTAL_DEBT_OVER_EBITDA" hidden="1">"c1433"</definedName>
    <definedName name="IQ_TOTAL_DEBT_OVER_TOTAL_BV" hidden="1">"c1434"</definedName>
    <definedName name="IQ_TOTAL_DEBT_OVER_TOTAL_CAP" hidden="1">"c1432"</definedName>
    <definedName name="IQ_TOTAL_DEBT_REPAID" hidden="1">"c1258"</definedName>
    <definedName name="IQ_TOTAL_DEBT_REPAID_BNK" hidden="1">"c1259"</definedName>
    <definedName name="IQ_TOTAL_DEBT_REPAID_BR" hidden="1">"c1260"</definedName>
    <definedName name="IQ_TOTAL_DEBT_REPAID_FIN" hidden="1">"c1261"</definedName>
    <definedName name="IQ_TOTAL_DEBT_REPAID_INS" hidden="1">"c1262"</definedName>
    <definedName name="IQ_TOTAL_DEBT_REPAID_REIT" hidden="1">"c1263"</definedName>
    <definedName name="IQ_TOTAL_DEBT_REPAID_UTI" hidden="1">"c1264"</definedName>
    <definedName name="IQ_TOTAL_DEPOSITS" hidden="1">"c1265"</definedName>
    <definedName name="IQ_TOTAL_DIV_PAID_CF" hidden="1">"c1266"</definedName>
    <definedName name="IQ_TOTAL_EMPLOYEE" hidden="1">"c2141"</definedName>
    <definedName name="IQ_TOTAL_EMPLOYEES" hidden="1">"c1522"</definedName>
    <definedName name="IQ_TOTAL_EQUITY" hidden="1">"c1267"</definedName>
    <definedName name="IQ_TOTAL_EQUITY_10YR_ANN_GROWTH" hidden="1">"c1268"</definedName>
    <definedName name="IQ_TOTAL_EQUITY_1YR_ANN_GROWTH" hidden="1">"c1269"</definedName>
    <definedName name="IQ_TOTAL_EQUITY_2YR_ANN_GROWTH" hidden="1">"c1270"</definedName>
    <definedName name="IQ_TOTAL_EQUITY_3YR_ANN_GROWTH" hidden="1">"c1271"</definedName>
    <definedName name="IQ_TOTAL_EQUITY_5YR_ANN_GROWTH" hidden="1">"c1272"</definedName>
    <definedName name="IQ_TOTAL_EQUITY_7YR_ANN_GROWTH" hidden="1">"c1273"</definedName>
    <definedName name="IQ_TOTAL_EQUITY_ALLOWANCE_TOTAL_LOANS" hidden="1">"c1274"</definedName>
    <definedName name="IQ_TOTAL_INTEREST_EXP" hidden="1">"c1382"</definedName>
    <definedName name="IQ_TOTAL_INVENTORY" hidden="1">"c1385"</definedName>
    <definedName name="IQ_TOTAL_INVEST" hidden="1">"c1275"</definedName>
    <definedName name="IQ_TOTAL_LIAB" hidden="1">"c1276"</definedName>
    <definedName name="IQ_TOTAL_LIAB_BNK" hidden="1">"c1277"</definedName>
    <definedName name="IQ_TOTAL_LIAB_BR" hidden="1">"c1278"</definedName>
    <definedName name="IQ_TOTAL_LIAB_EQUITY" hidden="1">"c1279"</definedName>
    <definedName name="IQ_TOTAL_LIAB_FIN" hidden="1">"c1280"</definedName>
    <definedName name="IQ_TOTAL_LIAB_INS" hidden="1">"c1281"</definedName>
    <definedName name="IQ_TOTAL_LIAB_REIT" hidden="1">"c1282"</definedName>
    <definedName name="IQ_TOTAL_LIAB_SHAREHOLD" hidden="1">"c1435"</definedName>
    <definedName name="IQ_TOTAL_LIAB_TOTAL_ASSETS" hidden="1">"c1283"</definedName>
    <definedName name="IQ_TOTAL_LONG_DEBT" hidden="1">"c1617"</definedName>
    <definedName name="IQ_TOTAL_NON_REC" hidden="1">"c1444"</definedName>
    <definedName name="IQ_TOTAL_OPER_EXP_BR" hidden="1">"c1284"</definedName>
    <definedName name="IQ_TOTAL_OPER_EXP_FIN" hidden="1">"c1285"</definedName>
    <definedName name="IQ_TOTAL_OPER_EXP_INS" hidden="1">"c1286"</definedName>
    <definedName name="IQ_TOTAL_OPER_EXP_REIT" hidden="1">"c1287"</definedName>
    <definedName name="IQ_TOTAL_OPER_EXP_UTI" hidden="1">"c1288"</definedName>
    <definedName name="IQ_TOTAL_OPER_EXPEN" hidden="1">"c1445"</definedName>
    <definedName name="IQ_TOTAL_OPTIONS_BEG_OS" hidden="1">"c2693"</definedName>
    <definedName name="IQ_TOTAL_OPTIONS_CANCELLED" hidden="1">"c2696"</definedName>
    <definedName name="IQ_TOTAL_OPTIONS_END_OS" hidden="1">"c2697"</definedName>
    <definedName name="IQ_TOTAL_OPTIONS_EXERCISED" hidden="1">"c2695"</definedName>
    <definedName name="IQ_TOTAL_OPTIONS_GRANTED" hidden="1">"c2694"</definedName>
    <definedName name="IQ_TOTAL_OTHER_OPER" hidden="1">"c1289"</definedName>
    <definedName name="IQ_TOTAL_OUTSTANDING_BS_DATE" hidden="1">"c1022"</definedName>
    <definedName name="IQ_TOTAL_OUTSTANDING_FILING_DATE" hidden="1">"c2107"</definedName>
    <definedName name="IQ_TOTAL_PENSION_ASSETS" hidden="1">"c1290"</definedName>
    <definedName name="IQ_TOTAL_PENSION_ASSETS_DOMESTIC" hidden="1">"c2658"</definedName>
    <definedName name="IQ_TOTAL_PENSION_ASSETS_FOREIGN" hidden="1">"c2666"</definedName>
    <definedName name="IQ_TOTAL_PENSION_EXP" hidden="1">"c1291"</definedName>
    <definedName name="IQ_TOTAL_PRINCIPAL" hidden="1">"c2509"</definedName>
    <definedName name="IQ_TOTAL_PRINCIPAL_PCT" hidden="1">"c2510"</definedName>
    <definedName name="IQ_TOTAL_PROVED_RESERVES_NGL" hidden="1">"c2924"</definedName>
    <definedName name="IQ_TOTAL_PROVED_RESERVES_OIL" hidden="1">"c2040"</definedName>
    <definedName name="IQ_TOTAL_RECEIV" hidden="1">"c1293"</definedName>
    <definedName name="IQ_TOTAL_REV" hidden="1">"c1294"</definedName>
    <definedName name="IQ_TOTAL_REV_10YR_ANN_GROWTH" hidden="1">"c1295"</definedName>
    <definedName name="IQ_TOTAL_REV_1YR_ANN_GROWTH" hidden="1">"c1296"</definedName>
    <definedName name="IQ_TOTAL_REV_2YR_ANN_GROWTH" hidden="1">"c1297"</definedName>
    <definedName name="IQ_TOTAL_REV_3YR_ANN_GROWTH" hidden="1">"c1298"</definedName>
    <definedName name="IQ_TOTAL_REV_5YR_ANN_GROWTH" hidden="1">"c1299"</definedName>
    <definedName name="IQ_TOTAL_REV_7YR_ANN_GROWTH" hidden="1">"c1300"</definedName>
    <definedName name="IQ_TOTAL_REV_AS_REPORTED" hidden="1">"c1301"</definedName>
    <definedName name="IQ_TOTAL_REV_BNK" hidden="1">"c1302"</definedName>
    <definedName name="IQ_TOTAL_REV_BR" hidden="1">"c1303"</definedName>
    <definedName name="IQ_TOTAL_REV_EMPLOYEE" hidden="1">"c1304"</definedName>
    <definedName name="IQ_TOTAL_REV_FIN" hidden="1">"c1305"</definedName>
    <definedName name="IQ_TOTAL_REV_INS" hidden="1">"c1306"</definedName>
    <definedName name="IQ_TOTAL_REV_REIT" hidden="1">"c1307"</definedName>
    <definedName name="IQ_TOTAL_REV_SHARE" hidden="1">"c1912"</definedName>
    <definedName name="IQ_TOTAL_REV_UTI" hidden="1">"c1308"</definedName>
    <definedName name="IQ_TOTAL_REVENUE" hidden="1">"c1436"</definedName>
    <definedName name="IQ_TOTAL_SPECIAL" hidden="1">"c1618"</definedName>
    <definedName name="IQ_TOTAL_ST_BORROW" hidden="1">"c1424"</definedName>
    <definedName name="IQ_TOTAL_SUB_DEBT" hidden="1">"c2528"</definedName>
    <definedName name="IQ_TOTAL_SUB_DEBT_EBITDA" hidden="1">"c2554"</definedName>
    <definedName name="IQ_TOTAL_SUB_DEBT_EBITDA_CAPEX" hidden="1">"c2555"</definedName>
    <definedName name="IQ_TOTAL_SUB_DEBT_PCT" hidden="1">"c2529"</definedName>
    <definedName name="IQ_TOTAL_SUBS" hidden="1">"c2119"</definedName>
    <definedName name="IQ_TOTAL_UNUSUAL" hidden="1">"c1508"</definedName>
    <definedName name="IQ_TOTAL_WARRANTS_BEG_OS" hidden="1">"c2719"</definedName>
    <definedName name="IQ_TOTAL_WARRANTS_CANCELLED" hidden="1">"c2722"</definedName>
    <definedName name="IQ_TOTAL_WARRANTS_END_OS" hidden="1">"c2723"</definedName>
    <definedName name="IQ_TOTAL_WARRANTS_EXERCISED" hidden="1">"c2721"</definedName>
    <definedName name="IQ_TOTAL_WARRANTS_ISSUED" hidden="1">"c2720"</definedName>
    <definedName name="IQ_TR_ACCT_METHOD" hidden="1">"c2363"</definedName>
    <definedName name="IQ_TR_ACQ_52_WK_HI_PCT" hidden="1">"c2348"</definedName>
    <definedName name="IQ_TR_ACQ_52_WK_LOW_PCT" hidden="1">"c2347"</definedName>
    <definedName name="IQ_TR_ACQ_CASH_ST_INVEST" hidden="1">"c2372"</definedName>
    <definedName name="IQ_TR_ACQ_CLOSEPRICE_1D" hidden="1">"c3027"</definedName>
    <definedName name="IQ_TR_ACQ_DILUT_EPS_EXCL" hidden="1">"c3028"</definedName>
    <definedName name="IQ_TR_ACQ_EARNING_CO" hidden="1">"c2379"</definedName>
    <definedName name="IQ_TR_ACQ_EBIT" hidden="1">"c2380"</definedName>
    <definedName name="IQ_TR_ACQ_EBITDA" hidden="1">"c2381"</definedName>
    <definedName name="IQ_TR_ACQ_FILING_CURRENCY" hidden="1">"c3033"</definedName>
    <definedName name="IQ_TR_ACQ_MCAP_1DAY" hidden="1">"c2345"</definedName>
    <definedName name="IQ_TR_ACQ_MIN_INT" hidden="1">"c2374"</definedName>
    <definedName name="IQ_TR_ACQ_NET_DEBT" hidden="1">"c2373"</definedName>
    <definedName name="IQ_TR_ACQ_NI" hidden="1">"c2378"</definedName>
    <definedName name="IQ_TR_ACQ_PRICEDATE_1D" hidden="1">"c2346"</definedName>
    <definedName name="IQ_TR_ACQ_RETURN" hidden="1">"c2349"</definedName>
    <definedName name="IQ_TR_ACQ_STOCKYEARHIGH_1D" hidden="1">"c2343"</definedName>
    <definedName name="IQ_TR_ACQ_STOCKYEARLOW_1D" hidden="1">"c2344"</definedName>
    <definedName name="IQ_TR_ACQ_TOTAL_ASSETS" hidden="1">"c2371"</definedName>
    <definedName name="IQ_TR_ACQ_TOTAL_COMMON_EQ" hidden="1">"c2377"</definedName>
    <definedName name="IQ_TR_ACQ_TOTAL_DEBT" hidden="1">"c2376"</definedName>
    <definedName name="IQ_TR_ACQ_TOTAL_PREF" hidden="1">"c2375"</definedName>
    <definedName name="IQ_TR_ACQ_TOTAL_REV" hidden="1">"c2382"</definedName>
    <definedName name="IQ_TR_ADJ_SIZE" hidden="1">"c3024"</definedName>
    <definedName name="IQ_TR_ANN_DATE" hidden="1">"c2395"</definedName>
    <definedName name="IQ_TR_ANN_DATE_BL" hidden="1">"c2394"</definedName>
    <definedName name="IQ_TR_BID_DATE" hidden="1">"c2357"</definedName>
    <definedName name="IQ_TR_BLUESKY_FEES" hidden="1">"c2277"</definedName>
    <definedName name="IQ_TR_BUY_ACC_ADVISORS" hidden="1">"c3048"</definedName>
    <definedName name="IQ_TR_BUY_FIN_ADVISORS" hidden="1">"c3045"</definedName>
    <definedName name="IQ_TR_BUY_LEG_ADVISORS" hidden="1">"c2387"</definedName>
    <definedName name="IQ_TR_BUYER_ID" hidden="1">"c2404"</definedName>
    <definedName name="IQ_TR_BUYERNAME" hidden="1">"c2401"</definedName>
    <definedName name="IQ_TR_CANCELLED_DATE" hidden="1">"c2284"</definedName>
    <definedName name="IQ_TR_CASH_CONSID_PCT" hidden="1">"c2296"</definedName>
    <definedName name="IQ_TR_CASH_ST_INVEST" hidden="1">"c3025"</definedName>
    <definedName name="IQ_TR_CHANGE_CONTROL" hidden="1">"c2365"</definedName>
    <definedName name="IQ_TR_CLOSED_DATE" hidden="1">"c2283"</definedName>
    <definedName name="IQ_TR_CO_NET_PROCEEDS" hidden="1">"c2268"</definedName>
    <definedName name="IQ_TR_CO_NET_PROCEEDS_PCT" hidden="1">"c2270"</definedName>
    <definedName name="IQ_TR_COMMENTS" hidden="1">"c2383"</definedName>
    <definedName name="IQ_TR_CURRENCY" hidden="1">"c3016"</definedName>
    <definedName name="IQ_TR_DEAL_ATTITUDE" hidden="1">"c2364"</definedName>
    <definedName name="IQ_TR_DEAL_CONDITIONS" hidden="1">"c2367"</definedName>
    <definedName name="IQ_TR_DEAL_RESOLUTION" hidden="1">"c2391"</definedName>
    <definedName name="IQ_TR_DEAL_RESPONSES" hidden="1">"c2366"</definedName>
    <definedName name="IQ_TR_DEBT_CONSID_PCT" hidden="1">"c2299"</definedName>
    <definedName name="IQ_TR_DEF_AGRMT_DATE" hidden="1">"c2285"</definedName>
    <definedName name="IQ_TR_DISCLOSED_FEES_EXP" hidden="1">"c2288"</definedName>
    <definedName name="IQ_TR_EARNOUTS" hidden="1">"c3023"</definedName>
    <definedName name="IQ_TR_EXPIRED_DATE" hidden="1">"c2412"</definedName>
    <definedName name="IQ_TR_GROSS_OFFERING_AMT" hidden="1">"c2262"</definedName>
    <definedName name="IQ_TR_HYBRID_CONSID_PCT" hidden="1">"c2300"</definedName>
    <definedName name="IQ_TR_IMPLIED_EQ" hidden="1">"c3018"</definedName>
    <definedName name="IQ_TR_IMPLIED_EQ_BV" hidden="1">"c3019"</definedName>
    <definedName name="IQ_TR_IMPLIED_EQ_NI_LTM" hidden="1">"c3020"</definedName>
    <definedName name="IQ_TR_IMPLIED_EV" hidden="1">"c2301"</definedName>
    <definedName name="IQ_TR_IMPLIED_EV_BV" hidden="1">"c2306"</definedName>
    <definedName name="IQ_TR_IMPLIED_EV_EBIT" hidden="1">"c2302"</definedName>
    <definedName name="IQ_TR_IMPLIED_EV_EBITDA" hidden="1">"c2303"</definedName>
    <definedName name="IQ_TR_IMPLIED_EV_NI_LTM" hidden="1">"c2307"</definedName>
    <definedName name="IQ_TR_IMPLIED_EV_REV" hidden="1">"c2304"</definedName>
    <definedName name="IQ_TR_INIT_FILED_DATE" hidden="1">"c3495"</definedName>
    <definedName name="IQ_TR_LOI_DATE" hidden="1">"c2282"</definedName>
    <definedName name="IQ_TR_MAJ_MIN_STAKE" hidden="1">"c2389"</definedName>
    <definedName name="IQ_TR_NEGOTIATED_BUYBACK_PRICE" hidden="1">"c2414"</definedName>
    <definedName name="IQ_TR_NET_ASSUM_LIABILITIES" hidden="1">"c2308"</definedName>
    <definedName name="IQ_TR_NET_PROCEEDS" hidden="1">"c2267"</definedName>
    <definedName name="IQ_TR_OFFER_DATE" hidden="1">"c2265"</definedName>
    <definedName name="IQ_TR_OFFER_DATE_MA" hidden="1">"c3035"</definedName>
    <definedName name="IQ_TR_OFFER_PER_SHARE" hidden="1">"c3017"</definedName>
    <definedName name="IQ_TR_OPTIONS_CONSID_PCT" hidden="1">"c2311"</definedName>
    <definedName name="IQ_TR_OTHER_CONSID" hidden="1">"c3022"</definedName>
    <definedName name="IQ_TR_PCT_SOUGHT" hidden="1">"c2309"</definedName>
    <definedName name="IQ_TR_PFEATURES" hidden="1">"c2384"</definedName>
    <definedName name="IQ_TR_PIPE_CONV_PRICE_SHARE" hidden="1">"c2292"</definedName>
    <definedName name="IQ_TR_PIPE_CPN_PCT" hidden="1">"c2291"</definedName>
    <definedName name="IQ_TR_PIPE_NUMBER_SHARES" hidden="1">"c2293"</definedName>
    <definedName name="IQ_TR_PIPE_PPS" hidden="1">"c2290"</definedName>
    <definedName name="IQ_TR_POSTMONEY_VAL" hidden="1">"c2286"</definedName>
    <definedName name="IQ_TR_PREDEAL_SITUATION" hidden="1">"c2390"</definedName>
    <definedName name="IQ_TR_PREF_CONSID_PCT" hidden="1">"c2310"</definedName>
    <definedName name="IQ_TR_PREMONEY_VAL" hidden="1">"c2287"</definedName>
    <definedName name="IQ_TR_PRINTING_FEES" hidden="1">"c2276"</definedName>
    <definedName name="IQ_TR_PT_MONETARY_VALUES" hidden="1">"c2415"</definedName>
    <definedName name="IQ_TR_PT_NUMBER_SHARES" hidden="1">"c2417"</definedName>
    <definedName name="IQ_TR_PT_PCT_SHARES" hidden="1">"c2416"</definedName>
    <definedName name="IQ_TR_RATING_FEES" hidden="1">"c2275"</definedName>
    <definedName name="IQ_TR_REG_EFFECT_DATE" hidden="1">"c2264"</definedName>
    <definedName name="IQ_TR_REG_FILED_DATE" hidden="1">"c2263"</definedName>
    <definedName name="IQ_TR_RENEWAL_BUYBACK" hidden="1">"c2413"</definedName>
    <definedName name="IQ_TR_ROUND_NUMBER" hidden="1">"c2295"</definedName>
    <definedName name="IQ_TR_SEC_FEES" hidden="1">"c2274"</definedName>
    <definedName name="IQ_TR_SECURITY_TYPE_REG" hidden="1">"c2279"</definedName>
    <definedName name="IQ_TR_SELL_ACC_ADVISORS" hidden="1">"c3049"</definedName>
    <definedName name="IQ_TR_SELL_FIN_ADVISORS" hidden="1">"c3046"</definedName>
    <definedName name="IQ_TR_SELL_LEG_ADVISORS" hidden="1">"c2388"</definedName>
    <definedName name="IQ_TR_SELLER_ID" hidden="1">"c2406"</definedName>
    <definedName name="IQ_TR_SELLERNAME" hidden="1">"c2402"</definedName>
    <definedName name="IQ_TR_SFEATURES" hidden="1">"c2385"</definedName>
    <definedName name="IQ_TR_SH_NET_PROCEEDS" hidden="1">"c2269"</definedName>
    <definedName name="IQ_TR_SH_NET_PROCEEDS_PCT" hidden="1">"c2271"</definedName>
    <definedName name="IQ_TR_SPECIAL_COMMITTEE" hidden="1">"c2362"</definedName>
    <definedName name="IQ_TR_STATUS" hidden="1">"c2399"</definedName>
    <definedName name="IQ_TR_STOCK_CONSID_PCT" hidden="1">"c2312"</definedName>
    <definedName name="IQ_TR_SUSPENDED_DATE" hidden="1">"c2407"</definedName>
    <definedName name="IQ_TR_TARGET_52WKHI_PCT" hidden="1">"c2351"</definedName>
    <definedName name="IQ_TR_TARGET_52WKLOW_PCT" hidden="1">"c2350"</definedName>
    <definedName name="IQ_TR_TARGET_ACC_ADVISORS" hidden="1">"c3047"</definedName>
    <definedName name="IQ_TR_TARGET_CASH_ST_INVEST" hidden="1">"c2327"</definedName>
    <definedName name="IQ_TR_TARGET_CLOSEPRICE_1D" hidden="1">"c2352"</definedName>
    <definedName name="IQ_TR_TARGET_CLOSEPRICE_1M" hidden="1">"c2354"</definedName>
    <definedName name="IQ_TR_TARGET_CLOSEPRICE_1W" hidden="1">"c2353"</definedName>
    <definedName name="IQ_TR_TARGET_DILUT_EPS_EXCL" hidden="1">"c2324"</definedName>
    <definedName name="IQ_TR_TARGET_EARNING_CO" hidden="1">"c2332"</definedName>
    <definedName name="IQ_TR_TARGET_EBIT" hidden="1">"c2333"</definedName>
    <definedName name="IQ_TR_TARGET_EBITDA" hidden="1">"c2334"</definedName>
    <definedName name="IQ_TR_TARGET_FILING_CURRENCY" hidden="1">"c3034"</definedName>
    <definedName name="IQ_TR_TARGET_FIN_ADVISORS" hidden="1">"c3044"</definedName>
    <definedName name="IQ_TR_TARGET_ID" hidden="1">"c2405"</definedName>
    <definedName name="IQ_TR_TARGET_LEG_ADVISORS" hidden="1">"c2386"</definedName>
    <definedName name="IQ_TR_TARGET_MARKETCAP" hidden="1">"c2342"</definedName>
    <definedName name="IQ_TR_TARGET_MIN_INT" hidden="1">"c2328"</definedName>
    <definedName name="IQ_TR_TARGET_NET_DEBT" hidden="1">"c2326"</definedName>
    <definedName name="IQ_TR_TARGET_NI" hidden="1">"c2331"</definedName>
    <definedName name="IQ_TR_TARGET_PRICEDATE_1D" hidden="1">"c2341"</definedName>
    <definedName name="IQ_TR_TARGET_RETURN" hidden="1">"c2355"</definedName>
    <definedName name="IQ_TR_TARGET_SEC_DETAIL" hidden="1">"c3021"</definedName>
    <definedName name="IQ_TR_TARGET_SEC_TI_ID" hidden="1">"c2368"</definedName>
    <definedName name="IQ_TR_TARGET_SEC_TYPE" hidden="1">"c2369"</definedName>
    <definedName name="IQ_TR_TARGET_SPD" hidden="1">"c2313"</definedName>
    <definedName name="IQ_TR_TARGET_SPD_PCT" hidden="1">"c2314"</definedName>
    <definedName name="IQ_TR_TARGET_STOCKPREMIUM_1D" hidden="1">"c2336"</definedName>
    <definedName name="IQ_TR_TARGET_STOCKPREMIUM_1M" hidden="1">"c2337"</definedName>
    <definedName name="IQ_TR_TARGET_STOCKPREMIUM_1W" hidden="1">"c2338"</definedName>
    <definedName name="IQ_TR_TARGET_STOCKYEARHIGH_1D" hidden="1">"c2339"</definedName>
    <definedName name="IQ_TR_TARGET_STOCKYEARLOW_1D" hidden="1">"c2340"</definedName>
    <definedName name="IQ_TR_TARGET_TOTAL_ASSETS" hidden="1">"c2325"</definedName>
    <definedName name="IQ_TR_TARGET_TOTAL_COMMON_EQ" hidden="1">"c2421"</definedName>
    <definedName name="IQ_TR_TARGET_TOTAL_DEBT" hidden="1">"c2330"</definedName>
    <definedName name="IQ_TR_TARGET_TOTAL_PREF" hidden="1">"c2329"</definedName>
    <definedName name="IQ_TR_TARGET_TOTAL_REV" hidden="1">"c2335"</definedName>
    <definedName name="IQ_TR_TARGETNAME" hidden="1">"c2403"</definedName>
    <definedName name="IQ_TR_TERM_FEE" hidden="1">"c2298"</definedName>
    <definedName name="IQ_TR_TERM_FEE_PCT" hidden="1">"c2297"</definedName>
    <definedName name="IQ_TR_TODATE" hidden="1">"c3036"</definedName>
    <definedName name="IQ_TR_TODATE_MONETARY_VALUE" hidden="1">"c2418"</definedName>
    <definedName name="IQ_TR_TODATE_NUMBER_SHARES" hidden="1">"c2420"</definedName>
    <definedName name="IQ_TR_TODATE_PCT_SHARES" hidden="1">"c2419"</definedName>
    <definedName name="IQ_TR_TOTAL_ACCT_FEES" hidden="1">"c2273"</definedName>
    <definedName name="IQ_TR_TOTAL_CASH" hidden="1">"c2315"</definedName>
    <definedName name="IQ_TR_TOTAL_CONSID_SH" hidden="1">"c2316"</definedName>
    <definedName name="IQ_TR_TOTAL_DEBT" hidden="1">"c2317"</definedName>
    <definedName name="IQ_TR_TOTAL_GROSS_TV" hidden="1">"c2318"</definedName>
    <definedName name="IQ_TR_TOTAL_HYBRID" hidden="1">"c2319"</definedName>
    <definedName name="IQ_TR_TOTAL_LEGAL_FEES" hidden="1">"c2272"</definedName>
    <definedName name="IQ_TR_TOTAL_NET_TV" hidden="1">"c2320"</definedName>
    <definedName name="IQ_TR_TOTAL_NEWMONEY" hidden="1">"c2289"</definedName>
    <definedName name="IQ_TR_TOTAL_OPTIONS" hidden="1">"c2322"</definedName>
    <definedName name="IQ_TR_TOTAL_OPTIONS_BUYER" hidden="1">"c3026"</definedName>
    <definedName name="IQ_TR_TOTAL_PREFERRED" hidden="1">"c2321"</definedName>
    <definedName name="IQ_TR_TOTAL_REG_AMT" hidden="1">"c2261"</definedName>
    <definedName name="IQ_TR_TOTAL_STOCK" hidden="1">"c2323"</definedName>
    <definedName name="IQ_TR_TOTAL_TAKEDOWNS" hidden="1">"c2278"</definedName>
    <definedName name="IQ_TR_TOTAL_UW_COMP" hidden="1">"c2280"</definedName>
    <definedName name="IQ_TR_TOTALVALUE" hidden="1">"c2400"</definedName>
    <definedName name="IQ_TR_TRANSACTION_TYPE" hidden="1">"c2398"</definedName>
    <definedName name="IQ_TR_WITHDRAWN_DTE" hidden="1">"c2266"</definedName>
    <definedName name="IQ_TRADE_AR" hidden="1">"c1345"</definedName>
    <definedName name="IQ_TRADE_PRINCIPAL" hidden="1">"c1309"</definedName>
    <definedName name="IQ_TRADING_ASSETS" hidden="1">"c1310"</definedName>
    <definedName name="IQ_TRADING_CURRENCY" hidden="1">"c2212"</definedName>
    <definedName name="IQ_TREASURY" hidden="1">"c1311"</definedName>
    <definedName name="IQ_TREASURY_OTHER_EQUITY" hidden="1">"c1312"</definedName>
    <definedName name="IQ_TREASURY_OTHER_EQUITY_BNK" hidden="1">"c1313"</definedName>
    <definedName name="IQ_TREASURY_OTHER_EQUITY_BR" hidden="1">"c1314"</definedName>
    <definedName name="IQ_TREASURY_OTHER_EQUITY_FIN" hidden="1">"c1315"</definedName>
    <definedName name="IQ_TREASURY_OTHER_EQUITY_INS" hidden="1">"c1316"</definedName>
    <definedName name="IQ_TREASURY_OTHER_EQUITY_REIT" hidden="1">"c1317"</definedName>
    <definedName name="IQ_TREASURY_OTHER_EQUITY_UTI" hidden="1">"c1318"</definedName>
    <definedName name="IQ_TREASURY_STOCK" hidden="1">"c1438"</definedName>
    <definedName name="IQ_TRUST_INC" hidden="1">"c1319"</definedName>
    <definedName name="IQ_TRUST_PREF" hidden="1">"c1320"</definedName>
    <definedName name="IQ_TRUST_PREFERRED" hidden="1">"c3029"</definedName>
    <definedName name="IQ_TRUST_PREFERRED_PCT" hidden="1">"c3030"</definedName>
    <definedName name="IQ_UFCF_10YR_ANN_GROWTH" hidden="1">"c1948"</definedName>
    <definedName name="IQ_UFCF_1YR_ANN_GROWTH" hidden="1">"c1943"</definedName>
    <definedName name="IQ_UFCF_2YR_ANN_GROWTH" hidden="1">"c1944"</definedName>
    <definedName name="IQ_UFCF_3YR_ANN_GROWTH" hidden="1">"c1945"</definedName>
    <definedName name="IQ_UFCF_5YR_ANN_GROWTH" hidden="1">"c1946"</definedName>
    <definedName name="IQ_UFCF_7YR_ANN_GROWTH" hidden="1">"c1947"</definedName>
    <definedName name="IQ_UFCF_MARGIN" hidden="1">"c1962"</definedName>
    <definedName name="IQ_UNAMORT_DISC" hidden="1">"c2513"</definedName>
    <definedName name="IQ_UNAMORT_DISC_PCT" hidden="1">"c2514"</definedName>
    <definedName name="IQ_UNAMORT_PREMIUM" hidden="1">"c2511"</definedName>
    <definedName name="IQ_UNAMORT_PREMIUM_PCT" hidden="1">"c2512"</definedName>
    <definedName name="IQ_UNDRAWN_CP" hidden="1">"c2518"</definedName>
    <definedName name="IQ_UNDRAWN_CREDIT" hidden="1">"c3032"</definedName>
    <definedName name="IQ_UNDRAWN_RC" hidden="1">"c2517"</definedName>
    <definedName name="IQ_UNDRAWN_TL" hidden="1">"c2519"</definedName>
    <definedName name="IQ_UNEARN_PREMIUM" hidden="1">"c1321"</definedName>
    <definedName name="IQ_UNEARN_REV_CURRENT" hidden="1">"c1322"</definedName>
    <definedName name="IQ_UNEARN_REV_CURRENT_BNK" hidden="1">"c1323"</definedName>
    <definedName name="IQ_UNEARN_REV_CURRENT_BR" hidden="1">"c1324"</definedName>
    <definedName name="IQ_UNEARN_REV_CURRENT_FIN" hidden="1">"c1325"</definedName>
    <definedName name="IQ_UNEARN_REV_CURRENT_INS" hidden="1">"c1326"</definedName>
    <definedName name="IQ_UNEARN_REV_CURRENT_REIT" hidden="1">"c1327"</definedName>
    <definedName name="IQ_UNEARN_REV_CURRENT_UTI" hidden="1">"c1328"</definedName>
    <definedName name="IQ_UNEARN_REV_LT" hidden="1">"c1329"</definedName>
    <definedName name="IQ_UNLEVERED_FCF" hidden="1">"c1908"</definedName>
    <definedName name="IQ_UNPAID_CLAIMS" hidden="1">"c1330"</definedName>
    <definedName name="IQ_UNREALIZED_GAIN" hidden="1">"c1619"</definedName>
    <definedName name="IQ_UNSECURED_DEBT" hidden="1">"c2548"</definedName>
    <definedName name="IQ_UNSECURED_DEBT_PCT" hidden="1">"c2549"</definedName>
    <definedName name="IQ_UNUSUAL_EXP" hidden="1">"c1456"</definedName>
    <definedName name="IQ_US_GAAP" hidden="1">"c1331"</definedName>
    <definedName name="IQ_US_GAAP_BASIC_EPS_EXCL" hidden="1">"c2984"</definedName>
    <definedName name="IQ_US_GAAP_BASIC_EPS_INCL" hidden="1">"c2982"</definedName>
    <definedName name="IQ_US_GAAP_BASIC_WEIGHT" hidden="1">"c2980"</definedName>
    <definedName name="IQ_US_GAAP_CA_ADJ" hidden="1">"c2925"</definedName>
    <definedName name="IQ_US_GAAP_CASH_FINAN" hidden="1">"c2945"</definedName>
    <definedName name="IQ_US_GAAP_CASH_FINAN_ADJ" hidden="1">"c2941"</definedName>
    <definedName name="IQ_US_GAAP_CASH_INVEST" hidden="1">"c2944"</definedName>
    <definedName name="IQ_US_GAAP_CASH_INVEST_ADJ" hidden="1">"c2940"</definedName>
    <definedName name="IQ_US_GAAP_CASH_OPER" hidden="1">"c2943"</definedName>
    <definedName name="IQ_US_GAAP_CASH_OPER_ADJ" hidden="1">"c2939"</definedName>
    <definedName name="IQ_US_GAAP_CL_ADJ" hidden="1">"c2927"</definedName>
    <definedName name="IQ_US_GAAP_COST_REV_ADJ" hidden="1">"c2951"</definedName>
    <definedName name="IQ_US_GAAP_DILUT_EPS_EXCL" hidden="1">"c2985"</definedName>
    <definedName name="IQ_US_GAAP_DILUT_EPS_INCL" hidden="1">"c2983"</definedName>
    <definedName name="IQ_US_GAAP_DILUT_NI" hidden="1">"c2979"</definedName>
    <definedName name="IQ_US_GAAP_DILUT_WEIGHT" hidden="1">"c2981"</definedName>
    <definedName name="IQ_US_GAAP_DO_ADJ" hidden="1">"c2959"</definedName>
    <definedName name="IQ_US_GAAP_EXTRA_ACC_ITEMS_ADJ" hidden="1">"c2958"</definedName>
    <definedName name="IQ_US_GAAP_INC_TAX_ADJ" hidden="1">"c2961"</definedName>
    <definedName name="IQ_US_GAAP_INTEREST_EXP_ADJ" hidden="1">"c2957"</definedName>
    <definedName name="IQ_US_GAAP_LIAB_LT_ADJ" hidden="1">"c2928"</definedName>
    <definedName name="IQ_US_GAAP_LIAB_TOTAL_LIAB" hidden="1">"c2933"</definedName>
    <definedName name="IQ_US_GAAP_MINORITY_INTEREST_IS_ADJ" hidden="1">"c2960"</definedName>
    <definedName name="IQ_US_GAAP_NCA_ADJ" hidden="1">"c2926"</definedName>
    <definedName name="IQ_US_GAAP_NET_CHANGE" hidden="1">"c2946"</definedName>
    <definedName name="IQ_US_GAAP_NET_CHANGE_ADJ" hidden="1">"c2942"</definedName>
    <definedName name="IQ_US_GAAP_NI" hidden="1">"c2976"</definedName>
    <definedName name="IQ_US_GAAP_NI_ADJ" hidden="1">"c2963"</definedName>
    <definedName name="IQ_US_GAAP_NI_AVAIL_INCL" hidden="1">"c2978"</definedName>
    <definedName name="IQ_US_GAAP_OTHER_ADJ_ADJ" hidden="1">"c2962"</definedName>
    <definedName name="IQ_US_GAAP_OTHER_NON_OPER_ADJ" hidden="1">"c2955"</definedName>
    <definedName name="IQ_US_GAAP_OTHER_OPER_ADJ" hidden="1">"c2954"</definedName>
    <definedName name="IQ_US_GAAP_RD_ADJ" hidden="1">"c2953"</definedName>
    <definedName name="IQ_US_GAAP_SGA_ADJ" hidden="1">"c2952"</definedName>
    <definedName name="IQ_US_GAAP_TOTAL_ASSETS" hidden="1">"c2931"</definedName>
    <definedName name="IQ_US_GAAP_TOTAL_EQUITY" hidden="1">"c2934"</definedName>
    <definedName name="IQ_US_GAAP_TOTAL_EQUITY_ADJ" hidden="1">"c2929"</definedName>
    <definedName name="IQ_US_GAAP_TOTAL_REV_ADJ" hidden="1">"c2950"</definedName>
    <definedName name="IQ_US_GAAP_TOTAL_UNUSUAL_ADJ" hidden="1">"c2956"</definedName>
    <definedName name="IQ_UTIL_PPE_NET" hidden="1">"c1620"</definedName>
    <definedName name="IQ_UTIL_REV" hidden="1">"c2091"</definedName>
    <definedName name="IQ_UV_PENSION_LIAB" hidden="1">"c1332"</definedName>
    <definedName name="IQ_VALUE_TRADED_LAST_3MTH" hidden="1">"c1530"</definedName>
    <definedName name="IQ_VALUE_TRADED_LAST_6MTH" hidden="1">"c1531"</definedName>
    <definedName name="IQ_VALUE_TRADED_LAST_MTH" hidden="1">"c1529"</definedName>
    <definedName name="IQ_VALUE_TRADED_LAST_WK" hidden="1">"c1528"</definedName>
    <definedName name="IQ_VALUE_TRADED_LAST_YR" hidden="1">"c1532"</definedName>
    <definedName name="IQ_VOL_LAST_3MTH" hidden="1">"c1525"</definedName>
    <definedName name="IQ_VOL_LAST_6MTH" hidden="1">"c1526"</definedName>
    <definedName name="IQ_VOL_LAST_MTH" hidden="1">"c1524"</definedName>
    <definedName name="IQ_VOL_LAST_WK" hidden="1">"c1523"</definedName>
    <definedName name="IQ_VOL_LAST_YR" hidden="1">"c1527"</definedName>
    <definedName name="IQ_VOLUME" hidden="1">"c1333"</definedName>
    <definedName name="IQ_WARRANTS_BEG_OS" hidden="1">"c2698"</definedName>
    <definedName name="IQ_WARRANTS_CANCELLED" hidden="1">"c2701"</definedName>
    <definedName name="IQ_WARRANTS_END_OS" hidden="1">"c2702"</definedName>
    <definedName name="IQ_WARRANTS_EXERCISED" hidden="1">"c2700"</definedName>
    <definedName name="IQ_WARRANTS_ISSUED" hidden="1">"c2699"</definedName>
    <definedName name="IQ_WARRANTS_STRIKE_PRICE_ISSUED" hidden="1">"c2704"</definedName>
    <definedName name="IQ_WARRANTS_STRIKE_PRICE_OS" hidden="1">"c2703"</definedName>
    <definedName name="IQ_WEIGHTED_AVG_PRICE" hidden="1">"c1334"</definedName>
    <definedName name="IQ_WIP_INV" hidden="1">"c1335"</definedName>
    <definedName name="IQ_WORKING_CAP" hidden="1">"c3494"</definedName>
    <definedName name="IQ_WORKMEN_WRITTEN" hidden="1">"c1336"</definedName>
    <definedName name="IQ_XDIV_DATE" hidden="1">"c2203"</definedName>
    <definedName name="IQ_YEARHIGH" hidden="1">"c1337"</definedName>
    <definedName name="IQ_YEARHIGH_DATE" hidden="1">"c2250"</definedName>
    <definedName name="IQ_YEARLOW" hidden="1">"c1338"</definedName>
    <definedName name="IQ_YEARLOW_DATE" hidden="1">"c2251"</definedName>
    <definedName name="IQ_YTD" hidden="1">3000</definedName>
    <definedName name="IQ_YTW" hidden="1">"c2163"</definedName>
    <definedName name="IQ_YTW_DATE" hidden="1">"c2164"</definedName>
    <definedName name="IQ_YTW_DATE_TYPE" hidden="1">"c2165"</definedName>
    <definedName name="IQ_Z_SCORE" hidden="1">"c1339"</definedName>
    <definedName name="ISDF" localSheetId="8" hidden="1">{#N/A,#N/A,TRUE,"NAE";#N/A,#N/A,TRUE,"CR";#N/A,#N/A,TRUE,"CS";#N/A,#N/A,TRUE,"CC"}</definedName>
    <definedName name="ISDF" hidden="1">{#N/A,#N/A,TRUE,"NAE";#N/A,#N/A,TRUE,"CR";#N/A,#N/A,TRUE,"CS";#N/A,#N/A,TRUE,"CC"}</definedName>
    <definedName name="iugltliuliu" localSheetId="8" hidden="1">{#N/A,#N/A,TRUE,"NAE";#N/A,#N/A,TRUE,"CR";#N/A,#N/A,TRUE,"CS";#N/A,#N/A,TRUE,"CC"}</definedName>
    <definedName name="iugltliuliu" hidden="1">{#N/A,#N/A,TRUE,"NAE";#N/A,#N/A,TRUE,"CR";#N/A,#N/A,TRUE,"CS";#N/A,#N/A,TRUE,"CC"}</definedName>
    <definedName name="IVA">#REF!</definedName>
    <definedName name="IVA_importado">#REF!</definedName>
    <definedName name="IVA_Mina">#REF!</definedName>
    <definedName name="IVA_nacional">#REF!</definedName>
    <definedName name="iyoyuiyu" localSheetId="8" hidden="1">{#N/A,#N/A,TRUE,"NAE";#N/A,#N/A,TRUE,"CR";#N/A,#N/A,TRUE,"CS";#N/A,#N/A,TRUE,"CC"}</definedName>
    <definedName name="iyoyuiyu" hidden="1">{#N/A,#N/A,TRUE,"NAE";#N/A,#N/A,TRUE,"CR";#N/A,#N/A,TRUE,"CS";#N/A,#N/A,TRUE,"CC"}</definedName>
    <definedName name="iyutyutr" localSheetId="8" hidden="1">{#N/A,#N/A,TRUE,"NAE";#N/A,#N/A,TRUE,"CR";#N/A,#N/A,TRUE,"CS";#N/A,#N/A,TRUE,"CC"}</definedName>
    <definedName name="iyutyutr" hidden="1">{#N/A,#N/A,TRUE,"NAE";#N/A,#N/A,TRUE,"CR";#N/A,#N/A,TRUE,"CS";#N/A,#N/A,TRUE,"CC"}</definedName>
    <definedName name="JAGUA">#REF!</definedName>
    <definedName name="JAGUA1">#REF!</definedName>
    <definedName name="JAGUAH4">#REF!</definedName>
    <definedName name="JAGUAH5">#REF!</definedName>
    <definedName name="JAGUAH6">#REF!</definedName>
    <definedName name="JAGUAH7">#REF!</definedName>
    <definedName name="JEUKUR" localSheetId="8" hidden="1">{#N/A,#N/A,TRUE,"NAE";#N/A,#N/A,TRUE,"CR";#N/A,#N/A,TRUE,"CS";#N/A,#N/A,TRUE,"CC"}</definedName>
    <definedName name="JEUKUR" hidden="1">{#N/A,#N/A,TRUE,"NAE";#N/A,#N/A,TRUE,"CR";#N/A,#N/A,TRUE,"CS";#N/A,#N/A,TRUE,"CC"}</definedName>
    <definedName name="JEYTJUT" localSheetId="8" hidden="1">{#N/A,#N/A,TRUE,"NAE";#N/A,#N/A,TRUE,"CR";#N/A,#N/A,TRUE,"CS";#N/A,#N/A,TRUE,"CC"}</definedName>
    <definedName name="JEYTJUT" hidden="1">{#N/A,#N/A,TRUE,"NAE";#N/A,#N/A,TRUE,"CR";#N/A,#N/A,TRUE,"CS";#N/A,#N/A,TRUE,"CC"}</definedName>
    <definedName name="jfdjyjyu" localSheetId="8" hidden="1">{#N/A,#N/A,TRUE,"NAE";#N/A,#N/A,TRUE,"CR";#N/A,#N/A,TRUE,"CS";#N/A,#N/A,TRUE,"CC"}</definedName>
    <definedName name="jfdjyjyu" hidden="1">{#N/A,#N/A,TRUE,"NAE";#N/A,#N/A,TRUE,"CR";#N/A,#N/A,TRUE,"CS";#N/A,#N/A,TRUE,"CC"}</definedName>
    <definedName name="JIREWGREW" localSheetId="8" hidden="1">{#N/A,#N/A,TRUE,"NAE";#N/A,#N/A,TRUE,"CR";#N/A,#N/A,TRUE,"CS";#N/A,#N/A,TRUE,"CC"}</definedName>
    <definedName name="JIREWGREW" hidden="1">{#N/A,#N/A,TRUE,"NAE";#N/A,#N/A,TRUE,"CR";#N/A,#N/A,TRUE,"CS";#N/A,#N/A,TRUE,"CC"}</definedName>
    <definedName name="JJHH" localSheetId="8" hidden="1">{#N/A,#N/A,TRUE,"NAE";#N/A,#N/A,TRUE,"CR";#N/A,#N/A,TRUE,"CS";#N/A,#N/A,TRUE,"CC"}</definedName>
    <definedName name="JJHH" hidden="1">{#N/A,#N/A,TRUE,"NAE";#N/A,#N/A,TRUE,"CR";#N/A,#N/A,TRUE,"CS";#N/A,#N/A,TRUE,"CC"}</definedName>
    <definedName name="JKEUTKMU" localSheetId="8" hidden="1">{#N/A,#N/A,TRUE,"NAE";#N/A,#N/A,TRUE,"CR";#N/A,#N/A,TRUE,"CS";#N/A,#N/A,TRUE,"CC"}</definedName>
    <definedName name="JKEUTKMU" hidden="1">{#N/A,#N/A,TRUE,"NAE";#N/A,#N/A,TRUE,"CR";#N/A,#N/A,TRUE,"CS";#N/A,#N/A,TRUE,"CC"}</definedName>
    <definedName name="jlj">#REF!</definedName>
    <definedName name="JMHMHMH" localSheetId="8" hidden="1">{#N/A,#N/A,TRUE,"NAE";#N/A,#N/A,TRUE,"CR";#N/A,#N/A,TRUE,"CS";#N/A,#N/A,TRUE,"CC"}</definedName>
    <definedName name="JMHMHMH" hidden="1">{#N/A,#N/A,TRUE,"NAE";#N/A,#N/A,TRUE,"CR";#N/A,#N/A,TRUE,"CS";#N/A,#N/A,TRUE,"CC"}</definedName>
    <definedName name="jtpmes" localSheetId="8" hidden="1">{"'RDOJTP'!$A$108:$AG$123"}</definedName>
    <definedName name="jtpmes" hidden="1">{"'RDOJTP'!$A$108:$AG$123"}</definedName>
    <definedName name="jtukuruyukuyk" localSheetId="8" hidden="1">{#N/A,#N/A,TRUE,"NAE";#N/A,#N/A,TRUE,"CR";#N/A,#N/A,TRUE,"CS";#N/A,#N/A,TRUE,"CC"}</definedName>
    <definedName name="jtukuruyukuyk" hidden="1">{#N/A,#N/A,TRUE,"NAE";#N/A,#N/A,TRUE,"CR";#N/A,#N/A,TRUE,"CS";#N/A,#N/A,TRUE,"CC"}</definedName>
    <definedName name="JUJUJU" localSheetId="8" hidden="1">{#N/A,#N/A,TRUE,"NAE";#N/A,#N/A,TRUE,"CR";#N/A,#N/A,TRUE,"CS";#N/A,#N/A,TRUE,"CC"}</definedName>
    <definedName name="JUJUJU" hidden="1">{#N/A,#N/A,TRUE,"NAE";#N/A,#N/A,TRUE,"CR";#N/A,#N/A,TRUE,"CS";#N/A,#N/A,TRUE,"CC"}</definedName>
    <definedName name="jukgg" localSheetId="8" hidden="1">{#N/A,#N/A,TRUE,"NAE";#N/A,#N/A,TRUE,"CR";#N/A,#N/A,TRUE,"CS";#N/A,#N/A,TRUE,"CC"}</definedName>
    <definedName name="jukgg" hidden="1">{#N/A,#N/A,TRUE,"NAE";#N/A,#N/A,TRUE,"CR";#N/A,#N/A,TRUE,"CS";#N/A,#N/A,TRUE,"CC"}</definedName>
    <definedName name="jukhs" localSheetId="8" hidden="1">{#N/A,#N/A,TRUE,"NAE";#N/A,#N/A,TRUE,"CR";#N/A,#N/A,TRUE,"CS";#N/A,#N/A,TRUE,"CC"}</definedName>
    <definedName name="jukhs" hidden="1">{#N/A,#N/A,TRUE,"NAE";#N/A,#N/A,TRUE,"CR";#N/A,#N/A,TRUE,"CS";#N/A,#N/A,TRUE,"CC"}</definedName>
    <definedName name="JUKJYUK" localSheetId="8" hidden="1">{#N/A,#N/A,TRUE,"NAE";#N/A,#N/A,TRUE,"CR";#N/A,#N/A,TRUE,"CS";#N/A,#N/A,TRUE,"CC"}</definedName>
    <definedName name="JUKJYUK" hidden="1">{#N/A,#N/A,TRUE,"NAE";#N/A,#N/A,TRUE,"CR";#N/A,#N/A,TRUE,"CS";#N/A,#N/A,TRUE,"CC"}</definedName>
    <definedName name="Jul_99">#REF!</definedName>
    <definedName name="Jun_99">#REF!</definedName>
    <definedName name="JURID">#REF!</definedName>
    <definedName name="JUTHYHG" localSheetId="8" hidden="1">{#N/A,#N/A,TRUE,"NAE";#N/A,#N/A,TRUE,"CR";#N/A,#N/A,TRUE,"CS";#N/A,#N/A,TRUE,"CC"}</definedName>
    <definedName name="JUTHYHG" hidden="1">{#N/A,#N/A,TRUE,"NAE";#N/A,#N/A,TRUE,"CR";#N/A,#N/A,TRUE,"CS";#N/A,#N/A,TRUE,"CC"}</definedName>
    <definedName name="jygbb" localSheetId="8" hidden="1">{#N/A,#N/A,TRUE,"NAE";#N/A,#N/A,TRUE,"CR";#N/A,#N/A,TRUE,"CS";#N/A,#N/A,TRUE,"CC"}</definedName>
    <definedName name="jygbb" hidden="1">{#N/A,#N/A,TRUE,"NAE";#N/A,#N/A,TRUE,"CR";#N/A,#N/A,TRUE,"CS";#N/A,#N/A,TRUE,"CC"}</definedName>
    <definedName name="JYJUJU6" localSheetId="8" hidden="1">{#N/A,#N/A,TRUE,"NAE";#N/A,#N/A,TRUE,"CR";#N/A,#N/A,TRUE,"CS";#N/A,#N/A,TRUE,"CC"}</definedName>
    <definedName name="JYJUJU6" hidden="1">{#N/A,#N/A,TRUE,"NAE";#N/A,#N/A,TRUE,"CR";#N/A,#N/A,TRUE,"CS";#N/A,#N/A,TRUE,"CC"}</definedName>
    <definedName name="JYJYTDJU" localSheetId="8" hidden="1">{#N/A,#N/A,TRUE,"NAE";#N/A,#N/A,TRUE,"CR";#N/A,#N/A,TRUE,"CS";#N/A,#N/A,TRUE,"CC"}</definedName>
    <definedName name="JYJYTDJU" hidden="1">{#N/A,#N/A,TRUE,"NAE";#N/A,#N/A,TRUE,"CR";#N/A,#N/A,TRUE,"CS";#N/A,#N/A,TRUE,"CC"}</definedName>
    <definedName name="jytjryu" localSheetId="8" hidden="1">{#N/A,#N/A,TRUE,"NAE";#N/A,#N/A,TRUE,"CR";#N/A,#N/A,TRUE,"CS";#N/A,#N/A,TRUE,"CC"}</definedName>
    <definedName name="jytjryu" hidden="1">{#N/A,#N/A,TRUE,"NAE";#N/A,#N/A,TRUE,"CR";#N/A,#N/A,TRUE,"CS";#N/A,#N/A,TRUE,"CC"}</definedName>
    <definedName name="jytjytjeyt" localSheetId="8" hidden="1">{#N/A,#N/A,TRUE,"NAE";#N/A,#N/A,TRUE,"CR";#N/A,#N/A,TRUE,"CS";#N/A,#N/A,TRUE,"CC"}</definedName>
    <definedName name="jytjytjeyt" hidden="1">{#N/A,#N/A,TRUE,"NAE";#N/A,#N/A,TRUE,"CR";#N/A,#N/A,TRUE,"CS";#N/A,#N/A,TRUE,"CC"}</definedName>
    <definedName name="jytyj" localSheetId="8" hidden="1">{#N/A,#N/A,TRUE,"NAE";#N/A,#N/A,TRUE,"CR";#N/A,#N/A,TRUE,"CS";#N/A,#N/A,TRUE,"CC"}</definedName>
    <definedName name="jytyj" hidden="1">{#N/A,#N/A,TRUE,"NAE";#N/A,#N/A,TRUE,"CR";#N/A,#N/A,TRUE,"CS";#N/A,#N/A,TRUE,"CC"}</definedName>
    <definedName name="jyuytu" localSheetId="8" hidden="1">{#N/A,#N/A,TRUE,"NAE";#N/A,#N/A,TRUE,"CR";#N/A,#N/A,TRUE,"CS";#N/A,#N/A,TRUE,"CC"}</definedName>
    <definedName name="jyuytu" hidden="1">{#N/A,#N/A,TRUE,"NAE";#N/A,#N/A,TRUE,"CR";#N/A,#N/A,TRUE,"CS";#N/A,#N/A,TRUE,"CC"}</definedName>
    <definedName name="k">#REF!</definedName>
    <definedName name="KI">#REF!</definedName>
    <definedName name="KIHGH" localSheetId="8" hidden="1">{#N/A,#N/A,TRUE,"NAE";#N/A,#N/A,TRUE,"CR";#N/A,#N/A,TRUE,"CS";#N/A,#N/A,TRUE,"CC"}</definedName>
    <definedName name="KIHGH" hidden="1">{#N/A,#N/A,TRUE,"NAE";#N/A,#N/A,TRUE,"CR";#N/A,#N/A,TRUE,"CS";#N/A,#N/A,TRUE,"CC"}</definedName>
    <definedName name="kiilii" localSheetId="8" hidden="1">{#N/A,#N/A,TRUE,"NAE";#N/A,#N/A,TRUE,"CR";#N/A,#N/A,TRUE,"CS";#N/A,#N/A,TRUE,"CC"}</definedName>
    <definedName name="kiilii" hidden="1">{#N/A,#N/A,TRUE,"NAE";#N/A,#N/A,TRUE,"CR";#N/A,#N/A,TRUE,"CS";#N/A,#N/A,TRUE,"CC"}</definedName>
    <definedName name="KIKIKI" localSheetId="8" hidden="1">{#N/A,#N/A,TRUE,"NAE";#N/A,#N/A,TRUE,"CR";#N/A,#N/A,TRUE,"CS";#N/A,#N/A,TRUE,"CC"}</definedName>
    <definedName name="KIKIKI" hidden="1">{#N/A,#N/A,TRUE,"NAE";#N/A,#N/A,TRUE,"CR";#N/A,#N/A,TRUE,"CS";#N/A,#N/A,TRUE,"CC"}</definedName>
    <definedName name="KIKIKIKIK" localSheetId="8" hidden="1">{#N/A,#N/A,TRUE,"NAE";#N/A,#N/A,TRUE,"CR";#N/A,#N/A,TRUE,"CS";#N/A,#N/A,TRUE,"CC"}</definedName>
    <definedName name="KIKIKIKIK" hidden="1">{#N/A,#N/A,TRUE,"NAE";#N/A,#N/A,TRUE,"CR";#N/A,#N/A,TRUE,"CS";#N/A,#N/A,TRUE,"CC"}</definedName>
    <definedName name="kiyki" localSheetId="8" hidden="1">{#N/A,#N/A,TRUE,"NAE";#N/A,#N/A,TRUE,"CR";#N/A,#N/A,TRUE,"CS";#N/A,#N/A,TRUE,"CC"}</definedName>
    <definedName name="kiyki" hidden="1">{#N/A,#N/A,TRUE,"NAE";#N/A,#N/A,TRUE,"CR";#N/A,#N/A,TRUE,"CS";#N/A,#N/A,TRUE,"CC"}</definedName>
    <definedName name="KJISGTYR787" localSheetId="8" hidden="1">{#N/A,#N/A,TRUE,"NAE";#N/A,#N/A,TRUE,"CR";#N/A,#N/A,TRUE,"CS";#N/A,#N/A,TRUE,"CC"}</definedName>
    <definedName name="KJISGTYR787" hidden="1">{#N/A,#N/A,TRUE,"NAE";#N/A,#N/A,TRUE,"CR";#N/A,#N/A,TRUE,"CS";#N/A,#N/A,TRUE,"CC"}</definedName>
    <definedName name="kjtukiyuk" localSheetId="8" hidden="1">{#N/A,#N/A,TRUE,"NAE";#N/A,#N/A,TRUE,"CR";#N/A,#N/A,TRUE,"CS";#N/A,#N/A,TRUE,"CC"}</definedName>
    <definedName name="kjtukiyuk" hidden="1">{#N/A,#N/A,TRUE,"NAE";#N/A,#N/A,TRUE,"CR";#N/A,#N/A,TRUE,"CS";#N/A,#N/A,TRUE,"CC"}</definedName>
    <definedName name="KJU" localSheetId="8" hidden="1">{#N/A,#N/A,TRUE,"NAE";#N/A,#N/A,TRUE,"CR";#N/A,#N/A,TRUE,"CS";#N/A,#N/A,TRUE,"CC"}</definedName>
    <definedName name="KJU" hidden="1">{#N/A,#N/A,TRUE,"NAE";#N/A,#N/A,TRUE,"CR";#N/A,#N/A,TRUE,"CS";#N/A,#N/A,TRUE,"CC"}</definedName>
    <definedName name="KKJJ" localSheetId="8" hidden="1">{#N/A,#N/A,TRUE,"NAE";#N/A,#N/A,TRUE,"CR";#N/A,#N/A,TRUE,"CS";#N/A,#N/A,TRUE,"CC"}</definedName>
    <definedName name="KKJJ" hidden="1">{#N/A,#N/A,TRUE,"NAE";#N/A,#N/A,TRUE,"CR";#N/A,#N/A,TRUE,"CS";#N/A,#N/A,TRUE,"CC"}</definedName>
    <definedName name="KKLL" localSheetId="8" hidden="1">{#N/A,#N/A,TRUE,"NAE";#N/A,#N/A,TRUE,"CR";#N/A,#N/A,TRUE,"CS";#N/A,#N/A,TRUE,"CC"}</definedName>
    <definedName name="KKLL" hidden="1">{#N/A,#N/A,TRUE,"NAE";#N/A,#N/A,TRUE,"CR";#N/A,#N/A,TRUE,"CS";#N/A,#N/A,TRUE,"CC"}</definedName>
    <definedName name="KQOWEROKR99" localSheetId="8" hidden="1">{#N/A,#N/A,TRUE,"NAE";#N/A,#N/A,TRUE,"CR";#N/A,#N/A,TRUE,"CS";#N/A,#N/A,TRUE,"CC"}</definedName>
    <definedName name="KQOWEROKR99" hidden="1">{#N/A,#N/A,TRUE,"NAE";#N/A,#N/A,TRUE,"CR";#N/A,#N/A,TRUE,"CS";#N/A,#N/A,TRUE,"CC"}</definedName>
    <definedName name="kryukli" localSheetId="8" hidden="1">{#N/A,#N/A,TRUE,"NAE";#N/A,#N/A,TRUE,"CR";#N/A,#N/A,TRUE,"CS";#N/A,#N/A,TRUE,"CC"}</definedName>
    <definedName name="kryukli" hidden="1">{#N/A,#N/A,TRUE,"NAE";#N/A,#N/A,TRUE,"CR";#N/A,#N/A,TRUE,"CS";#N/A,#N/A,TRUE,"CC"}</definedName>
    <definedName name="KTIKI85" localSheetId="8" hidden="1">{#N/A,#N/A,TRUE,"NAE";#N/A,#N/A,TRUE,"CR";#N/A,#N/A,TRUE,"CS";#N/A,#N/A,TRUE,"CC"}</definedName>
    <definedName name="KTIKI85" hidden="1">{#N/A,#N/A,TRUE,"NAE";#N/A,#N/A,TRUE,"CR";#N/A,#N/A,TRUE,"CS";#N/A,#N/A,TRUE,"CC"}</definedName>
    <definedName name="ktrkyuikyu" localSheetId="8" hidden="1">{#N/A,#N/A,TRUE,"NAE";#N/A,#N/A,TRUE,"CR";#N/A,#N/A,TRUE,"CS";#N/A,#N/A,TRUE,"CC"}</definedName>
    <definedName name="ktrkyuikyu" hidden="1">{#N/A,#N/A,TRUE,"NAE";#N/A,#N/A,TRUE,"CR";#N/A,#N/A,TRUE,"CS";#N/A,#N/A,TRUE,"CC"}</definedName>
    <definedName name="ktyikj" localSheetId="8" hidden="1">{#N/A,#N/A,TRUE,"NAE";#N/A,#N/A,TRUE,"CR";#N/A,#N/A,TRUE,"CS";#N/A,#N/A,TRUE,"CC"}</definedName>
    <definedName name="ktyikj" hidden="1">{#N/A,#N/A,TRUE,"NAE";#N/A,#N/A,TRUE,"CR";#N/A,#N/A,TRUE,"CS";#N/A,#N/A,TRUE,"CC"}</definedName>
    <definedName name="ktyku87" localSheetId="8" hidden="1">{#N/A,#N/A,TRUE,"NAE";#N/A,#N/A,TRUE,"CR";#N/A,#N/A,TRUE,"CS";#N/A,#N/A,TRUE,"CC"}</definedName>
    <definedName name="ktyku87" hidden="1">{#N/A,#N/A,TRUE,"NAE";#N/A,#N/A,TRUE,"CR";#N/A,#N/A,TRUE,"CS";#N/A,#N/A,TRUE,"CC"}</definedName>
    <definedName name="kukukrtjtyhty" localSheetId="8" hidden="1">{#N/A,#N/A,TRUE,"NAE";#N/A,#N/A,TRUE,"CR";#N/A,#N/A,TRUE,"CS";#N/A,#N/A,TRUE,"CC"}</definedName>
    <definedName name="kukukrtjtyhty" hidden="1">{#N/A,#N/A,TRUE,"NAE";#N/A,#N/A,TRUE,"CR";#N/A,#N/A,TRUE,"CS";#N/A,#N/A,TRUE,"CC"}</definedName>
    <definedName name="KYLILO" localSheetId="8" hidden="1">{#N/A,#N/A,TRUE,"NAE";#N/A,#N/A,TRUE,"CR";#N/A,#N/A,TRUE,"CS";#N/A,#N/A,TRUE,"CC"}</definedName>
    <definedName name="KYLILO" hidden="1">{#N/A,#N/A,TRUE,"NAE";#N/A,#N/A,TRUE,"CR";#N/A,#N/A,TRUE,"CS";#N/A,#N/A,TRUE,"CC"}</definedName>
    <definedName name="kyuki" localSheetId="8" hidden="1">{#N/A,#N/A,TRUE,"NAE";#N/A,#N/A,TRUE,"CR";#N/A,#N/A,TRUE,"CS";#N/A,#N/A,TRUE,"CC"}</definedName>
    <definedName name="kyuki" hidden="1">{#N/A,#N/A,TRUE,"NAE";#N/A,#N/A,TRUE,"CR";#N/A,#N/A,TRUE,"CS";#N/A,#N/A,TRUE,"CC"}</definedName>
    <definedName name="kyutoi" localSheetId="8" hidden="1">{#N/A,#N/A,TRUE,"NAE";#N/A,#N/A,TRUE,"CR";#N/A,#N/A,TRUE,"CS";#N/A,#N/A,TRUE,"CC"}</definedName>
    <definedName name="kyutoi" hidden="1">{#N/A,#N/A,TRUE,"NAE";#N/A,#N/A,TRUE,"CR";#N/A,#N/A,TRUE,"CS";#N/A,#N/A,TRUE,"CC"}</definedName>
    <definedName name="l">#REF!</definedName>
    <definedName name="LAMINA">#REF!</definedName>
    <definedName name="LAMINA1">#REF!</definedName>
    <definedName name="LFORWGR" localSheetId="8" hidden="1">{#N/A,#N/A,TRUE,"NAE";#N/A,#N/A,TRUE,"CR";#N/A,#N/A,TRUE,"CS";#N/A,#N/A,TRUE,"CC"}</definedName>
    <definedName name="LFORWGR" hidden="1">{#N/A,#N/A,TRUE,"NAE";#N/A,#N/A,TRUE,"CR";#N/A,#N/A,TRUE,"CS";#N/A,#N/A,TRUE,"CC"}</definedName>
    <definedName name="LIIULUI" localSheetId="8" hidden="1">{#N/A,#N/A,TRUE,"NAE";#N/A,#N/A,TRUE,"CR";#N/A,#N/A,TRUE,"CS";#N/A,#N/A,TRUE,"CC"}</definedName>
    <definedName name="LIIULUI" hidden="1">{#N/A,#N/A,TRUE,"NAE";#N/A,#N/A,TRUE,"CR";#N/A,#N/A,TRUE,"CS";#N/A,#N/A,TRUE,"CC"}</definedName>
    <definedName name="liltit" localSheetId="8" hidden="1">{#N/A,#N/A,TRUE,"NAE";#N/A,#N/A,TRUE,"CR";#N/A,#N/A,TRUE,"CS";#N/A,#N/A,TRUE,"CC"}</definedName>
    <definedName name="liltit" hidden="1">{#N/A,#N/A,TRUE,"NAE";#N/A,#N/A,TRUE,"CR";#N/A,#N/A,TRUE,"CS";#N/A,#N/A,TRUE,"CC"}</definedName>
    <definedName name="LIÑLOYH" localSheetId="8" hidden="1">{#N/A,#N/A,TRUE,"NAE";#N/A,#N/A,TRUE,"CR";#N/A,#N/A,TRUE,"CS";#N/A,#N/A,TRUE,"CC"}</definedName>
    <definedName name="LIÑLOYH" hidden="1">{#N/A,#N/A,TRUE,"NAE";#N/A,#N/A,TRUE,"CR";#N/A,#N/A,TRUE,"CS";#N/A,#N/A,TRUE,"CC"}</definedName>
    <definedName name="LISTA">#REF!</definedName>
    <definedName name="LIULIUL" localSheetId="8" hidden="1">{#N/A,#N/A,TRUE,"NAE";#N/A,#N/A,TRUE,"CR";#N/A,#N/A,TRUE,"CS";#N/A,#N/A,TRUE,"CC"}</definedName>
    <definedName name="LIULIUL" hidden="1">{#N/A,#N/A,TRUE,"NAE";#N/A,#N/A,TRUE,"CR";#N/A,#N/A,TRUE,"CS";#N/A,#N/A,TRUE,"CC"}</definedName>
    <definedName name="LKMTIWT" localSheetId="8" hidden="1">{#N/A,#N/A,TRUE,"NAE";#N/A,#N/A,TRUE,"CR";#N/A,#N/A,TRUE,"CS";#N/A,#N/A,TRUE,"CC"}</definedName>
    <definedName name="LKMTIWT" hidden="1">{#N/A,#N/A,TRUE,"NAE";#N/A,#N/A,TRUE,"CR";#N/A,#N/A,TRUE,"CS";#N/A,#N/A,TRUE,"CC"}</definedName>
    <definedName name="ll" localSheetId="8" hidden="1">{#N/A,#N/A,TRUE,"NAE";#N/A,#N/A,TRUE,"CR";#N/A,#N/A,TRUE,"CS";#N/A,#N/A,TRUE,"CC"}</definedName>
    <definedName name="ll" hidden="1">{#N/A,#N/A,TRUE,"NAE";#N/A,#N/A,TRUE,"CR";#N/A,#N/A,TRUE,"CS";#N/A,#N/A,TRUE,"CC"}</definedName>
    <definedName name="lllll" localSheetId="8" hidden="1">{#N/A,#N/A,TRUE,"NAE";#N/A,#N/A,TRUE,"CR";#N/A,#N/A,TRUE,"CS";#N/A,#N/A,TRUE,"CC"}</definedName>
    <definedName name="lllll" hidden="1">{#N/A,#N/A,TRUE,"NAE";#N/A,#N/A,TRUE,"CR";#N/A,#N/A,TRUE,"CS";#N/A,#N/A,TRUE,"CC"}</definedName>
    <definedName name="LLÑÑ" localSheetId="8" hidden="1">{#N/A,#N/A,TRUE,"NAE";#N/A,#N/A,TRUE,"CR";#N/A,#N/A,TRUE,"CS";#N/A,#N/A,TRUE,"CC"}</definedName>
    <definedName name="LLÑÑ" hidden="1">{#N/A,#N/A,TRUE,"NAE";#N/A,#N/A,TRUE,"CR";#N/A,#N/A,TRUE,"CS";#N/A,#N/A,TRUE,"CC"}</definedName>
    <definedName name="LOGINT">#REF!</definedName>
    <definedName name="LOLO" localSheetId="8" hidden="1">{"'RDOJTP'!$A$108:$AG$123"}</definedName>
    <definedName name="LOLO" hidden="1">{"'RDOJTP'!$A$108:$AG$123"}</definedName>
    <definedName name="LOLOLO" localSheetId="8" hidden="1">{#N/A,#N/A,TRUE,"NAE";#N/A,#N/A,TRUE,"CR";#N/A,#N/A,TRUE,"CS";#N/A,#N/A,TRUE,"CC"}</definedName>
    <definedName name="LOLOLO" hidden="1">{#N/A,#N/A,TRUE,"NAE";#N/A,#N/A,TRUE,"CR";#N/A,#N/A,TRUE,"CS";#N/A,#N/A,TRUE,"CC"}</definedName>
    <definedName name="LOLOÑP" localSheetId="8" hidden="1">{#N/A,#N/A,TRUE,"NAE";#N/A,#N/A,TRUE,"CR";#N/A,#N/A,TRUE,"CS";#N/A,#N/A,TRUE,"CC"}</definedName>
    <definedName name="LOLOÑP" hidden="1">{#N/A,#N/A,TRUE,"NAE";#N/A,#N/A,TRUE,"CR";#N/A,#N/A,TRUE,"CS";#N/A,#N/A,TRUE,"CC"}</definedName>
    <definedName name="LOTE" localSheetId="8" hidden="1">{"'RDOJTP'!$A$108:$AG$123"}</definedName>
    <definedName name="LOTE" hidden="1">{"'RDOJTP'!$A$108:$AG$123"}</definedName>
    <definedName name="loulo" localSheetId="8" hidden="1">{#N/A,#N/A,TRUE,"NAE";#N/A,#N/A,TRUE,"CR";#N/A,#N/A,TRUE,"CS";#N/A,#N/A,TRUE,"CC"}</definedName>
    <definedName name="loulo" hidden="1">{#N/A,#N/A,TRUE,"NAE";#N/A,#N/A,TRUE,"CR";#N/A,#N/A,TRUE,"CS";#N/A,#N/A,TRUE,"CC"}</definedName>
    <definedName name="Lrefractario">#REF!</definedName>
    <definedName name="Lrefractario1">#REF!</definedName>
    <definedName name="ltilo" localSheetId="8" hidden="1">{#N/A,#N/A,TRUE,"NAE";#N/A,#N/A,TRUE,"CR";#N/A,#N/A,TRUE,"CS";#N/A,#N/A,TRUE,"CC"}</definedName>
    <definedName name="ltilo" hidden="1">{#N/A,#N/A,TRUE,"NAE";#N/A,#N/A,TRUE,"CR";#N/A,#N/A,TRUE,"CS";#N/A,#N/A,TRUE,"CC"}</definedName>
    <definedName name="ltiyktiu" localSheetId="8" hidden="1">{#N/A,#N/A,TRUE,"NAE";#N/A,#N/A,TRUE,"CR";#N/A,#N/A,TRUE,"CS";#N/A,#N/A,TRUE,"CC"}</definedName>
    <definedName name="ltiyktiu" hidden="1">{#N/A,#N/A,TRUE,"NAE";#N/A,#N/A,TRUE,"CR";#N/A,#N/A,TRUE,"CS";#N/A,#N/A,TRUE,"CC"}</definedName>
    <definedName name="LUBRICANT">#REF!</definedName>
    <definedName name="LUBRICANTES">#REF!</definedName>
    <definedName name="lugaroper">#REF!</definedName>
    <definedName name="luip97" localSheetId="8" hidden="1">{#N/A,#N/A,TRUE,"NAE";#N/A,#N/A,TRUE,"CR";#N/A,#N/A,TRUE,"CS";#N/A,#N/A,TRUE,"CC"}</definedName>
    <definedName name="luip97" hidden="1">{#N/A,#N/A,TRUE,"NAE";#N/A,#N/A,TRUE,"CR";#N/A,#N/A,TRUE,"CS";#N/A,#N/A,TRUE,"CC"}</definedName>
    <definedName name="LUOLIU" localSheetId="8" hidden="1">{#N/A,#N/A,TRUE,"NAE";#N/A,#N/A,TRUE,"CR";#N/A,#N/A,TRUE,"CS";#N/A,#N/A,TRUE,"CC"}</definedName>
    <definedName name="LUOLIU" hidden="1">{#N/A,#N/A,TRUE,"NAE";#N/A,#N/A,TRUE,"CR";#N/A,#N/A,TRUE,"CS";#N/A,#N/A,TRUE,"CC"}</definedName>
    <definedName name="maestro">#REF!</definedName>
    <definedName name="MAM42.5">#REF!</definedName>
    <definedName name="MAMP">#REF!</definedName>
    <definedName name="MAMP50">#REF!</definedName>
    <definedName name="MAMPOC">#REF!</definedName>
    <definedName name="MANTENIMIENTO">#REF!</definedName>
    <definedName name="MANTO">#REF!</definedName>
    <definedName name="Mar_99">#REF!</definedName>
    <definedName name="margen_canal">#REF!</definedName>
    <definedName name="margen_transferencia">#REF!</definedName>
    <definedName name="Martillos">#REF!</definedName>
    <definedName name="MARTILLOS_410">#REF!</definedName>
    <definedName name="Martillos1">#REF!</definedName>
    <definedName name="matriz">#REF!</definedName>
    <definedName name="May_99">#REF!</definedName>
    <definedName name="MCDEO">#REF!</definedName>
    <definedName name="MDHGMHGDM" localSheetId="8" hidden="1">{#N/A,#N/A,TRUE,"NAE";#N/A,#N/A,TRUE,"CR";#N/A,#N/A,TRUE,"CS";#N/A,#N/A,TRUE,"CC"}</definedName>
    <definedName name="MDHGMHGDM" hidden="1">{#N/A,#N/A,TRUE,"NAE";#N/A,#N/A,TRUE,"CR";#N/A,#N/A,TRUE,"CS";#N/A,#N/A,TRUE,"CC"}</definedName>
    <definedName name="MDYTMYTK" localSheetId="8" hidden="1">{#N/A,#N/A,TRUE,"NAE";#N/A,#N/A,TRUE,"CR";#N/A,#N/A,TRUE,"CS";#N/A,#N/A,TRUE,"CC"}</definedName>
    <definedName name="MDYTMYTK" hidden="1">{#N/A,#N/A,TRUE,"NAE";#N/A,#N/A,TRUE,"CR";#N/A,#N/A,TRUE,"CS";#N/A,#N/A,TRUE,"CC"}</definedName>
    <definedName name="MENSUAL">#REF!</definedName>
    <definedName name="MERCAD">#REF!</definedName>
    <definedName name="MES">#REF!</definedName>
    <definedName name="MEWRGIWREG" localSheetId="8" hidden="1">{#N/A,#N/A,TRUE,"NAE";#N/A,#N/A,TRUE,"CR";#N/A,#N/A,TRUE,"CS";#N/A,#N/A,TRUE,"CC"}</definedName>
    <definedName name="MEWRGIWREG" hidden="1">{#N/A,#N/A,TRUE,"NAE";#N/A,#N/A,TRUE,"CR";#N/A,#N/A,TRUE,"CS";#N/A,#N/A,TRUE,"CC"}</definedName>
    <definedName name="MFRB">#REF!</definedName>
    <definedName name="MHJUKUK" localSheetId="8" hidden="1">{#N/A,#N/A,TRUE,"NAE";#N/A,#N/A,TRUE,"CR";#N/A,#N/A,TRUE,"CS";#N/A,#N/A,TRUE,"CC"}</definedName>
    <definedName name="MHJUKUK" hidden="1">{#N/A,#N/A,TRUE,"NAE";#N/A,#N/A,TRUE,"CR";#N/A,#N/A,TRUE,"CS";#N/A,#N/A,TRUE,"CC"}</definedName>
    <definedName name="mi" localSheetId="8" hidden="1">{#N/A,#N/A,TRUE,"NAE";#N/A,#N/A,TRUE,"CR";#N/A,#N/A,TRUE,"CS";#N/A,#N/A,TRUE,"CC"}</definedName>
    <definedName name="mi" hidden="1">{#N/A,#N/A,TRUE,"NAE";#N/A,#N/A,TRUE,"CR";#N/A,#N/A,TRUE,"CS";#N/A,#N/A,TRUE,"CC"}</definedName>
    <definedName name="Mina_2">#REF!</definedName>
    <definedName name="MINFe">#REF!</definedName>
    <definedName name="MINFe1">#REF!</definedName>
    <definedName name="MIREWTR" localSheetId="8" hidden="1">{#N/A,#N/A,TRUE,"NAE";#N/A,#N/A,TRUE,"CR";#N/A,#N/A,TRUE,"CS";#N/A,#N/A,TRUE,"CC"}</definedName>
    <definedName name="MIREWTR" hidden="1">{#N/A,#N/A,TRUE,"NAE";#N/A,#N/A,TRUE,"CR";#N/A,#N/A,TRUE,"CS";#N/A,#N/A,TRUE,"CC"}</definedName>
    <definedName name="MJFHGS" localSheetId="8" hidden="1">{#N/A,#N/A,TRUE,"NAE";#N/A,#N/A,TRUE,"CR";#N/A,#N/A,TRUE,"CS";#N/A,#N/A,TRUE,"CC"}</definedName>
    <definedName name="MJFHGS" hidden="1">{#N/A,#N/A,TRUE,"NAE";#N/A,#N/A,TRUE,"CR";#N/A,#N/A,TRUE,"CS";#N/A,#N/A,TRUE,"CC"}</definedName>
    <definedName name="MJMJMHNHN" localSheetId="8" hidden="1">{#N/A,#N/A,TRUE,"NAE";#N/A,#N/A,TRUE,"CR";#N/A,#N/A,TRUE,"CS";#N/A,#N/A,TRUE,"CC"}</definedName>
    <definedName name="MJMJMHNHN" hidden="1">{#N/A,#N/A,TRUE,"NAE";#N/A,#N/A,TRUE,"CR";#N/A,#N/A,TRUE,"CS";#N/A,#N/A,TRUE,"CC"}</definedName>
    <definedName name="mkyuktu" localSheetId="8" hidden="1">{#N/A,#N/A,TRUE,"NAE";#N/A,#N/A,TRUE,"CR";#N/A,#N/A,TRUE,"CS";#N/A,#N/A,TRUE,"CC"}</definedName>
    <definedName name="mkyuktu" hidden="1">{#N/A,#N/A,TRUE,"NAE";#N/A,#N/A,TRUE,"CR";#N/A,#N/A,TRUE,"CS";#N/A,#N/A,TRUE,"CC"}</definedName>
    <definedName name="mmmm" localSheetId="8" hidden="1">{#N/A,#N/A,TRUE,"NAE";#N/A,#N/A,TRUE,"CR";#N/A,#N/A,TRUE,"CS";#N/A,#N/A,TRUE,"CC"}</definedName>
    <definedName name="mmmm" hidden="1">{#N/A,#N/A,TRUE,"NAE";#N/A,#N/A,TRUE,"CR";#N/A,#N/A,TRUE,"CS";#N/A,#N/A,TRUE,"CC"}</definedName>
    <definedName name="mmmmmmm" localSheetId="8" hidden="1">{#N/A,#N/A,TRUE,"NAE";#N/A,#N/A,TRUE,"CR";#N/A,#N/A,TRUE,"CS";#N/A,#N/A,TRUE,"CC"}</definedName>
    <definedName name="mmmmmmm" hidden="1">{#N/A,#N/A,TRUE,"NAE";#N/A,#N/A,TRUE,"CR";#N/A,#N/A,TRUE,"CS";#N/A,#N/A,TRUE,"CC"}</definedName>
    <definedName name="MMNN" localSheetId="8" hidden="1">{#N/A,#N/A,TRUE,"NAE";#N/A,#N/A,TRUE,"CR";#N/A,#N/A,TRUE,"CS";#N/A,#N/A,TRUE,"CC"}</definedName>
    <definedName name="MMNN" hidden="1">{#N/A,#N/A,TRUE,"NAE";#N/A,#N/A,TRUE,"CR";#N/A,#N/A,TRUE,"CS";#N/A,#N/A,TRUE,"CC"}</definedName>
    <definedName name="MMTO">#REF!</definedName>
    <definedName name="MOE">#REF!</definedName>
    <definedName name="MOF">#REF!</definedName>
    <definedName name="MOLCAR">#REF!</definedName>
    <definedName name="MOLCEM">#REF!</definedName>
    <definedName name="MOLCOMB">#REF!</definedName>
    <definedName name="MOLCRU">#REF!</definedName>
    <definedName name="molino1">#REF!</definedName>
    <definedName name="molino2">#REF!</definedName>
    <definedName name="molino6">#REF!</definedName>
    <definedName name="molino7">#REF!</definedName>
    <definedName name="MOMTO">#REF!</definedName>
    <definedName name="MOSUE">#REF!</definedName>
    <definedName name="mrmfyuyumyumuyyu" localSheetId="8" hidden="1">{#N/A,#N/A,TRUE,"NAE";#N/A,#N/A,TRUE,"CR";#N/A,#N/A,TRUE,"CS";#N/A,#N/A,TRUE,"CC"}</definedName>
    <definedName name="mrmfyuyumyumuyyu" hidden="1">{#N/A,#N/A,TRUE,"NAE";#N/A,#N/A,TRUE,"CR";#N/A,#N/A,TRUE,"CS";#N/A,#N/A,TRUE,"CC"}</definedName>
    <definedName name="mryu" localSheetId="8" hidden="1">{#N/A,#N/A,TRUE,"NAE";#N/A,#N/A,TRUE,"CR";#N/A,#N/A,TRUE,"CS";#N/A,#N/A,TRUE,"CC"}</definedName>
    <definedName name="mryu" hidden="1">{#N/A,#N/A,TRUE,"NAE";#N/A,#N/A,TRUE,"CR";#N/A,#N/A,TRUE,"CS";#N/A,#N/A,TRUE,"CC"}</definedName>
    <definedName name="mryumryumyumyumummmm" localSheetId="8" hidden="1">{#N/A,#N/A,TRUE,"NAE";#N/A,#N/A,TRUE,"CR";#N/A,#N/A,TRUE,"CS";#N/A,#N/A,TRUE,"CC"}</definedName>
    <definedName name="mryumryumyumyumummmm" hidden="1">{#N/A,#N/A,TRUE,"NAE";#N/A,#N/A,TRUE,"CR";#N/A,#N/A,TRUE,"CS";#N/A,#N/A,TRUE,"CC"}</definedName>
    <definedName name="mryyiyuk" localSheetId="8" hidden="1">{#N/A,#N/A,TRUE,"NAE";#N/A,#N/A,TRUE,"CR";#N/A,#N/A,TRUE,"CS";#N/A,#N/A,TRUE,"CC"}</definedName>
    <definedName name="mryyiyuk" hidden="1">{#N/A,#N/A,TRUE,"NAE";#N/A,#N/A,TRUE,"CR";#N/A,#N/A,TRUE,"CS";#N/A,#N/A,TRUE,"CC"}</definedName>
    <definedName name="MTTO">#REF!</definedName>
    <definedName name="MTTO96">#REF!</definedName>
    <definedName name="MUD" localSheetId="8" hidden="1">{#N/A,#N/A,TRUE,"NAE";#N/A,#N/A,TRUE,"CR";#N/A,#N/A,TRUE,"CS";#N/A,#N/A,TRUE,"CC"}</definedName>
    <definedName name="MUD" hidden="1">{#N/A,#N/A,TRUE,"NAE";#N/A,#N/A,TRUE,"CR";#N/A,#N/A,TRUE,"CS";#N/A,#N/A,TRUE,"CC"}</definedName>
    <definedName name="mugf" localSheetId="8" hidden="1">{#N/A,#N/A,TRUE,"NAE";#N/A,#N/A,TRUE,"CR";#N/A,#N/A,TRUE,"CS";#N/A,#N/A,TRUE,"CC"}</definedName>
    <definedName name="mugf" hidden="1">{#N/A,#N/A,TRUE,"NAE";#N/A,#N/A,TRUE,"CR";#N/A,#N/A,TRUE,"CS";#N/A,#N/A,TRUE,"CC"}</definedName>
    <definedName name="muryu" localSheetId="8" hidden="1">{#N/A,#N/A,TRUE,"NAE";#N/A,#N/A,TRUE,"CR";#N/A,#N/A,TRUE,"CS";#N/A,#N/A,TRUE,"CC"}</definedName>
    <definedName name="muryu" hidden="1">{#N/A,#N/A,TRUE,"NAE";#N/A,#N/A,TRUE,"CR";#N/A,#N/A,TRUE,"CS";#N/A,#N/A,TRUE,"CC"}</definedName>
    <definedName name="muymu" localSheetId="8" hidden="1">{#N/A,#N/A,TRUE,"NAE";#N/A,#N/A,TRUE,"CR";#N/A,#N/A,TRUE,"CS";#N/A,#N/A,TRUE,"CC"}</definedName>
    <definedName name="muymu" hidden="1">{#N/A,#N/A,TRUE,"NAE";#N/A,#N/A,TRUE,"CR";#N/A,#N/A,TRUE,"CS";#N/A,#N/A,TRUE,"CC"}</definedName>
    <definedName name="MVDL">#REF!</definedName>
    <definedName name="MYDETYKUU" localSheetId="8" hidden="1">{#N/A,#N/A,TRUE,"NAE";#N/A,#N/A,TRUE,"CR";#N/A,#N/A,TRUE,"CS";#N/A,#N/A,TRUE,"CC"}</definedName>
    <definedName name="MYDETYKUU" hidden="1">{#N/A,#N/A,TRUE,"NAE";#N/A,#N/A,TRUE,"CR";#N/A,#N/A,TRUE,"CS";#N/A,#N/A,TRUE,"CC"}</definedName>
    <definedName name="myumg" localSheetId="8" hidden="1">{#N/A,#N/A,TRUE,"NAE";#N/A,#N/A,TRUE,"CR";#N/A,#N/A,TRUE,"CS";#N/A,#N/A,TRUE,"CC"}</definedName>
    <definedName name="myumg" hidden="1">{#N/A,#N/A,TRUE,"NAE";#N/A,#N/A,TRUE,"CR";#N/A,#N/A,TRUE,"CS";#N/A,#N/A,TRUE,"CC"}</definedName>
    <definedName name="NAL42.5">#REF!</definedName>
    <definedName name="NAL50KLS">#REF!</definedName>
    <definedName name="ngfjdy77" localSheetId="8" hidden="1">{#N/A,#N/A,TRUE,"NAE";#N/A,#N/A,TRUE,"CR";#N/A,#N/A,TRUE,"CS";#N/A,#N/A,TRUE,"CC"}</definedName>
    <definedName name="ngfjdy77" hidden="1">{#N/A,#N/A,TRUE,"NAE";#N/A,#N/A,TRUE,"CR";#N/A,#N/A,TRUE,"CS";#N/A,#N/A,TRUE,"CC"}</definedName>
    <definedName name="NHMJ" localSheetId="8" hidden="1">{#N/A,#N/A,TRUE,"NAE";#N/A,#N/A,TRUE,"CR";#N/A,#N/A,TRUE,"CS";#N/A,#N/A,TRUE,"CC"}</definedName>
    <definedName name="NHMJ" hidden="1">{#N/A,#N/A,TRUE,"NAE";#N/A,#N/A,TRUE,"CR";#N/A,#N/A,TRUE,"CS";#N/A,#N/A,TRUE,"CC"}</definedName>
    <definedName name="NHMJF55654" localSheetId="8" hidden="1">{#N/A,#N/A,TRUE,"NAE";#N/A,#N/A,TRUE,"CR";#N/A,#N/A,TRUE,"CS";#N/A,#N/A,TRUE,"CC"}</definedName>
    <definedName name="NHMJF55654" hidden="1">{#N/A,#N/A,TRUE,"NAE";#N/A,#N/A,TRUE,"CR";#N/A,#N/A,TRUE,"CS";#N/A,#N/A,TRUE,"CC"}</definedName>
    <definedName name="NHNHNHN" localSheetId="8" hidden="1">{#N/A,#N/A,TRUE,"NAE";#N/A,#N/A,TRUE,"CR";#N/A,#N/A,TRUE,"CS";#N/A,#N/A,TRUE,"CC"}</definedName>
    <definedName name="NHNHNHN" hidden="1">{#N/A,#N/A,TRUE,"NAE";#N/A,#N/A,TRUE,"CR";#N/A,#N/A,TRUE,"CS";#N/A,#N/A,TRUE,"CC"}</definedName>
    <definedName name="NHVFCD" localSheetId="8" hidden="1">{#N/A,#N/A,TRUE,"NAE";#N/A,#N/A,TRUE,"CR";#N/A,#N/A,TRUE,"CS";#N/A,#N/A,TRUE,"CC"}</definedName>
    <definedName name="NHVFCD" hidden="1">{#N/A,#N/A,TRUE,"NAE";#N/A,#N/A,TRUE,"CR";#N/A,#N/A,TRUE,"CS";#N/A,#N/A,TRUE,"CC"}</definedName>
    <definedName name="nhy" localSheetId="8" hidden="1">{#N/A,#N/A,TRUE,"NAE";#N/A,#N/A,TRUE,"CR";#N/A,#N/A,TRUE,"CS";#N/A,#N/A,TRUE,"CC"}</definedName>
    <definedName name="nhy" hidden="1">{#N/A,#N/A,TRUE,"NAE";#N/A,#N/A,TRUE,"CR";#N/A,#N/A,TRUE,"CS";#N/A,#N/A,TRUE,"CC"}</definedName>
    <definedName name="NMJFH" localSheetId="8" hidden="1">{#N/A,#N/A,TRUE,"NAE";#N/A,#N/A,TRUE,"CR";#N/A,#N/A,TRUE,"CS";#N/A,#N/A,TRUE,"CC"}</definedName>
    <definedName name="NMJFH" hidden="1">{#N/A,#N/A,TRUE,"NAE";#N/A,#N/A,TRUE,"CR";#N/A,#N/A,TRUE,"CS";#N/A,#N/A,TRUE,"CC"}</definedName>
    <definedName name="NMNMN" localSheetId="8" hidden="1">{#N/A,#N/A,TRUE,"NAE";#N/A,#N/A,TRUE,"CR";#N/A,#N/A,TRUE,"CS";#N/A,#N/A,TRUE,"CC"}</definedName>
    <definedName name="NMNMN" hidden="1">{#N/A,#N/A,TRUE,"NAE";#N/A,#N/A,TRUE,"CR";#N/A,#N/A,TRUE,"CS";#N/A,#N/A,TRUE,"CC"}</definedName>
    <definedName name="NNBB" localSheetId="8" hidden="1">{#N/A,#N/A,TRUE,"NAE";#N/A,#N/A,TRUE,"CR";#N/A,#N/A,TRUE,"CS";#N/A,#N/A,TRUE,"CC"}</definedName>
    <definedName name="NNBB" hidden="1">{#N/A,#N/A,TRUE,"NAE";#N/A,#N/A,TRUE,"CR";#N/A,#N/A,TRUE,"CS";#N/A,#N/A,TRUE,"CC"}</definedName>
    <definedName name="nnnn" localSheetId="8" hidden="1">{#N/A,#N/A,TRUE,"NAE";#N/A,#N/A,TRUE,"CR";#N/A,#N/A,TRUE,"CS";#N/A,#N/A,TRUE,"CC"}</definedName>
    <definedName name="nnnn" hidden="1">{#N/A,#N/A,TRUE,"NAE";#N/A,#N/A,TRUE,"CR";#N/A,#N/A,TRUE,"CS";#N/A,#N/A,TRUE,"CC"}</definedName>
    <definedName name="NNNNN" localSheetId="8" hidden="1">{"'RDOJTP'!$A$108:$AG$123"}</definedName>
    <definedName name="NNNNN" hidden="1">{"'RDOJTP'!$A$108:$AG$123"}</definedName>
    <definedName name="nnnnnnn" localSheetId="8" hidden="1">{#N/A,#N/A,TRUE,"NAE";#N/A,#N/A,TRUE,"CR";#N/A,#N/A,TRUE,"CS";#N/A,#N/A,TRUE,"CC"}</definedName>
    <definedName name="nnnnnnn" hidden="1">{#N/A,#N/A,TRUE,"NAE";#N/A,#N/A,TRUE,"CR";#N/A,#N/A,TRUE,"CS";#N/A,#N/A,TRUE,"CC"}</definedName>
    <definedName name="NOM" localSheetId="8" hidden="1">{#N/A,#N/A,TRUE,"NAE";#N/A,#N/A,TRUE,"CR";#N/A,#N/A,TRUE,"CS";#N/A,#N/A,TRUE,"CC"}</definedName>
    <definedName name="NOM" hidden="1">{#N/A,#N/A,TRUE,"NAE";#N/A,#N/A,TRUE,"CR";#N/A,#N/A,TRUE,"CS";#N/A,#N/A,TRUE,"CC"}</definedName>
    <definedName name="nomina_comer">#REF!</definedName>
    <definedName name="Nov_99">#REF!</definedName>
    <definedName name="nrmfyn" localSheetId="8" hidden="1">{#N/A,#N/A,TRUE,"NAE";#N/A,#N/A,TRUE,"CR";#N/A,#N/A,TRUE,"CS";#N/A,#N/A,TRUE,"CC"}</definedName>
    <definedName name="nrmfyn" hidden="1">{#N/A,#N/A,TRUE,"NAE";#N/A,#N/A,TRUE,"CR";#N/A,#N/A,TRUE,"CS";#N/A,#N/A,TRUE,"CC"}</definedName>
    <definedName name="nrmyum" localSheetId="8" hidden="1">{#N/A,#N/A,TRUE,"NAE";#N/A,#N/A,TRUE,"CR";#N/A,#N/A,TRUE,"CS";#N/A,#N/A,TRUE,"CC"}</definedName>
    <definedName name="nrmyum" hidden="1">{#N/A,#N/A,TRUE,"NAE";#N/A,#N/A,TRUE,"CR";#N/A,#N/A,TRUE,"CS";#N/A,#N/A,TRUE,"CC"}</definedName>
    <definedName name="ntm" localSheetId="8" hidden="1">{#N/A,#N/A,TRUE,"NAE";#N/A,#N/A,TRUE,"CR";#N/A,#N/A,TRUE,"CS";#N/A,#N/A,TRUE,"CC"}</definedName>
    <definedName name="ntm" hidden="1">{#N/A,#N/A,TRUE,"NAE";#N/A,#N/A,TRUE,"CR";#N/A,#N/A,TRUE,"CS";#N/A,#N/A,TRUE,"CC"}</definedName>
    <definedName name="nu" localSheetId="8" hidden="1">{#N/A,#N/A,TRUE,"NAE";#N/A,#N/A,TRUE,"CR";#N/A,#N/A,TRUE,"CS";#N/A,#N/A,TRUE,"CC"}</definedName>
    <definedName name="nu" hidden="1">{#N/A,#N/A,TRUE,"NAE";#N/A,#N/A,TRUE,"CR";#N/A,#N/A,TRUE,"CS";#N/A,#N/A,TRUE,"CC"}</definedName>
    <definedName name="NWRKGÑWRE" localSheetId="8" hidden="1">{#N/A,#N/A,TRUE,"NAE";#N/A,#N/A,TRUE,"CR";#N/A,#N/A,TRUE,"CS";#N/A,#N/A,TRUE,"CC"}</definedName>
    <definedName name="NWRKGÑWRE" hidden="1">{#N/A,#N/A,TRUE,"NAE";#N/A,#N/A,TRUE,"CR";#N/A,#N/A,TRUE,"CS";#N/A,#N/A,TRUE,"CC"}</definedName>
    <definedName name="NY4TYH" localSheetId="8" hidden="1">{#N/A,#N/A,TRUE,"NAE";#N/A,#N/A,TRUE,"CR";#N/A,#N/A,TRUE,"CS";#N/A,#N/A,TRUE,"CC"}</definedName>
    <definedName name="NY4TYH" hidden="1">{#N/A,#N/A,TRUE,"NAE";#N/A,#N/A,TRUE,"CR";#N/A,#N/A,TRUE,"CS";#N/A,#N/A,TRUE,"CC"}</definedName>
    <definedName name="nyte" localSheetId="8" hidden="1">{#N/A,#N/A,TRUE,"NAE";#N/A,#N/A,TRUE,"CR";#N/A,#N/A,TRUE,"CS";#N/A,#N/A,TRUE,"CC"}</definedName>
    <definedName name="nyte" hidden="1">{#N/A,#N/A,TRUE,"NAE";#N/A,#N/A,TRUE,"CR";#N/A,#N/A,TRUE,"CS";#N/A,#N/A,TRUE,"CC"}</definedName>
    <definedName name="nytnhg" localSheetId="8" hidden="1">{#N/A,#N/A,TRUE,"NAE";#N/A,#N/A,TRUE,"CR";#N/A,#N/A,TRUE,"CS";#N/A,#N/A,TRUE,"CC"}</definedName>
    <definedName name="nytnhg" hidden="1">{#N/A,#N/A,TRUE,"NAE";#N/A,#N/A,TRUE,"CR";#N/A,#N/A,TRUE,"CS";#N/A,#N/A,TRUE,"CC"}</definedName>
    <definedName name="NYUMJ" localSheetId="8" hidden="1">{#N/A,#N/A,TRUE,"NAE";#N/A,#N/A,TRUE,"CR";#N/A,#N/A,TRUE,"CS";#N/A,#N/A,TRUE,"CC"}</definedName>
    <definedName name="NYUMJ" hidden="1">{#N/A,#N/A,TRUE,"NAE";#N/A,#N/A,TRUE,"CR";#N/A,#N/A,TRUE,"CS";#N/A,#N/A,TRUE,"CC"}</definedName>
    <definedName name="NYWHJ6" localSheetId="8" hidden="1">{#N/A,#N/A,TRUE,"NAE";#N/A,#N/A,TRUE,"CR";#N/A,#N/A,TRUE,"CS";#N/A,#N/A,TRUE,"CC"}</definedName>
    <definedName name="NYWHJ6" hidden="1">{#N/A,#N/A,TRUE,"NAE";#N/A,#N/A,TRUE,"CR";#N/A,#N/A,TRUE,"CS";#N/A,#N/A,TRUE,"CC"}</definedName>
    <definedName name="Ñ">#REF!</definedName>
    <definedName name="ÑIOJGIWT" localSheetId="8" hidden="1">{#N/A,#N/A,TRUE,"NAE";#N/A,#N/A,TRUE,"CR";#N/A,#N/A,TRUE,"CS";#N/A,#N/A,TRUE,"CC"}</definedName>
    <definedName name="ÑIOJGIWT" hidden="1">{#N/A,#N/A,TRUE,"NAE";#N/A,#N/A,TRUE,"CR";#N/A,#N/A,TRUE,"CS";#N/A,#N/A,TRUE,"CC"}</definedName>
    <definedName name="ÑOEIRJGREW" localSheetId="8" hidden="1">{#N/A,#N/A,TRUE,"NAE";#N/A,#N/A,TRUE,"CR";#N/A,#N/A,TRUE,"CS";#N/A,#N/A,TRUE,"CC"}</definedName>
    <definedName name="ÑOEIRJGREW" hidden="1">{#N/A,#N/A,TRUE,"NAE";#N/A,#N/A,TRUE,"CR";#N/A,#N/A,TRUE,"CS";#N/A,#N/A,TRUE,"CC"}</definedName>
    <definedName name="ÑOIEJGT" localSheetId="8" hidden="1">{#N/A,#N/A,TRUE,"NAE";#N/A,#N/A,TRUE,"CR";#N/A,#N/A,TRUE,"CS";#N/A,#N/A,TRUE,"CC"}</definedName>
    <definedName name="ÑOIEJGT" hidden="1">{#N/A,#N/A,TRUE,"NAE";#N/A,#N/A,TRUE,"CR";#N/A,#N/A,TRUE,"CS";#N/A,#N/A,TRUE,"CC"}</definedName>
    <definedName name="ÑOÑOU" localSheetId="8" hidden="1">{#N/A,#N/A,TRUE,"NAE";#N/A,#N/A,TRUE,"CR";#N/A,#N/A,TRUE,"CS";#N/A,#N/A,TRUE,"CC"}</definedName>
    <definedName name="ÑOÑOU" hidden="1">{#N/A,#N/A,TRUE,"NAE";#N/A,#N/A,TRUE,"CR";#N/A,#N/A,TRUE,"CS";#N/A,#N/A,TRUE,"CC"}</definedName>
    <definedName name="ÑPIÑHYIO" localSheetId="8" hidden="1">{#N/A,#N/A,TRUE,"NAE";#N/A,#N/A,TRUE,"CR";#N/A,#N/A,TRUE,"CS";#N/A,#N/A,TRUE,"CC"}</definedName>
    <definedName name="ÑPIÑHYIO" hidden="1">{#N/A,#N/A,TRUE,"NAE";#N/A,#N/A,TRUE,"CR";#N/A,#N/A,TRUE,"CS";#N/A,#N/A,TRUE,"CC"}</definedName>
    <definedName name="ÑPIÑPÑ" localSheetId="8" hidden="1">{#N/A,#N/A,TRUE,"NAE";#N/A,#N/A,TRUE,"CR";#N/A,#N/A,TRUE,"CS";#N/A,#N/A,TRUE,"CC"}</definedName>
    <definedName name="ÑPIÑPÑ" hidden="1">{#N/A,#N/A,TRUE,"NAE";#N/A,#N/A,TRUE,"CR";#N/A,#N/A,TRUE,"CS";#N/A,#N/A,TRUE,"CC"}</definedName>
    <definedName name="O">#REF!</definedName>
    <definedName name="Oct_99">#REF!</definedName>
    <definedName name="OEWKGT9" localSheetId="8" hidden="1">{#N/A,#N/A,TRUE,"NAE";#N/A,#N/A,TRUE,"CR";#N/A,#N/A,TRUE,"CS";#N/A,#N/A,TRUE,"CC"}</definedName>
    <definedName name="OEWKGT9" hidden="1">{#N/A,#N/A,TRUE,"NAE";#N/A,#N/A,TRUE,"CR";#N/A,#N/A,TRUE,"CS";#N/A,#N/A,TRUE,"CC"}</definedName>
    <definedName name="OIJTGOWT" localSheetId="8" hidden="1">{#N/A,#N/A,TRUE,"NAE";#N/A,#N/A,TRUE,"CR";#N/A,#N/A,TRUE,"CS";#N/A,#N/A,TRUE,"CC"}</definedName>
    <definedName name="OIJTGOWT" hidden="1">{#N/A,#N/A,TRUE,"NAE";#N/A,#N/A,TRUE,"CR";#N/A,#N/A,TRUE,"CS";#N/A,#N/A,TRUE,"CC"}</definedName>
    <definedName name="OIÑOIÑP" localSheetId="8" hidden="1">{#N/A,#N/A,TRUE,"NAE";#N/A,#N/A,TRUE,"CR";#N/A,#N/A,TRUE,"CS";#N/A,#N/A,TRUE,"CC"}</definedName>
    <definedName name="OIÑOIÑP" hidden="1">{#N/A,#N/A,TRUE,"NAE";#N/A,#N/A,TRUE,"CR";#N/A,#N/A,TRUE,"CS";#N/A,#N/A,TRUE,"CC"}</definedName>
    <definedName name="OIOPO" localSheetId="8" hidden="1">{#N/A,#N/A,TRUE,"NAE";#N/A,#N/A,TRUE,"CR";#N/A,#N/A,TRUE,"CS";#N/A,#N/A,TRUE,"CC"}</definedName>
    <definedName name="OIOPO" hidden="1">{#N/A,#N/A,TRUE,"NAE";#N/A,#N/A,TRUE,"CR";#N/A,#N/A,TRUE,"CS";#N/A,#N/A,TRUE,"CC"}</definedName>
    <definedName name="onven" localSheetId="8" hidden="1">{#N/A,#N/A,FALSE,"balance";#N/A,#N/A,FALSE,"PYG"}</definedName>
    <definedName name="onven" hidden="1">{#N/A,#N/A,FALSE,"balance";#N/A,#N/A,FALSE,"PYG"}</definedName>
    <definedName name="OOLL" localSheetId="8" hidden="1">{#N/A,#N/A,TRUE,"NAE";#N/A,#N/A,TRUE,"CR";#N/A,#N/A,TRUE,"CS";#N/A,#N/A,TRUE,"CC"}</definedName>
    <definedName name="OOLL" hidden="1">{#N/A,#N/A,TRUE,"NAE";#N/A,#N/A,TRUE,"CR";#N/A,#N/A,TRUE,"CS";#N/A,#N/A,TRUE,"CC"}</definedName>
    <definedName name="oooo" localSheetId="8" hidden="1">{#N/A,#N/A,TRUE,"NAE";#N/A,#N/A,TRUE,"CR";#N/A,#N/A,TRUE,"CS";#N/A,#N/A,TRUE,"CC"}</definedName>
    <definedName name="oooo" hidden="1">{#N/A,#N/A,TRUE,"NAE";#N/A,#N/A,TRUE,"CR";#N/A,#N/A,TRUE,"CS";#N/A,#N/A,TRUE,"CC"}</definedName>
    <definedName name="OOOOO" localSheetId="8" hidden="1">{#N/A,#N/A,TRUE,"NAE";#N/A,#N/A,TRUE,"CR";#N/A,#N/A,TRUE,"CS";#N/A,#N/A,TRUE,"CC"}</definedName>
    <definedName name="OOOOO" hidden="1">{#N/A,#N/A,TRUE,"NAE";#N/A,#N/A,TRUE,"CR";#N/A,#N/A,TRUE,"CS";#N/A,#N/A,TRUE,"CC"}</definedName>
    <definedName name="ooooooo" localSheetId="8" hidden="1">{#N/A,#N/A,TRUE,"NAE";#N/A,#N/A,TRUE,"CR";#N/A,#N/A,TRUE,"CS";#N/A,#N/A,TRUE,"CC"}</definedName>
    <definedName name="ooooooo" hidden="1">{#N/A,#N/A,TRUE,"NAE";#N/A,#N/A,TRUE,"CR";#N/A,#N/A,TRUE,"CS";#N/A,#N/A,TRUE,"CC"}</definedName>
    <definedName name="OREGANAL">#REF!</definedName>
    <definedName name="OREGANAL1">#REF!</definedName>
    <definedName name="OWJIWT8" localSheetId="8" hidden="1">{#N/A,#N/A,TRUE,"NAE";#N/A,#N/A,TRUE,"CR";#N/A,#N/A,TRUE,"CS";#N/A,#N/A,TRUE,"CC"}</definedName>
    <definedName name="OWJIWT8" hidden="1">{#N/A,#N/A,TRUE,"NAE";#N/A,#N/A,TRUE,"CR";#N/A,#N/A,TRUE,"CS";#N/A,#N/A,TRUE,"CC"}</definedName>
    <definedName name="OWMTGTR" localSheetId="8" hidden="1">{#N/A,#N/A,TRUE,"NAE";#N/A,#N/A,TRUE,"CR";#N/A,#N/A,TRUE,"CS";#N/A,#N/A,TRUE,"CC"}</definedName>
    <definedName name="OWMTGTR" hidden="1">{#N/A,#N/A,TRUE,"NAE";#N/A,#N/A,TRUE,"CR";#N/A,#N/A,TRUE,"CS";#N/A,#N/A,TRUE,"CC"}</definedName>
    <definedName name="p_cap_reg">#REF!</definedName>
    <definedName name="p_prima_reg">#REF!</definedName>
    <definedName name="P25KgNAL">#REF!</definedName>
    <definedName name="P40KgNAL">#REF!</definedName>
    <definedName name="P42.5KgEXP">#REF!</definedName>
    <definedName name="P42.5KgNAL">#REF!</definedName>
    <definedName name="P42.5KSA">#REF!</definedName>
    <definedName name="P50KgNAL">#REF!</definedName>
    <definedName name="P50RIO">#REF!</definedName>
    <definedName name="PA25NAL">#REF!</definedName>
    <definedName name="PA40KgNAL">#REF!</definedName>
    <definedName name="PA42.5EXP">#REF!</definedName>
    <definedName name="PA42.5KSA">#REF!</definedName>
    <definedName name="PA42.5NAL">#REF!</definedName>
    <definedName name="PA50NAL">#REF!</definedName>
    <definedName name="PA50RIO">#REF!</definedName>
    <definedName name="PAACPM">#REF!</definedName>
    <definedName name="PAAGREC">#REF!</definedName>
    <definedName name="PAARRIENDOS">#REF!</definedName>
    <definedName name="PABAUXITA">#REF!</definedName>
    <definedName name="PABIJAO">#REF!</definedName>
    <definedName name="PACALIZA">#REF!</definedName>
    <definedName name="PACEMS">#REF!</definedName>
    <definedName name="PACEMSAC">#REF!</definedName>
    <definedName name="PACHERT1">#REF!</definedName>
    <definedName name="PACLIN">#REF!</definedName>
    <definedName name="PACLINK">#REF!</definedName>
    <definedName name="PACLINK_CEM">#REF!</definedName>
    <definedName name="PACPM">#REF!</definedName>
    <definedName name="PADISGR">#REF!</definedName>
    <definedName name="PAEMP">#REF!</definedName>
    <definedName name="PAEMP50RIO">#REF!</definedName>
    <definedName name="PAEMPMAMP.">#REF!</definedName>
    <definedName name="PAENERG">#REF!</definedName>
    <definedName name="PAENERGIA">#REF!</definedName>
    <definedName name="PAESCORIA">#REF!</definedName>
    <definedName name="PAESLINGAS">#REF!</definedName>
    <definedName name="PAESLINGAS1">#REF!</definedName>
    <definedName name="PAETERNIT">#REF!</definedName>
    <definedName name="PAEXP42.5">#REF!</definedName>
    <definedName name="PAFUNDA0.0025">#REF!</definedName>
    <definedName name="PAFUNDA1.0">#REF!</definedName>
    <definedName name="PAGAS">#REF!</definedName>
    <definedName name="PAGAS1">#REF!</definedName>
    <definedName name="PAGISLAS">#REF!</definedName>
    <definedName name="PAGRECON">#REF!</definedName>
    <definedName name="PAGUSA">#REF!</definedName>
    <definedName name="PAJAGUA">#REF!</definedName>
    <definedName name="PAJAGUA1">#REF!</definedName>
    <definedName name="PALAMINA">#REF!</definedName>
    <definedName name="PAMAMP">#REF!</definedName>
    <definedName name="PAMINFE">#REF!</definedName>
    <definedName name="PAMMTO">#REF!</definedName>
    <definedName name="PAMOE">#REF!</definedName>
    <definedName name="PAMOE1">#REF!</definedName>
    <definedName name="PAMOF">#REF!</definedName>
    <definedName name="PAMOF1">#REF!</definedName>
    <definedName name="PAMOL3">#REF!</definedName>
    <definedName name="PAMOL4">#REF!</definedName>
    <definedName name="PAMOL5">#REF!</definedName>
    <definedName name="PAMOL6">#REF!</definedName>
    <definedName name="PAMOL7">#REF!</definedName>
    <definedName name="PAMOLCOMB">#REF!</definedName>
    <definedName name="PAMTTO">#REF!</definedName>
    <definedName name="PANAL25">#REF!</definedName>
    <definedName name="PANAL42.5">#REF!</definedName>
    <definedName name="PANAL50">#REF!</definedName>
    <definedName name="PAPASTA">#REF!</definedName>
    <definedName name="PAPETCOKE">#REF!</definedName>
    <definedName name="PAREGCALIZ">#REF!</definedName>
    <definedName name="PAREGCALIZ1">#REF!</definedName>
    <definedName name="PARMANEJO">#REF!</definedName>
    <definedName name="PAROLLO">#REF!</definedName>
    <definedName name="PARRIENDOS">#REF!</definedName>
    <definedName name="PASCLIN">#REF!</definedName>
    <definedName name="PAST">#REF!</definedName>
    <definedName name="PASTA">#REF!</definedName>
    <definedName name="PASTA_CLINKER">#REF!</definedName>
    <definedName name="PASTA1">#REF!</definedName>
    <definedName name="PASTA2">#REF!</definedName>
    <definedName name="PASTA3">#REF!</definedName>
    <definedName name="PASTA4">#REF!</definedName>
    <definedName name="PASTA5">#REF!</definedName>
    <definedName name="PASTA6">#REF!</definedName>
    <definedName name="PASTTOX3os">#REF!</definedName>
    <definedName name="PATOTAL">#REF!</definedName>
    <definedName name="PATRANSP">#REF!</definedName>
    <definedName name="PATRANSP1">#REF!</definedName>
    <definedName name="PATRANSPOLV">#REF!</definedName>
    <definedName name="PATRITURACION">#REF!</definedName>
    <definedName name="PAYESOIMP">#REF!</definedName>
    <definedName name="PAYESOIMP1">#REF!</definedName>
    <definedName name="PAYESONAL">#REF!</definedName>
    <definedName name="PAYESONAL1">#REF!</definedName>
    <definedName name="PBAUXITA">#REF!</definedName>
    <definedName name="PBIJAO">#REF!</definedName>
    <definedName name="PCALIZA">#REF!</definedName>
    <definedName name="PCEMSAC">#REF!</definedName>
    <definedName name="PCEMSACK">#REF!</definedName>
    <definedName name="PCHERT1">#REF!</definedName>
    <definedName name="PCLIN">#REF!</definedName>
    <definedName name="PCLIN_CEM">#REF!</definedName>
    <definedName name="PCLINK_CEM">#REF!</definedName>
    <definedName name="PCLINKER">#REF!</definedName>
    <definedName name="PDISGRANEL">#REF!</definedName>
    <definedName name="PEMP50RIO">#REF!</definedName>
    <definedName name="PEMPACADO">#REF!</definedName>
    <definedName name="PEMPMAMP">#REF!</definedName>
    <definedName name="PENERGIA">#REF!</definedName>
    <definedName name="PESCORIA">#REF!</definedName>
    <definedName name="PESLINGAS">#REF!</definedName>
    <definedName name="PESLINGAS1">#REF!</definedName>
    <definedName name="PETCOKE">#REF!</definedName>
    <definedName name="PETCOKE1">#REF!</definedName>
    <definedName name="PETCOKEH6">#REF!</definedName>
    <definedName name="PETERNIT">#REF!</definedName>
    <definedName name="PEXP42.5">#REF!</definedName>
    <definedName name="PFUNDA0.0025">#REF!</definedName>
    <definedName name="PFUNDA1.0">#REF!</definedName>
    <definedName name="PGAS">#REF!</definedName>
    <definedName name="PGAS1">#REF!</definedName>
    <definedName name="PGISLAS">#REF!</definedName>
    <definedName name="PGUSA">#REF!</definedName>
    <definedName name="PHORNO3">#REF!</definedName>
    <definedName name="PHORNO4">#REF!</definedName>
    <definedName name="PHORNO5">#REF!</definedName>
    <definedName name="PHORNO6">#REF!</definedName>
    <definedName name="PHORNO7">#REF!</definedName>
    <definedName name="PJAGUA">#REF!</definedName>
    <definedName name="PJAGUA1">#REF!</definedName>
    <definedName name="PLAMINA">#REF!</definedName>
    <definedName name="PLANTA">#REF!</definedName>
    <definedName name="PMAMP">#REF!</definedName>
    <definedName name="PMENSUAL">#REF!</definedName>
    <definedName name="PMINFE">#REF!</definedName>
    <definedName name="PMMTO">#REF!</definedName>
    <definedName name="PMOE">#REF!</definedName>
    <definedName name="PMOE1">#REF!</definedName>
    <definedName name="PMOF">#REF!</definedName>
    <definedName name="PMOF1">#REF!</definedName>
    <definedName name="PMOL4">#REF!</definedName>
    <definedName name="PMOLCOMB">#REF!</definedName>
    <definedName name="PMTTO">#REF!</definedName>
    <definedName name="PNAL25">#REF!</definedName>
    <definedName name="PNAL42.5">#REF!</definedName>
    <definedName name="PNAL50">#REF!</definedName>
    <definedName name="PÑPIÑ" localSheetId="8" hidden="1">{#N/A,#N/A,TRUE,"NAE";#N/A,#N/A,TRUE,"CR";#N/A,#N/A,TRUE,"CS";#N/A,#N/A,TRUE,"CC"}</definedName>
    <definedName name="PÑPIÑ" hidden="1">{#N/A,#N/A,TRUE,"NAE";#N/A,#N/A,TRUE,"CR";#N/A,#N/A,TRUE,"CS";#N/A,#N/A,TRUE,"CC"}</definedName>
    <definedName name="POLV96">#REF!</definedName>
    <definedName name="POLVEXP">#REF!</definedName>
    <definedName name="POLVILLO">#REF!</definedName>
    <definedName name="POLVILLO1">#REF!</definedName>
    <definedName name="POLVNAL">#REF!</definedName>
    <definedName name="POÓÓ" localSheetId="8" hidden="1">{#N/A,#N/A,TRUE,"NAE";#N/A,#N/A,TRUE,"CR";#N/A,#N/A,TRUE,"CS";#N/A,#N/A,TRUE,"CC"}</definedName>
    <definedName name="POÓÓ" hidden="1">{#N/A,#N/A,TRUE,"NAE";#N/A,#N/A,TRUE,"CR";#N/A,#N/A,TRUE,"CS";#N/A,#N/A,TRUE,"CC"}</definedName>
    <definedName name="popo">#REF!</definedName>
    <definedName name="Porc_Adicional_Nomina">#REF!</definedName>
    <definedName name="porc_aportesNC1">#REF!</definedName>
    <definedName name="porc_aportesNC2">#REF!</definedName>
    <definedName name="Porc_Aranceles">#REF!</definedName>
    <definedName name="Porc_Capex_USD">#REF!</definedName>
    <definedName name="porc_capexNC1">#REF!</definedName>
    <definedName name="porc_capexNC2">#REF!</definedName>
    <definedName name="Porc_Capital">#REF!</definedName>
    <definedName name="Porc_Deuda">#REF!</definedName>
    <definedName name="Porc_deuda_deseada">#REF!</definedName>
    <definedName name="porc_deudaNC1">#REF!</definedName>
    <definedName name="porc_deudaNC2">#REF!</definedName>
    <definedName name="porc_granel">#REF!</definedName>
    <definedName name="Porc_Incremento_Costos_Ampliacion">#REF!</definedName>
    <definedName name="Porc_Incremento_GA_Ampliacion">#REF!</definedName>
    <definedName name="Porc_Incremento_GV_Ampliacion">#REF!</definedName>
    <definedName name="porc_Inv_sostenimiento">#REF!</definedName>
    <definedName name="Porc_IVA">#REF!</definedName>
    <definedName name="porc_K">#REF!</definedName>
    <definedName name="porc_P">#REF!</definedName>
    <definedName name="Porc_Precio_Saco">#REF!</definedName>
    <definedName name="porc_sacos">#REF!</definedName>
    <definedName name="Porcentaje_Capex_Ampliacion">#REF!</definedName>
    <definedName name="pp" localSheetId="8" hidden="1">{#N/A,#N/A,FALSE,"balance";#N/A,#N/A,FALSE,"PYG"}</definedName>
    <definedName name="pp" hidden="1">{#N/A,#N/A,FALSE,"balance";#N/A,#N/A,FALSE,"PYG"}</definedName>
    <definedName name="PPASTA">#REF!</definedName>
    <definedName name="PPÑÑ" localSheetId="8" hidden="1">{#N/A,#N/A,TRUE,"NAE";#N/A,#N/A,TRUE,"CR";#N/A,#N/A,TRUE,"CS";#N/A,#N/A,TRUE,"CC"}</definedName>
    <definedName name="PPÑÑ" hidden="1">{#N/A,#N/A,TRUE,"NAE";#N/A,#N/A,TRUE,"CR";#N/A,#N/A,TRUE,"CS";#N/A,#N/A,TRUE,"CC"}</definedName>
    <definedName name="PPPETCOKE">#REF!</definedName>
    <definedName name="pppp" localSheetId="8" hidden="1">{"'RDOJTP'!$A$108:$AG$123"}</definedName>
    <definedName name="pppp" hidden="1">{"'RDOJTP'!$A$108:$AG$123"}</definedName>
    <definedName name="pppppppp" localSheetId="8" hidden="1">{#N/A,#N/A,TRUE,"NAE";#N/A,#N/A,TRUE,"CR";#N/A,#N/A,TRUE,"CS";#N/A,#N/A,TRUE,"CC"}</definedName>
    <definedName name="pppppppp" hidden="1">{#N/A,#N/A,TRUE,"NAE";#N/A,#N/A,TRUE,"CR";#N/A,#N/A,TRUE,"CS";#N/A,#N/A,TRUE,"CC"}</definedName>
    <definedName name="PPROMEDIO">#REF!</definedName>
    <definedName name="Precio_Mdo_Granel">#REF!</definedName>
    <definedName name="Precio_Mdo_Saco">#REF!</definedName>
    <definedName name="PRECIOY">#REF!</definedName>
    <definedName name="PREGCALIZA">#REF!</definedName>
    <definedName name="PREGCALIZA1">#REF!</definedName>
    <definedName name="PREHOM">#REF!</definedName>
    <definedName name="PREP_PTA">#REF!</definedName>
    <definedName name="PRESI">#REF!</definedName>
    <definedName name="PRMANEJO">#REF!</definedName>
    <definedName name="Prod_Clinker">#REF!</definedName>
    <definedName name="Prod97">#REF!</definedName>
    <definedName name="Produccion">#REF!</definedName>
    <definedName name="PROLLO">#REF!</definedName>
    <definedName name="PROMEDIO">#REF!</definedName>
    <definedName name="PROV" localSheetId="8" hidden="1">{"'RDOJTP'!$A$108:$AG$123"}</definedName>
    <definedName name="PROV" hidden="1">{"'RDOJTP'!$A$108:$AG$123"}</definedName>
    <definedName name="PROV1" localSheetId="8" hidden="1">{"'RDOJTP'!$A$108:$AG$123"}</definedName>
    <definedName name="PROV1" hidden="1">{"'RDOJTP'!$A$108:$AG$123"}</definedName>
    <definedName name="ProyeccionClinker">#REF!</definedName>
    <definedName name="PSTTOX3os">#REF!</definedName>
    <definedName name="PTO" localSheetId="8" hidden="1">{"'RDOJTP'!$A$108:$AG$123"}</definedName>
    <definedName name="PTO" hidden="1">{"'RDOJTP'!$A$108:$AG$123"}</definedName>
    <definedName name="PTOTAL">#REF!</definedName>
    <definedName name="PTRANSP">#REF!</definedName>
    <definedName name="PTRANSP1">#REF!</definedName>
    <definedName name="PTRITURACION">#REF!</definedName>
    <definedName name="PUZZ96">#REF!</definedName>
    <definedName name="PWQEFP" localSheetId="8" hidden="1">{#N/A,#N/A,TRUE,"NAE";#N/A,#N/A,TRUE,"CR";#N/A,#N/A,TRUE,"CS";#N/A,#N/A,TRUE,"CC"}</definedName>
    <definedName name="PWQEFP" hidden="1">{#N/A,#N/A,TRUE,"NAE";#N/A,#N/A,TRUE,"CR";#N/A,#N/A,TRUE,"CS";#N/A,#N/A,TRUE,"CC"}</definedName>
    <definedName name="PYESOIMP">#REF!</definedName>
    <definedName name="PYESOIMP1">#REF!</definedName>
    <definedName name="PYESONAL">#REF!</definedName>
    <definedName name="PYESONAL1">#REF!</definedName>
    <definedName name="PYG" localSheetId="8" hidden="1">{#N/A,#N/A,FALSE,"balance";#N/A,#N/A,FALSE,"PYG"}</definedName>
    <definedName name="PYG" hidden="1">{#N/A,#N/A,FALSE,"balance";#N/A,#N/A,FALSE,"PYG"}</definedName>
    <definedName name="q" localSheetId="8" hidden="1">{#N/A,#N/A,TRUE,"NAE";#N/A,#N/A,TRUE,"CR";#N/A,#N/A,TRUE,"CS";#N/A,#N/A,TRUE,"CC"}</definedName>
    <definedName name="q" hidden="1">{#N/A,#N/A,TRUE,"NAE";#N/A,#N/A,TRUE,"CR";#N/A,#N/A,TRUE,"CS";#N/A,#N/A,TRUE,"CC"}</definedName>
    <definedName name="QERTRTRE" localSheetId="8" hidden="1">{#N/A,#N/A,TRUE,"NAE";#N/A,#N/A,TRUE,"CR";#N/A,#N/A,TRUE,"CS";#N/A,#N/A,TRUE,"CC"}</definedName>
    <definedName name="QERTRTRE" hidden="1">{#N/A,#N/A,TRUE,"NAE";#N/A,#N/A,TRUE,"CR";#N/A,#N/A,TRUE,"CS";#N/A,#N/A,TRUE,"CC"}</definedName>
    <definedName name="QQQ" localSheetId="8" hidden="1">{#N/A,#N/A,TRUE,"NAE";#N/A,#N/A,TRUE,"CR";#N/A,#N/A,TRUE,"CS";#N/A,#N/A,TRUE,"CC"}</definedName>
    <definedName name="QQQ" hidden="1">{#N/A,#N/A,TRUE,"NAE";#N/A,#N/A,TRUE,"CR";#N/A,#N/A,TRUE,"CS";#N/A,#N/A,TRUE,"CC"}</definedName>
    <definedName name="QQQ_1" localSheetId="8">{"'8'!$B$1:$I$46"}</definedName>
    <definedName name="QQQ_1">{"'8'!$B$1:$I$46"}</definedName>
    <definedName name="QQQ_1_1" localSheetId="8">{"'8'!$B$1:$I$46"}</definedName>
    <definedName name="QQQ_1_1">{"'8'!$B$1:$I$46"}</definedName>
    <definedName name="QQQ_2" localSheetId="8">{"'8'!$B$1:$I$46"}</definedName>
    <definedName name="QQQ_2">{"'8'!$B$1:$I$46"}</definedName>
    <definedName name="qqqq" localSheetId="8" hidden="1">{#N/A,#N/A,TRUE,"NAE";#N/A,#N/A,TRUE,"CR";#N/A,#N/A,TRUE,"CS";#N/A,#N/A,TRUE,"CC"}</definedName>
    <definedName name="qqqq" hidden="1">{#N/A,#N/A,TRUE,"NAE";#N/A,#N/A,TRUE,"CR";#N/A,#N/A,TRUE,"CS";#N/A,#N/A,TRUE,"CC"}</definedName>
    <definedName name="qqqq_1" localSheetId="8">{"'장비'!$A$3:$M$12"}</definedName>
    <definedName name="qqqq_1">{"'장비'!$A$3:$M$12"}</definedName>
    <definedName name="qqqq_1_1" localSheetId="8">{"'장비'!$A$3:$M$12"}</definedName>
    <definedName name="qqqq_1_1">{"'장비'!$A$3:$M$12"}</definedName>
    <definedName name="qqqq_2" localSheetId="8">{"'장비'!$A$3:$M$12"}</definedName>
    <definedName name="qqqq_2">{"'장비'!$A$3:$M$12"}</definedName>
    <definedName name="qqqqqq" localSheetId="8" hidden="1">{#N/A,#N/A,TRUE,"NAE";#N/A,#N/A,TRUE,"CR";#N/A,#N/A,TRUE,"CS";#N/A,#N/A,TRUE,"CC"}</definedName>
    <definedName name="qqqqqq" hidden="1">{#N/A,#N/A,TRUE,"NAE";#N/A,#N/A,TRUE,"CR";#N/A,#N/A,TRUE,"CS";#N/A,#N/A,TRUE,"CC"}</definedName>
    <definedName name="QWEQRGR666" localSheetId="8" hidden="1">{#N/A,#N/A,TRUE,"NAE";#N/A,#N/A,TRUE,"CR";#N/A,#N/A,TRUE,"CS";#N/A,#N/A,TRUE,"CC"}</definedName>
    <definedName name="QWEQRGR666" hidden="1">{#N/A,#N/A,TRUE,"NAE";#N/A,#N/A,TRUE,"CR";#N/A,#N/A,TRUE,"CS";#N/A,#N/A,TRUE,"CC"}</definedName>
    <definedName name="QWROIQWE" localSheetId="8" hidden="1">{#N/A,#N/A,TRUE,"NAE";#N/A,#N/A,TRUE,"CR";#N/A,#N/A,TRUE,"CS";#N/A,#N/A,TRUE,"CC"}</definedName>
    <definedName name="QWROIQWE" hidden="1">{#N/A,#N/A,TRUE,"NAE";#N/A,#N/A,TRUE,"CR";#N/A,#N/A,TRUE,"CS";#N/A,#N/A,TRUE,"CC"}</definedName>
    <definedName name="re" localSheetId="8" hidden="1">{#N/A,#N/A,FALSE,"balance";#N/A,#N/A,FALSE,"PYG"}</definedName>
    <definedName name="re" hidden="1">{#N/A,#N/A,FALSE,"balance";#N/A,#N/A,FALSE,"PYG"}</definedName>
    <definedName name="reer" localSheetId="8" hidden="1">{#N/A,#N/A,TRUE,"NAE";#N/A,#N/A,TRUE,"CR";#N/A,#N/A,TRUE,"CS";#N/A,#N/A,TRUE,"CC"}</definedName>
    <definedName name="reer" hidden="1">{#N/A,#N/A,TRUE,"NAE";#N/A,#N/A,TRUE,"CR";#N/A,#N/A,TRUE,"CS";#N/A,#N/A,TRUE,"CC"}</definedName>
    <definedName name="REGCALIZA">#REF!</definedName>
    <definedName name="REJERRE" localSheetId="8" hidden="1">{#N/A,#N/A,TRUE,"NAE";#N/A,#N/A,TRUE,"CR";#N/A,#N/A,TRUE,"CS";#N/A,#N/A,TRUE,"CC"}</definedName>
    <definedName name="REJERRE" hidden="1">{#N/A,#N/A,TRUE,"NAE";#N/A,#N/A,TRUE,"CR";#N/A,#N/A,TRUE,"CS";#N/A,#N/A,TRUE,"CC"}</definedName>
    <definedName name="REP_MAY_RESUMEN">#REF!</definedName>
    <definedName name="REP_MAYORES_MMTO">#REF!</definedName>
    <definedName name="REPUESTOS">#REF!</definedName>
    <definedName name="Req_Totales">#REF!</definedName>
    <definedName name="RESPONSABLE">#REF!</definedName>
    <definedName name="Resum_cifras">#REF!</definedName>
    <definedName name="RETWERT55" localSheetId="8" hidden="1">{#N/A,#N/A,TRUE,"NAE";#N/A,#N/A,TRUE,"CR";#N/A,#N/A,TRUE,"CS";#N/A,#N/A,TRUE,"CC"}</definedName>
    <definedName name="RETWERT55" hidden="1">{#N/A,#N/A,TRUE,"NAE";#N/A,#N/A,TRUE,"CR";#N/A,#N/A,TRUE,"CS";#N/A,#N/A,TRUE,"CC"}</definedName>
    <definedName name="Revestim">#REF!</definedName>
    <definedName name="revmetal">#REF!</definedName>
    <definedName name="revmetal1">#REF!</definedName>
    <definedName name="revpasta">#REF!</definedName>
    <definedName name="REWY54Y45" localSheetId="8" hidden="1">{#N/A,#N/A,TRUE,"NAE";#N/A,#N/A,TRUE,"CR";#N/A,#N/A,TRUE,"CS";#N/A,#N/A,TRUE,"CC"}</definedName>
    <definedName name="REWY54Y45" hidden="1">{#N/A,#N/A,TRUE,"NAE";#N/A,#N/A,TRUE,"CR";#N/A,#N/A,TRUE,"CS";#N/A,#N/A,TRUE,"CC"}</definedName>
    <definedName name="reyjutkju" localSheetId="8" hidden="1">{#N/A,#N/A,TRUE,"NAE";#N/A,#N/A,TRUE,"CR";#N/A,#N/A,TRUE,"CS";#N/A,#N/A,TRUE,"CC"}</definedName>
    <definedName name="reyjutkju" hidden="1">{#N/A,#N/A,TRUE,"NAE";#N/A,#N/A,TRUE,"CR";#N/A,#N/A,TRUE,"CS";#N/A,#N/A,TRUE,"CC"}</definedName>
    <definedName name="rffffh" localSheetId="8" hidden="1">{#N/A,#N/A,TRUE,"NAE";#N/A,#N/A,TRUE,"CR";#N/A,#N/A,TRUE,"CS";#N/A,#N/A,TRUE,"CC"}</definedName>
    <definedName name="rffffh" hidden="1">{#N/A,#N/A,TRUE,"NAE";#N/A,#N/A,TRUE,"CR";#N/A,#N/A,TRUE,"CS";#N/A,#N/A,TRUE,"CC"}</definedName>
    <definedName name="RGOÑIGR9" localSheetId="8" hidden="1">{#N/A,#N/A,TRUE,"NAE";#N/A,#N/A,TRUE,"CR";#N/A,#N/A,TRUE,"CS";#N/A,#N/A,TRUE,"CC"}</definedName>
    <definedName name="RGOÑIGR9" hidden="1">{#N/A,#N/A,TRUE,"NAE";#N/A,#N/A,TRUE,"CR";#N/A,#N/A,TRUE,"CS";#N/A,#N/A,TRUE,"CC"}</definedName>
    <definedName name="RiskAfterRecalcMacro">""</definedName>
    <definedName name="RiskAfterSimMacro">""</definedName>
    <definedName name="RiskBeforeRecalcMacro">""</definedName>
    <definedName name="RiskBeforeSimMacro">""</definedName>
    <definedName name="RiskCollectDistributionSamples">2</definedName>
    <definedName name="RiskFixedSeed">1</definedName>
    <definedName name="RiskHasSettings">6</definedName>
    <definedName name="RiskMinimizeOnStart">FALSE</definedName>
    <definedName name="RiskMonitorConvergence">FALSE</definedName>
    <definedName name="RiskMultipleCPUSupportEnabled">TRUE</definedName>
    <definedName name="RiskNumIterations">100</definedName>
    <definedName name="RiskNumSimulations">1</definedName>
    <definedName name="RiskPauseOnError">FALSE</definedName>
    <definedName name="RiskRunAfterRecalcMacro">FALSE</definedName>
    <definedName name="RiskRunAfterSimMacro">FALSE</definedName>
    <definedName name="RiskRunBeforeRecalcMacro">FALSE</definedName>
    <definedName name="RiskRunBeforeSimMacro">FALSE</definedName>
    <definedName name="RiskSamplingType">3</definedName>
    <definedName name="RiskStandardRecalc">1</definedName>
    <definedName name="RiskUpdateDisplay">FALSE</definedName>
    <definedName name="RiskUseDifferentSeedForEachSim">FALSE</definedName>
    <definedName name="RiskUseFixedSeed">FALSE</definedName>
    <definedName name="RiskUseMultipleCPUs">TRUE</definedName>
    <definedName name="rjukuyk" localSheetId="8" hidden="1">{#N/A,#N/A,TRUE,"NAE";#N/A,#N/A,TRUE,"CR";#N/A,#N/A,TRUE,"CS";#N/A,#N/A,TRUE,"CC"}</definedName>
    <definedName name="rjukuyk" hidden="1">{#N/A,#N/A,TRUE,"NAE";#N/A,#N/A,TRUE,"CR";#N/A,#N/A,TRUE,"CS";#N/A,#N/A,TRUE,"CC"}</definedName>
    <definedName name="RMANEJO">#REF!</definedName>
    <definedName name="RMOE1">#REF!</definedName>
    <definedName name="RMYRMUY8657" localSheetId="8" hidden="1">{#N/A,#N/A,TRUE,"NAE";#N/A,#N/A,TRUE,"CR";#N/A,#N/A,TRUE,"CS";#N/A,#N/A,TRUE,"CC"}</definedName>
    <definedName name="RMYRMUY8657" hidden="1">{#N/A,#N/A,TRUE,"NAE";#N/A,#N/A,TRUE,"CR";#N/A,#N/A,TRUE,"CS";#N/A,#N/A,TRUE,"CC"}</definedName>
    <definedName name="ROLLO">#REF!</definedName>
    <definedName name="ROLLO1">#REF!</definedName>
    <definedName name="RRFF" localSheetId="8" hidden="1">{#N/A,#N/A,TRUE,"NAE";#N/A,#N/A,TRUE,"CR";#N/A,#N/A,TRUE,"CS";#N/A,#N/A,TRUE,"CC"}</definedName>
    <definedName name="RRFF" hidden="1">{#N/A,#N/A,TRUE,"NAE";#N/A,#N/A,TRUE,"CR";#N/A,#N/A,TRUE,"CS";#N/A,#N/A,TRUE,"CC"}</definedName>
    <definedName name="RRHH">#REF!</definedName>
    <definedName name="RRHHPL">#REF!</definedName>
    <definedName name="rrr" localSheetId="8" hidden="1">{#N/A,#N/A,TRUE,"NAE";#N/A,#N/A,TRUE,"CR";#N/A,#N/A,TRUE,"CS";#N/A,#N/A,TRUE,"CC"}</definedName>
    <definedName name="rrr" hidden="1">{#N/A,#N/A,TRUE,"NAE";#N/A,#N/A,TRUE,"CR";#N/A,#N/A,TRUE,"CS";#N/A,#N/A,TRUE,"CC"}</definedName>
    <definedName name="rrrr" localSheetId="8" hidden="1">{#N/A,#N/A,TRUE,"NAE";#N/A,#N/A,TRUE,"CR";#N/A,#N/A,TRUE,"CS";#N/A,#N/A,TRUE,"CC"}</definedName>
    <definedName name="rrrr" hidden="1">{#N/A,#N/A,TRUE,"NAE";#N/A,#N/A,TRUE,"CR";#N/A,#N/A,TRUE,"CS";#N/A,#N/A,TRUE,"CC"}</definedName>
    <definedName name="RRRRRR" localSheetId="8" hidden="1">{#N/A,#N/A,TRUE,"NAE";#N/A,#N/A,TRUE,"CR";#N/A,#N/A,TRUE,"CS";#N/A,#N/A,TRUE,"CC"}</definedName>
    <definedName name="RRRRRR" hidden="1">{#N/A,#N/A,TRUE,"NAE";#N/A,#N/A,TRUE,"CR";#N/A,#N/A,TRUE,"CS";#N/A,#N/A,TRUE,"CC"}</definedName>
    <definedName name="rrrrrrr" localSheetId="8" hidden="1">{#N/A,#N/A,TRUE,"NAE";#N/A,#N/A,TRUE,"CR";#N/A,#N/A,TRUE,"CS";#N/A,#N/A,TRUE,"CC"}</definedName>
    <definedName name="rrrrrrr" hidden="1">{#N/A,#N/A,TRUE,"NAE";#N/A,#N/A,TRUE,"CR";#N/A,#N/A,TRUE,"CS";#N/A,#N/A,TRUE,"CC"}</definedName>
    <definedName name="rrrrrrrr" localSheetId="8" hidden="1">{#N/A,#N/A,TRUE,"NAE";#N/A,#N/A,TRUE,"CR";#N/A,#N/A,TRUE,"CS";#N/A,#N/A,TRUE,"CC"}</definedName>
    <definedName name="rrrrrrrr" hidden="1">{#N/A,#N/A,TRUE,"NAE";#N/A,#N/A,TRUE,"CR";#N/A,#N/A,TRUE,"CS";#N/A,#N/A,TRUE,"CC"}</definedName>
    <definedName name="RSTTO">#REF!</definedName>
    <definedName name="rt7i76" localSheetId="8" hidden="1">{#N/A,#N/A,TRUE,"NAE";#N/A,#N/A,TRUE,"CR";#N/A,#N/A,TRUE,"CS";#N/A,#N/A,TRUE,"CC"}</definedName>
    <definedName name="rt7i76" hidden="1">{#N/A,#N/A,TRUE,"NAE";#N/A,#N/A,TRUE,"CR";#N/A,#N/A,TRUE,"CS";#N/A,#N/A,TRUE,"CC"}</definedName>
    <definedName name="rthd" localSheetId="8" hidden="1">{#N/A,#N/A,TRUE,"NAE";#N/A,#N/A,TRUE,"CR";#N/A,#N/A,TRUE,"CS";#N/A,#N/A,TRUE,"CC"}</definedName>
    <definedName name="rthd" hidden="1">{#N/A,#N/A,TRUE,"NAE";#N/A,#N/A,TRUE,"CR";#N/A,#N/A,TRUE,"CS";#N/A,#N/A,TRUE,"CC"}</definedName>
    <definedName name="rthe67" localSheetId="8" hidden="1">{#N/A,#N/A,TRUE,"NAE";#N/A,#N/A,TRUE,"CR";#N/A,#N/A,TRUE,"CS";#N/A,#N/A,TRUE,"CC"}</definedName>
    <definedName name="rthe67" hidden="1">{#N/A,#N/A,TRUE,"NAE";#N/A,#N/A,TRUE,"CR";#N/A,#N/A,TRUE,"CS";#N/A,#N/A,TRUE,"CC"}</definedName>
    <definedName name="rtir67r6" localSheetId="8" hidden="1">{#N/A,#N/A,TRUE,"NAE";#N/A,#N/A,TRUE,"CR";#N/A,#N/A,TRUE,"CS";#N/A,#N/A,TRUE,"CC"}</definedName>
    <definedName name="rtir67r6" hidden="1">{#N/A,#N/A,TRUE,"NAE";#N/A,#N/A,TRUE,"CR";#N/A,#N/A,TRUE,"CS";#N/A,#N/A,TRUE,"CC"}</definedName>
    <definedName name="rtjukuku" localSheetId="8" hidden="1">{#N/A,#N/A,TRUE,"NAE";#N/A,#N/A,TRUE,"CR";#N/A,#N/A,TRUE,"CS";#N/A,#N/A,TRUE,"CC"}</definedName>
    <definedName name="rtjukuku" hidden="1">{#N/A,#N/A,TRUE,"NAE";#N/A,#N/A,TRUE,"CR";#N/A,#N/A,TRUE,"CS";#N/A,#N/A,TRUE,"CC"}</definedName>
    <definedName name="rtkmjyujty" localSheetId="8" hidden="1">{#N/A,#N/A,TRUE,"NAE";#N/A,#N/A,TRUE,"CR";#N/A,#N/A,TRUE,"CS";#N/A,#N/A,TRUE,"CC"}</definedName>
    <definedName name="rtkmjyujty" hidden="1">{#N/A,#N/A,TRUE,"NAE";#N/A,#N/A,TRUE,"CR";#N/A,#N/A,TRUE,"CS";#N/A,#N/A,TRUE,"CC"}</definedName>
    <definedName name="rtnm" localSheetId="8" hidden="1">{#N/A,#N/A,TRUE,"NAE";#N/A,#N/A,TRUE,"CR";#N/A,#N/A,TRUE,"CS";#N/A,#N/A,TRUE,"CC"}</definedName>
    <definedName name="rtnm" hidden="1">{#N/A,#N/A,TRUE,"NAE";#N/A,#N/A,TRUE,"CR";#N/A,#N/A,TRUE,"CS";#N/A,#N/A,TRUE,"CC"}</definedName>
    <definedName name="RTRANSP">#REF!</definedName>
    <definedName name="rttryuiytui" localSheetId="8" hidden="1">{#N/A,#N/A,TRUE,"NAE";#N/A,#N/A,TRUE,"CR";#N/A,#N/A,TRUE,"CS";#N/A,#N/A,TRUE,"CC"}</definedName>
    <definedName name="rttryuiytui" hidden="1">{#N/A,#N/A,TRUE,"NAE";#N/A,#N/A,TRUE,"CR";#N/A,#N/A,TRUE,"CS";#N/A,#N/A,TRUE,"CC"}</definedName>
    <definedName name="rtutryugfhjh" localSheetId="8" hidden="1">{#N/A,#N/A,TRUE,"NAE";#N/A,#N/A,TRUE,"CR";#N/A,#N/A,TRUE,"CS";#N/A,#N/A,TRUE,"CC"}</definedName>
    <definedName name="rtutryugfhjh" hidden="1">{#N/A,#N/A,TRUE,"NAE";#N/A,#N/A,TRUE,"CR";#N/A,#N/A,TRUE,"CS";#N/A,#N/A,TRUE,"CC"}</definedName>
    <definedName name="rtuu" localSheetId="8" hidden="1">{#N/A,#N/A,TRUE,"NAE";#N/A,#N/A,TRUE,"CR";#N/A,#N/A,TRUE,"CS";#N/A,#N/A,TRUE,"CC"}</definedName>
    <definedName name="rtuu" hidden="1">{#N/A,#N/A,TRUE,"NAE";#N/A,#N/A,TRUE,"CR";#N/A,#N/A,TRUE,"CS";#N/A,#N/A,TRUE,"CC"}</definedName>
    <definedName name="rtyryyt" localSheetId="8" hidden="1">{#N/A,#N/A,TRUE,"NAE";#N/A,#N/A,TRUE,"CR";#N/A,#N/A,TRUE,"CS";#N/A,#N/A,TRUE,"CC"}</definedName>
    <definedName name="rtyryyt" hidden="1">{#N/A,#N/A,TRUE,"NAE";#N/A,#N/A,TRUE,"CR";#N/A,#N/A,TRUE,"CS";#N/A,#N/A,TRUE,"CC"}</definedName>
    <definedName name="rtyutryu" localSheetId="8" hidden="1">{#N/A,#N/A,TRUE,"NAE";#N/A,#N/A,TRUE,"CR";#N/A,#N/A,TRUE,"CS";#N/A,#N/A,TRUE,"CC"}</definedName>
    <definedName name="rtyutryu" hidden="1">{#N/A,#N/A,TRUE,"NAE";#N/A,#N/A,TRUE,"CR";#N/A,#N/A,TRUE,"CS";#N/A,#N/A,TRUE,"CC"}</definedName>
    <definedName name="RUKIDEWR" localSheetId="8" hidden="1">{#N/A,#N/A,TRUE,"NAE";#N/A,#N/A,TRUE,"CR";#N/A,#N/A,TRUE,"CS";#N/A,#N/A,TRUE,"CC"}</definedName>
    <definedName name="RUKIDEWR" hidden="1">{#N/A,#N/A,TRUE,"NAE";#N/A,#N/A,TRUE,"CR";#N/A,#N/A,TRUE,"CS";#N/A,#N/A,TRUE,"CC"}</definedName>
    <definedName name="rukrukurkm" localSheetId="8" hidden="1">{#N/A,#N/A,TRUE,"NAE";#N/A,#N/A,TRUE,"CR";#N/A,#N/A,TRUE,"CS";#N/A,#N/A,TRUE,"CC"}</definedName>
    <definedName name="rukrukurkm" hidden="1">{#N/A,#N/A,TRUE,"NAE";#N/A,#N/A,TRUE,"CR";#N/A,#N/A,TRUE,"CS";#N/A,#N/A,TRUE,"CC"}</definedName>
    <definedName name="RUKU" localSheetId="8" hidden="1">{#N/A,#N/A,TRUE,"NAE";#N/A,#N/A,TRUE,"CR";#N/A,#N/A,TRUE,"CS";#N/A,#N/A,TRUE,"CC"}</definedName>
    <definedName name="RUKU" hidden="1">{#N/A,#N/A,TRUE,"NAE";#N/A,#N/A,TRUE,"CR";#N/A,#N/A,TRUE,"CS";#N/A,#N/A,TRUE,"CC"}</definedName>
    <definedName name="rukyuk" localSheetId="8" hidden="1">{#N/A,#N/A,TRUE,"NAE";#N/A,#N/A,TRUE,"CR";#N/A,#N/A,TRUE,"CS";#N/A,#N/A,TRUE,"CC"}</definedName>
    <definedName name="rukyuk" hidden="1">{#N/A,#N/A,TRUE,"NAE";#N/A,#N/A,TRUE,"CR";#N/A,#N/A,TRUE,"CS";#N/A,#N/A,TRUE,"CC"}</definedName>
    <definedName name="ryjft777" localSheetId="8" hidden="1">{#N/A,#N/A,TRUE,"NAE";#N/A,#N/A,TRUE,"CR";#N/A,#N/A,TRUE,"CS";#N/A,#N/A,TRUE,"CC"}</definedName>
    <definedName name="ryjft777" hidden="1">{#N/A,#N/A,TRUE,"NAE";#N/A,#N/A,TRUE,"CR";#N/A,#N/A,TRUE,"CS";#N/A,#N/A,TRUE,"CC"}</definedName>
    <definedName name="rymu" localSheetId="8" hidden="1">{#N/A,#N/A,TRUE,"NAE";#N/A,#N/A,TRUE,"CR";#N/A,#N/A,TRUE,"CS";#N/A,#N/A,TRUE,"CC"}</definedName>
    <definedName name="rymu" hidden="1">{#N/A,#N/A,TRUE,"NAE";#N/A,#N/A,TRUE,"CR";#N/A,#N/A,TRUE,"CS";#N/A,#N/A,TRUE,"CC"}</definedName>
    <definedName name="SADKNIER763" localSheetId="8" hidden="1">{#N/A,#N/A,TRUE,"NAE";#N/A,#N/A,TRUE,"CR";#N/A,#N/A,TRUE,"CS";#N/A,#N/A,TRUE,"CC"}</definedName>
    <definedName name="SADKNIER763" hidden="1">{#N/A,#N/A,TRUE,"NAE";#N/A,#N/A,TRUE,"CR";#N/A,#N/A,TRUE,"CS";#N/A,#N/A,TRUE,"CC"}</definedName>
    <definedName name="SALARIO">#REF!</definedName>
    <definedName name="salarios2017">#REF!</definedName>
    <definedName name="SAPBEXhrIndnt" hidden="1">1</definedName>
    <definedName name="SAPBEXrevision" hidden="1">1</definedName>
    <definedName name="SAPBEXsysID" hidden="1">"BWP"</definedName>
    <definedName name="SAPBEXwbID" hidden="1">"8HFN453SXB7JP74RMIHPU4KX1"</definedName>
    <definedName name="sbhjdf" localSheetId="8" hidden="1">{#N/A,#N/A,TRUE,"NAE";#N/A,#N/A,TRUE,"CR";#N/A,#N/A,TRUE,"CS";#N/A,#N/A,TRUE,"CC"}</definedName>
    <definedName name="sbhjdf" hidden="1">{#N/A,#N/A,TRUE,"NAE";#N/A,#N/A,TRUE,"CR";#N/A,#N/A,TRUE,"CS";#N/A,#N/A,TRUE,"CC"}</definedName>
    <definedName name="SDFTRH" localSheetId="8" hidden="1">{#N/A,#N/A,TRUE,"NAE";#N/A,#N/A,TRUE,"CR";#N/A,#N/A,TRUE,"CS";#N/A,#N/A,TRUE,"CC"}</definedName>
    <definedName name="SDFTRH" hidden="1">{#N/A,#N/A,TRUE,"NAE";#N/A,#N/A,TRUE,"CR";#N/A,#N/A,TRUE,"CS";#N/A,#N/A,TRUE,"CC"}</definedName>
    <definedName name="sdgfdsfg" localSheetId="8" hidden="1">{#N/A,#N/A,TRUE,"NAE";#N/A,#N/A,TRUE,"CR";#N/A,#N/A,TRUE,"CS";#N/A,#N/A,TRUE,"CC"}</definedName>
    <definedName name="sdgfdsfg" hidden="1">{#N/A,#N/A,TRUE,"NAE";#N/A,#N/A,TRUE,"CR";#N/A,#N/A,TRUE,"CS";#N/A,#N/A,TRUE,"CC"}</definedName>
    <definedName name="sdgfs" localSheetId="8" hidden="1">{#N/A,#N/A,TRUE,"NAE";#N/A,#N/A,TRUE,"CR";#N/A,#N/A,TRUE,"CS";#N/A,#N/A,TRUE,"CC"}</definedName>
    <definedName name="sdgfs" hidden="1">{#N/A,#N/A,TRUE,"NAE";#N/A,#N/A,TRUE,"CR";#N/A,#N/A,TRUE,"CS";#N/A,#N/A,TRUE,"CC"}</definedName>
    <definedName name="sdhdtytr75764" localSheetId="8" hidden="1">{#N/A,#N/A,TRUE,"NAE";#N/A,#N/A,TRUE,"CR";#N/A,#N/A,TRUE,"CS";#N/A,#N/A,TRUE,"CC"}</definedName>
    <definedName name="sdhdtytr75764" hidden="1">{#N/A,#N/A,TRUE,"NAE";#N/A,#N/A,TRUE,"CR";#N/A,#N/A,TRUE,"CS";#N/A,#N/A,TRUE,"CC"}</definedName>
    <definedName name="segunda_milla_iacol">#REF!</definedName>
    <definedName name="SEGUR">#REF!</definedName>
    <definedName name="Seleccion_CartaCredito">#REF!</definedName>
    <definedName name="sencount">1</definedName>
    <definedName name="Sens_Capex">#REF!</definedName>
    <definedName name="Sens_Clinker">#REF!</definedName>
    <definedName name="Sens_Costos">#REF!</definedName>
    <definedName name="Sens_fletes">#REF!</definedName>
    <definedName name="Sens_Gastos">#REF!</definedName>
    <definedName name="Sens_ICA">#REF!</definedName>
    <definedName name="Sens_Inv_MS">#REF!</definedName>
    <definedName name="sens_kk">#REF!</definedName>
    <definedName name="Sens_Mina">#REF!</definedName>
    <definedName name="sens_pif">#REF!</definedName>
    <definedName name="Sens_Precio">#REF!</definedName>
    <definedName name="Sens_Precio_Clinker">#REF!</definedName>
    <definedName name="Sens_Toneladas">#REF!</definedName>
    <definedName name="Sept_99">#REF!</definedName>
    <definedName name="SERGEN">#REF!</definedName>
    <definedName name="SERVGE">#REF!</definedName>
    <definedName name="SFDSFS" localSheetId="8" hidden="1">{#N/A,#N/A,TRUE,"NAE";#N/A,#N/A,TRUE,"CR";#N/A,#N/A,TRUE,"CS";#N/A,#N/A,TRUE,"CC"}</definedName>
    <definedName name="SFDSFS" hidden="1">{#N/A,#N/A,TRUE,"NAE";#N/A,#N/A,TRUE,"CR";#N/A,#N/A,TRUE,"CS";#N/A,#N/A,TRUE,"CC"}</definedName>
    <definedName name="SFERTER" localSheetId="8" hidden="1">{#N/A,#N/A,TRUE,"NAE";#N/A,#N/A,TRUE,"CR";#N/A,#N/A,TRUE,"CS";#N/A,#N/A,TRUE,"CC"}</definedName>
    <definedName name="SFERTER" hidden="1">{#N/A,#N/A,TRUE,"NAE";#N/A,#N/A,TRUE,"CR";#N/A,#N/A,TRUE,"CS";#N/A,#N/A,TRUE,"CC"}</definedName>
    <definedName name="SGDNYJY789" localSheetId="8" hidden="1">{#N/A,#N/A,TRUE,"NAE";#N/A,#N/A,TRUE,"CR";#N/A,#N/A,TRUE,"CS";#N/A,#N/A,TRUE,"CC"}</definedName>
    <definedName name="SGDNYJY789" hidden="1">{#N/A,#N/A,TRUE,"NAE";#N/A,#N/A,TRUE,"CR";#N/A,#N/A,TRUE,"CS";#N/A,#N/A,TRUE,"CC"}</definedName>
    <definedName name="SISTE">#REF!</definedName>
    <definedName name="SISTEM">#REF!</definedName>
    <definedName name="Site" localSheetId="8">{"'8'!$B$1:$I$46"}</definedName>
    <definedName name="Site">{"'8'!$B$1:$I$46"}</definedName>
    <definedName name="Site_1" localSheetId="8">{"'8'!$B$1:$I$46"}</definedName>
    <definedName name="Site_1">{"'8'!$B$1:$I$46"}</definedName>
    <definedName name="Site_1_1" localSheetId="8">{"'8'!$B$1:$I$46"}</definedName>
    <definedName name="Site_1_1">{"'8'!$B$1:$I$46"}</definedName>
    <definedName name="Site_2" localSheetId="8">{"'8'!$B$1:$I$46"}</definedName>
    <definedName name="Site_2">{"'8'!$B$1:$I$46"}</definedName>
    <definedName name="Sobre_Costos_Mina">#REF!</definedName>
    <definedName name="SobreTasa_CREE">#REF!</definedName>
    <definedName name="Socios_NC1">#REF!</definedName>
    <definedName name="Socios_NC2">#REF!</definedName>
    <definedName name="solo_sacos">#REF!</definedName>
    <definedName name="solver_adj" hidden="1">#REF!</definedName>
    <definedName name="solver_cvg" hidden="1">0.001</definedName>
    <definedName name="solver_drv" hidden="1">1</definedName>
    <definedName name="solver_est" hidden="1">1</definedName>
    <definedName name="solver_itr" hidden="1">100</definedName>
    <definedName name="solver_lin" hidden="1">0</definedName>
    <definedName name="solver_neg" hidden="1">2</definedName>
    <definedName name="solver_num" hidden="1">0</definedName>
    <definedName name="solver_nwt" hidden="1">1</definedName>
    <definedName name="solver_opt" hidden="1">#REF!</definedName>
    <definedName name="solver_pre" hidden="1">0.000001</definedName>
    <definedName name="solver_scl" hidden="1">2</definedName>
    <definedName name="solver_sho" hidden="1">2</definedName>
    <definedName name="solver_tim" hidden="1">100</definedName>
    <definedName name="solver_tmp" hidden="1">#NAME?</definedName>
    <definedName name="solver_tol" hidden="1">0.05</definedName>
    <definedName name="solver_typ" hidden="1">3</definedName>
    <definedName name="solver_val" hidden="1">47.37</definedName>
    <definedName name="SOP_C_MOL_460">#REF!</definedName>
    <definedName name="SSDD" localSheetId="8" hidden="1">{#N/A,#N/A,TRUE,"NAE";#N/A,#N/A,TRUE,"CR";#N/A,#N/A,TRUE,"CS";#N/A,#N/A,TRUE,"CC"}</definedName>
    <definedName name="SSDD" hidden="1">{#N/A,#N/A,TRUE,"NAE";#N/A,#N/A,TRUE,"CR";#N/A,#N/A,TRUE,"CS";#N/A,#N/A,TRUE,"CC"}</definedName>
    <definedName name="SSDDFF55" localSheetId="8" hidden="1">{#N/A,#N/A,TRUE,"NAE";#N/A,#N/A,TRUE,"CR";#N/A,#N/A,TRUE,"CS";#N/A,#N/A,TRUE,"CC"}</definedName>
    <definedName name="SSDDFF55" hidden="1">{#N/A,#N/A,TRUE,"NAE";#N/A,#N/A,TRUE,"CR";#N/A,#N/A,TRUE,"CS";#N/A,#N/A,TRUE,"CC"}</definedName>
    <definedName name="ssdtrjtrju78987" localSheetId="8" hidden="1">{#N/A,#N/A,TRUE,"NAE";#N/A,#N/A,TRUE,"CR";#N/A,#N/A,TRUE,"CS";#N/A,#N/A,TRUE,"CC"}</definedName>
    <definedName name="ssdtrjtrju78987" hidden="1">{#N/A,#N/A,TRUE,"NAE";#N/A,#N/A,TRUE,"CR";#N/A,#N/A,TRUE,"CS";#N/A,#N/A,TRUE,"CC"}</definedName>
    <definedName name="SSSS" localSheetId="8" hidden="1">{#N/A,#N/A,TRUE,"NAE";#N/A,#N/A,TRUE,"CR";#N/A,#N/A,TRUE,"CS";#N/A,#N/A,TRUE,"CC"}</definedName>
    <definedName name="SSSS" hidden="1">{#N/A,#N/A,TRUE,"NAE";#N/A,#N/A,TRUE,"CR";#N/A,#N/A,TRUE,"CS";#N/A,#N/A,TRUE,"CC"}</definedName>
    <definedName name="sssss" localSheetId="8" hidden="1">{#N/A,#N/A,TRUE,"NAE";#N/A,#N/A,TRUE,"CR";#N/A,#N/A,TRUE,"CS";#N/A,#N/A,TRUE,"CC"}</definedName>
    <definedName name="sssss" hidden="1">{#N/A,#N/A,TRUE,"NAE";#N/A,#N/A,TRUE,"CR";#N/A,#N/A,TRUE,"CS";#N/A,#N/A,TRUE,"CC"}</definedName>
    <definedName name="sssssss" localSheetId="8" hidden="1">{#N/A,#N/A,TRUE,"NAE";#N/A,#N/A,TRUE,"CR";#N/A,#N/A,TRUE,"CS";#N/A,#N/A,TRUE,"CC"}</definedName>
    <definedName name="sssssss" hidden="1">{#N/A,#N/A,TRUE,"NAE";#N/A,#N/A,TRUE,"CR";#N/A,#N/A,TRUE,"CS";#N/A,#N/A,TRUE,"CC"}</definedName>
    <definedName name="SSXX" localSheetId="8" hidden="1">{#N/A,#N/A,TRUE,"NAE";#N/A,#N/A,TRUE,"CR";#N/A,#N/A,TRUE,"CS";#N/A,#N/A,TRUE,"CC"}</definedName>
    <definedName name="SSXX" hidden="1">{#N/A,#N/A,TRUE,"NAE";#N/A,#N/A,TRUE,"CR";#N/A,#N/A,TRUE,"CS";#N/A,#N/A,TRUE,"CC"}</definedName>
    <definedName name="StartDate">39248</definedName>
    <definedName name="Status">#REF!</definedName>
    <definedName name="sthyetr" localSheetId="8" hidden="1">{#N/A,#N/A,TRUE,"NAE";#N/A,#N/A,TRUE,"CR";#N/A,#N/A,TRUE,"CS";#N/A,#N/A,TRUE,"CC"}</definedName>
    <definedName name="sthyetr" hidden="1">{#N/A,#N/A,TRUE,"NAE";#N/A,#N/A,TRUE,"CR";#N/A,#N/A,TRUE,"CS";#N/A,#N/A,TRUE,"CC"}</definedName>
    <definedName name="STTO_X_3os">#REF!</definedName>
    <definedName name="STTOX3os">#REF!</definedName>
    <definedName name="superv" localSheetId="8">{"'8'!$B$1:$I$46"}</definedName>
    <definedName name="superv">{"'8'!$B$1:$I$46"}</definedName>
    <definedName name="superv_1" localSheetId="8">{"'8'!$B$1:$I$46"}</definedName>
    <definedName name="superv_1">{"'8'!$B$1:$I$46"}</definedName>
    <definedName name="superv_1_1" localSheetId="8">{"'8'!$B$1:$I$46"}</definedName>
    <definedName name="superv_1_1">{"'8'!$B$1:$I$46"}</definedName>
    <definedName name="superv_2" localSheetId="8">{"'8'!$B$1:$I$46"}</definedName>
    <definedName name="superv_2">{"'8'!$B$1:$I$46"}</definedName>
    <definedName name="supervisores">#REF!</definedName>
    <definedName name="SWSWSWS" localSheetId="8" hidden="1">{#N/A,#N/A,TRUE,"NAE";#N/A,#N/A,TRUE,"CR";#N/A,#N/A,TRUE,"CS";#N/A,#N/A,TRUE,"CC"}</definedName>
    <definedName name="SWSWSWS" hidden="1">{#N/A,#N/A,TRUE,"NAE";#N/A,#N/A,TRUE,"CR";#N/A,#N/A,TRUE,"CS";#N/A,#N/A,TRUE,"CC"}</definedName>
    <definedName name="Swvu.PRECIOS_MP." hidden="1">#REF!</definedName>
    <definedName name="syre78" localSheetId="8" hidden="1">{#N/A,#N/A,TRUE,"NAE";#N/A,#N/A,TRUE,"CR";#N/A,#N/A,TRUE,"CS";#N/A,#N/A,TRUE,"CC"}</definedName>
    <definedName name="syre78" hidden="1">{#N/A,#N/A,TRUE,"NAE";#N/A,#N/A,TRUE,"CR";#N/A,#N/A,TRUE,"CS";#N/A,#N/A,TRUE,"CC"}</definedName>
    <definedName name="Tabla_Comisiones">#REF!</definedName>
    <definedName name="Tasa">"Gráfico 1"</definedName>
    <definedName name="Tasa_Impositiva">#REF!</definedName>
    <definedName name="tasa_interes_inv">#REF!</definedName>
    <definedName name="tasa_interes_proyecto">#REF!</definedName>
    <definedName name="TDHDGH" localSheetId="8" hidden="1">{#N/A,#N/A,TRUE,"NAE";#N/A,#N/A,TRUE,"CR";#N/A,#N/A,TRUE,"CS";#N/A,#N/A,TRUE,"CC"}</definedName>
    <definedName name="TDHDGH" hidden="1">{#N/A,#N/A,TRUE,"NAE";#N/A,#N/A,TRUE,"CR";#N/A,#N/A,TRUE,"CS";#N/A,#N/A,TRUE,"CC"}</definedName>
    <definedName name="temp1">#REF!</definedName>
    <definedName name="TESYCAR">#REF!</definedName>
    <definedName name="TEYJTYJ" localSheetId="8" hidden="1">{#N/A,#N/A,TRUE,"NAE";#N/A,#N/A,TRUE,"CR";#N/A,#N/A,TRUE,"CS";#N/A,#N/A,TRUE,"CC"}</definedName>
    <definedName name="TEYJTYJ" hidden="1">{#N/A,#N/A,TRUE,"NAE";#N/A,#N/A,TRUE,"CR";#N/A,#N/A,TRUE,"CS";#N/A,#N/A,TRUE,"CC"}</definedName>
    <definedName name="TFRB">#REF!</definedName>
    <definedName name="THEYJEY" localSheetId="8" hidden="1">{#N/A,#N/A,TRUE,"NAE";#N/A,#N/A,TRUE,"CR";#N/A,#N/A,TRUE,"CS";#N/A,#N/A,TRUE,"CC"}</definedName>
    <definedName name="THEYJEY" hidden="1">{#N/A,#N/A,TRUE,"NAE";#N/A,#N/A,TRUE,"CR";#N/A,#N/A,TRUE,"CS";#N/A,#N/A,TRUE,"CC"}</definedName>
    <definedName name="tiloiul" localSheetId="8" hidden="1">{#N/A,#N/A,TRUE,"NAE";#N/A,#N/A,TRUE,"CR";#N/A,#N/A,TRUE,"CS";#N/A,#N/A,TRUE,"CC"}</definedName>
    <definedName name="tiloiul" hidden="1">{#N/A,#N/A,TRUE,"NAE";#N/A,#N/A,TRUE,"CR";#N/A,#N/A,TRUE,"CS";#N/A,#N/A,TRUE,"CC"}</definedName>
    <definedName name="tInicio_deudaNC1">#REF!</definedName>
    <definedName name="tInicio_deudaNC2">#REF!</definedName>
    <definedName name="Tipo_Wacc">#REF!</definedName>
    <definedName name="Títulos_a_imprimir_IM">#REF!</definedName>
    <definedName name="tiylo" localSheetId="8" hidden="1">{#N/A,#N/A,TRUE,"NAE";#N/A,#N/A,TRUE,"CR";#N/A,#N/A,TRUE,"CS";#N/A,#N/A,TRUE,"CC"}</definedName>
    <definedName name="tiylo" hidden="1">{#N/A,#N/A,TRUE,"NAE";#N/A,#N/A,TRUE,"CR";#N/A,#N/A,TRUE,"CS";#N/A,#N/A,TRUE,"CC"}</definedName>
    <definedName name="tjtujr" localSheetId="8" hidden="1">{#N/A,#N/A,TRUE,"NAE";#N/A,#N/A,TRUE,"CR";#N/A,#N/A,TRUE,"CS";#N/A,#N/A,TRUE,"CC"}</definedName>
    <definedName name="tjtujr" hidden="1">{#N/A,#N/A,TRUE,"NAE";#N/A,#N/A,TRUE,"CR";#N/A,#N/A,TRUE,"CS";#N/A,#N/A,TRUE,"CC"}</definedName>
    <definedName name="todo_vol">#REF!</definedName>
    <definedName name="TONCLI">#REF!</definedName>
    <definedName name="Tot_año">#REF!</definedName>
    <definedName name="TOTAL">#REF!</definedName>
    <definedName name="total_deudaNC1">#REF!</definedName>
    <definedName name="total_deudaNC2">#REF!</definedName>
    <definedName name="Total97">#REF!</definedName>
    <definedName name="TOTYES96">#REF!</definedName>
    <definedName name="TOTYESO">#REF!</definedName>
    <definedName name="TRANSESCOR">#REF!</definedName>
    <definedName name="TRANSOTROS">#REF!</definedName>
    <definedName name="TRANSP">#REF!</definedName>
    <definedName name="TRANSP1">#REF!</definedName>
    <definedName name="TRANSYESO">#REF!</definedName>
    <definedName name="TRETRE" localSheetId="8" hidden="1">{#N/A,#N/A,FALSE,"ERG-OL";#N/A,#N/A,FALSE,"ERGxUF";#N/A,#N/A,FALSE,"ERG-SL";#N/A,#N/A,FALSE,"ERG-AV"}</definedName>
    <definedName name="TRETRE" hidden="1">{#N/A,#N/A,FALSE,"ERG-OL";#N/A,#N/A,FALSE,"ERGxUF";#N/A,#N/A,FALSE,"ERG-SL";#N/A,#N/A,FALSE,"ERG-AV"}</definedName>
    <definedName name="trhrtyry" localSheetId="8" hidden="1">{#N/A,#N/A,TRUE,"NAE";#N/A,#N/A,TRUE,"CR";#N/A,#N/A,TRUE,"CS";#N/A,#N/A,TRUE,"CC"}</definedName>
    <definedName name="trhrtyry" hidden="1">{#N/A,#N/A,TRUE,"NAE";#N/A,#N/A,TRUE,"CR";#N/A,#N/A,TRUE,"CS";#N/A,#N/A,TRUE,"CC"}</definedName>
    <definedName name="TRIT">#REF!</definedName>
    <definedName name="TRITURAC">#REF!</definedName>
    <definedName name="TRITURACION">#REF!</definedName>
    <definedName name="trkiyuiyu" localSheetId="8" hidden="1">{#N/A,#N/A,TRUE,"NAE";#N/A,#N/A,TRUE,"CR";#N/A,#N/A,TRUE,"CS";#N/A,#N/A,TRUE,"CC"}</definedName>
    <definedName name="trkiyuiyu" hidden="1">{#N/A,#N/A,TRUE,"NAE";#N/A,#N/A,TRUE,"CR";#N/A,#N/A,TRUE,"CS";#N/A,#N/A,TRUE,"CC"}</definedName>
    <definedName name="trkyo8" localSheetId="8" hidden="1">{#N/A,#N/A,TRUE,"NAE";#N/A,#N/A,TRUE,"CR";#N/A,#N/A,TRUE,"CS";#N/A,#N/A,TRUE,"CC"}</definedName>
    <definedName name="trkyo8" hidden="1">{#N/A,#N/A,TRUE,"NAE";#N/A,#N/A,TRUE,"CR";#N/A,#N/A,TRUE,"CS";#N/A,#N/A,TRUE,"CC"}</definedName>
    <definedName name="TRSTRJY" localSheetId="8" hidden="1">{#N/A,#N/A,TRUE,"NAE";#N/A,#N/A,TRUE,"CR";#N/A,#N/A,TRUE,"CS";#N/A,#N/A,TRUE,"CC"}</definedName>
    <definedName name="TRSTRJY" hidden="1">{#N/A,#N/A,TRUE,"NAE";#N/A,#N/A,TRUE,"CR";#N/A,#N/A,TRUE,"CS";#N/A,#N/A,TRUE,"CC"}</definedName>
    <definedName name="trut" localSheetId="8" hidden="1">{#N/A,#N/A,TRUE,"NAE";#N/A,#N/A,TRUE,"CR";#N/A,#N/A,TRUE,"CS";#N/A,#N/A,TRUE,"CC"}</definedName>
    <definedName name="trut" hidden="1">{#N/A,#N/A,TRUE,"NAE";#N/A,#N/A,TRUE,"CR";#N/A,#N/A,TRUE,"CS";#N/A,#N/A,TRUE,"CC"}</definedName>
    <definedName name="TRYRY" localSheetId="8" hidden="1">{#N/A,#N/A,TRUE,"NAE";#N/A,#N/A,TRUE,"CR";#N/A,#N/A,TRUE,"CS";#N/A,#N/A,TRUE,"CC"}</definedName>
    <definedName name="TRYRY" hidden="1">{#N/A,#N/A,TRUE,"NAE";#N/A,#N/A,TRUE,"CR";#N/A,#N/A,TRUE,"CS";#N/A,#N/A,TRUE,"CC"}</definedName>
    <definedName name="tryui876" localSheetId="8" hidden="1">{#N/A,#N/A,TRUE,"NAE";#N/A,#N/A,TRUE,"CR";#N/A,#N/A,TRUE,"CS";#N/A,#N/A,TRUE,"CC"}</definedName>
    <definedName name="tryui876" hidden="1">{#N/A,#N/A,TRUE,"NAE";#N/A,#N/A,TRUE,"CR";#N/A,#N/A,TRUE,"CS";#N/A,#N/A,TRUE,"CC"}</definedName>
    <definedName name="TTGG" localSheetId="8" hidden="1">{#N/A,#N/A,TRUE,"NAE";#N/A,#N/A,TRUE,"CR";#N/A,#N/A,TRUE,"CS";#N/A,#N/A,TRUE,"CC"}</definedName>
    <definedName name="TTGG" hidden="1">{#N/A,#N/A,TRUE,"NAE";#N/A,#N/A,TRUE,"CR";#N/A,#N/A,TRUE,"CS";#N/A,#N/A,TRUE,"CC"}</definedName>
    <definedName name="tttt" localSheetId="8" hidden="1">{#N/A,#N/A,TRUE,"NAE";#N/A,#N/A,TRUE,"CR";#N/A,#N/A,TRUE,"CS";#N/A,#N/A,TRUE,"CC"}</definedName>
    <definedName name="tttt" hidden="1">{#N/A,#N/A,TRUE,"NAE";#N/A,#N/A,TRUE,"CR";#N/A,#N/A,TRUE,"CS";#N/A,#N/A,TRUE,"CC"}</definedName>
    <definedName name="TTTTTT" localSheetId="8" hidden="1">{#N/A,#N/A,TRUE,"NAE";#N/A,#N/A,TRUE,"CR";#N/A,#N/A,TRUE,"CS";#N/A,#N/A,TRUE,"CC"}</definedName>
    <definedName name="TTTTTT" hidden="1">{#N/A,#N/A,TRUE,"NAE";#N/A,#N/A,TRUE,"CR";#N/A,#N/A,TRUE,"CS";#N/A,#N/A,TRUE,"CC"}</definedName>
    <definedName name="ttttttt" localSheetId="8" hidden="1">{#N/A,#N/A,TRUE,"NAE";#N/A,#N/A,TRUE,"CR";#N/A,#N/A,TRUE,"CS";#N/A,#N/A,TRUE,"CC"}</definedName>
    <definedName name="ttttttt" hidden="1">{#N/A,#N/A,TRUE,"NAE";#N/A,#N/A,TRUE,"CR";#N/A,#N/A,TRUE,"CS";#N/A,#N/A,TRUE,"CC"}</definedName>
    <definedName name="TVDL">#REF!</definedName>
    <definedName name="TYDKJUK" localSheetId="8" hidden="1">{#N/A,#N/A,TRUE,"NAE";#N/A,#N/A,TRUE,"CR";#N/A,#N/A,TRUE,"CS";#N/A,#N/A,TRUE,"CC"}</definedName>
    <definedName name="TYDKJUK" hidden="1">{#N/A,#N/A,TRUE,"NAE";#N/A,#N/A,TRUE,"CR";#N/A,#N/A,TRUE,"CS";#N/A,#N/A,TRUE,"CC"}</definedName>
    <definedName name="tyjtrkju" localSheetId="8" hidden="1">{#N/A,#N/A,TRUE,"NAE";#N/A,#N/A,TRUE,"CR";#N/A,#N/A,TRUE,"CS";#N/A,#N/A,TRUE,"CC"}</definedName>
    <definedName name="tyjtrkju" hidden="1">{#N/A,#N/A,TRUE,"NAE";#N/A,#N/A,TRUE,"CR";#N/A,#N/A,TRUE,"CS";#N/A,#N/A,TRUE,"CC"}</definedName>
    <definedName name="TYJTY887" localSheetId="8" hidden="1">{#N/A,#N/A,TRUE,"NAE";#N/A,#N/A,TRUE,"CR";#N/A,#N/A,TRUE,"CS";#N/A,#N/A,TRUE,"CC"}</definedName>
    <definedName name="TYJTY887" hidden="1">{#N/A,#N/A,TRUE,"NAE";#N/A,#N/A,TRUE,"CR";#N/A,#N/A,TRUE,"CS";#N/A,#N/A,TRUE,"CC"}</definedName>
    <definedName name="tyjyt" localSheetId="8" hidden="1">{#N/A,#N/A,TRUE,"NAE";#N/A,#N/A,TRUE,"CR";#N/A,#N/A,TRUE,"CS";#N/A,#N/A,TRUE,"CC"}</definedName>
    <definedName name="tyjyt" hidden="1">{#N/A,#N/A,TRUE,"NAE";#N/A,#N/A,TRUE,"CR";#N/A,#N/A,TRUE,"CS";#N/A,#N/A,TRUE,"CC"}</definedName>
    <definedName name="TYKJUFKUY" localSheetId="8" hidden="1">{#N/A,#N/A,TRUE,"NAE";#N/A,#N/A,TRUE,"CR";#N/A,#N/A,TRUE,"CS";#N/A,#N/A,TRUE,"CC"}</definedName>
    <definedName name="TYKJUFKUY" hidden="1">{#N/A,#N/A,TRUE,"NAE";#N/A,#N/A,TRUE,"CR";#N/A,#N/A,TRUE,"CS";#N/A,#N/A,TRUE,"CC"}</definedName>
    <definedName name="TYYTJ" localSheetId="8" hidden="1">{#N/A,#N/A,TRUE,"NAE";#N/A,#N/A,TRUE,"CR";#N/A,#N/A,TRUE,"CS";#N/A,#N/A,TRUE,"CC"}</definedName>
    <definedName name="TYYTJ" hidden="1">{#N/A,#N/A,TRUE,"NAE";#N/A,#N/A,TRUE,"CR";#N/A,#N/A,TRUE,"CS";#N/A,#N/A,TRUE,"CC"}</definedName>
    <definedName name="Ubic_Fletes">#REF!</definedName>
    <definedName name="UDMDUKM" localSheetId="8" hidden="1">{#N/A,#N/A,TRUE,"NAE";#N/A,#N/A,TRUE,"CR";#N/A,#N/A,TRUE,"CS";#N/A,#N/A,TRUE,"CC"}</definedName>
    <definedName name="UDMDUKM" hidden="1">{#N/A,#N/A,TRUE,"NAE";#N/A,#N/A,TRUE,"CR";#N/A,#N/A,TRUE,"CS";#N/A,#N/A,TRUE,"CC"}</definedName>
    <definedName name="UEMKUKU" localSheetId="8" hidden="1">{#N/A,#N/A,TRUE,"NAE";#N/A,#N/A,TRUE,"CR";#N/A,#N/A,TRUE,"CS";#N/A,#N/A,TRUE,"CC"}</definedName>
    <definedName name="UEMKUKU" hidden="1">{#N/A,#N/A,TRUE,"NAE";#N/A,#N/A,TRUE,"CR";#N/A,#N/A,TRUE,"CS";#N/A,#N/A,TRUE,"CC"}</definedName>
    <definedName name="UFKYUFKU" localSheetId="8" hidden="1">{#N/A,#N/A,TRUE,"NAE";#N/A,#N/A,TRUE,"CR";#N/A,#N/A,TRUE,"CS";#N/A,#N/A,TRUE,"CC"}</definedName>
    <definedName name="UFKYUFKU" hidden="1">{#N/A,#N/A,TRUE,"NAE";#N/A,#N/A,TRUE,"CR";#N/A,#N/A,TRUE,"CS";#N/A,#N/A,TRUE,"CC"}</definedName>
    <definedName name="UJ" localSheetId="8" hidden="1">{#N/A,#N/A,TRUE,"NAE";#N/A,#N/A,TRUE,"CR";#N/A,#N/A,TRUE,"CS";#N/A,#N/A,TRUE,"CC"}</definedName>
    <definedName name="UJ" hidden="1">{#N/A,#N/A,TRUE,"NAE";#N/A,#N/A,TRUE,"CR";#N/A,#N/A,TRUE,"CS";#N/A,#N/A,TRUE,"CC"}</definedName>
    <definedName name="UJJ" localSheetId="8" hidden="1">{#N/A,#N/A,TRUE,"NAE";#N/A,#N/A,TRUE,"CR";#N/A,#N/A,TRUE,"CS";#N/A,#N/A,TRUE,"CC"}</definedName>
    <definedName name="UJJ" hidden="1">{#N/A,#N/A,TRUE,"NAE";#N/A,#N/A,TRUE,"CR";#N/A,#N/A,TRUE,"CS";#N/A,#N/A,TRUE,"CC"}</definedName>
    <definedName name="ujrtn" localSheetId="8" hidden="1">{#N/A,#N/A,TRUE,"NAE";#N/A,#N/A,TRUE,"CR";#N/A,#N/A,TRUE,"CS";#N/A,#N/A,TRUE,"CC"}</definedName>
    <definedName name="ujrtn" hidden="1">{#N/A,#N/A,TRUE,"NAE";#N/A,#N/A,TRUE,"CR";#N/A,#N/A,TRUE,"CS";#N/A,#N/A,TRUE,"CC"}</definedName>
    <definedName name="ujt" localSheetId="8" hidden="1">{#N/A,#N/A,TRUE,"NAE";#N/A,#N/A,TRUE,"CR";#N/A,#N/A,TRUE,"CS";#N/A,#N/A,TRUE,"CC"}</definedName>
    <definedName name="ujt" hidden="1">{#N/A,#N/A,TRUE,"NAE";#N/A,#N/A,TRUE,"CR";#N/A,#N/A,TRUE,"CS";#N/A,#N/A,TRUE,"CC"}</definedName>
    <definedName name="ukrgfsdg" localSheetId="8" hidden="1">{#N/A,#N/A,TRUE,"NAE";#N/A,#N/A,TRUE,"CR";#N/A,#N/A,TRUE,"CS";#N/A,#N/A,TRUE,"CC"}</definedName>
    <definedName name="ukrgfsdg" hidden="1">{#N/A,#N/A,TRUE,"NAE";#N/A,#N/A,TRUE,"CR";#N/A,#N/A,TRUE,"CS";#N/A,#N/A,TRUE,"CC"}</definedName>
    <definedName name="UKRUKUR" localSheetId="8" hidden="1">{#N/A,#N/A,TRUE,"NAE";#N/A,#N/A,TRUE,"CR";#N/A,#N/A,TRUE,"CS";#N/A,#N/A,TRUE,"CC"}</definedName>
    <definedName name="UKRUKUR" hidden="1">{#N/A,#N/A,TRUE,"NAE";#N/A,#N/A,TRUE,"CR";#N/A,#N/A,TRUE,"CS";#N/A,#N/A,TRUE,"CC"}</definedName>
    <definedName name="ukrukuryku" localSheetId="8" hidden="1">{#N/A,#N/A,TRUE,"NAE";#N/A,#N/A,TRUE,"CR";#N/A,#N/A,TRUE,"CS";#N/A,#N/A,TRUE,"CC"}</definedName>
    <definedName name="ukrukuryku" hidden="1">{#N/A,#N/A,TRUE,"NAE";#N/A,#N/A,TRUE,"CR";#N/A,#N/A,TRUE,"CS";#N/A,#N/A,TRUE,"CC"}</definedName>
    <definedName name="UKUYKU" localSheetId="8" hidden="1">{#N/A,#N/A,TRUE,"NAE";#N/A,#N/A,TRUE,"CR";#N/A,#N/A,TRUE,"CS";#N/A,#N/A,TRUE,"CC"}</definedName>
    <definedName name="UKUYKU" hidden="1">{#N/A,#N/A,TRUE,"NAE";#N/A,#N/A,TRUE,"CR";#N/A,#N/A,TRUE,"CS";#N/A,#N/A,TRUE,"CC"}</definedName>
    <definedName name="ULKILOÑ" localSheetId="8" hidden="1">{#N/A,#N/A,TRUE,"NAE";#N/A,#N/A,TRUE,"CR";#N/A,#N/A,TRUE,"CS";#N/A,#N/A,TRUE,"CC"}</definedName>
    <definedName name="ULKILOÑ" hidden="1">{#N/A,#N/A,TRUE,"NAE";#N/A,#N/A,TRUE,"CR";#N/A,#N/A,TRUE,"CS";#N/A,#N/A,TRUE,"CC"}</definedName>
    <definedName name="UNI_FILT_OFFSPEC">2</definedName>
    <definedName name="UNI_FILT_ONSPEC">1</definedName>
    <definedName name="UNI_NOTHING">0</definedName>
    <definedName name="UNI_PRES_FILTER">1</definedName>
    <definedName name="UNI_PRES_HEADINGS">16</definedName>
    <definedName name="UNI_PRES_INVERT">2</definedName>
    <definedName name="UNI_PRES_MATRIX">4</definedName>
    <definedName name="UNI_PRES_MERGED">8</definedName>
    <definedName name="UNI_PRES_OUTLIERS">32</definedName>
    <definedName name="UNI_RET_ATTRIB">64</definedName>
    <definedName name="UNI_RET_CONF">32</definedName>
    <definedName name="UNI_RET_DESC">4</definedName>
    <definedName name="UNI_RET_EQUIP">1</definedName>
    <definedName name="UNI_RET_OFFSPEC">512</definedName>
    <definedName name="UNI_RET_ONSPEC">256</definedName>
    <definedName name="UNI_RET_PROP">32</definedName>
    <definedName name="UNI_RET_PROPDESC">64</definedName>
    <definedName name="UNI_RET_SMPLPNT">4</definedName>
    <definedName name="UNI_RET_SPECMAX">2048</definedName>
    <definedName name="UNI_RET_SPECMIN">1024</definedName>
    <definedName name="UNI_RET_TAG">1</definedName>
    <definedName name="UNI_RET_TESTTIME">128</definedName>
    <definedName name="UNI_RET_TIME">8</definedName>
    <definedName name="UNI_RET_UNIT">2</definedName>
    <definedName name="UNI_RET_VALUE">16</definedName>
    <definedName name="urkkuu" localSheetId="8" hidden="1">{#N/A,#N/A,TRUE,"NAE";#N/A,#N/A,TRUE,"CR";#N/A,#N/A,TRUE,"CS";#N/A,#N/A,TRUE,"CC"}</definedName>
    <definedName name="urkkuu" hidden="1">{#N/A,#N/A,TRUE,"NAE";#N/A,#N/A,TRUE,"CR";#N/A,#N/A,TRUE,"CS";#N/A,#N/A,TRUE,"CC"}</definedName>
    <definedName name="urkuy8" localSheetId="8" hidden="1">{#N/A,#N/A,TRUE,"NAE";#N/A,#N/A,TRUE,"CR";#N/A,#N/A,TRUE,"CS";#N/A,#N/A,TRUE,"CC"}</definedName>
    <definedName name="urkuy8" hidden="1">{#N/A,#N/A,TRUE,"NAE";#N/A,#N/A,TRUE,"CR";#N/A,#N/A,TRUE,"CS";#N/A,#N/A,TRUE,"CC"}</definedName>
    <definedName name="urkyuykiuy" localSheetId="8" hidden="1">{#N/A,#N/A,TRUE,"NAE";#N/A,#N/A,TRUE,"CR";#N/A,#N/A,TRUE,"CS";#N/A,#N/A,TRUE,"CC"}</definedName>
    <definedName name="urkyuykiuy" hidden="1">{#N/A,#N/A,TRUE,"NAE";#N/A,#N/A,TRUE,"CR";#N/A,#N/A,TRUE,"CS";#N/A,#N/A,TRUE,"CC"}</definedName>
    <definedName name="urnmm" localSheetId="8" hidden="1">{#N/A,#N/A,TRUE,"NAE";#N/A,#N/A,TRUE,"CR";#N/A,#N/A,TRUE,"CS";#N/A,#N/A,TRUE,"CC"}</definedName>
    <definedName name="urnmm" hidden="1">{#N/A,#N/A,TRUE,"NAE";#N/A,#N/A,TRUE,"CR";#N/A,#N/A,TRUE,"CS";#N/A,#N/A,TRUE,"CC"}</definedName>
    <definedName name="us" localSheetId="8" hidden="1">{#N/A,#N/A,TRUE,"NAE";#N/A,#N/A,TRUE,"CR";#N/A,#N/A,TRUE,"CS";#N/A,#N/A,TRUE,"CC"}</definedName>
    <definedName name="us" hidden="1">{#N/A,#N/A,TRUE,"NAE";#N/A,#N/A,TRUE,"CR";#N/A,#N/A,TRUE,"CS";#N/A,#N/A,TRUE,"CC"}</definedName>
    <definedName name="Uso_Escenarios_Precios">#REF!</definedName>
    <definedName name="UTEJUTMU" localSheetId="8" hidden="1">{#N/A,#N/A,TRUE,"NAE";#N/A,#N/A,TRUE,"CR";#N/A,#N/A,TRUE,"CS";#N/A,#N/A,TRUE,"CC"}</definedName>
    <definedName name="UTEJUTMU" hidden="1">{#N/A,#N/A,TRUE,"NAE";#N/A,#N/A,TRUE,"CR";#N/A,#N/A,TRUE,"CS";#N/A,#N/A,TRUE,"CC"}</definedName>
    <definedName name="UTJUKRKUI" localSheetId="8" hidden="1">{#N/A,#N/A,TRUE,"NAE";#N/A,#N/A,TRUE,"CR";#N/A,#N/A,TRUE,"CS";#N/A,#N/A,TRUE,"CC"}</definedName>
    <definedName name="UTJUKRKUI" hidden="1">{#N/A,#N/A,TRUE,"NAE";#N/A,#N/A,TRUE,"CR";#N/A,#N/A,TRUE,"CS";#N/A,#N/A,TRUE,"CC"}</definedName>
    <definedName name="UTKMUTKM" localSheetId="8" hidden="1">{#N/A,#N/A,TRUE,"NAE";#N/A,#N/A,TRUE,"CR";#N/A,#N/A,TRUE,"CS";#N/A,#N/A,TRUE,"CC"}</definedName>
    <definedName name="UTKMUTKM" hidden="1">{#N/A,#N/A,TRUE,"NAE";#N/A,#N/A,TRUE,"CR";#N/A,#N/A,TRUE,"CS";#N/A,#N/A,TRUE,"CC"}</definedName>
    <definedName name="UUUUUU" localSheetId="8" hidden="1">{#N/A,#N/A,TRUE,"NAE";#N/A,#N/A,TRUE,"CR";#N/A,#N/A,TRUE,"CS";#N/A,#N/A,TRUE,"CC"}</definedName>
    <definedName name="UUUUUU" hidden="1">{#N/A,#N/A,TRUE,"NAE";#N/A,#N/A,TRUE,"CR";#N/A,#N/A,TRUE,"CS";#N/A,#N/A,TRUE,"CC"}</definedName>
    <definedName name="uykurkry" localSheetId="8" hidden="1">{#N/A,#N/A,TRUE,"NAE";#N/A,#N/A,TRUE,"CR";#N/A,#N/A,TRUE,"CS";#N/A,#N/A,TRUE,"CC"}</definedName>
    <definedName name="uykurkry" hidden="1">{#N/A,#N/A,TRUE,"NAE";#N/A,#N/A,TRUE,"CR";#N/A,#N/A,TRUE,"CS";#N/A,#N/A,TRUE,"CC"}</definedName>
    <definedName name="UYKYUK" localSheetId="8" hidden="1">{#N/A,#N/A,TRUE,"NAE";#N/A,#N/A,TRUE,"CR";#N/A,#N/A,TRUE,"CS";#N/A,#N/A,TRUE,"CC"}</definedName>
    <definedName name="UYKYUK" hidden="1">{#N/A,#N/A,TRUE,"NAE";#N/A,#N/A,TRUE,"CR";#N/A,#N/A,TRUE,"CS";#N/A,#N/A,TRUE,"CC"}</definedName>
    <definedName name="V178TAP.XLS" localSheetId="7">file</definedName>
    <definedName name="V178TAP.XLS" localSheetId="8">file</definedName>
    <definedName name="V178TAP.XLS" localSheetId="10">file</definedName>
    <definedName name="V178TAP.XLS">file</definedName>
    <definedName name="V20025kg">#REF!</definedName>
    <definedName name="V20025kg1">#REF!</definedName>
    <definedName name="V20050kg">#REF!</definedName>
    <definedName name="V20050kg1">#REF!</definedName>
    <definedName name="V30042.5kg">#REF!</definedName>
    <definedName name="V30042.5kg1">#REF!</definedName>
    <definedName name="V30050RIO">#REF!</definedName>
    <definedName name="V30050RIO1">#REF!</definedName>
    <definedName name="V40042.5kg">#REF!</definedName>
    <definedName name="V40042.5kg1">#REF!</definedName>
    <definedName name="V40042.5SAkg">#REF!</definedName>
    <definedName name="V40042.5SAkg1">#REF!</definedName>
    <definedName name="VAFVASF" localSheetId="8" hidden="1">{#N/A,#N/A,TRUE,"NAE";#N/A,#N/A,TRUE,"CR";#N/A,#N/A,TRUE,"CS";#N/A,#N/A,TRUE,"CC"}</definedName>
    <definedName name="VAFVASF" hidden="1">{#N/A,#N/A,TRUE,"NAE";#N/A,#N/A,TRUE,"CR";#N/A,#N/A,TRUE,"CS";#N/A,#N/A,TRUE,"CC"}</definedName>
    <definedName name="Valor_Ad_Flete_Arcilla">#REF!</definedName>
    <definedName name="Valor_Ad_Flete_Caliza">#REF!</definedName>
    <definedName name="valor_auditoria">#REF!</definedName>
    <definedName name="valor_constitución">#REF!</definedName>
    <definedName name="Valor_Flete_Granel">#REF!</definedName>
    <definedName name="Valor_Flete_Sacos">#REF!</definedName>
    <definedName name="Valor_Inv_Sost">#REF!</definedName>
    <definedName name="Valor_kwh">#REF!</definedName>
    <definedName name="VCVCVCV" localSheetId="8" hidden="1">{#N/A,#N/A,TRUE,"NAE";#N/A,#N/A,TRUE,"CR";#N/A,#N/A,TRUE,"CS";#N/A,#N/A,TRUE,"CC"}</definedName>
    <definedName name="VCVCVCV" hidden="1">{#N/A,#N/A,TRUE,"NAE";#N/A,#N/A,TRUE,"CR";#N/A,#N/A,TRUE,"CS";#N/A,#N/A,TRUE,"CC"}</definedName>
    <definedName name="VENTAS" localSheetId="8" hidden="1">{"'RDOJTP'!$A$108:$AG$123"}</definedName>
    <definedName name="VENTAS" hidden="1">{"'RDOJTP'!$A$108:$AG$123"}</definedName>
    <definedName name="Ventasclinkext">#REF!</definedName>
    <definedName name="VFDFV" localSheetId="8" hidden="1">{#N/A,#N/A,TRUE,"NAE";#N/A,#N/A,TRUE,"CR";#N/A,#N/A,TRUE,"CS";#N/A,#N/A,TRUE,"CC"}</definedName>
    <definedName name="VFDFV" hidden="1">{#N/A,#N/A,TRUE,"NAE";#N/A,#N/A,TRUE,"CR";#N/A,#N/A,TRUE,"CS";#N/A,#N/A,TRUE,"CC"}</definedName>
    <definedName name="VFVFVFV" localSheetId="8" hidden="1">{#N/A,#N/A,TRUE,"NAE";#N/A,#N/A,TRUE,"CR";#N/A,#N/A,TRUE,"CS";#N/A,#N/A,TRUE,"CC"}</definedName>
    <definedName name="VFVFVFV" hidden="1">{#N/A,#N/A,TRUE,"NAE";#N/A,#N/A,TRUE,"CR";#N/A,#N/A,TRUE,"CS";#N/A,#N/A,TRUE,"CC"}</definedName>
    <definedName name="vlr_cargue">#REF!</definedName>
    <definedName name="vlr_carguerio">#REF!</definedName>
    <definedName name="vlr_eslingado">#REF!</definedName>
    <definedName name="vlr_recibo">#REF!</definedName>
    <definedName name="vol_porc_sacos">#REF!</definedName>
    <definedName name="vol_sacos">#REF!</definedName>
    <definedName name="vol_todo">#REF!</definedName>
    <definedName name="VPADM">#REF!</definedName>
    <definedName name="VPCOM">#REF!</definedName>
    <definedName name="VPLOG">#REF!</definedName>
    <definedName name="VPN_Consolidado_USD">#REF!</definedName>
    <definedName name="VPN_Eco_USD">#REF!</definedName>
    <definedName name="VPN_Iacol_USD">#REF!</definedName>
    <definedName name="VPN_Total_COP">#REF!</definedName>
    <definedName name="VPN_Total_USD">#REF!</definedName>
    <definedName name="VPN_USD">#REF!</definedName>
    <definedName name="VRGTY6767" localSheetId="8" hidden="1">{#N/A,#N/A,TRUE,"NAE";#N/A,#N/A,TRUE,"CR";#N/A,#N/A,TRUE,"CS";#N/A,#N/A,TRUE,"CC"}</definedName>
    <definedName name="VRGTY6767" hidden="1">{#N/A,#N/A,TRUE,"NAE";#N/A,#N/A,TRUE,"CR";#N/A,#N/A,TRUE,"CS";#N/A,#N/A,TRUE,"CC"}</definedName>
    <definedName name="VT">#REF!</definedName>
    <definedName name="Vtas." localSheetId="8" hidden="1">{"'RDOJTP'!$A$108:$AG$123"}</definedName>
    <definedName name="Vtas." hidden="1">{"'RDOJTP'!$A$108:$AG$123"}</definedName>
    <definedName name="VVBB" localSheetId="8" hidden="1">{#N/A,#N/A,TRUE,"NAE";#N/A,#N/A,TRUE,"CR";#N/A,#N/A,TRUE,"CS";#N/A,#N/A,TRUE,"CC"}</definedName>
    <definedName name="VVBB" hidden="1">{#N/A,#N/A,TRUE,"NAE";#N/A,#N/A,TRUE,"CR";#N/A,#N/A,TRUE,"CS";#N/A,#N/A,TRUE,"CC"}</definedName>
    <definedName name="vvvv" localSheetId="8" hidden="1">{#N/A,#N/A,TRUE,"NAE";#N/A,#N/A,TRUE,"CR";#N/A,#N/A,TRUE,"CS";#N/A,#N/A,TRUE,"CC"}</definedName>
    <definedName name="vvvv" hidden="1">{#N/A,#N/A,TRUE,"NAE";#N/A,#N/A,TRUE,"CR";#N/A,#N/A,TRUE,"CS";#N/A,#N/A,TRUE,"CC"}</definedName>
    <definedName name="vvvvvv" localSheetId="8" hidden="1">{#N/A,#N/A,TRUE,"NAE";#N/A,#N/A,TRUE,"CR";#N/A,#N/A,TRUE,"CS";#N/A,#N/A,TRUE,"CC"}</definedName>
    <definedName name="vvvvvv" hidden="1">{#N/A,#N/A,TRUE,"NAE";#N/A,#N/A,TRUE,"CR";#N/A,#N/A,TRUE,"CS";#N/A,#N/A,TRUE,"CC"}</definedName>
    <definedName name="WACC">#REF!</definedName>
    <definedName name="WACC_Cte_Vble">#REF!</definedName>
    <definedName name="wefew" localSheetId="8" hidden="1">{#N/A,#N/A,TRUE,"NAE";#N/A,#N/A,TRUE,"CR";#N/A,#N/A,TRUE,"CS";#N/A,#N/A,TRUE,"CC"}</definedName>
    <definedName name="wefew" hidden="1">{#N/A,#N/A,TRUE,"NAE";#N/A,#N/A,TRUE,"CR";#N/A,#N/A,TRUE,"CS";#N/A,#N/A,TRUE,"CC"}</definedName>
    <definedName name="wehtyerju" localSheetId="8" hidden="1">{#N/A,#N/A,TRUE,"NAE";#N/A,#N/A,TRUE,"CR";#N/A,#N/A,TRUE,"CS";#N/A,#N/A,TRUE,"CC"}</definedName>
    <definedName name="wehtyerju" hidden="1">{#N/A,#N/A,TRUE,"NAE";#N/A,#N/A,TRUE,"CR";#N/A,#N/A,TRUE,"CS";#N/A,#N/A,TRUE,"CC"}</definedName>
    <definedName name="wehy45y" localSheetId="8" hidden="1">{#N/A,#N/A,TRUE,"NAE";#N/A,#N/A,TRUE,"CR";#N/A,#N/A,TRUE,"CS";#N/A,#N/A,TRUE,"CC"}</definedName>
    <definedName name="wehy45y" hidden="1">{#N/A,#N/A,TRUE,"NAE";#N/A,#N/A,TRUE,"CR";#N/A,#N/A,TRUE,"CS";#N/A,#N/A,TRUE,"CC"}</definedName>
    <definedName name="WERGIOWRE" localSheetId="8" hidden="1">{#N/A,#N/A,TRUE,"NAE";#N/A,#N/A,TRUE,"CR";#N/A,#N/A,TRUE,"CS";#N/A,#N/A,TRUE,"CC"}</definedName>
    <definedName name="WERGIOWRE" hidden="1">{#N/A,#N/A,TRUE,"NAE";#N/A,#N/A,TRUE,"CR";#N/A,#N/A,TRUE,"CS";#N/A,#N/A,TRUE,"CC"}</definedName>
    <definedName name="wergrt" localSheetId="8" hidden="1">{#N/A,#N/A,TRUE,"NAE";#N/A,#N/A,TRUE,"CR";#N/A,#N/A,TRUE,"CS";#N/A,#N/A,TRUE,"CC"}</definedName>
    <definedName name="wergrt" hidden="1">{#N/A,#N/A,TRUE,"NAE";#N/A,#N/A,TRUE,"CR";#N/A,#N/A,TRUE,"CS";#N/A,#N/A,TRUE,"CC"}</definedName>
    <definedName name="WERGWERTE" localSheetId="8" hidden="1">{#N/A,#N/A,TRUE,"NAE";#N/A,#N/A,TRUE,"CR";#N/A,#N/A,TRUE,"CS";#N/A,#N/A,TRUE,"CC"}</definedName>
    <definedName name="WERGWERTE" hidden="1">{#N/A,#N/A,TRUE,"NAE";#N/A,#N/A,TRUE,"CR";#N/A,#N/A,TRUE,"CS";#N/A,#N/A,TRUE,"CC"}</definedName>
    <definedName name="WERHTHY66" localSheetId="8" hidden="1">{#N/A,#N/A,TRUE,"NAE";#N/A,#N/A,TRUE,"CR";#N/A,#N/A,TRUE,"CS";#N/A,#N/A,TRUE,"CC"}</definedName>
    <definedName name="WERHTHY66" hidden="1">{#N/A,#N/A,TRUE,"NAE";#N/A,#N/A,TRUE,"CR";#N/A,#N/A,TRUE,"CS";#N/A,#N/A,TRUE,"CC"}</definedName>
    <definedName name="WERMEWLRG" localSheetId="8" hidden="1">{#N/A,#N/A,TRUE,"NAE";#N/A,#N/A,TRUE,"CR";#N/A,#N/A,TRUE,"CS";#N/A,#N/A,TRUE,"CC"}</definedName>
    <definedName name="WERMEWLRG" hidden="1">{#N/A,#N/A,TRUE,"NAE";#N/A,#N/A,TRUE,"CR";#N/A,#N/A,TRUE,"CS";#N/A,#N/A,TRUE,"CC"}</definedName>
    <definedName name="wertw56" localSheetId="8" hidden="1">{#N/A,#N/A,TRUE,"NAE";#N/A,#N/A,TRUE,"CR";#N/A,#N/A,TRUE,"CS";#N/A,#N/A,TRUE,"CC"}</definedName>
    <definedName name="wertw56" hidden="1">{#N/A,#N/A,TRUE,"NAE";#N/A,#N/A,TRUE,"CR";#N/A,#N/A,TRUE,"CS";#N/A,#N/A,TRUE,"CC"}</definedName>
    <definedName name="WERTWERYT" localSheetId="8" hidden="1">{#N/A,#N/A,TRUE,"NAE";#N/A,#N/A,TRUE,"CR";#N/A,#N/A,TRUE,"CS";#N/A,#N/A,TRUE,"CC"}</definedName>
    <definedName name="WERTWERYT" hidden="1">{#N/A,#N/A,TRUE,"NAE";#N/A,#N/A,TRUE,"CR";#N/A,#N/A,TRUE,"CS";#N/A,#N/A,TRUE,"CC"}</definedName>
    <definedName name="WERTWRET" localSheetId="8" hidden="1">{#N/A,#N/A,TRUE,"NAE";#N/A,#N/A,TRUE,"CR";#N/A,#N/A,TRUE,"CS";#N/A,#N/A,TRUE,"CC"}</definedName>
    <definedName name="WERTWRET" hidden="1">{#N/A,#N/A,TRUE,"NAE";#N/A,#N/A,TRUE,"CR";#N/A,#N/A,TRUE,"CS";#N/A,#N/A,TRUE,"CC"}</definedName>
    <definedName name="WETERTRE" localSheetId="8" hidden="1">{#N/A,#N/A,TRUE,"NAE";#N/A,#N/A,TRUE,"CR";#N/A,#N/A,TRUE,"CS";#N/A,#N/A,TRUE,"CC"}</definedName>
    <definedName name="WETERTRE" hidden="1">{#N/A,#N/A,TRUE,"NAE";#N/A,#N/A,TRUE,"CR";#N/A,#N/A,TRUE,"CS";#N/A,#N/A,TRUE,"CC"}</definedName>
    <definedName name="WETYERH" localSheetId="8" hidden="1">{#N/A,#N/A,TRUE,"NAE";#N/A,#N/A,TRUE,"CR";#N/A,#N/A,TRUE,"CS";#N/A,#N/A,TRUE,"CC"}</definedName>
    <definedName name="WETYERH" hidden="1">{#N/A,#N/A,TRUE,"NAE";#N/A,#N/A,TRUE,"CR";#N/A,#N/A,TRUE,"CS";#N/A,#N/A,TRUE,"CC"}</definedName>
    <definedName name="weytre6" localSheetId="8" hidden="1">{#N/A,#N/A,TRUE,"NAE";#N/A,#N/A,TRUE,"CR";#N/A,#N/A,TRUE,"CS";#N/A,#N/A,TRUE,"CC"}</definedName>
    <definedName name="weytre6" hidden="1">{#N/A,#N/A,TRUE,"NAE";#N/A,#N/A,TRUE,"CR";#N/A,#N/A,TRUE,"CS";#N/A,#N/A,TRUE,"CC"}</definedName>
    <definedName name="WGTOKGWT" localSheetId="8" hidden="1">{#N/A,#N/A,TRUE,"NAE";#N/A,#N/A,TRUE,"CR";#N/A,#N/A,TRUE,"CS";#N/A,#N/A,TRUE,"CC"}</definedName>
    <definedName name="WGTOKGWT" hidden="1">{#N/A,#N/A,TRUE,"NAE";#N/A,#N/A,TRUE,"CR";#N/A,#N/A,TRUE,"CS";#N/A,#N/A,TRUE,"CC"}</definedName>
    <definedName name="whteyrj" localSheetId="8" hidden="1">{#N/A,#N/A,TRUE,"NAE";#N/A,#N/A,TRUE,"CR";#N/A,#N/A,TRUE,"CS";#N/A,#N/A,TRUE,"CC"}</definedName>
    <definedName name="whteyrj" hidden="1">{#N/A,#N/A,TRUE,"NAE";#N/A,#N/A,TRUE,"CR";#N/A,#N/A,TRUE,"CS";#N/A,#N/A,TRUE,"CC"}</definedName>
    <definedName name="WHTREYJ" localSheetId="8" hidden="1">{#N/A,#N/A,TRUE,"NAE";#N/A,#N/A,TRUE,"CR";#N/A,#N/A,TRUE,"CS";#N/A,#N/A,TRUE,"CC"}</definedName>
    <definedName name="WHTREYJ" hidden="1">{#N/A,#N/A,TRUE,"NAE";#N/A,#N/A,TRUE,"CR";#N/A,#N/A,TRUE,"CS";#N/A,#N/A,TRUE,"CC"}</definedName>
    <definedName name="WOJTMOWT" localSheetId="8" hidden="1">{#N/A,#N/A,TRUE,"NAE";#N/A,#N/A,TRUE,"CR";#N/A,#N/A,TRUE,"CS";#N/A,#N/A,TRUE,"CC"}</definedName>
    <definedName name="WOJTMOWT" hidden="1">{#N/A,#N/A,TRUE,"NAE";#N/A,#N/A,TRUE,"CR";#N/A,#N/A,TRUE,"CS";#N/A,#N/A,TRUE,"CC"}</definedName>
    <definedName name="WREJGI" localSheetId="8" hidden="1">{#N/A,#N/A,TRUE,"NAE";#N/A,#N/A,TRUE,"CR";#N/A,#N/A,TRUE,"CS";#N/A,#N/A,TRUE,"CC"}</definedName>
    <definedName name="WREJGI" hidden="1">{#N/A,#N/A,TRUE,"NAE";#N/A,#N/A,TRUE,"CR";#N/A,#N/A,TRUE,"CS";#N/A,#N/A,TRUE,"CC"}</definedName>
    <definedName name="wrn.BALANCE." localSheetId="8" hidden="1">{#N/A,#N/A,FALSE,"CARATULA";#N/A,#N/A,FALSE,"BALNEW";#N/A,#N/A,FALSE,"RESNEW";#N/A,#N/A,FALSE,"EOAFCASA";#N/A,#N/A,FALSE,"EEPN";#N/A,#N/A,FALSE,"INFADIC";#N/A,#N/A,FALSE,"ANEXOA";#N/A,#N/A,FALSE,"ANEXOB";#N/A,#N/A,FALSE,"ANEXOC";#N/A,#N/A,FALSE,"ANEXOD";#N/A,#N/A,FALSE,"ANEXOF";#N/A,#N/A,FALSE,"ANEXOG";#N/A,#N/A,FALSE,"ANEXOH";#N/A,#N/A,FALSE,"BALNEWCO";#N/A,#N/A,FALSE,"RESNEWCO";#N/A,#N/A,FALSE,"EOAFCONS"}</definedName>
    <definedName name="wrn.BALANCE." hidden="1">{#N/A,#N/A,FALSE,"CARATULA";#N/A,#N/A,FALSE,"BALNEW";#N/A,#N/A,FALSE,"RESNEW";#N/A,#N/A,FALSE,"EOAFCASA";#N/A,#N/A,FALSE,"EEPN";#N/A,#N/A,FALSE,"INFADIC";#N/A,#N/A,FALSE,"ANEXOA";#N/A,#N/A,FALSE,"ANEXOB";#N/A,#N/A,FALSE,"ANEXOC";#N/A,#N/A,FALSE,"ANEXOD";#N/A,#N/A,FALSE,"ANEXOF";#N/A,#N/A,FALSE,"ANEXOG";#N/A,#N/A,FALSE,"ANEXOH";#N/A,#N/A,FALSE,"BALNEWCO";#N/A,#N/A,FALSE,"RESNEWCO";#N/A,#N/A,FALSE,"EOAFCONS"}</definedName>
    <definedName name="wrn.ERG." localSheetId="8" hidden="1">{#N/A,#N/A,FALSE,"ERG-OL";#N/A,#N/A,FALSE,"ERGxUF";#N/A,#N/A,FALSE,"ERG-SL";#N/A,#N/A,FALSE,"ERG-AV"}</definedName>
    <definedName name="wrn.ERG." hidden="1">{#N/A,#N/A,FALSE,"ERG-OL";#N/A,#N/A,FALSE,"ERGxUF";#N/A,#N/A,FALSE,"ERG-SL";#N/A,#N/A,FALSE,"ERG-AV"}</definedName>
    <definedName name="wrn.junta." localSheetId="8" hidden="1">{#N/A,#N/A,FALSE,"balance";#N/A,#N/A,FALSE,"PYG"}</definedName>
    <definedName name="wrn.junta." hidden="1">{#N/A,#N/A,FALSE,"balance";#N/A,#N/A,FALSE,"PYG"}</definedName>
    <definedName name="wrn.RV." localSheetId="8" hidden="1">{#N/A,#N/A,TRUE,"NAE";#N/A,#N/A,TRUE,"CR";#N/A,#N/A,TRUE,"CS";#N/A,#N/A,TRUE,"CC"}</definedName>
    <definedName name="wrn.RV." hidden="1">{#N/A,#N/A,TRUE,"NAE";#N/A,#N/A,TRUE,"CR";#N/A,#N/A,TRUE,"CS";#N/A,#N/A,TRUE,"CC"}</definedName>
    <definedName name="WRTHRTH" localSheetId="8" hidden="1">{#N/A,#N/A,TRUE,"NAE";#N/A,#N/A,TRUE,"CR";#N/A,#N/A,TRUE,"CS";#N/A,#N/A,TRUE,"CC"}</definedName>
    <definedName name="WRTHRTH" hidden="1">{#N/A,#N/A,TRUE,"NAE";#N/A,#N/A,TRUE,"CR";#N/A,#N/A,TRUE,"CS";#N/A,#N/A,TRUE,"CC"}</definedName>
    <definedName name="WRWERWR" localSheetId="8" hidden="1">{#N/A,#N/A,TRUE,"NAE";#N/A,#N/A,TRUE,"CR";#N/A,#N/A,TRUE,"CS";#N/A,#N/A,TRUE,"CC"}</definedName>
    <definedName name="WRWERWR" hidden="1">{#N/A,#N/A,TRUE,"NAE";#N/A,#N/A,TRUE,"CR";#N/A,#N/A,TRUE,"CS";#N/A,#N/A,TRUE,"CC"}</definedName>
    <definedName name="WRWRWTET" localSheetId="8" hidden="1">{#N/A,#N/A,TRUE,"NAE";#N/A,#N/A,TRUE,"CR";#N/A,#N/A,TRUE,"CS";#N/A,#N/A,TRUE,"CC"}</definedName>
    <definedName name="WRWRWTET" hidden="1">{#N/A,#N/A,TRUE,"NAE";#N/A,#N/A,TRUE,"CR";#N/A,#N/A,TRUE,"CS";#N/A,#N/A,TRUE,"CC"}</definedName>
    <definedName name="WTGÑT" localSheetId="8" hidden="1">{#N/A,#N/A,TRUE,"NAE";#N/A,#N/A,TRUE,"CR";#N/A,#N/A,TRUE,"CS";#N/A,#N/A,TRUE,"CC"}</definedName>
    <definedName name="WTGÑT" hidden="1">{#N/A,#N/A,TRUE,"NAE";#N/A,#N/A,TRUE,"CR";#N/A,#N/A,TRUE,"CS";#N/A,#N/A,TRUE,"CC"}</definedName>
    <definedName name="WTGT" localSheetId="8" hidden="1">{#N/A,#N/A,TRUE,"NAE";#N/A,#N/A,TRUE,"CR";#N/A,#N/A,TRUE,"CS";#N/A,#N/A,TRUE,"CC"}</definedName>
    <definedName name="WTGT" hidden="1">{#N/A,#N/A,TRUE,"NAE";#N/A,#N/A,TRUE,"CR";#N/A,#N/A,TRUE,"CS";#N/A,#N/A,TRUE,"CC"}</definedName>
    <definedName name="WTGTWEEYR" localSheetId="8" hidden="1">{#N/A,#N/A,TRUE,"NAE";#N/A,#N/A,TRUE,"CR";#N/A,#N/A,TRUE,"CS";#N/A,#N/A,TRUE,"CC"}</definedName>
    <definedName name="WTGTWEEYR" hidden="1">{#N/A,#N/A,TRUE,"NAE";#N/A,#N/A,TRUE,"CR";#N/A,#N/A,TRUE,"CS";#N/A,#N/A,TRUE,"CC"}</definedName>
    <definedName name="WTGTWG" localSheetId="8" hidden="1">{#N/A,#N/A,TRUE,"NAE";#N/A,#N/A,TRUE,"CR";#N/A,#N/A,TRUE,"CS";#N/A,#N/A,TRUE,"CC"}</definedName>
    <definedName name="WTGTWG" hidden="1">{#N/A,#N/A,TRUE,"NAE";#N/A,#N/A,TRUE,"CR";#N/A,#N/A,TRUE,"CS";#N/A,#N/A,TRUE,"CC"}</definedName>
    <definedName name="WTHHY" localSheetId="8" hidden="1">{#N/A,#N/A,TRUE,"NAE";#N/A,#N/A,TRUE,"CR";#N/A,#N/A,TRUE,"CS";#N/A,#N/A,TRUE,"CC"}</definedName>
    <definedName name="WTHHY" hidden="1">{#N/A,#N/A,TRUE,"NAE";#N/A,#N/A,TRUE,"CR";#N/A,#N/A,TRUE,"CS";#N/A,#N/A,TRUE,"CC"}</definedName>
    <definedName name="WTHYEJU777" localSheetId="8" hidden="1">{#N/A,#N/A,TRUE,"NAE";#N/A,#N/A,TRUE,"CR";#N/A,#N/A,TRUE,"CS";#N/A,#N/A,TRUE,"CC"}</definedName>
    <definedName name="WTHYEJU777" hidden="1">{#N/A,#N/A,TRUE,"NAE";#N/A,#N/A,TRUE,"CR";#N/A,#N/A,TRUE,"CS";#N/A,#N/A,TRUE,"CC"}</definedName>
    <definedName name="WTREWTRE" localSheetId="8" hidden="1">{#N/A,#N/A,TRUE,"NAE";#N/A,#N/A,TRUE,"CR";#N/A,#N/A,TRUE,"CS";#N/A,#N/A,TRUE,"CC"}</definedName>
    <definedName name="WTREWTRE" hidden="1">{#N/A,#N/A,TRUE,"NAE";#N/A,#N/A,TRUE,"CR";#N/A,#N/A,TRUE,"CS";#N/A,#N/A,TRUE,"CC"}</definedName>
    <definedName name="WTRHRWHT" localSheetId="8" hidden="1">{#N/A,#N/A,TRUE,"NAE";#N/A,#N/A,TRUE,"CR";#N/A,#N/A,TRUE,"CS";#N/A,#N/A,TRUE,"CC"}</definedName>
    <definedName name="WTRHRWHT" hidden="1">{#N/A,#N/A,TRUE,"NAE";#N/A,#N/A,TRUE,"CR";#N/A,#N/A,TRUE,"CS";#N/A,#N/A,TRUE,"CC"}</definedName>
    <definedName name="wvu.dosificaciones." localSheetId="8" hidden="1">{TRUE,TRUE,-1.25,-15.5,484.5,276.75,FALSE,TRUE,TRUE,TRUE,0,1,#N/A,12,#N/A,8.58333333333333,24.3076923076923,1,FALSE,FALSE,3,TRUE,1,FALSE,75,"Swvu.dosificaciones.","ACwvu.dosificaciones.",#N/A,FALSE,FALSE,0.78740157480315,0.31496062992126,0.78740157480315,0.78740157480315,2,"","&amp;L&amp;F&amp;C&amp;P&amp;R&amp;D   &amp;T",TRUE,TRUE,FALSE,FALSE,1,100,#N/A,#N/A,"=R1C1:R92C9",FALSE,#N/A,"Cwvu.dosificaciones.",FALSE,FALSE,TRUE,9,300,300,FALSE,FALSE,TRUE,TRUE,TRUE}</definedName>
    <definedName name="wvu.dosificaciones." hidden="1">{TRUE,TRUE,-1.25,-15.5,484.5,276.75,FALSE,TRUE,TRUE,TRUE,0,1,#N/A,12,#N/A,8.58333333333333,24.3076923076923,1,FALSE,FALSE,3,TRUE,1,FALSE,75,"Swvu.dosificaciones.","ACwvu.dosificaciones.",#N/A,FALSE,FALSE,0.78740157480315,0.31496062992126,0.78740157480315,0.78740157480315,2,"","&amp;L&amp;F&amp;C&amp;P&amp;R&amp;D   &amp;T",TRUE,TRUE,FALSE,FALSE,1,100,#N/A,#N/A,"=R1C1:R92C9",FALSE,#N/A,"Cwvu.dosificaciones.",FALSE,FALSE,TRUE,9,300,300,FALSE,FALSE,TRUE,TRUE,TRUE}</definedName>
    <definedName name="wvu.PRECIOS_MP." localSheetId="8" hidden="1">{TRUE,TRUE,-1.25,-15.5,484.5,276.75,FALSE,TRUE,TRUE,TRUE,0,1,#N/A,104,#N/A,6.0125,17.1764705882353,1,FALSE,FALSE,3,TRUE,1,FALSE,100,"Swvu.PRECIOS_MP.","ACwvu.PRECIOS_MP.",#N/A,FALSE,FALSE,0.78740157480315,0.31496062992126,0.78740157480315,0.78740157480315,2,"","&amp;L&amp;F&amp;C&amp;P&amp;R&amp;D   &amp;T",TRUE,FALSE,FALSE,FALSE,1,50,#N/A,#N/A,"=R1C1:R284C18",FALSE,#N/A,"Cwvu.PRECIOS_MP.",FALSE,FALSE,TRUE,9,300,300,FALSE,FALSE,TRUE,TRUE,TRUE}</definedName>
    <definedName name="wvu.PRECIOS_MP." hidden="1">{TRUE,TRUE,-1.25,-15.5,484.5,276.75,FALSE,TRUE,TRUE,TRUE,0,1,#N/A,104,#N/A,6.0125,17.1764705882353,1,FALSE,FALSE,3,TRUE,1,FALSE,100,"Swvu.PRECIOS_MP.","ACwvu.PRECIOS_MP.",#N/A,FALSE,FALSE,0.78740157480315,0.31496062992126,0.78740157480315,0.78740157480315,2,"","&amp;L&amp;F&amp;C&amp;P&amp;R&amp;D   &amp;T",TRUE,FALSE,FALSE,FALSE,1,50,#N/A,#N/A,"=R1C1:R284C18",FALSE,#N/A,"Cwvu.PRECIOS_MP.",FALSE,FALSE,TRUE,9,300,300,FALSE,FALSE,TRUE,TRUE,TRUE}</definedName>
    <definedName name="wvu.todo." localSheetId="8" hidden="1">{TRUE,TRUE,-1.25,-15.5,484.5,276.75,FALSE,TRUE,TRUE,TRUE,0,1,#N/A,1,#N/A,10.7173913043478,24.2857142857143,1,FALSE,FALSE,3,TRUE,1,FALSE,75,"Swvu.todo.","ACwvu.todo.",#N/A,FALSE,FALSE,0.787401575,0.787401575,0.984251969,0.984251969,2,"","&amp;L&amp;F&amp;CPágina &amp;P&amp;R&amp;D   &amp;T",FALSE,FALSE,FALSE,FALSE,1,60,#N/A,#N/A,FALSE,FALSE,#N/A,#N/A,FALSE,FALSE,TRUE,1,300,300,FALSE,FALSE,TRUE,TRUE,TRUE}</definedName>
    <definedName name="wvu.todo." hidden="1">{TRUE,TRUE,-1.25,-15.5,484.5,276.75,FALSE,TRUE,TRUE,TRUE,0,1,#N/A,1,#N/A,10.7173913043478,24.2857142857143,1,FALSE,FALSE,3,TRUE,1,FALSE,75,"Swvu.todo.","ACwvu.todo.",#N/A,FALSE,FALSE,0.787401575,0.787401575,0.984251969,0.984251969,2,"","&amp;L&amp;F&amp;CPágina &amp;P&amp;R&amp;D   &amp;T",FALSE,FALSE,FALSE,FALSE,1,60,#N/A,#N/A,FALSE,FALSE,#N/A,#N/A,FALSE,FALSE,TRUE,1,300,300,FALSE,FALSE,TRUE,TRUE,TRUE}</definedName>
    <definedName name="WWSS" localSheetId="8" hidden="1">{#N/A,#N/A,TRUE,"NAE";#N/A,#N/A,TRUE,"CR";#N/A,#N/A,TRUE,"CS";#N/A,#N/A,TRUE,"CC"}</definedName>
    <definedName name="WWSS" hidden="1">{#N/A,#N/A,TRUE,"NAE";#N/A,#N/A,TRUE,"CR";#N/A,#N/A,TRUE,"CS";#N/A,#N/A,TRUE,"CC"}</definedName>
    <definedName name="WWW">#REF!</definedName>
    <definedName name="wwww" localSheetId="8" hidden="1">{#N/A,#N/A,TRUE,"NAE";#N/A,#N/A,TRUE,"CR";#N/A,#N/A,TRUE,"CS";#N/A,#N/A,TRUE,"CC"}</definedName>
    <definedName name="wwww" hidden="1">{#N/A,#N/A,TRUE,"NAE";#N/A,#N/A,TRUE,"CR";#N/A,#N/A,TRUE,"CS";#N/A,#N/A,TRUE,"CC"}</definedName>
    <definedName name="wwwwwww" localSheetId="8" hidden="1">{#N/A,#N/A,TRUE,"NAE";#N/A,#N/A,TRUE,"CR";#N/A,#N/A,TRUE,"CS";#N/A,#N/A,TRUE,"CC"}</definedName>
    <definedName name="wwwwwww" hidden="1">{#N/A,#N/A,TRUE,"NAE";#N/A,#N/A,TRUE,"CR";#N/A,#N/A,TRUE,"CS";#N/A,#N/A,TRUE,"CC"}</definedName>
    <definedName name="WWWWWWWWW">#REF!</definedName>
    <definedName name="XCXCXC" localSheetId="8" hidden="1">{#N/A,#N/A,TRUE,"NAE";#N/A,#N/A,TRUE,"CR";#N/A,#N/A,TRUE,"CS";#N/A,#N/A,TRUE,"CC"}</definedName>
    <definedName name="XCXCXC" hidden="1">{#N/A,#N/A,TRUE,"NAE";#N/A,#N/A,TRUE,"CR";#N/A,#N/A,TRUE,"CS";#N/A,#N/A,TRUE,"CC"}</definedName>
    <definedName name="xdsfhtr5577" localSheetId="8" hidden="1">{#N/A,#N/A,TRUE,"NAE";#N/A,#N/A,TRUE,"CR";#N/A,#N/A,TRUE,"CS";#N/A,#N/A,TRUE,"CC"}</definedName>
    <definedName name="xdsfhtr5577" hidden="1">{#N/A,#N/A,TRUE,"NAE";#N/A,#N/A,TRUE,"CR";#N/A,#N/A,TRUE,"CS";#N/A,#N/A,TRUE,"CC"}</definedName>
    <definedName name="xfg">#REF!</definedName>
    <definedName name="XSVFBBG" localSheetId="8" hidden="1">{#N/A,#N/A,TRUE,"NAE";#N/A,#N/A,TRUE,"CR";#N/A,#N/A,TRUE,"CS";#N/A,#N/A,TRUE,"CC"}</definedName>
    <definedName name="XSVFBBG" hidden="1">{#N/A,#N/A,TRUE,"NAE";#N/A,#N/A,TRUE,"CR";#N/A,#N/A,TRUE,"CS";#N/A,#N/A,TRUE,"CC"}</definedName>
    <definedName name="XXCC" localSheetId="8" hidden="1">{#N/A,#N/A,TRUE,"NAE";#N/A,#N/A,TRUE,"CR";#N/A,#N/A,TRUE,"CS";#N/A,#N/A,TRUE,"CC"}</definedName>
    <definedName name="XXCC" hidden="1">{#N/A,#N/A,TRUE,"NAE";#N/A,#N/A,TRUE,"CR";#N/A,#N/A,TRUE,"CS";#N/A,#N/A,TRUE,"CC"}</definedName>
    <definedName name="XXX" localSheetId="8" hidden="1">{#N/A,#N/A,FALSE,"ERG-OL";#N/A,#N/A,FALSE,"ERGxUF";#N/A,#N/A,FALSE,"ERG-SL";#N/A,#N/A,FALSE,"ERG-AV"}</definedName>
    <definedName name="XXX" hidden="1">{#N/A,#N/A,FALSE,"ERG-OL";#N/A,#N/A,FALSE,"ERGxUF";#N/A,#N/A,FALSE,"ERG-SL";#N/A,#N/A,FALSE,"ERG-AV"}</definedName>
    <definedName name="xxxxx" localSheetId="8" hidden="1">{#N/A,#N/A,TRUE,"NAE";#N/A,#N/A,TRUE,"CR";#N/A,#N/A,TRUE,"CS";#N/A,#N/A,TRUE,"CC"}</definedName>
    <definedName name="xxxxx" hidden="1">{#N/A,#N/A,TRUE,"NAE";#N/A,#N/A,TRUE,"CR";#N/A,#N/A,TRUE,"CS";#N/A,#N/A,TRUE,"CC"}</definedName>
    <definedName name="XXZZ" localSheetId="8" hidden="1">{#N/A,#N/A,TRUE,"NAE";#N/A,#N/A,TRUE,"CR";#N/A,#N/A,TRUE,"CS";#N/A,#N/A,TRUE,"CC"}</definedName>
    <definedName name="XXZZ" hidden="1">{#N/A,#N/A,TRUE,"NAE";#N/A,#N/A,TRUE,"CR";#N/A,#N/A,TRUE,"CS";#N/A,#N/A,TRUE,"CC"}</definedName>
    <definedName name="yejurj" localSheetId="8" hidden="1">{#N/A,#N/A,TRUE,"NAE";#N/A,#N/A,TRUE,"CR";#N/A,#N/A,TRUE,"CS";#N/A,#N/A,TRUE,"CC"}</definedName>
    <definedName name="yejurj" hidden="1">{#N/A,#N/A,TRUE,"NAE";#N/A,#N/A,TRUE,"CR";#N/A,#N/A,TRUE,"CS";#N/A,#N/A,TRUE,"CC"}</definedName>
    <definedName name="YESO_MON.">#REF!</definedName>
    <definedName name="YESOIMP">#REF!</definedName>
    <definedName name="YESOIMP1">#REF!</definedName>
    <definedName name="yeuy" localSheetId="8" hidden="1">{#N/A,#N/A,TRUE,"NAE";#N/A,#N/A,TRUE,"CR";#N/A,#N/A,TRUE,"CS";#N/A,#N/A,TRUE,"CC"}</definedName>
    <definedName name="yeuy" hidden="1">{#N/A,#N/A,TRUE,"NAE";#N/A,#N/A,TRUE,"CR";#N/A,#N/A,TRUE,"CS";#N/A,#N/A,TRUE,"CC"}</definedName>
    <definedName name="YIMP">#REF!</definedName>
    <definedName name="YIMPAGREC">#REF!</definedName>
    <definedName name="YIMPCEMEXP">#REF!</definedName>
    <definedName name="YIMPCEMNAL">#REF!</definedName>
    <definedName name="YIMPCEMSACK">#REF!</definedName>
    <definedName name="YIMPDISG">#REF!</definedName>
    <definedName name="YIMPEMEXP">#REF!</definedName>
    <definedName name="YIMPEMNAL">#REF!</definedName>
    <definedName name="YIMPEMP">#REF!</definedName>
    <definedName name="YIMPETER">#REF!</definedName>
    <definedName name="YIMPGRAEXP">#REF!</definedName>
    <definedName name="YIMPGRANAL">#REF!</definedName>
    <definedName name="YIMPISLAS">#REF!</definedName>
    <definedName name="YIMPMAMP">#REF!</definedName>
    <definedName name="YIMPUSA">#REF!</definedName>
    <definedName name="YIOITO" localSheetId="8" hidden="1">{#N/A,#N/A,TRUE,"NAE";#N/A,#N/A,TRUE,"CR";#N/A,#N/A,TRUE,"CS";#N/A,#N/A,TRUE,"CC"}</definedName>
    <definedName name="YIOITO" hidden="1">{#N/A,#N/A,TRUE,"NAE";#N/A,#N/A,TRUE,"CR";#N/A,#N/A,TRUE,"CS";#N/A,#N/A,TRUE,"CC"}</definedName>
    <definedName name="YIUKI" localSheetId="8" hidden="1">{#N/A,#N/A,TRUE,"NAE";#N/A,#N/A,TRUE,"CR";#N/A,#N/A,TRUE,"CS";#N/A,#N/A,TRUE,"CC"}</definedName>
    <definedName name="YIUKI" hidden="1">{#N/A,#N/A,TRUE,"NAE";#N/A,#N/A,TRUE,"CR";#N/A,#N/A,TRUE,"CS";#N/A,#N/A,TRUE,"CC"}</definedName>
    <definedName name="YJETYKU" localSheetId="8" hidden="1">{#N/A,#N/A,TRUE,"NAE";#N/A,#N/A,TRUE,"CR";#N/A,#N/A,TRUE,"CS";#N/A,#N/A,TRUE,"CC"}</definedName>
    <definedName name="YJETYKU" hidden="1">{#N/A,#N/A,TRUE,"NAE";#N/A,#N/A,TRUE,"CR";#N/A,#N/A,TRUE,"CS";#N/A,#N/A,TRUE,"CC"}</definedName>
    <definedName name="YJHH" localSheetId="8" hidden="1">{#N/A,#N/A,TRUE,"NAE";#N/A,#N/A,TRUE,"CR";#N/A,#N/A,TRUE,"CS";#N/A,#N/A,TRUE,"CC"}</definedName>
    <definedName name="YJHH" hidden="1">{#N/A,#N/A,TRUE,"NAE";#N/A,#N/A,TRUE,"CR";#N/A,#N/A,TRUE,"CS";#N/A,#N/A,TRUE,"CC"}</definedName>
    <definedName name="yjuuhg" localSheetId="8" hidden="1">{#N/A,#N/A,TRUE,"NAE";#N/A,#N/A,TRUE,"CR";#N/A,#N/A,TRUE,"CS";#N/A,#N/A,TRUE,"CC"}</definedName>
    <definedName name="yjuuhg" hidden="1">{#N/A,#N/A,TRUE,"NAE";#N/A,#N/A,TRUE,"CR";#N/A,#N/A,TRUE,"CS";#N/A,#N/A,TRUE,"CC"}</definedName>
    <definedName name="YJYJU" localSheetId="8" hidden="1">{#N/A,#N/A,TRUE,"NAE";#N/A,#N/A,TRUE,"CR";#N/A,#N/A,TRUE,"CS";#N/A,#N/A,TRUE,"CC"}</definedName>
    <definedName name="YJYJU" hidden="1">{#N/A,#N/A,TRUE,"NAE";#N/A,#N/A,TRUE,"CR";#N/A,#N/A,TRUE,"CS";#N/A,#N/A,TRUE,"CC"}</definedName>
    <definedName name="yjyt" localSheetId="8" hidden="1">{#N/A,#N/A,TRUE,"NAE";#N/A,#N/A,TRUE,"CR";#N/A,#N/A,TRUE,"CS";#N/A,#N/A,TRUE,"CC"}</definedName>
    <definedName name="yjyt" hidden="1">{#N/A,#N/A,TRUE,"NAE";#N/A,#N/A,TRUE,"CR";#N/A,#N/A,TRUE,"CS";#N/A,#N/A,TRUE,"CC"}</definedName>
    <definedName name="YJYTJ" localSheetId="8" hidden="1">{#N/A,#N/A,TRUE,"NAE";#N/A,#N/A,TRUE,"CR";#N/A,#N/A,TRUE,"CS";#N/A,#N/A,TRUE,"CC"}</definedName>
    <definedName name="YJYTJ" hidden="1">{#N/A,#N/A,TRUE,"NAE";#N/A,#N/A,TRUE,"CR";#N/A,#N/A,TRUE,"CS";#N/A,#N/A,TRUE,"CC"}</definedName>
    <definedName name="YLIILII" localSheetId="8" hidden="1">{#N/A,#N/A,TRUE,"NAE";#N/A,#N/A,TRUE,"CR";#N/A,#N/A,TRUE,"CS";#N/A,#N/A,TRUE,"CC"}</definedName>
    <definedName name="YLIILII" hidden="1">{#N/A,#N/A,TRUE,"NAE";#N/A,#N/A,TRUE,"CR";#N/A,#N/A,TRUE,"CS";#N/A,#N/A,TRUE,"CC"}</definedName>
    <definedName name="YNAL">#REF!</definedName>
    <definedName name="YNALAGREC">#REF!</definedName>
    <definedName name="YNALCEMEXP">#REF!</definedName>
    <definedName name="YNALCEMNAL">#REF!</definedName>
    <definedName name="YNALCEMSACK">#REF!</definedName>
    <definedName name="YNALDISG">#REF!</definedName>
    <definedName name="YNALEMEXP">#REF!</definedName>
    <definedName name="YNALEMNAL">#REF!</definedName>
    <definedName name="YNALEMP">#REF!</definedName>
    <definedName name="YNALETERN">#REF!</definedName>
    <definedName name="YNALGRAEXP">#REF!</definedName>
    <definedName name="YNALGRANAL">#REF!</definedName>
    <definedName name="YNALISLAS">#REF!</definedName>
    <definedName name="YNALMAMP">#REF!</definedName>
    <definedName name="YRHR" localSheetId="8" hidden="1">{#N/A,#N/A,TRUE,"NAE";#N/A,#N/A,TRUE,"CR";#N/A,#N/A,TRUE,"CS";#N/A,#N/A,TRUE,"CC"}</definedName>
    <definedName name="YRHR" hidden="1">{#N/A,#N/A,TRUE,"NAE";#N/A,#N/A,TRUE,"CR";#N/A,#N/A,TRUE,"CS";#N/A,#N/A,TRUE,"CC"}</definedName>
    <definedName name="yrjeytjyt" localSheetId="8" hidden="1">{#N/A,#N/A,TRUE,"NAE";#N/A,#N/A,TRUE,"CR";#N/A,#N/A,TRUE,"CS";#N/A,#N/A,TRUE,"CC"}</definedName>
    <definedName name="yrjeytjyt" hidden="1">{#N/A,#N/A,TRUE,"NAE";#N/A,#N/A,TRUE,"CR";#N/A,#N/A,TRUE,"CS";#N/A,#N/A,TRUE,"CC"}</definedName>
    <definedName name="YRJUK" localSheetId="8" hidden="1">{#N/A,#N/A,TRUE,"NAE";#N/A,#N/A,TRUE,"CR";#N/A,#N/A,TRUE,"CS";#N/A,#N/A,TRUE,"CC"}</definedName>
    <definedName name="YRJUK" hidden="1">{#N/A,#N/A,TRUE,"NAE";#N/A,#N/A,TRUE,"CR";#N/A,#N/A,TRUE,"CS";#N/A,#N/A,TRUE,"CC"}</definedName>
    <definedName name="YRJY" localSheetId="8" hidden="1">{#N/A,#N/A,TRUE,"NAE";#N/A,#N/A,TRUE,"CR";#N/A,#N/A,TRUE,"CS";#N/A,#N/A,TRUE,"CC"}</definedName>
    <definedName name="YRJY" hidden="1">{#N/A,#N/A,TRUE,"NAE";#N/A,#N/A,TRUE,"CR";#N/A,#N/A,TRUE,"CS";#N/A,#N/A,TRUE,"CC"}</definedName>
    <definedName name="YRKM" localSheetId="8" hidden="1">{#N/A,#N/A,TRUE,"NAE";#N/A,#N/A,TRUE,"CR";#N/A,#N/A,TRUE,"CS";#N/A,#N/A,TRUE,"CC"}</definedName>
    <definedName name="YRKM" hidden="1">{#N/A,#N/A,TRUE,"NAE";#N/A,#N/A,TRUE,"CR";#N/A,#N/A,TRUE,"CS";#N/A,#N/A,TRUE,"CC"}</definedName>
    <definedName name="YRWJUK" localSheetId="8" hidden="1">{#N/A,#N/A,TRUE,"NAE";#N/A,#N/A,TRUE,"CR";#N/A,#N/A,TRUE,"CS";#N/A,#N/A,TRUE,"CC"}</definedName>
    <definedName name="YRWJUK" hidden="1">{#N/A,#N/A,TRUE,"NAE";#N/A,#N/A,TRUE,"CR";#N/A,#N/A,TRUE,"CS";#N/A,#N/A,TRUE,"CC"}</definedName>
    <definedName name="YTER5555" localSheetId="8" hidden="1">{#N/A,#N/A,TRUE,"NAE";#N/A,#N/A,TRUE,"CR";#N/A,#N/A,TRUE,"CS";#N/A,#N/A,TRUE,"CC"}</definedName>
    <definedName name="YTER5555" hidden="1">{#N/A,#N/A,TRUE,"NAE";#N/A,#N/A,TRUE,"CR";#N/A,#N/A,TRUE,"CS";#N/A,#N/A,TRUE,"CC"}</definedName>
    <definedName name="YTJTYJU" localSheetId="8" hidden="1">{#N/A,#N/A,TRUE,"NAE";#N/A,#N/A,TRUE,"CR";#N/A,#N/A,TRUE,"CS";#N/A,#N/A,TRUE,"CC"}</definedName>
    <definedName name="YTJTYJU" hidden="1">{#N/A,#N/A,TRUE,"NAE";#N/A,#N/A,TRUE,"CR";#N/A,#N/A,TRUE,"CS";#N/A,#N/A,TRUE,"CC"}</definedName>
    <definedName name="YTJYTJUJUJ" localSheetId="8" hidden="1">{#N/A,#N/A,TRUE,"NAE";#N/A,#N/A,TRUE,"CR";#N/A,#N/A,TRUE,"CS";#N/A,#N/A,TRUE,"CC"}</definedName>
    <definedName name="YTJYTJUJUJ" hidden="1">{#N/A,#N/A,TRUE,"NAE";#N/A,#N/A,TRUE,"CR";#N/A,#N/A,TRUE,"CS";#N/A,#N/A,TRUE,"CC"}</definedName>
    <definedName name="ytkiyukj" localSheetId="8" hidden="1">{#N/A,#N/A,TRUE,"NAE";#N/A,#N/A,TRUE,"CR";#N/A,#N/A,TRUE,"CS";#N/A,#N/A,TRUE,"CC"}</definedName>
    <definedName name="ytkiyukj" hidden="1">{#N/A,#N/A,TRUE,"NAE";#N/A,#N/A,TRUE,"CR";#N/A,#N/A,TRUE,"CS";#N/A,#N/A,TRUE,"CC"}</definedName>
    <definedName name="YTYUTUT" localSheetId="8" hidden="1">{#N/A,#N/A,TRUE,"NAE";#N/A,#N/A,TRUE,"CR";#N/A,#N/A,TRUE,"CS";#N/A,#N/A,TRUE,"CC"}</definedName>
    <definedName name="YTYUTUT" hidden="1">{#N/A,#N/A,TRUE,"NAE";#N/A,#N/A,TRUE,"CR";#N/A,#N/A,TRUE,"CS";#N/A,#N/A,TRUE,"CC"}</definedName>
    <definedName name="yuioytui7" localSheetId="8" hidden="1">{#N/A,#N/A,TRUE,"NAE";#N/A,#N/A,TRUE,"CR";#N/A,#N/A,TRUE,"CS";#N/A,#N/A,TRUE,"CC"}</definedName>
    <definedName name="yuioytui7" hidden="1">{#N/A,#N/A,TRUE,"NAE";#N/A,#N/A,TRUE,"CR";#N/A,#N/A,TRUE,"CS";#N/A,#N/A,TRUE,"CC"}</definedName>
    <definedName name="yukyuiytiyt" localSheetId="8" hidden="1">{#N/A,#N/A,TRUE,"NAE";#N/A,#N/A,TRUE,"CR";#N/A,#N/A,TRUE,"CS";#N/A,#N/A,TRUE,"CC"}</definedName>
    <definedName name="yukyuiytiyt" hidden="1">{#N/A,#N/A,TRUE,"NAE";#N/A,#N/A,TRUE,"CR";#N/A,#N/A,TRUE,"CS";#N/A,#N/A,TRUE,"CC"}</definedName>
    <definedName name="yukyukyu" localSheetId="8" hidden="1">{#N/A,#N/A,TRUE,"NAE";#N/A,#N/A,TRUE,"CR";#N/A,#N/A,TRUE,"CS";#N/A,#N/A,TRUE,"CC"}</definedName>
    <definedName name="yukyukyu" hidden="1">{#N/A,#N/A,TRUE,"NAE";#N/A,#N/A,TRUE,"CR";#N/A,#N/A,TRUE,"CS";#N/A,#N/A,TRUE,"CC"}</definedName>
    <definedName name="YYHH" localSheetId="8" hidden="1">{#N/A,#N/A,TRUE,"NAE";#N/A,#N/A,TRUE,"CR";#N/A,#N/A,TRUE,"CS";#N/A,#N/A,TRUE,"CC"}</definedName>
    <definedName name="YYHH" hidden="1">{#N/A,#N/A,TRUE,"NAE";#N/A,#N/A,TRUE,"CR";#N/A,#N/A,TRUE,"CS";#N/A,#N/A,TRUE,"CC"}</definedName>
    <definedName name="yyyy" localSheetId="8" hidden="1">{#N/A,#N/A,TRUE,"NAE";#N/A,#N/A,TRUE,"CR";#N/A,#N/A,TRUE,"CS";#N/A,#N/A,TRUE,"CC"}</definedName>
    <definedName name="yyyy" hidden="1">{#N/A,#N/A,TRUE,"NAE";#N/A,#N/A,TRUE,"CR";#N/A,#N/A,TRUE,"CS";#N/A,#N/A,TRUE,"CC"}</definedName>
    <definedName name="YYYYYY" localSheetId="8" hidden="1">{#N/A,#N/A,TRUE,"NAE";#N/A,#N/A,TRUE,"CR";#N/A,#N/A,TRUE,"CS";#N/A,#N/A,TRUE,"CC"}</definedName>
    <definedName name="YYYYYY" hidden="1">{#N/A,#N/A,TRUE,"NAE";#N/A,#N/A,TRUE,"CR";#N/A,#N/A,TRUE,"CS";#N/A,#N/A,TRUE,"CC"}</definedName>
    <definedName name="yyyyyyy" localSheetId="8" hidden="1">{#N/A,#N/A,TRUE,"NAE";#N/A,#N/A,TRUE,"CR";#N/A,#N/A,TRUE,"CS";#N/A,#N/A,TRUE,"CC"}</definedName>
    <definedName name="yyyyyyy" hidden="1">{#N/A,#N/A,TRUE,"NAE";#N/A,#N/A,TRUE,"CR";#N/A,#N/A,TRUE,"CS";#N/A,#N/A,TRUE,"CC"}</definedName>
    <definedName name="ZAZAZAZ" localSheetId="8" hidden="1">{#N/A,#N/A,TRUE,"NAE";#N/A,#N/A,TRUE,"CR";#N/A,#N/A,TRUE,"CS";#N/A,#N/A,TRUE,"CC"}</definedName>
    <definedName name="ZAZAZAZ" hidden="1">{#N/A,#N/A,TRUE,"NAE";#N/A,#N/A,TRUE,"CR";#N/A,#N/A,TRUE,"CS";#N/A,#N/A,TRUE,"CC"}</definedName>
    <definedName name="Zona_Franca">#REF!</definedName>
    <definedName name="ZX" localSheetId="8" hidden="1">{#N/A,#N/A,TRUE,"NAE";#N/A,#N/A,TRUE,"CR";#N/A,#N/A,TRUE,"CS";#N/A,#N/A,TRUE,"CC"}</definedName>
    <definedName name="ZX" hidden="1">{#N/A,#N/A,TRUE,"NAE";#N/A,#N/A,TRUE,"CR";#N/A,#N/A,TRUE,"CS";#N/A,#N/A,TRUE,"CC"}</definedName>
    <definedName name="ZZXX" localSheetId="8" hidden="1">{#N/A,#N/A,TRUE,"NAE";#N/A,#N/A,TRUE,"CR";#N/A,#N/A,TRUE,"CS";#N/A,#N/A,TRUE,"CC"}</definedName>
    <definedName name="ZZXX" hidden="1">{#N/A,#N/A,TRUE,"NAE";#N/A,#N/A,TRUE,"CR";#N/A,#N/A,TRUE,"CS";#N/A,#N/A,TRUE,"CC"}</definedName>
    <definedName name="zzzzz" localSheetId="8" hidden="1">{#N/A,#N/A,TRUE,"NAE";#N/A,#N/A,TRUE,"CR";#N/A,#N/A,TRUE,"CS";#N/A,#N/A,TRUE,"CC"}</definedName>
    <definedName name="zzzzz" hidden="1">{#N/A,#N/A,TRUE,"NAE";#N/A,#N/A,TRUE,"CR";#N/A,#N/A,TRUE,"CS";#N/A,#N/A,TRUE,"CC"}</definedName>
  </definedNames>
  <calcPr calcId="191029"/>
  <pivotCaches>
    <pivotCache cacheId="0" r:id="rId12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0" i="13" l="1"/>
  <c r="C9" i="13"/>
  <c r="C8" i="13"/>
  <c r="C7" i="13"/>
  <c r="C24" i="13"/>
  <c r="C6" i="13"/>
  <c r="C5" i="13"/>
  <c r="C11" i="14"/>
  <c r="J247" i="8"/>
  <c r="C4" i="13"/>
  <c r="C4" i="14"/>
  <c r="C3" i="13"/>
  <c r="P1514" i="5" l="1"/>
  <c r="Q1514" i="5"/>
  <c r="R1514" i="5"/>
  <c r="S1514" i="5"/>
  <c r="T1514" i="5" s="1"/>
  <c r="P1515" i="5"/>
  <c r="R1515" i="5" s="1"/>
  <c r="Q1515" i="5"/>
  <c r="S1515" i="5" s="1"/>
  <c r="T1515" i="5" s="1"/>
  <c r="P1516" i="5"/>
  <c r="Q1516" i="5" s="1"/>
  <c r="S1516" i="5" s="1"/>
  <c r="T1516" i="5" s="1"/>
  <c r="P1517" i="5"/>
  <c r="Q1517" i="5" s="1"/>
  <c r="S1517" i="5" s="1"/>
  <c r="T1517" i="5" s="1"/>
  <c r="P1518" i="5"/>
  <c r="Q1518" i="5"/>
  <c r="S1518" i="5" s="1"/>
  <c r="T1518" i="5" s="1"/>
  <c r="R1518" i="5"/>
  <c r="P1519" i="5"/>
  <c r="R1519" i="5" s="1"/>
  <c r="Q1519" i="5"/>
  <c r="S1519" i="5" s="1"/>
  <c r="T1519" i="5" s="1"/>
  <c r="P1520" i="5"/>
  <c r="R1520" i="5" s="1"/>
  <c r="Q1520" i="5"/>
  <c r="S1520" i="5" s="1"/>
  <c r="T1520" i="5" s="1"/>
  <c r="P1521" i="5"/>
  <c r="Q1521" i="5" s="1"/>
  <c r="S1521" i="5" s="1"/>
  <c r="T1521" i="5" s="1"/>
  <c r="P1522" i="5"/>
  <c r="Q1522" i="5"/>
  <c r="S1522" i="5" s="1"/>
  <c r="T1522" i="5" s="1"/>
  <c r="R1522" i="5"/>
  <c r="P1523" i="5"/>
  <c r="R1523" i="5" s="1"/>
  <c r="P1524" i="5"/>
  <c r="Q1524" i="5"/>
  <c r="S1524" i="5" s="1"/>
  <c r="T1524" i="5" s="1"/>
  <c r="R1524" i="5"/>
  <c r="P1525" i="5"/>
  <c r="R1525" i="5" s="1"/>
  <c r="Q1525" i="5"/>
  <c r="S1525" i="5" s="1"/>
  <c r="T1525" i="5" s="1"/>
  <c r="H260" i="1"/>
  <c r="R1516" i="5" l="1"/>
  <c r="R1521" i="5"/>
  <c r="Q1523" i="5"/>
  <c r="S1523" i="5" s="1"/>
  <c r="T1523" i="5" s="1"/>
  <c r="R1517" i="5"/>
  <c r="C88" i="14"/>
  <c r="P63" i="12"/>
  <c r="Q63" i="12" s="1"/>
  <c r="O63" i="12"/>
  <c r="P62" i="12"/>
  <c r="O62" i="12"/>
  <c r="Q62" i="12" s="1"/>
  <c r="M63" i="12"/>
  <c r="M62" i="12"/>
  <c r="F63" i="12"/>
  <c r="F62" i="12"/>
  <c r="P57" i="12"/>
  <c r="O57" i="12"/>
  <c r="P56" i="12"/>
  <c r="O56" i="12"/>
  <c r="M57" i="12"/>
  <c r="M56" i="12"/>
  <c r="F57" i="12"/>
  <c r="F56" i="12"/>
  <c r="Q56" i="12" l="1"/>
  <c r="Q57" i="12"/>
  <c r="M227" i="8" l="1"/>
  <c r="M226" i="8"/>
  <c r="M225" i="8"/>
  <c r="M224" i="8"/>
  <c r="M223" i="8"/>
  <c r="M222" i="8"/>
  <c r="M221" i="8"/>
  <c r="M220" i="8"/>
  <c r="M219" i="8"/>
  <c r="M218" i="8"/>
  <c r="M217" i="8"/>
  <c r="M216" i="8"/>
  <c r="M215" i="8"/>
  <c r="F227" i="8"/>
  <c r="F226" i="8"/>
  <c r="F225" i="8"/>
  <c r="F224" i="8"/>
  <c r="F223" i="8"/>
  <c r="F222" i="8"/>
  <c r="F221" i="8"/>
  <c r="F220" i="8"/>
  <c r="F219" i="8"/>
  <c r="F218" i="8"/>
  <c r="F217" i="8"/>
  <c r="F216" i="8"/>
  <c r="F215" i="8"/>
  <c r="N231" i="8"/>
  <c r="O243" i="8"/>
  <c r="N243" i="8"/>
  <c r="O242" i="8"/>
  <c r="N242" i="8"/>
  <c r="O241" i="8"/>
  <c r="N241" i="8"/>
  <c r="O240" i="8"/>
  <c r="P240" i="8" s="1"/>
  <c r="N240" i="8"/>
  <c r="O239" i="8"/>
  <c r="P239" i="8" s="1"/>
  <c r="N239" i="8"/>
  <c r="O238" i="8"/>
  <c r="P238" i="8" s="1"/>
  <c r="N238" i="8"/>
  <c r="O237" i="8"/>
  <c r="N237" i="8"/>
  <c r="O236" i="8"/>
  <c r="N236" i="8"/>
  <c r="O235" i="8"/>
  <c r="N235" i="8"/>
  <c r="O234" i="8"/>
  <c r="N234" i="8"/>
  <c r="N233" i="8"/>
  <c r="N232" i="8"/>
  <c r="N230" i="8"/>
  <c r="N229" i="8"/>
  <c r="Y91" i="8"/>
  <c r="Y93" i="8"/>
  <c r="Y92" i="8"/>
  <c r="P242" i="8" l="1"/>
  <c r="P243" i="8"/>
  <c r="P237" i="8"/>
  <c r="P235" i="8"/>
  <c r="P236" i="8"/>
  <c r="P241" i="8"/>
  <c r="P234" i="8"/>
  <c r="H356" i="1"/>
  <c r="P209" i="8" l="1"/>
  <c r="P208" i="8"/>
  <c r="P202" i="8"/>
  <c r="P201" i="8"/>
  <c r="P195" i="8"/>
  <c r="P194" i="8"/>
  <c r="P166" i="8"/>
  <c r="P165" i="8"/>
  <c r="P164" i="8"/>
  <c r="P163" i="8"/>
  <c r="P162" i="8"/>
  <c r="P145" i="8"/>
  <c r="P144" i="8"/>
  <c r="P143" i="8"/>
  <c r="P137" i="8"/>
  <c r="P136" i="8"/>
  <c r="P135" i="8"/>
  <c r="P129" i="8"/>
  <c r="P128" i="8"/>
  <c r="P127" i="8"/>
  <c r="P121" i="8"/>
  <c r="P120" i="8"/>
  <c r="P119" i="8"/>
  <c r="P113" i="8"/>
  <c r="P112" i="8"/>
  <c r="P111" i="8"/>
  <c r="P105" i="8"/>
  <c r="P104" i="8"/>
  <c r="P103" i="8"/>
  <c r="P102" i="8"/>
  <c r="P101" i="8"/>
  <c r="P100" i="8"/>
  <c r="P99" i="8"/>
  <c r="P96" i="8"/>
  <c r="P89" i="8"/>
  <c r="P88" i="8"/>
  <c r="P87" i="8"/>
  <c r="P86" i="8"/>
  <c r="P85" i="8"/>
  <c r="P84" i="8"/>
  <c r="P83" i="8"/>
  <c r="P81" i="8"/>
  <c r="P80" i="8"/>
  <c r="P73" i="8"/>
  <c r="P72" i="8"/>
  <c r="P71" i="8"/>
  <c r="P70" i="8"/>
  <c r="P69" i="8"/>
  <c r="P68" i="8"/>
  <c r="P67" i="8"/>
  <c r="P66" i="8"/>
  <c r="P65" i="8"/>
  <c r="P57" i="8"/>
  <c r="P56" i="8"/>
  <c r="P55" i="8"/>
  <c r="P54" i="8"/>
  <c r="P51" i="8"/>
  <c r="P50" i="8"/>
  <c r="P49" i="8"/>
  <c r="P44" i="8"/>
  <c r="P43" i="8"/>
  <c r="P42" i="8"/>
  <c r="P41" i="8"/>
  <c r="P40" i="8"/>
  <c r="P35" i="8"/>
  <c r="P34" i="8"/>
  <c r="P33" i="8"/>
  <c r="P32" i="8"/>
  <c r="P31" i="8"/>
  <c r="P30" i="8"/>
  <c r="P23" i="8"/>
  <c r="P22" i="8"/>
  <c r="P21" i="8"/>
  <c r="P20" i="8"/>
  <c r="P19" i="8"/>
  <c r="P18" i="8"/>
  <c r="P12" i="8"/>
  <c r="P11" i="8"/>
  <c r="P10" i="8"/>
  <c r="P9" i="8"/>
  <c r="P8" i="8"/>
  <c r="P7" i="8"/>
  <c r="M240" i="8"/>
  <c r="M239" i="8"/>
  <c r="M238" i="8"/>
  <c r="M237" i="8"/>
  <c r="M236" i="8"/>
  <c r="M235" i="8"/>
  <c r="M234" i="8"/>
  <c r="M233" i="8"/>
  <c r="M232" i="8"/>
  <c r="M231" i="8"/>
  <c r="M230" i="8"/>
  <c r="M229" i="8"/>
  <c r="N227" i="8"/>
  <c r="N226" i="8"/>
  <c r="N224" i="8"/>
  <c r="N219" i="8"/>
  <c r="G227" i="8"/>
  <c r="G226" i="8"/>
  <c r="G224" i="8"/>
  <c r="G219" i="8"/>
  <c r="F240" i="8"/>
  <c r="F239" i="8"/>
  <c r="F238" i="8"/>
  <c r="F237" i="8"/>
  <c r="F236" i="8"/>
  <c r="F235" i="8"/>
  <c r="F234" i="8"/>
  <c r="F233" i="8"/>
  <c r="F232" i="8"/>
  <c r="F231" i="8"/>
  <c r="F230" i="8"/>
  <c r="F229" i="8"/>
  <c r="D7" i="12" l="1"/>
  <c r="G218" i="8" s="1"/>
  <c r="K7" i="12"/>
  <c r="N218" i="8" s="1"/>
  <c r="M18" i="12"/>
  <c r="L14" i="12"/>
  <c r="O225" i="8" s="1"/>
  <c r="K14" i="12"/>
  <c r="N225" i="8" s="1"/>
  <c r="L13" i="12"/>
  <c r="O224" i="8" s="1"/>
  <c r="K12" i="12"/>
  <c r="N223" i="8" s="1"/>
  <c r="K11" i="12"/>
  <c r="N222" i="8" s="1"/>
  <c r="L10" i="12"/>
  <c r="O221" i="8" s="1"/>
  <c r="K10" i="12"/>
  <c r="N221" i="8" s="1"/>
  <c r="L9" i="12"/>
  <c r="O220" i="8" s="1"/>
  <c r="K9" i="12"/>
  <c r="N220" i="8" s="1"/>
  <c r="K6" i="12"/>
  <c r="N217" i="8" s="1"/>
  <c r="L5" i="12"/>
  <c r="O216" i="8" s="1"/>
  <c r="K5" i="12"/>
  <c r="N216" i="8" s="1"/>
  <c r="L4" i="12"/>
  <c r="O215" i="8" s="1"/>
  <c r="K4" i="12"/>
  <c r="N215" i="8" s="1"/>
  <c r="M66" i="12"/>
  <c r="L64" i="12"/>
  <c r="K64" i="12"/>
  <c r="L61" i="12"/>
  <c r="K61" i="12"/>
  <c r="L60" i="12"/>
  <c r="K60" i="12"/>
  <c r="L59" i="12"/>
  <c r="K59" i="12"/>
  <c r="K58" i="12"/>
  <c r="K55" i="12"/>
  <c r="K54" i="12"/>
  <c r="M50" i="12"/>
  <c r="L48" i="12"/>
  <c r="K48" i="12"/>
  <c r="L47" i="12"/>
  <c r="K47" i="12"/>
  <c r="L46" i="12"/>
  <c r="K46" i="12"/>
  <c r="L45" i="12"/>
  <c r="K45" i="12"/>
  <c r="L44" i="12"/>
  <c r="K44" i="12"/>
  <c r="L43" i="12"/>
  <c r="K43" i="12"/>
  <c r="K42" i="12"/>
  <c r="L40" i="12"/>
  <c r="K40" i="12"/>
  <c r="K39" i="12"/>
  <c r="K38" i="12"/>
  <c r="M34" i="12"/>
  <c r="L32" i="12"/>
  <c r="K32" i="12"/>
  <c r="L31" i="12"/>
  <c r="K31" i="12"/>
  <c r="L30" i="12"/>
  <c r="K30" i="12"/>
  <c r="L29" i="12"/>
  <c r="K29" i="12"/>
  <c r="L28" i="12"/>
  <c r="K28" i="12"/>
  <c r="L27" i="12"/>
  <c r="K27" i="12"/>
  <c r="K26" i="12"/>
  <c r="L25" i="12"/>
  <c r="K25" i="12"/>
  <c r="L24" i="12"/>
  <c r="K24" i="12"/>
  <c r="K23" i="12"/>
  <c r="K22" i="12"/>
  <c r="D27" i="12"/>
  <c r="M41" i="12"/>
  <c r="A27" i="12"/>
  <c r="P216" i="8" l="1"/>
  <c r="P224" i="8"/>
  <c r="P215" i="8"/>
  <c r="P220" i="8"/>
  <c r="P221" i="8"/>
  <c r="P225" i="8"/>
  <c r="M13" i="12"/>
  <c r="AE13" i="12" s="1"/>
  <c r="M29" i="12"/>
  <c r="M4" i="12"/>
  <c r="AC4" i="12" s="1"/>
  <c r="AA67" i="8"/>
  <c r="AA72" i="8"/>
  <c r="AA73" i="8"/>
  <c r="M30" i="12"/>
  <c r="M60" i="12"/>
  <c r="M9" i="12"/>
  <c r="M10" i="12"/>
  <c r="M14" i="12"/>
  <c r="M43" i="12"/>
  <c r="M5" i="12"/>
  <c r="M44" i="12"/>
  <c r="S7" i="12"/>
  <c r="M24" i="12"/>
  <c r="M46" i="12"/>
  <c r="M27" i="12"/>
  <c r="M64" i="12"/>
  <c r="M28" i="12"/>
  <c r="M48" i="12"/>
  <c r="M32" i="12"/>
  <c r="M31" i="12"/>
  <c r="M45" i="12"/>
  <c r="M59" i="12"/>
  <c r="M61" i="12"/>
  <c r="M25" i="12"/>
  <c r="M40" i="12"/>
  <c r="M47" i="12"/>
  <c r="AC13" i="12" l="1"/>
  <c r="AD13" i="12"/>
  <c r="AE4" i="12"/>
  <c r="AD4" i="12"/>
  <c r="AC9" i="12"/>
  <c r="AE9" i="12"/>
  <c r="AD9" i="12"/>
  <c r="AA71" i="8"/>
  <c r="AE14" i="12"/>
  <c r="AD14" i="12"/>
  <c r="AC14" i="12"/>
  <c r="AA35" i="8"/>
  <c r="AE10" i="12"/>
  <c r="AC10" i="12"/>
  <c r="AD10" i="12"/>
  <c r="AE5" i="12"/>
  <c r="AD5" i="12"/>
  <c r="AC5" i="12"/>
  <c r="O160" i="15" l="1"/>
  <c r="O95" i="15"/>
  <c r="O79" i="15"/>
  <c r="H160" i="15"/>
  <c r="H95" i="15"/>
  <c r="H79" i="15"/>
  <c r="P213" i="15"/>
  <c r="P209" i="15"/>
  <c r="P208" i="15"/>
  <c r="P202" i="15"/>
  <c r="P201" i="15"/>
  <c r="P195" i="15"/>
  <c r="P194" i="15"/>
  <c r="P166" i="15"/>
  <c r="P165" i="15"/>
  <c r="P164" i="15"/>
  <c r="P163" i="15"/>
  <c r="P162" i="15"/>
  <c r="P145" i="15"/>
  <c r="P144" i="15"/>
  <c r="P143" i="15"/>
  <c r="G143" i="15"/>
  <c r="P142" i="15"/>
  <c r="P137" i="15"/>
  <c r="P136" i="15"/>
  <c r="P135" i="15"/>
  <c r="G135" i="15"/>
  <c r="P134" i="15"/>
  <c r="P129" i="15"/>
  <c r="P128" i="15"/>
  <c r="P127" i="15"/>
  <c r="G127" i="15"/>
  <c r="P126" i="15"/>
  <c r="P130" i="15" s="1"/>
  <c r="P121" i="15"/>
  <c r="P120" i="15"/>
  <c r="P119" i="15"/>
  <c r="G119" i="15"/>
  <c r="P118" i="15"/>
  <c r="M116" i="15"/>
  <c r="P113" i="15"/>
  <c r="P112" i="15"/>
  <c r="P111" i="15"/>
  <c r="P114" i="15" s="1"/>
  <c r="P110" i="15"/>
  <c r="P105" i="15"/>
  <c r="P104" i="15"/>
  <c r="P103" i="15"/>
  <c r="P102" i="15"/>
  <c r="P101" i="15"/>
  <c r="P100" i="15"/>
  <c r="P99" i="15"/>
  <c r="O97" i="15"/>
  <c r="P96" i="15"/>
  <c r="P89" i="15"/>
  <c r="P88" i="15"/>
  <c r="P87" i="15"/>
  <c r="P86" i="15"/>
  <c r="P85" i="15"/>
  <c r="P84" i="15"/>
  <c r="P83" i="15"/>
  <c r="P81" i="15"/>
  <c r="P80" i="15"/>
  <c r="P73" i="15"/>
  <c r="P72" i="15"/>
  <c r="P71" i="15"/>
  <c r="P70" i="15"/>
  <c r="P69" i="15"/>
  <c r="P68" i="15"/>
  <c r="P67" i="15"/>
  <c r="P66" i="15"/>
  <c r="P65" i="15"/>
  <c r="P64" i="15"/>
  <c r="P63" i="15"/>
  <c r="T57" i="15"/>
  <c r="S57" i="15"/>
  <c r="R57" i="15"/>
  <c r="P57" i="15"/>
  <c r="I57" i="15"/>
  <c r="P56" i="15"/>
  <c r="P55" i="15"/>
  <c r="P54" i="15"/>
  <c r="N53" i="15"/>
  <c r="P53" i="15" s="1"/>
  <c r="N52" i="15"/>
  <c r="P52" i="15" s="1"/>
  <c r="S51" i="15"/>
  <c r="R51" i="15"/>
  <c r="P51" i="15"/>
  <c r="I51" i="15"/>
  <c r="P50" i="15"/>
  <c r="P49" i="15"/>
  <c r="P44" i="15"/>
  <c r="P43" i="15"/>
  <c r="P42" i="15"/>
  <c r="P41" i="15"/>
  <c r="P40" i="15"/>
  <c r="P35" i="15"/>
  <c r="S34" i="15"/>
  <c r="R34" i="15"/>
  <c r="P34" i="15"/>
  <c r="T34" i="15" s="1"/>
  <c r="I34" i="15"/>
  <c r="P33" i="15"/>
  <c r="P32" i="15"/>
  <c r="P31" i="15"/>
  <c r="P30" i="15"/>
  <c r="P23" i="15"/>
  <c r="P22" i="15"/>
  <c r="P21" i="15"/>
  <c r="P20" i="15"/>
  <c r="P19" i="15"/>
  <c r="P18" i="15"/>
  <c r="P13" i="15"/>
  <c r="P12" i="15"/>
  <c r="P11" i="15"/>
  <c r="P10" i="15"/>
  <c r="P9" i="15"/>
  <c r="P8" i="15"/>
  <c r="P7" i="15"/>
  <c r="Y47" i="14"/>
  <c r="X42" i="14"/>
  <c r="Y40" i="14" s="1"/>
  <c r="Y41" i="14" s="1"/>
  <c r="AA41" i="14" s="1"/>
  <c r="E50" i="13"/>
  <c r="E49" i="13"/>
  <c r="E20" i="13"/>
  <c r="B20" i="13"/>
  <c r="B21" i="13" s="1"/>
  <c r="E19" i="13"/>
  <c r="B19" i="13"/>
  <c r="B14" i="13"/>
  <c r="B11" i="13"/>
  <c r="B10" i="13"/>
  <c r="A120" i="4"/>
  <c r="P1513" i="5"/>
  <c r="Q1513" i="5" s="1"/>
  <c r="S1513" i="5" s="1"/>
  <c r="P1512" i="5"/>
  <c r="Q1512" i="5" s="1"/>
  <c r="S1512" i="5" s="1"/>
  <c r="P1511" i="5"/>
  <c r="Q1511" i="5" s="1"/>
  <c r="S1511" i="5" s="1"/>
  <c r="P1510" i="5"/>
  <c r="Q1510" i="5" s="1"/>
  <c r="S1510" i="5" s="1"/>
  <c r="P1509" i="5"/>
  <c r="Q1509" i="5" s="1"/>
  <c r="S1509" i="5" s="1"/>
  <c r="P1508" i="5"/>
  <c r="Q1508" i="5" s="1"/>
  <c r="S1508" i="5" s="1"/>
  <c r="P1507" i="5"/>
  <c r="Q1507" i="5" s="1"/>
  <c r="S1507" i="5" s="1"/>
  <c r="P1506" i="5"/>
  <c r="Q1506" i="5" s="1"/>
  <c r="S1506" i="5" s="1"/>
  <c r="P1505" i="5"/>
  <c r="Q1505" i="5" s="1"/>
  <c r="S1505" i="5" s="1"/>
  <c r="P1504" i="5"/>
  <c r="Q1504" i="5" s="1"/>
  <c r="S1504" i="5" s="1"/>
  <c r="P1503" i="5"/>
  <c r="Q1503" i="5" s="1"/>
  <c r="S1503" i="5" s="1"/>
  <c r="P1502" i="5"/>
  <c r="Q1502" i="5" s="1"/>
  <c r="S1502" i="5" s="1"/>
  <c r="P1501" i="5"/>
  <c r="P1500" i="5"/>
  <c r="P1499" i="5"/>
  <c r="Q1499" i="5" s="1"/>
  <c r="S1499" i="5" s="1"/>
  <c r="P1498" i="5"/>
  <c r="P1497" i="5"/>
  <c r="Q1497" i="5" s="1"/>
  <c r="S1497" i="5" s="1"/>
  <c r="P1496" i="5"/>
  <c r="P1495" i="5"/>
  <c r="P1494" i="5"/>
  <c r="Q1494" i="5" s="1"/>
  <c r="S1494" i="5" s="1"/>
  <c r="P1493" i="5"/>
  <c r="P1492" i="5"/>
  <c r="P1491" i="5"/>
  <c r="A125" i="4"/>
  <c r="P1490" i="5"/>
  <c r="G44" i="15"/>
  <c r="G202" i="15"/>
  <c r="I59" i="15"/>
  <c r="I107" i="15"/>
  <c r="H54" i="15"/>
  <c r="G128" i="8"/>
  <c r="G85" i="15"/>
  <c r="G19" i="15"/>
  <c r="H66" i="15"/>
  <c r="G64" i="15"/>
  <c r="G99" i="15"/>
  <c r="G31" i="15"/>
  <c r="G128" i="15"/>
  <c r="H121" i="15"/>
  <c r="H194" i="15"/>
  <c r="H162" i="15"/>
  <c r="G68" i="15"/>
  <c r="G66" i="15"/>
  <c r="H69" i="15"/>
  <c r="I15" i="15"/>
  <c r="G71" i="15"/>
  <c r="G22" i="15"/>
  <c r="H68" i="15"/>
  <c r="H202" i="15"/>
  <c r="G164" i="8"/>
  <c r="H103" i="15"/>
  <c r="H209" i="8"/>
  <c r="H44" i="15"/>
  <c r="H145" i="15"/>
  <c r="G41" i="15"/>
  <c r="H83" i="15"/>
  <c r="G55" i="15"/>
  <c r="H127" i="15"/>
  <c r="G161" i="15"/>
  <c r="I147" i="15"/>
  <c r="G89" i="15"/>
  <c r="G40" i="15"/>
  <c r="H127" i="8"/>
  <c r="G21" i="15"/>
  <c r="G87" i="15"/>
  <c r="H40" i="15"/>
  <c r="H120" i="15"/>
  <c r="G144" i="8"/>
  <c r="G62" i="15"/>
  <c r="G103" i="15"/>
  <c r="G42" i="15"/>
  <c r="H30" i="15"/>
  <c r="G95" i="15"/>
  <c r="H119" i="15"/>
  <c r="G54" i="15"/>
  <c r="H31" i="15"/>
  <c r="I168" i="15"/>
  <c r="H201" i="8"/>
  <c r="G23" i="15"/>
  <c r="H12" i="15"/>
  <c r="H81" i="15"/>
  <c r="H52" i="15"/>
  <c r="H195" i="15"/>
  <c r="G97" i="15"/>
  <c r="G44" i="8"/>
  <c r="H97" i="15"/>
  <c r="H33" i="15"/>
  <c r="H119" i="8"/>
  <c r="G166" i="15"/>
  <c r="H194" i="8"/>
  <c r="G100" i="15"/>
  <c r="G104" i="15"/>
  <c r="H164" i="15"/>
  <c r="G202" i="8"/>
  <c r="G83" i="15"/>
  <c r="G65" i="15"/>
  <c r="G78" i="15"/>
  <c r="H163" i="15"/>
  <c r="G50" i="15"/>
  <c r="G105" i="15"/>
  <c r="G195" i="8"/>
  <c r="H100" i="15"/>
  <c r="H71" i="15"/>
  <c r="G163" i="15"/>
  <c r="H128" i="15"/>
  <c r="H80" i="15"/>
  <c r="G164" i="15"/>
  <c r="G29" i="15"/>
  <c r="G43" i="15"/>
  <c r="H201" i="15"/>
  <c r="H72" i="15"/>
  <c r="H65" i="15"/>
  <c r="H195" i="8"/>
  <c r="G102" i="15"/>
  <c r="G160" i="15"/>
  <c r="H11" i="15"/>
  <c r="H70" i="15"/>
  <c r="G94" i="15"/>
  <c r="I131" i="15"/>
  <c r="H112" i="15"/>
  <c r="H137" i="15"/>
  <c r="H85" i="15"/>
  <c r="G56" i="15"/>
  <c r="H144" i="15"/>
  <c r="H7" i="15"/>
  <c r="G79" i="15"/>
  <c r="G144" i="15"/>
  <c r="G72" i="15"/>
  <c r="H49" i="15"/>
  <c r="H21" i="15"/>
  <c r="H35" i="15"/>
  <c r="H99" i="15"/>
  <c r="G49" i="15"/>
  <c r="G32" i="15"/>
  <c r="G11" i="15"/>
  <c r="H20" i="15"/>
  <c r="G85" i="8"/>
  <c r="H202" i="8"/>
  <c r="H22" i="15"/>
  <c r="G35" i="15"/>
  <c r="G209" i="8"/>
  <c r="H136" i="15"/>
  <c r="G20" i="15"/>
  <c r="G7" i="15"/>
  <c r="H104" i="15"/>
  <c r="H143" i="15"/>
  <c r="G52" i="15"/>
  <c r="G136" i="8"/>
  <c r="H111" i="8"/>
  <c r="I37" i="15"/>
  <c r="G30" i="15"/>
  <c r="I25" i="15"/>
  <c r="H88" i="15"/>
  <c r="H101" i="15"/>
  <c r="G67" i="15"/>
  <c r="H42" i="15"/>
  <c r="G80" i="15"/>
  <c r="G69" i="15"/>
  <c r="G82" i="15"/>
  <c r="H67" i="15"/>
  <c r="G120" i="15"/>
  <c r="G120" i="8"/>
  <c r="H8" i="15"/>
  <c r="H135" i="8"/>
  <c r="H56" i="15"/>
  <c r="H89" i="15"/>
  <c r="H86" i="15"/>
  <c r="H135" i="15"/>
  <c r="G101" i="15"/>
  <c r="H32" i="15"/>
  <c r="I139" i="15"/>
  <c r="H87" i="15"/>
  <c r="G136" i="15"/>
  <c r="H102" i="15"/>
  <c r="G73" i="15"/>
  <c r="H208" i="15"/>
  <c r="G81" i="15"/>
  <c r="H113" i="15"/>
  <c r="G101" i="8"/>
  <c r="I123" i="15"/>
  <c r="H53" i="15"/>
  <c r="G86" i="15"/>
  <c r="I115" i="15"/>
  <c r="G88" i="15"/>
  <c r="G28" i="15"/>
  <c r="G98" i="15"/>
  <c r="H23" i="15"/>
  <c r="G162" i="15"/>
  <c r="H84" i="15"/>
  <c r="H143" i="8"/>
  <c r="G195" i="15"/>
  <c r="G165" i="15"/>
  <c r="G18" i="15"/>
  <c r="H208" i="8"/>
  <c r="G96" i="15"/>
  <c r="G63" i="15"/>
  <c r="G112" i="8"/>
  <c r="H165" i="15"/>
  <c r="G10" i="15"/>
  <c r="H9" i="15"/>
  <c r="G66" i="8"/>
  <c r="H43" i="15"/>
  <c r="G56" i="8"/>
  <c r="G209" i="15"/>
  <c r="H18" i="15"/>
  <c r="H10" i="15"/>
  <c r="I75" i="15"/>
  <c r="G33" i="15"/>
  <c r="H55" i="15"/>
  <c r="G112" i="15"/>
  <c r="H13" i="15"/>
  <c r="I46" i="15"/>
  <c r="H209" i="15"/>
  <c r="G8" i="15"/>
  <c r="H73" i="15"/>
  <c r="G53" i="15"/>
  <c r="I91" i="15"/>
  <c r="G70" i="15"/>
  <c r="G159" i="15"/>
  <c r="H129" i="15"/>
  <c r="H41" i="15"/>
  <c r="H111" i="15"/>
  <c r="G9" i="15"/>
  <c r="H19" i="15"/>
  <c r="H96" i="15"/>
  <c r="H50" i="15"/>
  <c r="D7" i="16" l="1"/>
  <c r="D8" i="16"/>
  <c r="D5" i="16"/>
  <c r="F5" i="16" s="1"/>
  <c r="E21" i="13"/>
  <c r="P14" i="15"/>
  <c r="P146" i="15"/>
  <c r="T51" i="15"/>
  <c r="D28" i="12"/>
  <c r="D44" i="12"/>
  <c r="D60" i="12"/>
  <c r="S52" i="15"/>
  <c r="R42" i="15"/>
  <c r="I42" i="15"/>
  <c r="T42" i="15" s="1"/>
  <c r="S56" i="15"/>
  <c r="I56" i="15"/>
  <c r="T56" i="15" s="1"/>
  <c r="R56" i="15"/>
  <c r="R7" i="15"/>
  <c r="I7" i="15"/>
  <c r="T7" i="15" s="1"/>
  <c r="S128" i="15"/>
  <c r="R144" i="15"/>
  <c r="I144" i="15"/>
  <c r="T144" i="15" s="1"/>
  <c r="R137" i="15"/>
  <c r="R30" i="15"/>
  <c r="I30" i="15"/>
  <c r="T30" i="15" s="1"/>
  <c r="S71" i="15"/>
  <c r="S165" i="15"/>
  <c r="R52" i="15"/>
  <c r="I52" i="15"/>
  <c r="T52" i="15" s="1"/>
  <c r="S19" i="15"/>
  <c r="R67" i="15"/>
  <c r="I67" i="15"/>
  <c r="T67" i="15" s="1"/>
  <c r="R19" i="15"/>
  <c r="I19" i="15"/>
  <c r="T19" i="15" s="1"/>
  <c r="S10" i="15"/>
  <c r="R10" i="15"/>
  <c r="I10" i="15"/>
  <c r="T10" i="15" s="1"/>
  <c r="R20" i="15"/>
  <c r="I20" i="15"/>
  <c r="T20" i="15" s="1"/>
  <c r="S30" i="15"/>
  <c r="S144" i="15"/>
  <c r="S162" i="15"/>
  <c r="S22" i="15"/>
  <c r="R22" i="15"/>
  <c r="I22" i="15"/>
  <c r="T22" i="15" s="1"/>
  <c r="S86" i="15"/>
  <c r="R86" i="15"/>
  <c r="I86" i="15"/>
  <c r="T86" i="15" s="1"/>
  <c r="R128" i="15"/>
  <c r="I128" i="15"/>
  <c r="T128" i="15" s="1"/>
  <c r="S202" i="15"/>
  <c r="R202" i="15"/>
  <c r="I202" i="15"/>
  <c r="T202" i="15" s="1"/>
  <c r="R80" i="15"/>
  <c r="I80" i="15"/>
  <c r="T80" i="15" s="1"/>
  <c r="S7" i="15"/>
  <c r="S32" i="15"/>
  <c r="S35" i="15"/>
  <c r="S50" i="15"/>
  <c r="S69" i="15"/>
  <c r="S12" i="15"/>
  <c r="R12" i="15"/>
  <c r="I12" i="15"/>
  <c r="T12" i="15" s="1"/>
  <c r="I32" i="15"/>
  <c r="T32" i="15" s="1"/>
  <c r="R32" i="15"/>
  <c r="R35" i="15"/>
  <c r="I35" i="15"/>
  <c r="T35" i="15" s="1"/>
  <c r="I50" i="15"/>
  <c r="T50" i="15" s="1"/>
  <c r="R50" i="15"/>
  <c r="S101" i="15"/>
  <c r="S164" i="15"/>
  <c r="S20" i="15"/>
  <c r="R164" i="15"/>
  <c r="I164" i="15"/>
  <c r="T164" i="15" s="1"/>
  <c r="S9" i="15"/>
  <c r="R71" i="15"/>
  <c r="I71" i="15"/>
  <c r="T71" i="15" s="1"/>
  <c r="R9" i="15"/>
  <c r="I9" i="15"/>
  <c r="T9" i="15" s="1"/>
  <c r="O5" i="15"/>
  <c r="S67" i="15"/>
  <c r="S21" i="15"/>
  <c r="R44" i="15"/>
  <c r="I44" i="15"/>
  <c r="T44" i="15" s="1"/>
  <c r="S66" i="15"/>
  <c r="R69" i="15"/>
  <c r="I69" i="15"/>
  <c r="T69" i="15" s="1"/>
  <c r="R21" i="15"/>
  <c r="I21" i="15"/>
  <c r="T21" i="15" s="1"/>
  <c r="R31" i="15"/>
  <c r="I31" i="15"/>
  <c r="T31" i="15" s="1"/>
  <c r="S80" i="15"/>
  <c r="R145" i="15"/>
  <c r="S18" i="15"/>
  <c r="R41" i="15"/>
  <c r="I41" i="15"/>
  <c r="T41" i="15" s="1"/>
  <c r="R165" i="15"/>
  <c r="I165" i="15"/>
  <c r="T165" i="15" s="1"/>
  <c r="R18" i="15"/>
  <c r="I18" i="15"/>
  <c r="R113" i="15"/>
  <c r="S136" i="15"/>
  <c r="S70" i="15"/>
  <c r="I136" i="15"/>
  <c r="T136" i="15" s="1"/>
  <c r="R136" i="15"/>
  <c r="I197" i="15"/>
  <c r="S73" i="15"/>
  <c r="S194" i="15"/>
  <c r="R194" i="15"/>
  <c r="I194" i="15"/>
  <c r="T194" i="15" s="1"/>
  <c r="R73" i="15"/>
  <c r="I73" i="15"/>
  <c r="T73" i="15" s="1"/>
  <c r="S112" i="15"/>
  <c r="S54" i="15"/>
  <c r="S65" i="15"/>
  <c r="S88" i="15"/>
  <c r="S103" i="15"/>
  <c r="I112" i="15"/>
  <c r="T112" i="15" s="1"/>
  <c r="R112" i="15"/>
  <c r="S11" i="15"/>
  <c r="I40" i="15"/>
  <c r="T40" i="15" s="1"/>
  <c r="R40" i="15"/>
  <c r="I54" i="15"/>
  <c r="T54" i="15" s="1"/>
  <c r="R54" i="15"/>
  <c r="R65" i="15"/>
  <c r="I65" i="15"/>
  <c r="T65" i="15" s="1"/>
  <c r="S68" i="15"/>
  <c r="I88" i="15"/>
  <c r="T88" i="15" s="1"/>
  <c r="R88" i="15"/>
  <c r="I204" i="15"/>
  <c r="R103" i="15"/>
  <c r="I103" i="15"/>
  <c r="T103" i="15" s="1"/>
  <c r="S163" i="15"/>
  <c r="I11" i="15"/>
  <c r="T11" i="15" s="1"/>
  <c r="R11" i="15"/>
  <c r="R163" i="15"/>
  <c r="I163" i="15"/>
  <c r="T163" i="15" s="1"/>
  <c r="S111" i="15"/>
  <c r="R111" i="15"/>
  <c r="I111" i="15"/>
  <c r="T111" i="15" s="1"/>
  <c r="R135" i="15"/>
  <c r="I135" i="15"/>
  <c r="T135" i="15" s="1"/>
  <c r="S195" i="15"/>
  <c r="S8" i="15"/>
  <c r="S33" i="15"/>
  <c r="S43" i="15"/>
  <c r="R84" i="15"/>
  <c r="I84" i="15"/>
  <c r="T84" i="15" s="1"/>
  <c r="S84" i="15"/>
  <c r="R195" i="15"/>
  <c r="I195" i="15"/>
  <c r="T195" i="15" s="1"/>
  <c r="S209" i="15"/>
  <c r="R8" i="15"/>
  <c r="I8" i="15"/>
  <c r="T8" i="15" s="1"/>
  <c r="S23" i="15"/>
  <c r="I33" i="15"/>
  <c r="T33" i="15" s="1"/>
  <c r="R33" i="15"/>
  <c r="I43" i="15"/>
  <c r="T43" i="15" s="1"/>
  <c r="R43" i="15"/>
  <c r="S99" i="15"/>
  <c r="S120" i="15"/>
  <c r="I143" i="15"/>
  <c r="T143" i="15" s="1"/>
  <c r="S143" i="15"/>
  <c r="R143" i="15"/>
  <c r="I209" i="15"/>
  <c r="T209" i="15" s="1"/>
  <c r="R209" i="15"/>
  <c r="R162" i="15"/>
  <c r="I162" i="15"/>
  <c r="T162" i="15" s="1"/>
  <c r="I13" i="15"/>
  <c r="T13" i="15" s="1"/>
  <c r="R13" i="15"/>
  <c r="S13" i="15"/>
  <c r="I23" i="15"/>
  <c r="T23" i="15" s="1"/>
  <c r="R23" i="15"/>
  <c r="S72" i="15"/>
  <c r="S97" i="15"/>
  <c r="I99" i="15"/>
  <c r="T99" i="15" s="1"/>
  <c r="R99" i="15"/>
  <c r="I120" i="15"/>
  <c r="T120" i="15" s="1"/>
  <c r="R120" i="15"/>
  <c r="R101" i="15"/>
  <c r="I101" i="15"/>
  <c r="T101" i="15" s="1"/>
  <c r="S31" i="15"/>
  <c r="S41" i="15"/>
  <c r="I97" i="15"/>
  <c r="S53" i="15"/>
  <c r="I66" i="15"/>
  <c r="T66" i="15" s="1"/>
  <c r="R66" i="15"/>
  <c r="I68" i="15"/>
  <c r="T68" i="15" s="1"/>
  <c r="R68" i="15"/>
  <c r="I70" i="15"/>
  <c r="T70" i="15" s="1"/>
  <c r="R70" i="15"/>
  <c r="I72" i="15"/>
  <c r="T72" i="15" s="1"/>
  <c r="R72" i="15"/>
  <c r="S81" i="15"/>
  <c r="S85" i="15"/>
  <c r="S87" i="15"/>
  <c r="S89" i="15"/>
  <c r="S100" i="15"/>
  <c r="S102" i="15"/>
  <c r="I127" i="15"/>
  <c r="T127" i="15" s="1"/>
  <c r="R127" i="15"/>
  <c r="R129" i="15"/>
  <c r="I208" i="15"/>
  <c r="T208" i="15" s="1"/>
  <c r="S208" i="15"/>
  <c r="R208" i="15"/>
  <c r="S49" i="15"/>
  <c r="I53" i="15"/>
  <c r="T53" i="15" s="1"/>
  <c r="R53" i="15"/>
  <c r="S55" i="15"/>
  <c r="I81" i="15"/>
  <c r="T81" i="15" s="1"/>
  <c r="R81" i="15"/>
  <c r="S83" i="15"/>
  <c r="I85" i="15"/>
  <c r="T85" i="15" s="1"/>
  <c r="R85" i="15"/>
  <c r="I87" i="15"/>
  <c r="T87" i="15" s="1"/>
  <c r="R87" i="15"/>
  <c r="I89" i="15"/>
  <c r="T89" i="15" s="1"/>
  <c r="H105" i="15"/>
  <c r="R89" i="15"/>
  <c r="I100" i="15"/>
  <c r="T100" i="15" s="1"/>
  <c r="R100" i="15"/>
  <c r="I102" i="15"/>
  <c r="T102" i="15" s="1"/>
  <c r="R102" i="15"/>
  <c r="S104" i="15"/>
  <c r="S40" i="15"/>
  <c r="S42" i="15"/>
  <c r="S44" i="15"/>
  <c r="I49" i="15"/>
  <c r="R49" i="15"/>
  <c r="R55" i="15"/>
  <c r="I55" i="15"/>
  <c r="T55" i="15" s="1"/>
  <c r="R83" i="15"/>
  <c r="I83" i="15"/>
  <c r="T83" i="15" s="1"/>
  <c r="I96" i="15"/>
  <c r="I104" i="15"/>
  <c r="T104" i="15" s="1"/>
  <c r="R104" i="15"/>
  <c r="S119" i="15"/>
  <c r="R119" i="15"/>
  <c r="I119" i="15"/>
  <c r="T119" i="15" s="1"/>
  <c r="R121" i="15"/>
  <c r="I211" i="15"/>
  <c r="R201" i="15"/>
  <c r="I201" i="15"/>
  <c r="T201" i="15" s="1"/>
  <c r="S201" i="15"/>
  <c r="P28" i="15"/>
  <c r="P138" i="15"/>
  <c r="P58" i="15"/>
  <c r="P45" i="15"/>
  <c r="P24" i="15"/>
  <c r="R97" i="15"/>
  <c r="P122" i="15"/>
  <c r="S127" i="15"/>
  <c r="P97" i="15"/>
  <c r="S135" i="15"/>
  <c r="AA40" i="14"/>
  <c r="X17" i="13"/>
  <c r="Q1498" i="5"/>
  <c r="S1498" i="5" s="1"/>
  <c r="Q1492" i="5"/>
  <c r="S1492" i="5" s="1"/>
  <c r="Q1496" i="5"/>
  <c r="S1496" i="5" s="1"/>
  <c r="Q1500" i="5"/>
  <c r="S1500" i="5" s="1"/>
  <c r="Q1501" i="5"/>
  <c r="S1501" i="5" s="1"/>
  <c r="Q1491" i="5"/>
  <c r="S1491" i="5" s="1"/>
  <c r="Q1495" i="5"/>
  <c r="S1495" i="5" s="1"/>
  <c r="Q1493" i="5"/>
  <c r="S1493" i="5" s="1"/>
  <c r="Q1490" i="5"/>
  <c r="S1490" i="5" s="1"/>
  <c r="G121" i="15"/>
  <c r="G113" i="15"/>
  <c r="G129" i="15"/>
  <c r="G142" i="15"/>
  <c r="G118" i="15"/>
  <c r="G110" i="15"/>
  <c r="G134" i="15"/>
  <c r="G126" i="15"/>
  <c r="G137" i="15"/>
  <c r="G145" i="15"/>
  <c r="S58" i="15" l="1"/>
  <c r="T97" i="15"/>
  <c r="T45" i="15"/>
  <c r="S113" i="15"/>
  <c r="I113" i="15"/>
  <c r="T113" i="15" s="1"/>
  <c r="S145" i="15"/>
  <c r="I145" i="15"/>
  <c r="T145" i="15" s="1"/>
  <c r="S121" i="15"/>
  <c r="I121" i="15"/>
  <c r="T121" i="15" s="1"/>
  <c r="S137" i="15"/>
  <c r="I137" i="15"/>
  <c r="T137" i="15" s="1"/>
  <c r="S129" i="15"/>
  <c r="I129" i="15"/>
  <c r="T129" i="15" s="1"/>
  <c r="T14" i="15"/>
  <c r="I213" i="15"/>
  <c r="I58" i="15"/>
  <c r="T49" i="15"/>
  <c r="R14" i="15"/>
  <c r="H166" i="15"/>
  <c r="R105" i="15"/>
  <c r="I105" i="15"/>
  <c r="T105" i="15" s="1"/>
  <c r="R45" i="15"/>
  <c r="I45" i="15"/>
  <c r="S24" i="15"/>
  <c r="R24" i="15"/>
  <c r="S45" i="15"/>
  <c r="S14" i="15"/>
  <c r="I24" i="15"/>
  <c r="T58" i="15"/>
  <c r="I14" i="15"/>
  <c r="S105" i="15"/>
  <c r="F5" i="15"/>
  <c r="T18" i="15"/>
  <c r="T24" i="15" s="1"/>
  <c r="R58" i="15"/>
  <c r="P79" i="15" l="1"/>
  <c r="I28" i="15"/>
  <c r="R28" i="15"/>
  <c r="S28" i="15"/>
  <c r="H64" i="15"/>
  <c r="H63" i="15"/>
  <c r="R166" i="15"/>
  <c r="I166" i="15"/>
  <c r="T166" i="15" s="1"/>
  <c r="S166" i="15"/>
  <c r="S167" i="15" s="1"/>
  <c r="P95" i="15"/>
  <c r="R29" i="15"/>
  <c r="P29" i="15"/>
  <c r="P160" i="15"/>
  <c r="I79" i="15" l="1"/>
  <c r="T79" i="15" s="1"/>
  <c r="S79" i="15"/>
  <c r="R79" i="15"/>
  <c r="I29" i="15"/>
  <c r="T29" i="15" s="1"/>
  <c r="S29" i="15"/>
  <c r="S36" i="15" s="1"/>
  <c r="I160" i="15"/>
  <c r="T160" i="15" s="1"/>
  <c r="S160" i="15"/>
  <c r="I95" i="15"/>
  <c r="T95" i="15" s="1"/>
  <c r="S95" i="15"/>
  <c r="R160" i="15"/>
  <c r="P36" i="15"/>
  <c r="R36" i="15"/>
  <c r="T28" i="15"/>
  <c r="R95" i="15"/>
  <c r="I63" i="15"/>
  <c r="T63" i="15" s="1"/>
  <c r="R63" i="15"/>
  <c r="S63" i="15"/>
  <c r="I64" i="15"/>
  <c r="T64" i="15" s="1"/>
  <c r="R64" i="15"/>
  <c r="S64" i="15"/>
  <c r="P1489" i="5"/>
  <c r="R1489" i="5" s="1"/>
  <c r="P1488" i="5"/>
  <c r="R1488" i="5" s="1"/>
  <c r="P1487" i="5"/>
  <c r="R1487" i="5" s="1"/>
  <c r="P1486" i="5"/>
  <c r="Q1486" i="5" s="1"/>
  <c r="S1486" i="5" s="1"/>
  <c r="P1485" i="5"/>
  <c r="R1485" i="5" s="1"/>
  <c r="P1484" i="5"/>
  <c r="R1484" i="5" s="1"/>
  <c r="P1483" i="5"/>
  <c r="R1483" i="5" s="1"/>
  <c r="P1482" i="5"/>
  <c r="Q1482" i="5" s="1"/>
  <c r="S1482" i="5" s="1"/>
  <c r="P1481" i="5"/>
  <c r="R1481" i="5" s="1"/>
  <c r="P1480" i="5"/>
  <c r="R1480" i="5" s="1"/>
  <c r="P1479" i="5"/>
  <c r="R1479" i="5" s="1"/>
  <c r="P1478" i="5"/>
  <c r="Q1478" i="5" s="1"/>
  <c r="S1478" i="5" s="1"/>
  <c r="A124" i="4"/>
  <c r="P1477" i="5"/>
  <c r="R1477" i="5" s="1"/>
  <c r="P1476" i="5"/>
  <c r="R1476" i="5" s="1"/>
  <c r="P1475" i="5"/>
  <c r="R1475" i="5" s="1"/>
  <c r="P1474" i="5"/>
  <c r="R1474" i="5" s="1"/>
  <c r="P1473" i="5"/>
  <c r="R1473" i="5" s="1"/>
  <c r="P1472" i="5"/>
  <c r="Q1472" i="5" s="1"/>
  <c r="S1472" i="5" s="1"/>
  <c r="P1471" i="5"/>
  <c r="R1471" i="5" s="1"/>
  <c r="P1470" i="5"/>
  <c r="R1470" i="5" s="1"/>
  <c r="P1469" i="5"/>
  <c r="Q1469" i="5" s="1"/>
  <c r="S1469" i="5" s="1"/>
  <c r="P1468" i="5"/>
  <c r="Q1468" i="5" s="1"/>
  <c r="S1468" i="5" s="1"/>
  <c r="P1467" i="5"/>
  <c r="R1467" i="5" s="1"/>
  <c r="P1465" i="5"/>
  <c r="R1465" i="5" s="1"/>
  <c r="P1464" i="5"/>
  <c r="R1464" i="5" s="1"/>
  <c r="P1463" i="5"/>
  <c r="R1463" i="5" s="1"/>
  <c r="P1462" i="5"/>
  <c r="R1462" i="5" s="1"/>
  <c r="P1461" i="5"/>
  <c r="Q1461" i="5" s="1"/>
  <c r="S1461" i="5" s="1"/>
  <c r="P1460" i="5"/>
  <c r="Q1460" i="5" s="1"/>
  <c r="S1460" i="5" s="1"/>
  <c r="P1459" i="5"/>
  <c r="R1459" i="5" s="1"/>
  <c r="P1458" i="5"/>
  <c r="R1458" i="5" s="1"/>
  <c r="P1457" i="5"/>
  <c r="Q1457" i="5" s="1"/>
  <c r="S1457" i="5" s="1"/>
  <c r="P1456" i="5"/>
  <c r="Q1456" i="5" s="1"/>
  <c r="S1456" i="5" s="1"/>
  <c r="P1455" i="5"/>
  <c r="Q1455" i="5" s="1"/>
  <c r="S1455" i="5" s="1"/>
  <c r="P1466" i="5"/>
  <c r="R1466" i="5" s="1"/>
  <c r="A123" i="4"/>
  <c r="A122" i="4"/>
  <c r="P1454" i="5"/>
  <c r="Q1454" i="5" s="1"/>
  <c r="S1454" i="5" s="1"/>
  <c r="G55" i="8"/>
  <c r="H54" i="8"/>
  <c r="G64" i="8"/>
  <c r="H13" i="8"/>
  <c r="H55" i="8"/>
  <c r="G54" i="8"/>
  <c r="H112" i="8"/>
  <c r="H22" i="8"/>
  <c r="E8" i="16" l="1"/>
  <c r="F8" i="16" s="1"/>
  <c r="D12" i="12"/>
  <c r="G223" i="8" s="1"/>
  <c r="I36" i="15"/>
  <c r="T36" i="15"/>
  <c r="O161" i="15"/>
  <c r="O98" i="15"/>
  <c r="O62" i="15"/>
  <c r="O82" i="15"/>
  <c r="R1482" i="5"/>
  <c r="R1486" i="5"/>
  <c r="Q1481" i="5"/>
  <c r="S1481" i="5" s="1"/>
  <c r="Q1485" i="5"/>
  <c r="S1485" i="5" s="1"/>
  <c r="Q1489" i="5"/>
  <c r="S1489" i="5" s="1"/>
  <c r="Q1479" i="5"/>
  <c r="S1479" i="5" s="1"/>
  <c r="Q1483" i="5"/>
  <c r="S1483" i="5" s="1"/>
  <c r="Q1487" i="5"/>
  <c r="S1487" i="5" s="1"/>
  <c r="Q1480" i="5"/>
  <c r="S1480" i="5" s="1"/>
  <c r="Q1484" i="5"/>
  <c r="S1484" i="5" s="1"/>
  <c r="Q1488" i="5"/>
  <c r="S1488" i="5" s="1"/>
  <c r="R1478" i="5"/>
  <c r="R1469" i="5"/>
  <c r="R1457" i="5"/>
  <c r="Q1459" i="5"/>
  <c r="S1459" i="5" s="1"/>
  <c r="R1456" i="5"/>
  <c r="R1472" i="5"/>
  <c r="Q1475" i="5"/>
  <c r="S1475" i="5" s="1"/>
  <c r="Q1467" i="5"/>
  <c r="S1467" i="5" s="1"/>
  <c r="Q1470" i="5"/>
  <c r="S1470" i="5" s="1"/>
  <c r="Q1473" i="5"/>
  <c r="S1473" i="5" s="1"/>
  <c r="Q1471" i="5"/>
  <c r="S1471" i="5" s="1"/>
  <c r="Q1474" i="5"/>
  <c r="S1474" i="5" s="1"/>
  <c r="R1468" i="5"/>
  <c r="Q1476" i="5"/>
  <c r="S1476" i="5" s="1"/>
  <c r="Q1477" i="5"/>
  <c r="S1477" i="5" s="1"/>
  <c r="R1460" i="5"/>
  <c r="Q1463" i="5"/>
  <c r="S1463" i="5" s="1"/>
  <c r="R1461" i="5"/>
  <c r="Q1464" i="5"/>
  <c r="S1464" i="5" s="1"/>
  <c r="R1455" i="5"/>
  <c r="Q1465" i="5"/>
  <c r="S1465" i="5" s="1"/>
  <c r="Q1458" i="5"/>
  <c r="S1458" i="5" s="1"/>
  <c r="Q1462" i="5"/>
  <c r="S1462" i="5" s="1"/>
  <c r="Q1466" i="5"/>
  <c r="S1466" i="5" s="1"/>
  <c r="R1454" i="5"/>
  <c r="P1453" i="5"/>
  <c r="P1452" i="5"/>
  <c r="P1451" i="5"/>
  <c r="P1450" i="5"/>
  <c r="P1449" i="5"/>
  <c r="P1448" i="5"/>
  <c r="P1447" i="5"/>
  <c r="Q1447" i="5" s="1"/>
  <c r="S1447" i="5" s="1"/>
  <c r="P1446" i="5"/>
  <c r="Q1446" i="5" s="1"/>
  <c r="S1446" i="5" s="1"/>
  <c r="P1445" i="5"/>
  <c r="Q1445" i="5" s="1"/>
  <c r="S1445" i="5" s="1"/>
  <c r="P1444" i="5"/>
  <c r="P1443" i="5"/>
  <c r="Q1443" i="5" s="1"/>
  <c r="S1443" i="5" s="1"/>
  <c r="P1442" i="5"/>
  <c r="Q1442" i="5" s="1"/>
  <c r="S1442" i="5" s="1"/>
  <c r="P1441" i="5"/>
  <c r="Q1441" i="5" s="1"/>
  <c r="S1441" i="5" s="1"/>
  <c r="P1440" i="5"/>
  <c r="Q1440" i="5" s="1"/>
  <c r="S1440" i="5" s="1"/>
  <c r="P1439" i="5"/>
  <c r="R1439" i="5" s="1"/>
  <c r="P1438" i="5"/>
  <c r="Q1438" i="5" s="1"/>
  <c r="S1438" i="5" s="1"/>
  <c r="P1437" i="5"/>
  <c r="R1437" i="5" s="1"/>
  <c r="P1436" i="5"/>
  <c r="R1436" i="5" s="1"/>
  <c r="P1435" i="5"/>
  <c r="R1435" i="5" s="1"/>
  <c r="P1434" i="5"/>
  <c r="R1434" i="5" s="1"/>
  <c r="P1433" i="5"/>
  <c r="Q1433" i="5" s="1"/>
  <c r="S1433" i="5" s="1"/>
  <c r="P1432" i="5"/>
  <c r="R1432" i="5" s="1"/>
  <c r="P1431" i="5"/>
  <c r="R1431" i="5" s="1"/>
  <c r="P1430" i="5"/>
  <c r="R1430" i="5" s="1"/>
  <c r="D863" i="5"/>
  <c r="D860" i="5"/>
  <c r="D857" i="5"/>
  <c r="D854" i="5"/>
  <c r="D851" i="5"/>
  <c r="D848" i="5"/>
  <c r="D845" i="5"/>
  <c r="D842" i="5"/>
  <c r="D839" i="5"/>
  <c r="D836" i="5"/>
  <c r="D833" i="5"/>
  <c r="G88" i="8"/>
  <c r="H88" i="8"/>
  <c r="H70" i="8"/>
  <c r="G70" i="8"/>
  <c r="H104" i="8"/>
  <c r="G161" i="8"/>
  <c r="G104" i="8"/>
  <c r="D31" i="12" l="1"/>
  <c r="E31" i="12"/>
  <c r="E47" i="12"/>
  <c r="D47" i="12"/>
  <c r="D58" i="12"/>
  <c r="P161" i="15"/>
  <c r="P82" i="15"/>
  <c r="P62" i="15"/>
  <c r="P98" i="15"/>
  <c r="H161" i="15"/>
  <c r="H98" i="15"/>
  <c r="R98" i="15" s="1"/>
  <c r="H82" i="15"/>
  <c r="H62" i="15"/>
  <c r="R1440" i="5"/>
  <c r="R1441" i="5"/>
  <c r="R1438" i="5"/>
  <c r="Q1439" i="5"/>
  <c r="S1439" i="5" s="1"/>
  <c r="Q1450" i="5"/>
  <c r="S1450" i="5" s="1"/>
  <c r="Q1451" i="5"/>
  <c r="S1451" i="5" s="1"/>
  <c r="Q1452" i="5"/>
  <c r="S1452" i="5" s="1"/>
  <c r="Q1453" i="5"/>
  <c r="S1453" i="5" s="1"/>
  <c r="Q1444" i="5"/>
  <c r="S1444" i="5" s="1"/>
  <c r="Q1448" i="5"/>
  <c r="S1448" i="5" s="1"/>
  <c r="Q1449" i="5"/>
  <c r="S1449" i="5" s="1"/>
  <c r="R1433" i="5"/>
  <c r="Q1436" i="5"/>
  <c r="S1436" i="5" s="1"/>
  <c r="Q1431" i="5"/>
  <c r="S1431" i="5" s="1"/>
  <c r="Q1434" i="5"/>
  <c r="S1434" i="5" s="1"/>
  <c r="Q1437" i="5"/>
  <c r="S1437" i="5" s="1"/>
  <c r="Q1432" i="5"/>
  <c r="S1432" i="5" s="1"/>
  <c r="Q1435" i="5"/>
  <c r="S1435" i="5" s="1"/>
  <c r="Q1430" i="5"/>
  <c r="S1430" i="5" s="1"/>
  <c r="P1429" i="5"/>
  <c r="R1429" i="5" s="1"/>
  <c r="P1428" i="5"/>
  <c r="Q1428" i="5" s="1"/>
  <c r="S1428" i="5" s="1"/>
  <c r="P1427" i="5"/>
  <c r="R1427" i="5" s="1"/>
  <c r="P1426" i="5"/>
  <c r="R1426" i="5" s="1"/>
  <c r="P1425" i="5"/>
  <c r="Q1425" i="5" s="1"/>
  <c r="S1425" i="5" s="1"/>
  <c r="P1424" i="5"/>
  <c r="R1424" i="5" s="1"/>
  <c r="P1423" i="5"/>
  <c r="R1423" i="5" s="1"/>
  <c r="P1422" i="5"/>
  <c r="R1422" i="5" s="1"/>
  <c r="P1421" i="5"/>
  <c r="Q1421" i="5" s="1"/>
  <c r="S1421" i="5" s="1"/>
  <c r="P1420" i="5"/>
  <c r="R1420" i="5" s="1"/>
  <c r="P1419" i="5"/>
  <c r="R1419" i="5" s="1"/>
  <c r="P1418" i="5"/>
  <c r="R1418" i="5" s="1"/>
  <c r="A121" i="4"/>
  <c r="H136" i="8"/>
  <c r="H85" i="8"/>
  <c r="H120" i="8"/>
  <c r="H56" i="8"/>
  <c r="G42" i="8"/>
  <c r="H164" i="8"/>
  <c r="H66" i="8"/>
  <c r="H44" i="8"/>
  <c r="H101" i="8"/>
  <c r="H128" i="8"/>
  <c r="H144" i="8"/>
  <c r="H42" i="8"/>
  <c r="P47" i="12" l="1"/>
  <c r="E28" i="12"/>
  <c r="E44" i="12"/>
  <c r="E60" i="12"/>
  <c r="O47" i="12"/>
  <c r="F47" i="12"/>
  <c r="O31" i="12"/>
  <c r="F31" i="12"/>
  <c r="P31" i="12"/>
  <c r="I62" i="15"/>
  <c r="I74" i="15" s="1"/>
  <c r="S62" i="15"/>
  <c r="S74" i="15" s="1"/>
  <c r="I82" i="15"/>
  <c r="T82" i="15" s="1"/>
  <c r="S82" i="15"/>
  <c r="I161" i="15"/>
  <c r="P74" i="15"/>
  <c r="R82" i="15"/>
  <c r="I98" i="15"/>
  <c r="T98" i="15" s="1"/>
  <c r="S98" i="15"/>
  <c r="R62" i="15"/>
  <c r="R74" i="15" s="1"/>
  <c r="Q1418" i="5"/>
  <c r="S1418" i="5" s="1"/>
  <c r="R1421" i="5"/>
  <c r="Q1424" i="5"/>
  <c r="S1424" i="5" s="1"/>
  <c r="Q1427" i="5"/>
  <c r="S1427" i="5" s="1"/>
  <c r="Q1419" i="5"/>
  <c r="S1419" i="5" s="1"/>
  <c r="Q1422" i="5"/>
  <c r="S1422" i="5" s="1"/>
  <c r="R1425" i="5"/>
  <c r="R1428" i="5"/>
  <c r="Q1420" i="5"/>
  <c r="S1420" i="5" s="1"/>
  <c r="Q1423" i="5"/>
  <c r="S1423" i="5" s="1"/>
  <c r="Q1426" i="5"/>
  <c r="S1426" i="5" s="1"/>
  <c r="Q1429" i="5"/>
  <c r="S1429" i="5" s="1"/>
  <c r="P1417" i="5"/>
  <c r="Q1417" i="5" s="1"/>
  <c r="S1417" i="5" s="1"/>
  <c r="P1416" i="5"/>
  <c r="Q1416" i="5" s="1"/>
  <c r="S1416" i="5" s="1"/>
  <c r="P1415" i="5"/>
  <c r="Q1415" i="5" s="1"/>
  <c r="S1415" i="5" s="1"/>
  <c r="P1414" i="5"/>
  <c r="Q1414" i="5" s="1"/>
  <c r="S1414" i="5" s="1"/>
  <c r="P1413" i="5"/>
  <c r="Q1413" i="5" s="1"/>
  <c r="S1413" i="5" s="1"/>
  <c r="P1412" i="5"/>
  <c r="Q1412" i="5" s="1"/>
  <c r="S1412" i="5" s="1"/>
  <c r="P1411" i="5"/>
  <c r="Q1411" i="5" s="1"/>
  <c r="S1411" i="5" s="1"/>
  <c r="P1410" i="5"/>
  <c r="Q1410" i="5" s="1"/>
  <c r="S1410" i="5" s="1"/>
  <c r="P1409" i="5"/>
  <c r="Q1409" i="5" s="1"/>
  <c r="S1409" i="5" s="1"/>
  <c r="P1408" i="5"/>
  <c r="Q1408" i="5" s="1"/>
  <c r="S1408" i="5" s="1"/>
  <c r="P1407" i="5"/>
  <c r="Q1407" i="5" s="1"/>
  <c r="S1407" i="5" s="1"/>
  <c r="P1406" i="5"/>
  <c r="Q1406" i="5" s="1"/>
  <c r="S1406" i="5" s="1"/>
  <c r="P1405" i="5"/>
  <c r="P1404" i="5"/>
  <c r="P1403" i="5"/>
  <c r="Q1403" i="5" s="1"/>
  <c r="S1403" i="5" s="1"/>
  <c r="P1402" i="5"/>
  <c r="P1401" i="5"/>
  <c r="P1400" i="5"/>
  <c r="P1399" i="5"/>
  <c r="P1398" i="5"/>
  <c r="P1397" i="5"/>
  <c r="P1396" i="5"/>
  <c r="P1395" i="5"/>
  <c r="P1394" i="5"/>
  <c r="P1393" i="5"/>
  <c r="P1392" i="5"/>
  <c r="P1391" i="5"/>
  <c r="P1390" i="5"/>
  <c r="Q1390" i="5" s="1"/>
  <c r="S1390" i="5" s="1"/>
  <c r="P1389" i="5"/>
  <c r="P1388" i="5"/>
  <c r="P1387" i="5"/>
  <c r="P1386" i="5"/>
  <c r="P1385" i="5"/>
  <c r="P1384" i="5"/>
  <c r="P1383" i="5"/>
  <c r="Q1383" i="5" s="1"/>
  <c r="S1383" i="5" s="1"/>
  <c r="P1382" i="5"/>
  <c r="P1381" i="5"/>
  <c r="P1380" i="5"/>
  <c r="P1379" i="5"/>
  <c r="Q1379" i="5" s="1"/>
  <c r="S1379" i="5" s="1"/>
  <c r="P1378" i="5"/>
  <c r="P1377" i="5"/>
  <c r="P1376" i="5"/>
  <c r="P1375" i="5"/>
  <c r="P1374" i="5"/>
  <c r="P1373" i="5"/>
  <c r="P1372" i="5"/>
  <c r="Q1372" i="5" s="1"/>
  <c r="S1372" i="5" s="1"/>
  <c r="P1371" i="5"/>
  <c r="P1370" i="5"/>
  <c r="P1369" i="5"/>
  <c r="P1368" i="5"/>
  <c r="Q1368" i="5" s="1"/>
  <c r="S1368" i="5" s="1"/>
  <c r="P1367" i="5"/>
  <c r="P1366" i="5"/>
  <c r="P1365" i="5"/>
  <c r="P1364" i="5"/>
  <c r="P1363" i="5"/>
  <c r="P1362" i="5"/>
  <c r="P1361" i="5"/>
  <c r="P1360" i="5"/>
  <c r="P1359" i="5"/>
  <c r="P1358" i="5"/>
  <c r="P1357" i="5"/>
  <c r="P1356" i="5"/>
  <c r="P1355" i="5"/>
  <c r="P1354" i="5"/>
  <c r="Q1354" i="5" s="1"/>
  <c r="S1354" i="5" s="1"/>
  <c r="P1353" i="5"/>
  <c r="R1353" i="5" s="1"/>
  <c r="P1352" i="5"/>
  <c r="Q1352" i="5" s="1"/>
  <c r="S1352" i="5" s="1"/>
  <c r="P1351" i="5"/>
  <c r="P1350" i="5"/>
  <c r="P1349" i="5"/>
  <c r="R1349" i="5" s="1"/>
  <c r="P1348" i="5"/>
  <c r="P1347" i="5"/>
  <c r="R1347" i="5" s="1"/>
  <c r="P1346" i="5"/>
  <c r="R1346" i="5" s="1"/>
  <c r="P1345" i="5"/>
  <c r="Q1345" i="5" s="1"/>
  <c r="S1345" i="5" s="1"/>
  <c r="P1344" i="5"/>
  <c r="Q1344" i="5" s="1"/>
  <c r="S1344" i="5" s="1"/>
  <c r="P1343" i="5"/>
  <c r="R1343" i="5" s="1"/>
  <c r="P1342" i="5"/>
  <c r="Q1342" i="5" s="1"/>
  <c r="S1342" i="5" s="1"/>
  <c r="P1341" i="5"/>
  <c r="P1340" i="5"/>
  <c r="R1340" i="5" s="1"/>
  <c r="P1339" i="5"/>
  <c r="R1339" i="5" s="1"/>
  <c r="P1338" i="5"/>
  <c r="R1338" i="5" s="1"/>
  <c r="P1337" i="5"/>
  <c r="Q1337" i="5" s="1"/>
  <c r="S1337" i="5" s="1"/>
  <c r="P1336" i="5"/>
  <c r="Q1336" i="5" s="1"/>
  <c r="S1336" i="5" s="1"/>
  <c r="P1335" i="5"/>
  <c r="P1334" i="5"/>
  <c r="Q1334" i="5" s="1"/>
  <c r="S1334" i="5" s="1"/>
  <c r="P1333" i="5"/>
  <c r="R1333" i="5" s="1"/>
  <c r="P1332" i="5"/>
  <c r="R1332" i="5" s="1"/>
  <c r="P1331" i="5"/>
  <c r="R1331" i="5" s="1"/>
  <c r="P1330" i="5"/>
  <c r="P1329" i="5"/>
  <c r="P1328" i="5"/>
  <c r="R1328" i="5" s="1"/>
  <c r="P1327" i="5"/>
  <c r="P1326" i="5"/>
  <c r="P1325" i="5"/>
  <c r="P1324" i="5"/>
  <c r="R1324" i="5" s="1"/>
  <c r="P1323" i="5"/>
  <c r="P1322" i="5"/>
  <c r="P1321" i="5"/>
  <c r="R1321" i="5" s="1"/>
  <c r="P1320" i="5"/>
  <c r="Q1320" i="5" s="1"/>
  <c r="S1320" i="5" s="1"/>
  <c r="P1319" i="5"/>
  <c r="R1319" i="5" s="1"/>
  <c r="P1318" i="5"/>
  <c r="R1318" i="5" s="1"/>
  <c r="P1317" i="5"/>
  <c r="Q1317" i="5" s="1"/>
  <c r="S1317" i="5" s="1"/>
  <c r="P1316" i="5"/>
  <c r="Q1316" i="5" s="1"/>
  <c r="S1316" i="5" s="1"/>
  <c r="P1315" i="5"/>
  <c r="P1314" i="5"/>
  <c r="P1313" i="5"/>
  <c r="Q1313" i="5" s="1"/>
  <c r="S1313" i="5" s="1"/>
  <c r="P1312" i="5"/>
  <c r="Q1312" i="5" s="1"/>
  <c r="S1312" i="5" s="1"/>
  <c r="P1311" i="5"/>
  <c r="P1310" i="5"/>
  <c r="Q1310" i="5" s="1"/>
  <c r="S1310" i="5" s="1"/>
  <c r="P1309" i="5"/>
  <c r="P1308" i="5"/>
  <c r="R1308" i="5" s="1"/>
  <c r="P1307" i="5"/>
  <c r="P1306" i="5"/>
  <c r="R1306" i="5" s="1"/>
  <c r="P1305" i="5"/>
  <c r="R1305" i="5" s="1"/>
  <c r="P1304" i="5"/>
  <c r="R1304" i="5" s="1"/>
  <c r="P1303" i="5"/>
  <c r="R1303" i="5" s="1"/>
  <c r="P1302" i="5"/>
  <c r="P1301" i="5"/>
  <c r="R1301" i="5" s="1"/>
  <c r="P1300" i="5"/>
  <c r="R1300" i="5" s="1"/>
  <c r="P1299" i="5"/>
  <c r="R1299" i="5" s="1"/>
  <c r="P1298" i="5"/>
  <c r="R1298" i="5" s="1"/>
  <c r="P1297" i="5"/>
  <c r="P1296" i="5"/>
  <c r="R1296" i="5" s="1"/>
  <c r="P1295" i="5"/>
  <c r="Q1295" i="5" s="1"/>
  <c r="S1295" i="5" s="1"/>
  <c r="P1294" i="5"/>
  <c r="R1294" i="5" s="1"/>
  <c r="P1293" i="5"/>
  <c r="R1293" i="5" s="1"/>
  <c r="P1292" i="5"/>
  <c r="R1292" i="5" s="1"/>
  <c r="P1291" i="5"/>
  <c r="Q1291" i="5" s="1"/>
  <c r="S1291" i="5" s="1"/>
  <c r="P1290" i="5"/>
  <c r="R1290" i="5" s="1"/>
  <c r="P1289" i="5"/>
  <c r="P1288" i="5"/>
  <c r="P1287" i="5"/>
  <c r="P1286" i="5"/>
  <c r="P1285" i="5"/>
  <c r="Q1285" i="5" s="1"/>
  <c r="S1285" i="5" s="1"/>
  <c r="P1284" i="5"/>
  <c r="P1283" i="5"/>
  <c r="R1283" i="5" s="1"/>
  <c r="P1282" i="5"/>
  <c r="R1282" i="5" s="1"/>
  <c r="P1281" i="5"/>
  <c r="Q1281" i="5" s="1"/>
  <c r="S1281" i="5" s="1"/>
  <c r="P1280" i="5"/>
  <c r="R1280" i="5" s="1"/>
  <c r="P1279" i="5"/>
  <c r="P1278" i="5"/>
  <c r="R1278" i="5" s="1"/>
  <c r="P1277" i="5"/>
  <c r="P1276" i="5"/>
  <c r="P1275" i="5"/>
  <c r="P1274" i="5"/>
  <c r="R1274" i="5" s="1"/>
  <c r="A119" i="4"/>
  <c r="A118" i="4"/>
  <c r="A117" i="4"/>
  <c r="A116" i="4"/>
  <c r="A115" i="4"/>
  <c r="A114" i="4"/>
  <c r="A113" i="4"/>
  <c r="A112" i="4"/>
  <c r="A111" i="4"/>
  <c r="A110" i="4"/>
  <c r="A109" i="4"/>
  <c r="A108" i="4"/>
  <c r="A107" i="4"/>
  <c r="A106" i="4"/>
  <c r="A105" i="4"/>
  <c r="A104" i="4"/>
  <c r="A103" i="4"/>
  <c r="P1273" i="5"/>
  <c r="R1273" i="5" s="1"/>
  <c r="P1272" i="5"/>
  <c r="R1272" i="5" s="1"/>
  <c r="P1271" i="5"/>
  <c r="P1270" i="5"/>
  <c r="R1270" i="5" s="1"/>
  <c r="P1269" i="5"/>
  <c r="R1269" i="5" s="1"/>
  <c r="P1268" i="5"/>
  <c r="R1268" i="5" s="1"/>
  <c r="P1267" i="5"/>
  <c r="R1267" i="5" s="1"/>
  <c r="P1266" i="5"/>
  <c r="R1266" i="5" s="1"/>
  <c r="P1265" i="5"/>
  <c r="P1264" i="5"/>
  <c r="Q1264" i="5" s="1"/>
  <c r="S1264" i="5" s="1"/>
  <c r="P1263" i="5"/>
  <c r="R1263" i="5" s="1"/>
  <c r="P1262" i="5"/>
  <c r="R1262" i="5" s="1"/>
  <c r="P1261" i="5"/>
  <c r="R1261" i="5" s="1"/>
  <c r="P1260" i="5"/>
  <c r="R1260" i="5" s="1"/>
  <c r="P1259" i="5"/>
  <c r="R1259" i="5" s="1"/>
  <c r="P1258" i="5"/>
  <c r="R1258" i="5" s="1"/>
  <c r="P1257" i="5"/>
  <c r="P1256" i="5"/>
  <c r="R1256" i="5" s="1"/>
  <c r="P1255" i="5"/>
  <c r="R1255" i="5" s="1"/>
  <c r="P1254" i="5"/>
  <c r="R1254" i="5" s="1"/>
  <c r="P1253" i="5"/>
  <c r="R1253" i="5" s="1"/>
  <c r="P1252" i="5"/>
  <c r="R1252" i="5" s="1"/>
  <c r="P1251" i="5"/>
  <c r="R1251" i="5" s="1"/>
  <c r="P1250" i="5"/>
  <c r="R1250" i="5" s="1"/>
  <c r="G23" i="8"/>
  <c r="G9" i="8"/>
  <c r="H9" i="8"/>
  <c r="H33" i="8"/>
  <c r="G33" i="8"/>
  <c r="H23" i="8"/>
  <c r="Q47" i="12" l="1"/>
  <c r="C67" i="14" s="1"/>
  <c r="D9" i="16"/>
  <c r="D10" i="16"/>
  <c r="D6" i="16"/>
  <c r="Q31" i="12"/>
  <c r="C39" i="14" s="1"/>
  <c r="E9" i="12"/>
  <c r="H220" i="8" s="1"/>
  <c r="R220" i="8" s="1"/>
  <c r="F60" i="12"/>
  <c r="O60" i="12"/>
  <c r="P60" i="12"/>
  <c r="O44" i="12"/>
  <c r="F44" i="12"/>
  <c r="P44" i="12"/>
  <c r="F28" i="12"/>
  <c r="O28" i="12"/>
  <c r="P28" i="12"/>
  <c r="T62" i="15"/>
  <c r="T74" i="15" s="1"/>
  <c r="O94" i="15"/>
  <c r="O159" i="15"/>
  <c r="O78" i="15"/>
  <c r="H94" i="15"/>
  <c r="H159" i="15"/>
  <c r="H78" i="15"/>
  <c r="R1337" i="5"/>
  <c r="R1334" i="5"/>
  <c r="R1336" i="5"/>
  <c r="R1281" i="5"/>
  <c r="R1316" i="5"/>
  <c r="R1312" i="5"/>
  <c r="R1320" i="5"/>
  <c r="R1295" i="5"/>
  <c r="R1354" i="5"/>
  <c r="R1310" i="5"/>
  <c r="R1313" i="5"/>
  <c r="R1317" i="5"/>
  <c r="R1285" i="5"/>
  <c r="R1345" i="5"/>
  <c r="R1352" i="5"/>
  <c r="Q1277" i="5"/>
  <c r="S1277" i="5" s="1"/>
  <c r="R1277" i="5"/>
  <c r="Q1284" i="5"/>
  <c r="S1284" i="5" s="1"/>
  <c r="R1284" i="5"/>
  <c r="Q1311" i="5"/>
  <c r="S1311" i="5" s="1"/>
  <c r="R1311" i="5"/>
  <c r="Q1325" i="5"/>
  <c r="S1325" i="5" s="1"/>
  <c r="R1325" i="5"/>
  <c r="Q1367" i="5"/>
  <c r="S1367" i="5" s="1"/>
  <c r="Q1401" i="5"/>
  <c r="S1401" i="5" s="1"/>
  <c r="Q1355" i="5"/>
  <c r="S1355" i="5" s="1"/>
  <c r="R1355" i="5"/>
  <c r="Q1287" i="5"/>
  <c r="S1287" i="5" s="1"/>
  <c r="R1287" i="5"/>
  <c r="Q1335" i="5"/>
  <c r="S1335" i="5" s="1"/>
  <c r="R1335" i="5"/>
  <c r="Q1356" i="5"/>
  <c r="S1356" i="5" s="1"/>
  <c r="R1356" i="5"/>
  <c r="Q1371" i="5"/>
  <c r="S1371" i="5" s="1"/>
  <c r="Q1315" i="5"/>
  <c r="S1315" i="5" s="1"/>
  <c r="R1315" i="5"/>
  <c r="Q1364" i="5"/>
  <c r="S1364" i="5" s="1"/>
  <c r="R1344" i="5"/>
  <c r="Q1288" i="5"/>
  <c r="S1288" i="5" s="1"/>
  <c r="R1288" i="5"/>
  <c r="Q1322" i="5"/>
  <c r="S1322" i="5" s="1"/>
  <c r="R1322" i="5"/>
  <c r="Q1329" i="5"/>
  <c r="S1329" i="5" s="1"/>
  <c r="R1329" i="5"/>
  <c r="Q1350" i="5"/>
  <c r="S1350" i="5" s="1"/>
  <c r="R1350" i="5"/>
  <c r="Q1370" i="5"/>
  <c r="S1370" i="5" s="1"/>
  <c r="Q1388" i="5"/>
  <c r="S1388" i="5" s="1"/>
  <c r="Q1257" i="5"/>
  <c r="S1257" i="5" s="1"/>
  <c r="R1257" i="5"/>
  <c r="Q1265" i="5"/>
  <c r="S1265" i="5" s="1"/>
  <c r="R1265" i="5"/>
  <c r="Q1275" i="5"/>
  <c r="S1275" i="5" s="1"/>
  <c r="R1275" i="5"/>
  <c r="Q1309" i="5"/>
  <c r="S1309" i="5" s="1"/>
  <c r="R1309" i="5"/>
  <c r="Q1323" i="5"/>
  <c r="S1323" i="5" s="1"/>
  <c r="R1323" i="5"/>
  <c r="Q1365" i="5"/>
  <c r="S1365" i="5" s="1"/>
  <c r="Q1399" i="5"/>
  <c r="S1399" i="5" s="1"/>
  <c r="Q1289" i="5"/>
  <c r="S1289" i="5" s="1"/>
  <c r="R1289" i="5"/>
  <c r="Q1330" i="5"/>
  <c r="S1330" i="5" s="1"/>
  <c r="R1330" i="5"/>
  <c r="Q1351" i="5"/>
  <c r="S1351" i="5" s="1"/>
  <c r="R1351" i="5"/>
  <c r="Q1384" i="5"/>
  <c r="S1384" i="5" s="1"/>
  <c r="Q1276" i="5"/>
  <c r="S1276" i="5" s="1"/>
  <c r="R1276" i="5"/>
  <c r="Q1366" i="5"/>
  <c r="S1366" i="5" s="1"/>
  <c r="Q1297" i="5"/>
  <c r="S1297" i="5" s="1"/>
  <c r="R1297" i="5"/>
  <c r="Q1385" i="5"/>
  <c r="S1385" i="5" s="1"/>
  <c r="R1264" i="5"/>
  <c r="Q1279" i="5"/>
  <c r="S1279" i="5" s="1"/>
  <c r="R1279" i="5"/>
  <c r="Q1286" i="5"/>
  <c r="S1286" i="5" s="1"/>
  <c r="R1286" i="5"/>
  <c r="Q1327" i="5"/>
  <c r="S1327" i="5" s="1"/>
  <c r="R1327" i="5"/>
  <c r="Q1341" i="5"/>
  <c r="S1341" i="5" s="1"/>
  <c r="R1341" i="5"/>
  <c r="Q1348" i="5"/>
  <c r="S1348" i="5" s="1"/>
  <c r="R1348" i="5"/>
  <c r="Q1362" i="5"/>
  <c r="S1362" i="5" s="1"/>
  <c r="R1291" i="5"/>
  <c r="Q1307" i="5"/>
  <c r="S1307" i="5" s="1"/>
  <c r="R1307" i="5"/>
  <c r="Q1314" i="5"/>
  <c r="S1314" i="5" s="1"/>
  <c r="R1314" i="5"/>
  <c r="Q1377" i="5"/>
  <c r="S1377" i="5" s="1"/>
  <c r="R1342" i="5"/>
  <c r="Q1302" i="5"/>
  <c r="S1302" i="5" s="1"/>
  <c r="R1302" i="5"/>
  <c r="Q1357" i="5"/>
  <c r="S1357" i="5" s="1"/>
  <c r="R1357" i="5"/>
  <c r="Q1326" i="5"/>
  <c r="S1326" i="5" s="1"/>
  <c r="R1326" i="5"/>
  <c r="Q1271" i="5"/>
  <c r="S1271" i="5" s="1"/>
  <c r="R1271" i="5"/>
  <c r="Q1346" i="5"/>
  <c r="S1346" i="5" s="1"/>
  <c r="Q1262" i="5"/>
  <c r="S1262" i="5" s="1"/>
  <c r="Q1267" i="5"/>
  <c r="S1267" i="5" s="1"/>
  <c r="Q1290" i="5"/>
  <c r="S1290" i="5" s="1"/>
  <c r="Q1303" i="5"/>
  <c r="S1303" i="5" s="1"/>
  <c r="Q1358" i="5"/>
  <c r="S1358" i="5" s="1"/>
  <c r="Q1373" i="5"/>
  <c r="S1373" i="5" s="1"/>
  <c r="Q1391" i="5"/>
  <c r="S1391" i="5" s="1"/>
  <c r="Q1252" i="5"/>
  <c r="S1252" i="5" s="1"/>
  <c r="Q1280" i="5"/>
  <c r="S1280" i="5" s="1"/>
  <c r="Q1294" i="5"/>
  <c r="S1294" i="5" s="1"/>
  <c r="Q1321" i="5"/>
  <c r="S1321" i="5" s="1"/>
  <c r="Q1328" i="5"/>
  <c r="S1328" i="5" s="1"/>
  <c r="Q1349" i="5"/>
  <c r="S1349" i="5" s="1"/>
  <c r="Q1363" i="5"/>
  <c r="S1363" i="5" s="1"/>
  <c r="Q1382" i="5"/>
  <c r="S1382" i="5" s="1"/>
  <c r="Q1404" i="5"/>
  <c r="S1404" i="5" s="1"/>
  <c r="Q1274" i="5"/>
  <c r="S1274" i="5" s="1"/>
  <c r="Q1308" i="5"/>
  <c r="S1308" i="5" s="1"/>
  <c r="Q1343" i="5"/>
  <c r="S1343" i="5" s="1"/>
  <c r="Q1378" i="5"/>
  <c r="S1378" i="5" s="1"/>
  <c r="Q1398" i="5"/>
  <c r="S1398" i="5" s="1"/>
  <c r="Q1405" i="5"/>
  <c r="S1405" i="5" s="1"/>
  <c r="Q1331" i="5"/>
  <c r="S1331" i="5" s="1"/>
  <c r="Q1359" i="5"/>
  <c r="S1359" i="5" s="1"/>
  <c r="Q1304" i="5"/>
  <c r="S1304" i="5" s="1"/>
  <c r="Q1374" i="5"/>
  <c r="S1374" i="5" s="1"/>
  <c r="Q1392" i="5"/>
  <c r="S1392" i="5" s="1"/>
  <c r="Q1394" i="5"/>
  <c r="S1394" i="5" s="1"/>
  <c r="Q1298" i="5"/>
  <c r="S1298" i="5" s="1"/>
  <c r="Q1332" i="5"/>
  <c r="S1332" i="5" s="1"/>
  <c r="Q1353" i="5"/>
  <c r="S1353" i="5" s="1"/>
  <c r="Q1360" i="5"/>
  <c r="S1360" i="5" s="1"/>
  <c r="Q1386" i="5"/>
  <c r="S1386" i="5" s="1"/>
  <c r="Q1305" i="5"/>
  <c r="S1305" i="5" s="1"/>
  <c r="Q1375" i="5"/>
  <c r="S1375" i="5" s="1"/>
  <c r="Q1393" i="5"/>
  <c r="S1393" i="5" s="1"/>
  <c r="Q1395" i="5"/>
  <c r="S1395" i="5" s="1"/>
  <c r="Q1278" i="5"/>
  <c r="S1278" i="5" s="1"/>
  <c r="Q1319" i="5"/>
  <c r="S1319" i="5" s="1"/>
  <c r="Q1333" i="5"/>
  <c r="S1333" i="5" s="1"/>
  <c r="Q1340" i="5"/>
  <c r="S1340" i="5" s="1"/>
  <c r="Q1347" i="5"/>
  <c r="S1347" i="5" s="1"/>
  <c r="Q1402" i="5"/>
  <c r="S1402" i="5" s="1"/>
  <c r="Q1258" i="5"/>
  <c r="S1258" i="5" s="1"/>
  <c r="Q1282" i="5"/>
  <c r="S1282" i="5" s="1"/>
  <c r="Q1296" i="5"/>
  <c r="S1296" i="5" s="1"/>
  <c r="Q1292" i="5"/>
  <c r="S1292" i="5" s="1"/>
  <c r="Q1299" i="5"/>
  <c r="S1299" i="5" s="1"/>
  <c r="Q1361" i="5"/>
  <c r="S1361" i="5" s="1"/>
  <c r="Q1369" i="5"/>
  <c r="S1369" i="5" s="1"/>
  <c r="Q1387" i="5"/>
  <c r="S1387" i="5" s="1"/>
  <c r="Q1306" i="5"/>
  <c r="S1306" i="5" s="1"/>
  <c r="Q1376" i="5"/>
  <c r="S1376" i="5" s="1"/>
  <c r="Q1396" i="5"/>
  <c r="S1396" i="5" s="1"/>
  <c r="Q1301" i="5"/>
  <c r="S1301" i="5" s="1"/>
  <c r="Q1389" i="5"/>
  <c r="S1389" i="5" s="1"/>
  <c r="Q1283" i="5"/>
  <c r="S1283" i="5" s="1"/>
  <c r="Q1324" i="5"/>
  <c r="S1324" i="5" s="1"/>
  <c r="Q1338" i="5"/>
  <c r="S1338" i="5" s="1"/>
  <c r="Q1380" i="5"/>
  <c r="S1380" i="5" s="1"/>
  <c r="Q1400" i="5"/>
  <c r="S1400" i="5" s="1"/>
  <c r="Q1318" i="5"/>
  <c r="S1318" i="5" s="1"/>
  <c r="Q1339" i="5"/>
  <c r="S1339" i="5" s="1"/>
  <c r="Q1381" i="5"/>
  <c r="S1381" i="5" s="1"/>
  <c r="Q1273" i="5"/>
  <c r="S1273" i="5" s="1"/>
  <c r="Q1293" i="5"/>
  <c r="S1293" i="5" s="1"/>
  <c r="Q1300" i="5"/>
  <c r="S1300" i="5" s="1"/>
  <c r="Q1397" i="5"/>
  <c r="S1397" i="5" s="1"/>
  <c r="Q1261" i="5"/>
  <c r="S1261" i="5" s="1"/>
  <c r="Q1253" i="5"/>
  <c r="S1253" i="5" s="1"/>
  <c r="Q1272" i="5"/>
  <c r="S1272" i="5" s="1"/>
  <c r="Q1263" i="5"/>
  <c r="S1263" i="5" s="1"/>
  <c r="Q1266" i="5"/>
  <c r="S1266" i="5" s="1"/>
  <c r="Q1268" i="5"/>
  <c r="S1268" i="5" s="1"/>
  <c r="Q1269" i="5"/>
  <c r="S1269" i="5" s="1"/>
  <c r="Q1270" i="5"/>
  <c r="S1270" i="5" s="1"/>
  <c r="Q1256" i="5"/>
  <c r="S1256" i="5" s="1"/>
  <c r="Q1251" i="5"/>
  <c r="S1251" i="5" s="1"/>
  <c r="Q1260" i="5"/>
  <c r="S1260" i="5" s="1"/>
  <c r="Q1259" i="5"/>
  <c r="S1259" i="5" s="1"/>
  <c r="Q1255" i="5"/>
  <c r="S1255" i="5" s="1"/>
  <c r="Q1254" i="5"/>
  <c r="S1254" i="5" s="1"/>
  <c r="Q1250" i="5"/>
  <c r="S1250" i="5" s="1"/>
  <c r="Q28" i="12" l="1"/>
  <c r="C38" i="14" s="1"/>
  <c r="C68" i="14"/>
  <c r="Q60" i="12"/>
  <c r="C87" i="14" s="1"/>
  <c r="O9" i="12"/>
  <c r="Q44" i="12"/>
  <c r="C66" i="14" s="1"/>
  <c r="I78" i="15"/>
  <c r="I90" i="15" s="1"/>
  <c r="S78" i="15"/>
  <c r="S90" i="15" s="1"/>
  <c r="I159" i="15"/>
  <c r="I167" i="15" s="1"/>
  <c r="H207" i="15" s="1"/>
  <c r="S159" i="15"/>
  <c r="I94" i="15"/>
  <c r="I106" i="15" s="1"/>
  <c r="S94" i="15"/>
  <c r="S106" i="15" s="1"/>
  <c r="R159" i="15"/>
  <c r="R167" i="15" s="1"/>
  <c r="P159" i="15"/>
  <c r="R78" i="15"/>
  <c r="R90" i="15" s="1"/>
  <c r="P78" i="15"/>
  <c r="R94" i="15"/>
  <c r="R106" i="15" s="1"/>
  <c r="P94" i="15"/>
  <c r="A102" i="4"/>
  <c r="T94" i="15" l="1"/>
  <c r="T106" i="15" s="1"/>
  <c r="P106" i="15"/>
  <c r="O193" i="15" s="1"/>
  <c r="T78" i="15"/>
  <c r="T90" i="15" s="1"/>
  <c r="P90" i="15"/>
  <c r="T159" i="15"/>
  <c r="T167" i="15" s="1"/>
  <c r="P167" i="15"/>
  <c r="O207" i="15" s="1"/>
  <c r="H134" i="15"/>
  <c r="H193" i="15"/>
  <c r="I207" i="15"/>
  <c r="I210" i="15" s="1"/>
  <c r="S207" i="15"/>
  <c r="S210" i="15" s="1"/>
  <c r="H200" i="15"/>
  <c r="H142" i="15"/>
  <c r="H118" i="15"/>
  <c r="H126" i="15"/>
  <c r="H110" i="15"/>
  <c r="P207" i="15" l="1"/>
  <c r="R207" i="15"/>
  <c r="I110" i="15"/>
  <c r="R110" i="15"/>
  <c r="R114" i="15" s="1"/>
  <c r="S110" i="15"/>
  <c r="S114" i="15" s="1"/>
  <c r="R126" i="15"/>
  <c r="R130" i="15" s="1"/>
  <c r="I126" i="15"/>
  <c r="S126" i="15"/>
  <c r="S130" i="15" s="1"/>
  <c r="R142" i="15"/>
  <c r="R146" i="15" s="1"/>
  <c r="I142" i="15"/>
  <c r="S142" i="15"/>
  <c r="S146" i="15" s="1"/>
  <c r="S193" i="15"/>
  <c r="S196" i="15" s="1"/>
  <c r="I193" i="15"/>
  <c r="I196" i="15" s="1"/>
  <c r="I134" i="15"/>
  <c r="R134" i="15"/>
  <c r="R138" i="15" s="1"/>
  <c r="S134" i="15"/>
  <c r="S138" i="15" s="1"/>
  <c r="R118" i="15"/>
  <c r="R122" i="15" s="1"/>
  <c r="I118" i="15"/>
  <c r="S118" i="15"/>
  <c r="S122" i="15" s="1"/>
  <c r="O200" i="15"/>
  <c r="S200" i="15"/>
  <c r="S203" i="15" s="1"/>
  <c r="I200" i="15"/>
  <c r="I203" i="15" s="1"/>
  <c r="P193" i="15"/>
  <c r="R193" i="15"/>
  <c r="R196" i="15" s="1"/>
  <c r="P213" i="8"/>
  <c r="P210" i="15" l="1"/>
  <c r="T207" i="15"/>
  <c r="I114" i="15"/>
  <c r="T110" i="15"/>
  <c r="T114" i="15" s="1"/>
  <c r="I138" i="15"/>
  <c r="T134" i="15"/>
  <c r="T138" i="15" s="1"/>
  <c r="I130" i="15"/>
  <c r="T126" i="15"/>
  <c r="T130" i="15" s="1"/>
  <c r="T193" i="15"/>
  <c r="T196" i="15" s="1"/>
  <c r="P196" i="15"/>
  <c r="I122" i="15"/>
  <c r="T118" i="15"/>
  <c r="T122" i="15" s="1"/>
  <c r="R200" i="15"/>
  <c r="R203" i="15" s="1"/>
  <c r="R210" i="15" s="1"/>
  <c r="P200" i="15"/>
  <c r="I146" i="15"/>
  <c r="T142" i="15"/>
  <c r="T146" i="15" s="1"/>
  <c r="P203" i="15" l="1"/>
  <c r="Z105" i="15" s="1"/>
  <c r="T200" i="15"/>
  <c r="T203" i="15" s="1"/>
  <c r="T210" i="15" s="1"/>
  <c r="Z103" i="15"/>
  <c r="Z106" i="15" l="1"/>
  <c r="Z107" i="15"/>
  <c r="S28" i="1" l="1"/>
  <c r="R28" i="1"/>
  <c r="Q28" i="1"/>
  <c r="P28" i="1"/>
  <c r="O28" i="1"/>
  <c r="N28" i="1"/>
  <c r="M28" i="1"/>
  <c r="L28" i="1"/>
  <c r="K28" i="1"/>
  <c r="J28" i="1"/>
  <c r="I28" i="1"/>
  <c r="S27" i="1"/>
  <c r="R27" i="1"/>
  <c r="Q27" i="1"/>
  <c r="P27" i="1"/>
  <c r="O27" i="1"/>
  <c r="N27" i="1"/>
  <c r="M27" i="1"/>
  <c r="L27" i="1"/>
  <c r="K27" i="1"/>
  <c r="J27" i="1"/>
  <c r="I27" i="1"/>
  <c r="H27" i="1"/>
  <c r="H26" i="1"/>
  <c r="D563" i="5"/>
  <c r="D527" i="5"/>
  <c r="D407" i="5"/>
  <c r="D596" i="5"/>
  <c r="D560" i="5"/>
  <c r="D524" i="5"/>
  <c r="D404" i="5"/>
  <c r="D593" i="5"/>
  <c r="D557" i="5"/>
  <c r="D521" i="5"/>
  <c r="D401" i="5"/>
  <c r="D590" i="5"/>
  <c r="D554" i="5"/>
  <c r="D518" i="5"/>
  <c r="D398" i="5"/>
  <c r="D587" i="5"/>
  <c r="D551" i="5"/>
  <c r="D515" i="5"/>
  <c r="D395" i="5"/>
  <c r="D584" i="5"/>
  <c r="D548" i="5"/>
  <c r="D512" i="5"/>
  <c r="D392" i="5"/>
  <c r="D581" i="5"/>
  <c r="D545" i="5"/>
  <c r="D509" i="5"/>
  <c r="D389" i="5"/>
  <c r="D578" i="5"/>
  <c r="D542" i="5"/>
  <c r="D506" i="5"/>
  <c r="D386" i="5"/>
  <c r="D575" i="5"/>
  <c r="D539" i="5"/>
  <c r="D503" i="5"/>
  <c r="D383" i="5"/>
  <c r="D572" i="5"/>
  <c r="D536" i="5"/>
  <c r="D500" i="5"/>
  <c r="D380" i="5"/>
  <c r="D569" i="5"/>
  <c r="D533" i="5"/>
  <c r="D497" i="5"/>
  <c r="D377" i="5"/>
  <c r="G50" i="8"/>
  <c r="G28" i="8"/>
  <c r="H49" i="8"/>
  <c r="H20" i="8"/>
  <c r="G43" i="8"/>
  <c r="G53" i="8"/>
  <c r="G52" i="8"/>
  <c r="H21" i="8"/>
  <c r="G32" i="8"/>
  <c r="G10" i="8"/>
  <c r="G31" i="8"/>
  <c r="H35" i="8"/>
  <c r="G30" i="8"/>
  <c r="G18" i="8"/>
  <c r="G11" i="8"/>
  <c r="H40" i="8"/>
  <c r="H31" i="8"/>
  <c r="H19" i="8"/>
  <c r="G49" i="8"/>
  <c r="G41" i="8"/>
  <c r="G35" i="8"/>
  <c r="H41" i="8"/>
  <c r="H30" i="8"/>
  <c r="G21" i="8"/>
  <c r="G22" i="8"/>
  <c r="H50" i="8"/>
  <c r="H11" i="8"/>
  <c r="G29" i="8"/>
  <c r="H52" i="8"/>
  <c r="H12" i="8"/>
  <c r="H53" i="8"/>
  <c r="H10" i="8"/>
  <c r="G20" i="8"/>
  <c r="G40" i="8"/>
  <c r="H43" i="8"/>
  <c r="H32" i="8"/>
  <c r="G19" i="8"/>
  <c r="H18" i="8"/>
  <c r="E10" i="12" l="1"/>
  <c r="H221" i="8" s="1"/>
  <c r="R221" i="8" s="1"/>
  <c r="O10" i="12" l="1"/>
  <c r="D830" i="5" l="1"/>
  <c r="D566" i="5"/>
  <c r="D530" i="5"/>
  <c r="D494" i="5"/>
  <c r="D374" i="5"/>
  <c r="A101" i="4"/>
  <c r="A100" i="4"/>
  <c r="A99" i="4"/>
  <c r="A98" i="4"/>
  <c r="A97" i="4"/>
  <c r="A96" i="4"/>
  <c r="A95" i="4"/>
  <c r="A94" i="4"/>
  <c r="A93" i="4"/>
  <c r="A92" i="4"/>
  <c r="A91" i="4"/>
  <c r="A90" i="4"/>
  <c r="A89" i="4"/>
  <c r="A88" i="4"/>
  <c r="A87" i="4"/>
  <c r="A86" i="4"/>
  <c r="A85" i="4"/>
  <c r="A84" i="4"/>
  <c r="A83" i="4"/>
  <c r="A82" i="4"/>
  <c r="A81" i="4"/>
  <c r="A80" i="4"/>
  <c r="A79" i="4"/>
  <c r="A78" i="4"/>
  <c r="A77" i="4"/>
  <c r="A76" i="4"/>
  <c r="A75" i="4"/>
  <c r="A74" i="4"/>
  <c r="A73" i="4"/>
  <c r="A72" i="4"/>
  <c r="A71" i="4"/>
  <c r="A70" i="4"/>
  <c r="A69" i="4"/>
  <c r="A68" i="4"/>
  <c r="A67" i="4"/>
  <c r="A66" i="4"/>
  <c r="A65" i="4"/>
  <c r="A64" i="4"/>
  <c r="A63" i="4"/>
  <c r="A62" i="4"/>
  <c r="A61" i="4"/>
  <c r="A60" i="4"/>
  <c r="A59" i="4"/>
  <c r="A58" i="4"/>
  <c r="A57" i="4"/>
  <c r="A56" i="4"/>
  <c r="A55" i="4"/>
  <c r="A54" i="4"/>
  <c r="A53" i="4"/>
  <c r="A52" i="4"/>
  <c r="A51" i="4"/>
  <c r="A50" i="4"/>
  <c r="A49" i="4"/>
  <c r="A48" i="4"/>
  <c r="A47" i="4"/>
  <c r="A46" i="4"/>
  <c r="A45" i="4"/>
  <c r="A44" i="4"/>
  <c r="A43" i="4"/>
  <c r="A42" i="4"/>
  <c r="A41" i="4"/>
  <c r="A40" i="4"/>
  <c r="A39" i="4"/>
  <c r="A38" i="4"/>
  <c r="A37" i="4"/>
  <c r="A36" i="4"/>
  <c r="A35" i="4"/>
  <c r="A34" i="4"/>
  <c r="A33" i="4"/>
  <c r="A32" i="4"/>
  <c r="A31" i="4"/>
  <c r="A30" i="4"/>
  <c r="A29" i="4"/>
  <c r="A28" i="4"/>
  <c r="A27" i="4"/>
  <c r="A26" i="4"/>
  <c r="A25" i="4"/>
  <c r="A24" i="4"/>
  <c r="A23" i="4"/>
  <c r="A22" i="4"/>
  <c r="A21" i="4"/>
  <c r="A20" i="4"/>
  <c r="A19" i="4"/>
  <c r="A18" i="4"/>
  <c r="A17" i="4"/>
  <c r="A16" i="4"/>
  <c r="A15" i="4"/>
  <c r="A14" i="4"/>
  <c r="A13" i="4"/>
  <c r="A12" i="4"/>
  <c r="A11" i="4"/>
  <c r="A10" i="4"/>
  <c r="A9" i="4"/>
  <c r="A8" i="4"/>
  <c r="A7" i="4"/>
  <c r="A6" i="4"/>
  <c r="A5" i="4"/>
  <c r="A4" i="4"/>
  <c r="A3" i="4"/>
  <c r="P1249" i="5"/>
  <c r="R1249" i="5" s="1"/>
  <c r="P1248" i="5"/>
  <c r="R1248" i="5" s="1"/>
  <c r="P1247" i="5"/>
  <c r="R1247" i="5" s="1"/>
  <c r="P1246" i="5"/>
  <c r="R1246" i="5" s="1"/>
  <c r="P1245" i="5"/>
  <c r="R1245" i="5" s="1"/>
  <c r="P1244" i="5"/>
  <c r="R1244" i="5" s="1"/>
  <c r="P1243" i="5"/>
  <c r="R1243" i="5" s="1"/>
  <c r="P1242" i="5"/>
  <c r="R1242" i="5" s="1"/>
  <c r="P1241" i="5"/>
  <c r="R1241" i="5" s="1"/>
  <c r="P1240" i="5"/>
  <c r="R1240" i="5" s="1"/>
  <c r="P1239" i="5"/>
  <c r="R1239" i="5" s="1"/>
  <c r="P1238" i="5"/>
  <c r="R1238" i="5" s="1"/>
  <c r="P1237" i="5"/>
  <c r="R1237" i="5" s="1"/>
  <c r="P1236" i="5"/>
  <c r="R1236" i="5" s="1"/>
  <c r="P1235" i="5"/>
  <c r="R1235" i="5" s="1"/>
  <c r="P1234" i="5"/>
  <c r="R1234" i="5" s="1"/>
  <c r="P1233" i="5"/>
  <c r="R1233" i="5" s="1"/>
  <c r="P1232" i="5"/>
  <c r="R1232" i="5" s="1"/>
  <c r="P1231" i="5"/>
  <c r="R1231" i="5" s="1"/>
  <c r="P1230" i="5"/>
  <c r="R1230" i="5" s="1"/>
  <c r="P1229" i="5"/>
  <c r="R1229" i="5" s="1"/>
  <c r="P1228" i="5"/>
  <c r="R1228" i="5" s="1"/>
  <c r="P1227" i="5"/>
  <c r="R1227" i="5" s="1"/>
  <c r="P1226" i="5"/>
  <c r="R1226" i="5" s="1"/>
  <c r="P1225" i="5"/>
  <c r="R1225" i="5" s="1"/>
  <c r="P1224" i="5"/>
  <c r="R1224" i="5" s="1"/>
  <c r="P1223" i="5"/>
  <c r="R1223" i="5" s="1"/>
  <c r="P1222" i="5"/>
  <c r="R1222" i="5" s="1"/>
  <c r="P1221" i="5"/>
  <c r="R1221" i="5" s="1"/>
  <c r="P1220" i="5"/>
  <c r="R1220" i="5" s="1"/>
  <c r="P1219" i="5"/>
  <c r="R1219" i="5" s="1"/>
  <c r="P1218" i="5"/>
  <c r="R1218" i="5" s="1"/>
  <c r="P1217" i="5"/>
  <c r="R1217" i="5" s="1"/>
  <c r="P1216" i="5"/>
  <c r="R1216" i="5" s="1"/>
  <c r="P1215" i="5"/>
  <c r="R1215" i="5" s="1"/>
  <c r="P1214" i="5"/>
  <c r="R1214" i="5" s="1"/>
  <c r="P1213" i="5"/>
  <c r="R1213" i="5" s="1"/>
  <c r="P1212" i="5"/>
  <c r="R1212" i="5" s="1"/>
  <c r="P1211" i="5"/>
  <c r="R1211" i="5" s="1"/>
  <c r="P1210" i="5"/>
  <c r="R1210" i="5" s="1"/>
  <c r="P1209" i="5"/>
  <c r="R1209" i="5" s="1"/>
  <c r="P1208" i="5"/>
  <c r="R1208" i="5" s="1"/>
  <c r="P1207" i="5"/>
  <c r="R1207" i="5" s="1"/>
  <c r="P1206" i="5"/>
  <c r="R1206" i="5" s="1"/>
  <c r="P1205" i="5"/>
  <c r="R1205" i="5" s="1"/>
  <c r="P1204" i="5"/>
  <c r="R1204" i="5" s="1"/>
  <c r="P1203" i="5"/>
  <c r="R1203" i="5" s="1"/>
  <c r="P1202" i="5"/>
  <c r="R1202" i="5" s="1"/>
  <c r="P1201" i="5"/>
  <c r="R1201" i="5" s="1"/>
  <c r="P1200" i="5"/>
  <c r="R1200" i="5" s="1"/>
  <c r="P1199" i="5"/>
  <c r="R1199" i="5" s="1"/>
  <c r="P1198" i="5"/>
  <c r="R1198" i="5" s="1"/>
  <c r="P1197" i="5"/>
  <c r="R1197" i="5" s="1"/>
  <c r="P1196" i="5"/>
  <c r="R1196" i="5" s="1"/>
  <c r="P1195" i="5"/>
  <c r="R1195" i="5" s="1"/>
  <c r="P1194" i="5"/>
  <c r="R1194" i="5" s="1"/>
  <c r="P1193" i="5"/>
  <c r="R1193" i="5" s="1"/>
  <c r="P1192" i="5"/>
  <c r="R1192" i="5" s="1"/>
  <c r="P1191" i="5"/>
  <c r="R1191" i="5" s="1"/>
  <c r="P1190" i="5"/>
  <c r="R1190" i="5" s="1"/>
  <c r="P1189" i="5"/>
  <c r="R1189" i="5" s="1"/>
  <c r="P1188" i="5"/>
  <c r="R1188" i="5" s="1"/>
  <c r="P1187" i="5"/>
  <c r="R1187" i="5" s="1"/>
  <c r="P1186" i="5"/>
  <c r="R1186" i="5" s="1"/>
  <c r="P1185" i="5"/>
  <c r="R1185" i="5" s="1"/>
  <c r="P1184" i="5"/>
  <c r="R1184" i="5" s="1"/>
  <c r="P1183" i="5"/>
  <c r="R1183" i="5" s="1"/>
  <c r="P1182" i="5"/>
  <c r="R1182" i="5" s="1"/>
  <c r="P1181" i="5"/>
  <c r="R1181" i="5" s="1"/>
  <c r="P1180" i="5"/>
  <c r="R1180" i="5" s="1"/>
  <c r="P1179" i="5"/>
  <c r="R1179" i="5" s="1"/>
  <c r="P1178" i="5"/>
  <c r="R1178" i="5" s="1"/>
  <c r="Q1223" i="5" l="1"/>
  <c r="S1223" i="5" s="1"/>
  <c r="Q1204" i="5"/>
  <c r="S1204" i="5" s="1"/>
  <c r="Q1244" i="5"/>
  <c r="S1244" i="5" s="1"/>
  <c r="Q1216" i="5"/>
  <c r="S1216" i="5" s="1"/>
  <c r="Q1199" i="5"/>
  <c r="S1199" i="5" s="1"/>
  <c r="Q1236" i="5"/>
  <c r="S1236" i="5" s="1"/>
  <c r="Q1218" i="5"/>
  <c r="S1218" i="5" s="1"/>
  <c r="Q1202" i="5"/>
  <c r="S1202" i="5" s="1"/>
  <c r="Q1226" i="5"/>
  <c r="S1226" i="5" s="1"/>
  <c r="Q1190" i="5"/>
  <c r="S1190" i="5" s="1"/>
  <c r="Q1210" i="5"/>
  <c r="S1210" i="5" s="1"/>
  <c r="Q1194" i="5"/>
  <c r="S1194" i="5" s="1"/>
  <c r="Q1195" i="5"/>
  <c r="S1195" i="5" s="1"/>
  <c r="Q1238" i="5"/>
  <c r="S1238" i="5" s="1"/>
  <c r="Q1219" i="5"/>
  <c r="S1219" i="5" s="1"/>
  <c r="Q1220" i="5"/>
  <c r="S1220" i="5" s="1"/>
  <c r="Q1207" i="5"/>
  <c r="S1207" i="5" s="1"/>
  <c r="Q1231" i="5"/>
  <c r="S1231" i="5" s="1"/>
  <c r="Q1234" i="5"/>
  <c r="S1234" i="5" s="1"/>
  <c r="Q1178" i="5"/>
  <c r="S1178" i="5" s="1"/>
  <c r="Q1240" i="5"/>
  <c r="S1240" i="5" s="1"/>
  <c r="Q1192" i="5"/>
  <c r="S1192" i="5" s="1"/>
  <c r="Q1208" i="5"/>
  <c r="S1208" i="5" s="1"/>
  <c r="Q1206" i="5"/>
  <c r="S1206" i="5" s="1"/>
  <c r="Q1246" i="5"/>
  <c r="S1246" i="5" s="1"/>
  <c r="Q1191" i="5"/>
  <c r="S1191" i="5" s="1"/>
  <c r="Q1203" i="5"/>
  <c r="S1203" i="5" s="1"/>
  <c r="Q1215" i="5"/>
  <c r="S1215" i="5" s="1"/>
  <c r="Q1227" i="5"/>
  <c r="S1227" i="5" s="1"/>
  <c r="Q1243" i="5"/>
  <c r="S1243" i="5" s="1"/>
  <c r="Q1196" i="5"/>
  <c r="S1196" i="5" s="1"/>
  <c r="Q1212" i="5"/>
  <c r="S1212" i="5" s="1"/>
  <c r="Q1224" i="5"/>
  <c r="S1224" i="5" s="1"/>
  <c r="Q1232" i="5"/>
  <c r="S1232" i="5" s="1"/>
  <c r="Q1248" i="5"/>
  <c r="S1248" i="5" s="1"/>
  <c r="Q1193" i="5"/>
  <c r="S1193" i="5" s="1"/>
  <c r="Q1197" i="5"/>
  <c r="S1197" i="5" s="1"/>
  <c r="Q1201" i="5"/>
  <c r="S1201" i="5" s="1"/>
  <c r="Q1205" i="5"/>
  <c r="S1205" i="5" s="1"/>
  <c r="Q1209" i="5"/>
  <c r="S1209" i="5" s="1"/>
  <c r="Q1213" i="5"/>
  <c r="S1213" i="5" s="1"/>
  <c r="Q1217" i="5"/>
  <c r="S1217" i="5" s="1"/>
  <c r="Q1221" i="5"/>
  <c r="S1221" i="5" s="1"/>
  <c r="Q1225" i="5"/>
  <c r="S1225" i="5" s="1"/>
  <c r="Q1229" i="5"/>
  <c r="S1229" i="5" s="1"/>
  <c r="Q1233" i="5"/>
  <c r="S1233" i="5" s="1"/>
  <c r="Q1237" i="5"/>
  <c r="S1237" i="5" s="1"/>
  <c r="Q1241" i="5"/>
  <c r="S1241" i="5" s="1"/>
  <c r="Q1245" i="5"/>
  <c r="S1245" i="5" s="1"/>
  <c r="Q1249" i="5"/>
  <c r="S1249" i="5" s="1"/>
  <c r="Q1214" i="5"/>
  <c r="S1214" i="5" s="1"/>
  <c r="Q1222" i="5"/>
  <c r="S1222" i="5" s="1"/>
  <c r="Q1230" i="5"/>
  <c r="S1230" i="5" s="1"/>
  <c r="Q1235" i="5"/>
  <c r="S1235" i="5" s="1"/>
  <c r="Q1200" i="5"/>
  <c r="S1200" i="5" s="1"/>
  <c r="Q1228" i="5"/>
  <c r="S1228" i="5" s="1"/>
  <c r="Q1198" i="5"/>
  <c r="S1198" i="5" s="1"/>
  <c r="Q1211" i="5"/>
  <c r="S1211" i="5" s="1"/>
  <c r="Q1247" i="5"/>
  <c r="S1247" i="5" s="1"/>
  <c r="Q1242" i="5"/>
  <c r="S1242" i="5" s="1"/>
  <c r="Q1239" i="5"/>
  <c r="S1239" i="5" s="1"/>
  <c r="Q1186" i="5"/>
  <c r="S1186" i="5" s="1"/>
  <c r="Q1179" i="5"/>
  <c r="S1179" i="5" s="1"/>
  <c r="Q1187" i="5"/>
  <c r="S1187" i="5" s="1"/>
  <c r="Q1180" i="5"/>
  <c r="S1180" i="5" s="1"/>
  <c r="Q1184" i="5"/>
  <c r="S1184" i="5" s="1"/>
  <c r="Q1188" i="5"/>
  <c r="S1188" i="5" s="1"/>
  <c r="Q1182" i="5"/>
  <c r="S1182" i="5" s="1"/>
  <c r="Q1183" i="5"/>
  <c r="S1183" i="5" s="1"/>
  <c r="Q1181" i="5"/>
  <c r="S1181" i="5" s="1"/>
  <c r="Q1185" i="5"/>
  <c r="S1185" i="5" s="1"/>
  <c r="Q1189" i="5"/>
  <c r="S1189" i="5" s="1"/>
  <c r="D1045" i="5"/>
  <c r="C1045" i="5"/>
  <c r="D1044" i="5"/>
  <c r="C1044" i="5"/>
  <c r="D1043" i="5"/>
  <c r="C1043" i="5" s="1"/>
  <c r="D1042" i="5"/>
  <c r="C1042" i="5"/>
  <c r="D1041" i="5"/>
  <c r="C1041" i="5" s="1"/>
  <c r="D1040" i="5"/>
  <c r="C1040" i="5" s="1"/>
  <c r="D1039" i="5"/>
  <c r="C1039" i="5"/>
  <c r="D1038" i="5"/>
  <c r="C1038" i="5" s="1"/>
  <c r="D1037" i="5"/>
  <c r="C1037" i="5" s="1"/>
  <c r="D1036" i="5"/>
  <c r="C1036" i="5" s="1"/>
  <c r="D1035" i="5"/>
  <c r="C1035" i="5" s="1"/>
  <c r="D1034" i="5"/>
  <c r="C1034" i="5" s="1"/>
  <c r="I322" i="1"/>
  <c r="D205" i="5"/>
  <c r="C205" i="5" s="1"/>
  <c r="D196" i="5"/>
  <c r="C196" i="5" s="1"/>
  <c r="D187" i="5"/>
  <c r="C187" i="5" s="1"/>
  <c r="D178" i="5"/>
  <c r="C178" i="5" s="1"/>
  <c r="D169" i="5"/>
  <c r="C169" i="5" s="1"/>
  <c r="D160" i="5"/>
  <c r="C160" i="5" s="1"/>
  <c r="D151" i="5"/>
  <c r="C151" i="5" s="1"/>
  <c r="D142" i="5"/>
  <c r="C142" i="5" s="1"/>
  <c r="D133" i="5"/>
  <c r="C133" i="5" s="1"/>
  <c r="D124" i="5"/>
  <c r="C124" i="5" s="1"/>
  <c r="D115" i="5"/>
  <c r="C115" i="5" s="1"/>
  <c r="D106" i="5"/>
  <c r="C106" i="5" s="1"/>
  <c r="G143" i="8" l="1"/>
  <c r="G135" i="8"/>
  <c r="G127" i="8"/>
  <c r="G119" i="8"/>
  <c r="M116" i="8"/>
  <c r="O97" i="8"/>
  <c r="L15" i="12"/>
  <c r="O226" i="8" s="1"/>
  <c r="S57" i="8"/>
  <c r="R57" i="8"/>
  <c r="I57" i="8"/>
  <c r="N53" i="8"/>
  <c r="P53" i="8" s="1"/>
  <c r="N52" i="8"/>
  <c r="P52" i="8" s="1"/>
  <c r="S51" i="8"/>
  <c r="R51" i="8"/>
  <c r="I51" i="8"/>
  <c r="P13" i="8"/>
  <c r="L7" i="12" s="1"/>
  <c r="O218" i="8" s="1"/>
  <c r="L8" i="12"/>
  <c r="O219" i="8" s="1"/>
  <c r="L6" i="12"/>
  <c r="O217" i="8" s="1"/>
  <c r="G94" i="8"/>
  <c r="G78" i="8"/>
  <c r="G65" i="8"/>
  <c r="G62" i="8"/>
  <c r="I107" i="8"/>
  <c r="I91" i="8"/>
  <c r="G103" i="8"/>
  <c r="G159" i="8"/>
  <c r="G8" i="8"/>
  <c r="I139" i="8"/>
  <c r="I123" i="8"/>
  <c r="G96" i="8"/>
  <c r="G162" i="8"/>
  <c r="I15" i="8"/>
  <c r="I37" i="8"/>
  <c r="G87" i="8"/>
  <c r="H71" i="8"/>
  <c r="G72" i="8"/>
  <c r="I59" i="8"/>
  <c r="H103" i="8"/>
  <c r="H80" i="8"/>
  <c r="G7" i="8"/>
  <c r="H86" i="8"/>
  <c r="H145" i="8"/>
  <c r="H84" i="8"/>
  <c r="H73" i="8"/>
  <c r="G165" i="8"/>
  <c r="H72" i="8"/>
  <c r="G98" i="8"/>
  <c r="H137" i="8"/>
  <c r="G166" i="8"/>
  <c r="G95" i="8"/>
  <c r="I115" i="8"/>
  <c r="G69" i="8"/>
  <c r="H69" i="8"/>
  <c r="H100" i="8"/>
  <c r="G81" i="8"/>
  <c r="H113" i="8"/>
  <c r="G100" i="8"/>
  <c r="H8" i="8"/>
  <c r="G89" i="8"/>
  <c r="G99" i="8"/>
  <c r="G63" i="8"/>
  <c r="I75" i="8"/>
  <c r="G73" i="8"/>
  <c r="G68" i="8"/>
  <c r="G82" i="8"/>
  <c r="G83" i="8"/>
  <c r="H129" i="8"/>
  <c r="H87" i="8"/>
  <c r="H83" i="8"/>
  <c r="G105" i="8"/>
  <c r="G67" i="8"/>
  <c r="H163" i="8"/>
  <c r="G86" i="8"/>
  <c r="G97" i="8"/>
  <c r="I147" i="8"/>
  <c r="H7" i="8"/>
  <c r="H81" i="8"/>
  <c r="H102" i="8"/>
  <c r="H65" i="8"/>
  <c r="I25" i="8"/>
  <c r="H99" i="8"/>
  <c r="H165" i="8"/>
  <c r="H89" i="8"/>
  <c r="G160" i="8"/>
  <c r="H162" i="8"/>
  <c r="G71" i="8"/>
  <c r="G163" i="8"/>
  <c r="H96" i="8"/>
  <c r="G102" i="8"/>
  <c r="H97" i="8"/>
  <c r="I168" i="8"/>
  <c r="H68" i="8"/>
  <c r="G79" i="8"/>
  <c r="G80" i="8"/>
  <c r="I46" i="8"/>
  <c r="H67" i="8"/>
  <c r="I131" i="8"/>
  <c r="H121" i="8"/>
  <c r="O232" i="8" l="1"/>
  <c r="P232" i="8" s="1"/>
  <c r="P97" i="8"/>
  <c r="I92" i="8"/>
  <c r="P218" i="8"/>
  <c r="P217" i="8"/>
  <c r="P226" i="8"/>
  <c r="P219" i="8"/>
  <c r="G232" i="8"/>
  <c r="H232" i="8"/>
  <c r="G240" i="8"/>
  <c r="G235" i="8"/>
  <c r="G236" i="8"/>
  <c r="H239" i="8"/>
  <c r="R239" i="8" s="1"/>
  <c r="G239" i="8"/>
  <c r="H236" i="8"/>
  <c r="H234" i="8"/>
  <c r="R234" i="8" s="1"/>
  <c r="H237" i="8"/>
  <c r="R237" i="8" s="1"/>
  <c r="G230" i="8"/>
  <c r="H235" i="8"/>
  <c r="G229" i="8"/>
  <c r="G233" i="8"/>
  <c r="G234" i="8"/>
  <c r="G237" i="8"/>
  <c r="G231" i="8"/>
  <c r="G238" i="8"/>
  <c r="D18" i="16"/>
  <c r="E7" i="16"/>
  <c r="F7" i="16" s="1"/>
  <c r="E6" i="16"/>
  <c r="F6" i="16" s="1"/>
  <c r="E10" i="16"/>
  <c r="F10" i="16" s="1"/>
  <c r="E9" i="16"/>
  <c r="F9" i="16" s="1"/>
  <c r="F17" i="16"/>
  <c r="F21" i="16" s="1"/>
  <c r="E17" i="16"/>
  <c r="E21" i="16" s="1"/>
  <c r="G17" i="16"/>
  <c r="G21" i="16" s="1"/>
  <c r="L16" i="12"/>
  <c r="O227" i="8" s="1"/>
  <c r="E4" i="12"/>
  <c r="H215" i="8" s="1"/>
  <c r="R215" i="8" s="1"/>
  <c r="D32" i="12"/>
  <c r="D48" i="12"/>
  <c r="F34" i="12"/>
  <c r="E41" i="12"/>
  <c r="D26" i="12"/>
  <c r="D42" i="12"/>
  <c r="D59" i="12"/>
  <c r="E59" i="12"/>
  <c r="D22" i="12"/>
  <c r="F50" i="12"/>
  <c r="N50" i="12" s="1"/>
  <c r="D9" i="12"/>
  <c r="G220" i="8" s="1"/>
  <c r="S220" i="8" s="1"/>
  <c r="D6" i="12"/>
  <c r="G217" i="8" s="1"/>
  <c r="D10" i="12"/>
  <c r="G221" i="8" s="1"/>
  <c r="S221" i="8" s="1"/>
  <c r="Z25" i="12"/>
  <c r="D23" i="12"/>
  <c r="D39" i="12"/>
  <c r="D24" i="12"/>
  <c r="E24" i="12"/>
  <c r="D25" i="12"/>
  <c r="D54" i="12"/>
  <c r="E25" i="12"/>
  <c r="E27" i="12"/>
  <c r="D43" i="12"/>
  <c r="D61" i="12"/>
  <c r="D29" i="12"/>
  <c r="E43" i="12"/>
  <c r="E61" i="12"/>
  <c r="E29" i="12"/>
  <c r="D45" i="12"/>
  <c r="D64" i="12"/>
  <c r="D14" i="12"/>
  <c r="G225" i="8" s="1"/>
  <c r="D30" i="12"/>
  <c r="E45" i="12"/>
  <c r="F66" i="12"/>
  <c r="N66" i="12" s="1"/>
  <c r="E14" i="12"/>
  <c r="H225" i="8" s="1"/>
  <c r="R225" i="8" s="1"/>
  <c r="E30" i="12"/>
  <c r="D46" i="12"/>
  <c r="E46" i="12"/>
  <c r="E32" i="12"/>
  <c r="F18" i="12"/>
  <c r="D38" i="12"/>
  <c r="D11" i="12"/>
  <c r="G222" i="8" s="1"/>
  <c r="D40" i="12"/>
  <c r="E40" i="12"/>
  <c r="D41" i="12"/>
  <c r="D55" i="12"/>
  <c r="Z23" i="12"/>
  <c r="Z24" i="12" s="1"/>
  <c r="E5" i="12"/>
  <c r="H216" i="8" s="1"/>
  <c r="R216" i="8" s="1"/>
  <c r="D5" i="12"/>
  <c r="G216" i="8" s="1"/>
  <c r="Z21" i="12"/>
  <c r="Z22" i="12" s="1"/>
  <c r="D4" i="12"/>
  <c r="G215" i="8" s="1"/>
  <c r="M15" i="12"/>
  <c r="M6" i="12"/>
  <c r="M8" i="12"/>
  <c r="M7" i="12"/>
  <c r="I197" i="8"/>
  <c r="T51" i="8"/>
  <c r="S194" i="8"/>
  <c r="R194" i="8"/>
  <c r="I201" i="8"/>
  <c r="R50" i="8"/>
  <c r="I50" i="8"/>
  <c r="T50" i="8" s="1"/>
  <c r="I89" i="8"/>
  <c r="H105" i="8"/>
  <c r="E48" i="12" s="1"/>
  <c r="R89" i="8"/>
  <c r="I68" i="8"/>
  <c r="R68" i="8"/>
  <c r="S100" i="8"/>
  <c r="S10" i="8"/>
  <c r="S35" i="8"/>
  <c r="S11" i="8"/>
  <c r="S50" i="8"/>
  <c r="R40" i="8"/>
  <c r="I40" i="8"/>
  <c r="S99" i="8"/>
  <c r="I7" i="8"/>
  <c r="T7" i="8" s="1"/>
  <c r="R7" i="8"/>
  <c r="S70" i="8"/>
  <c r="S80" i="8"/>
  <c r="I88" i="8"/>
  <c r="R88" i="8"/>
  <c r="I99" i="8"/>
  <c r="R99" i="8"/>
  <c r="R55" i="8"/>
  <c r="I84" i="8"/>
  <c r="S84" i="8"/>
  <c r="R84" i="8"/>
  <c r="I70" i="8"/>
  <c r="R70" i="8"/>
  <c r="I31" i="8"/>
  <c r="R31" i="8"/>
  <c r="S89" i="8"/>
  <c r="S103" i="8"/>
  <c r="R121" i="8"/>
  <c r="S165" i="8"/>
  <c r="R8" i="8"/>
  <c r="I8" i="8"/>
  <c r="R11" i="8"/>
  <c r="I11" i="8"/>
  <c r="E6" i="12" s="1"/>
  <c r="H217" i="8" s="1"/>
  <c r="R217" i="8" s="1"/>
  <c r="R20" i="8"/>
  <c r="I20" i="8"/>
  <c r="R145" i="8"/>
  <c r="R54" i="8"/>
  <c r="I54" i="8"/>
  <c r="S65" i="8"/>
  <c r="I12" i="8"/>
  <c r="R12" i="8"/>
  <c r="S21" i="8"/>
  <c r="I34" i="8"/>
  <c r="S43" i="8"/>
  <c r="S73" i="8"/>
  <c r="R83" i="8"/>
  <c r="I83" i="8"/>
  <c r="R21" i="8"/>
  <c r="I21" i="8"/>
  <c r="R43" i="8"/>
  <c r="I43" i="8"/>
  <c r="I73" i="8"/>
  <c r="R73" i="8"/>
  <c r="S19" i="8"/>
  <c r="I97" i="8"/>
  <c r="R113" i="8"/>
  <c r="S87" i="8"/>
  <c r="R102" i="8"/>
  <c r="I102" i="8"/>
  <c r="S104" i="8"/>
  <c r="S7" i="8"/>
  <c r="S42" i="8"/>
  <c r="R49" i="8"/>
  <c r="I49" i="8"/>
  <c r="R87" i="8"/>
  <c r="I87" i="8"/>
  <c r="I104" i="8"/>
  <c r="R104" i="8"/>
  <c r="R129" i="8"/>
  <c r="S20" i="8"/>
  <c r="S22" i="8"/>
  <c r="S54" i="8"/>
  <c r="S88" i="8"/>
  <c r="I52" i="8"/>
  <c r="R52" i="8"/>
  <c r="I65" i="8"/>
  <c r="R65" i="8"/>
  <c r="R67" i="8"/>
  <c r="I67" i="8"/>
  <c r="R103" i="8"/>
  <c r="I103" i="8"/>
  <c r="R165" i="8"/>
  <c r="I165" i="8"/>
  <c r="I86" i="8"/>
  <c r="R86" i="8"/>
  <c r="S32" i="8"/>
  <c r="S41" i="8"/>
  <c r="R32" i="8"/>
  <c r="I32" i="8"/>
  <c r="I41" i="8"/>
  <c r="R41" i="8"/>
  <c r="S72" i="8"/>
  <c r="S8" i="8"/>
  <c r="S12" i="8"/>
  <c r="I72" i="8"/>
  <c r="R72" i="8"/>
  <c r="R137" i="8"/>
  <c r="S18" i="8"/>
  <c r="I42" i="8"/>
  <c r="R42" i="8"/>
  <c r="I81" i="8"/>
  <c r="R81" i="8"/>
  <c r="S163" i="8"/>
  <c r="R18" i="8"/>
  <c r="I18" i="8"/>
  <c r="S68" i="8"/>
  <c r="S83" i="8"/>
  <c r="S97" i="8"/>
  <c r="I163" i="8"/>
  <c r="R163" i="8"/>
  <c r="I211" i="8"/>
  <c r="R22" i="8"/>
  <c r="I22" i="8"/>
  <c r="R35" i="8"/>
  <c r="I35" i="8"/>
  <c r="T35" i="8" s="1"/>
  <c r="S49" i="8"/>
  <c r="S67" i="8"/>
  <c r="I80" i="8"/>
  <c r="R80" i="8"/>
  <c r="I19" i="8"/>
  <c r="R19" i="8"/>
  <c r="S69" i="8"/>
  <c r="S71" i="8"/>
  <c r="I100" i="8"/>
  <c r="R100" i="8"/>
  <c r="I10" i="8"/>
  <c r="R10" i="8"/>
  <c r="S30" i="8"/>
  <c r="R30" i="8"/>
  <c r="I30" i="8"/>
  <c r="S40" i="8"/>
  <c r="R71" i="8"/>
  <c r="I71" i="8"/>
  <c r="I96" i="8"/>
  <c r="S102" i="8"/>
  <c r="S162" i="8"/>
  <c r="I69" i="8"/>
  <c r="R69" i="8"/>
  <c r="I204" i="8"/>
  <c r="I162" i="8"/>
  <c r="R162" i="8"/>
  <c r="I53" i="8"/>
  <c r="R53" i="8"/>
  <c r="S31" i="8"/>
  <c r="R34" i="8"/>
  <c r="S81" i="8"/>
  <c r="S86" i="8"/>
  <c r="R23" i="8"/>
  <c r="I9" i="8"/>
  <c r="S44" i="8"/>
  <c r="S9" i="8"/>
  <c r="R9" i="8"/>
  <c r="S185" i="8"/>
  <c r="P45" i="8"/>
  <c r="P14" i="8"/>
  <c r="O28" i="8" s="1"/>
  <c r="P28" i="8" s="1"/>
  <c r="I23" i="8"/>
  <c r="I111" i="8"/>
  <c r="S111" i="8"/>
  <c r="R111" i="8"/>
  <c r="R97" i="8"/>
  <c r="T57" i="8"/>
  <c r="S53" i="8"/>
  <c r="P24" i="8"/>
  <c r="S52" i="8"/>
  <c r="I194" i="8"/>
  <c r="G110" i="8"/>
  <c r="G137" i="8"/>
  <c r="G145" i="8"/>
  <c r="G126" i="8"/>
  <c r="G118" i="8"/>
  <c r="G129" i="8"/>
  <c r="G121" i="8"/>
  <c r="G142" i="8"/>
  <c r="G134" i="8"/>
  <c r="G113" i="8"/>
  <c r="S239" i="8" l="1"/>
  <c r="G241" i="8"/>
  <c r="S235" i="8"/>
  <c r="G245" i="8"/>
  <c r="G243" i="8"/>
  <c r="G246" i="8"/>
  <c r="I232" i="8"/>
  <c r="T232" i="8" s="1"/>
  <c r="R232" i="8"/>
  <c r="S232" i="8"/>
  <c r="S236" i="8"/>
  <c r="I236" i="8"/>
  <c r="T236" i="8" s="1"/>
  <c r="R236" i="8"/>
  <c r="S234" i="8"/>
  <c r="H246" i="8"/>
  <c r="S237" i="8"/>
  <c r="H243" i="8"/>
  <c r="H245" i="8"/>
  <c r="I235" i="8"/>
  <c r="T235" i="8" s="1"/>
  <c r="R235" i="8"/>
  <c r="S217" i="8"/>
  <c r="S216" i="8"/>
  <c r="S215" i="8"/>
  <c r="P227" i="8"/>
  <c r="S225" i="8"/>
  <c r="P32" i="12"/>
  <c r="I234" i="8"/>
  <c r="T234" i="8" s="1"/>
  <c r="I237" i="8"/>
  <c r="T237" i="8" s="1"/>
  <c r="H242" i="8"/>
  <c r="R242" i="8" s="1"/>
  <c r="G242" i="8"/>
  <c r="H241" i="8"/>
  <c r="R241" i="8" s="1"/>
  <c r="I239" i="8"/>
  <c r="T239" i="8" s="1"/>
  <c r="I215" i="8"/>
  <c r="T215" i="8" s="1"/>
  <c r="I220" i="8"/>
  <c r="T220" i="8" s="1"/>
  <c r="I225" i="8"/>
  <c r="T225" i="8" s="1"/>
  <c r="I217" i="8"/>
  <c r="T217" i="8" s="1"/>
  <c r="M16" i="12"/>
  <c r="AC16" i="12" s="1"/>
  <c r="I221" i="8"/>
  <c r="T221" i="8" s="1"/>
  <c r="I216" i="8"/>
  <c r="T216" i="8" s="1"/>
  <c r="P14" i="12"/>
  <c r="D22" i="16"/>
  <c r="J18" i="16"/>
  <c r="P5" i="12"/>
  <c r="F20" i="16"/>
  <c r="F11" i="16"/>
  <c r="D21" i="16" s="1"/>
  <c r="P30" i="12"/>
  <c r="E15" i="12"/>
  <c r="O15" i="12" s="1"/>
  <c r="P4" i="12"/>
  <c r="F16" i="16"/>
  <c r="I18" i="16" s="1"/>
  <c r="D19" i="16"/>
  <c r="P43" i="12"/>
  <c r="E20" i="16"/>
  <c r="E16" i="16"/>
  <c r="H18" i="16" s="1"/>
  <c r="G20" i="16"/>
  <c r="F6" i="12"/>
  <c r="AB6" i="12" s="1"/>
  <c r="P48" i="12"/>
  <c r="O41" i="12"/>
  <c r="F41" i="12"/>
  <c r="P41" i="12"/>
  <c r="O61" i="12"/>
  <c r="F61" i="12"/>
  <c r="N61" i="12" s="1"/>
  <c r="F43" i="12"/>
  <c r="O43" i="12"/>
  <c r="P10" i="12"/>
  <c r="Q10" i="12" s="1"/>
  <c r="R10" i="12" s="1"/>
  <c r="F10" i="12"/>
  <c r="E16" i="12"/>
  <c r="H227" i="8" s="1"/>
  <c r="S227" i="8" s="1"/>
  <c r="P6" i="12"/>
  <c r="F32" i="12"/>
  <c r="N32" i="12" s="1"/>
  <c r="O32" i="12"/>
  <c r="P9" i="12"/>
  <c r="Q9" i="12" s="1"/>
  <c r="F9" i="12"/>
  <c r="P29" i="12"/>
  <c r="AD8" i="12"/>
  <c r="AC8" i="12"/>
  <c r="AE8" i="12"/>
  <c r="P61" i="12"/>
  <c r="T52" i="8"/>
  <c r="O29" i="12"/>
  <c r="F29" i="12"/>
  <c r="N29" i="12" s="1"/>
  <c r="AD6" i="12"/>
  <c r="AE6" i="12"/>
  <c r="AC6" i="12"/>
  <c r="O30" i="12"/>
  <c r="F30" i="12"/>
  <c r="E13" i="12"/>
  <c r="H224" i="8" s="1"/>
  <c r="L11" i="12"/>
  <c r="O222" i="8" s="1"/>
  <c r="O63" i="8"/>
  <c r="P63" i="8" s="1"/>
  <c r="F24" i="12"/>
  <c r="O24" i="12"/>
  <c r="AC7" i="12"/>
  <c r="AE7" i="12"/>
  <c r="AD7" i="12"/>
  <c r="P40" i="12"/>
  <c r="O25" i="12"/>
  <c r="F25" i="12"/>
  <c r="F48" i="12"/>
  <c r="N48" i="12" s="1"/>
  <c r="O48" i="12"/>
  <c r="AE15" i="12"/>
  <c r="AC15" i="12"/>
  <c r="AD15" i="12"/>
  <c r="O14" i="12"/>
  <c r="F14" i="12"/>
  <c r="P59" i="12"/>
  <c r="F45" i="12"/>
  <c r="N45" i="12" s="1"/>
  <c r="O45" i="12"/>
  <c r="O5" i="12"/>
  <c r="F5" i="12"/>
  <c r="P24" i="12"/>
  <c r="P45" i="12"/>
  <c r="O40" i="12"/>
  <c r="F40" i="12"/>
  <c r="O6" i="12"/>
  <c r="O46" i="12"/>
  <c r="F46" i="12"/>
  <c r="P27" i="12"/>
  <c r="F27" i="12"/>
  <c r="O27" i="12"/>
  <c r="P46" i="12"/>
  <c r="E8" i="12"/>
  <c r="H219" i="8" s="1"/>
  <c r="O59" i="12"/>
  <c r="F59" i="12"/>
  <c r="N59" i="12" s="1"/>
  <c r="P25" i="12"/>
  <c r="F4" i="12"/>
  <c r="O4" i="12"/>
  <c r="AA58" i="8"/>
  <c r="P58" i="8"/>
  <c r="O64" i="8" s="1"/>
  <c r="P64" i="8" s="1"/>
  <c r="S105" i="8"/>
  <c r="S187" i="8"/>
  <c r="T187" i="8"/>
  <c r="R187" i="8"/>
  <c r="T188" i="8"/>
  <c r="R188" i="8"/>
  <c r="S186" i="8"/>
  <c r="T185" i="8"/>
  <c r="R185" i="8"/>
  <c r="T186" i="8"/>
  <c r="R186" i="8"/>
  <c r="I213" i="8"/>
  <c r="T184" i="8"/>
  <c r="R184" i="8"/>
  <c r="S184" i="8"/>
  <c r="S188" i="8"/>
  <c r="T20" i="8"/>
  <c r="S85" i="8"/>
  <c r="S33" i="8"/>
  <c r="T12" i="8"/>
  <c r="F5" i="8"/>
  <c r="T67" i="8"/>
  <c r="T53" i="8"/>
  <c r="T54" i="8"/>
  <c r="R201" i="8"/>
  <c r="S201" i="8"/>
  <c r="T43" i="8"/>
  <c r="T11" i="8"/>
  <c r="T31" i="8"/>
  <c r="I55" i="8"/>
  <c r="T100" i="8"/>
  <c r="T97" i="8"/>
  <c r="T10" i="8"/>
  <c r="T83" i="8"/>
  <c r="T163" i="8"/>
  <c r="T65" i="8"/>
  <c r="S129" i="8"/>
  <c r="I129" i="8"/>
  <c r="S145" i="8"/>
  <c r="I145" i="8"/>
  <c r="S113" i="8"/>
  <c r="I113" i="8"/>
  <c r="S121" i="8"/>
  <c r="I121" i="8"/>
  <c r="R13" i="8"/>
  <c r="R14" i="8" s="1"/>
  <c r="I13" i="8"/>
  <c r="E7" i="12" s="1"/>
  <c r="H218" i="8" s="1"/>
  <c r="S13" i="8"/>
  <c r="S14" i="8" s="1"/>
  <c r="S137" i="8"/>
  <c r="I137" i="8"/>
  <c r="T162" i="8"/>
  <c r="T70" i="8"/>
  <c r="O79" i="8"/>
  <c r="O160" i="8"/>
  <c r="O29" i="8"/>
  <c r="P29" i="8" s="1"/>
  <c r="O95" i="8"/>
  <c r="I24" i="8"/>
  <c r="T73" i="8"/>
  <c r="T34" i="8"/>
  <c r="T19" i="8"/>
  <c r="T9" i="8"/>
  <c r="T40" i="8"/>
  <c r="T18" i="8"/>
  <c r="I56" i="8"/>
  <c r="R56" i="8"/>
  <c r="R58" i="8" s="1"/>
  <c r="S56" i="8"/>
  <c r="T104" i="8"/>
  <c r="T86" i="8"/>
  <c r="I66" i="8"/>
  <c r="R66" i="8"/>
  <c r="S66" i="8"/>
  <c r="R24" i="8"/>
  <c r="T41" i="8"/>
  <c r="I119" i="8"/>
  <c r="R119" i="8"/>
  <c r="R85" i="8"/>
  <c r="I85" i="8"/>
  <c r="R101" i="8"/>
  <c r="I101" i="8"/>
  <c r="T22" i="8"/>
  <c r="T102" i="8"/>
  <c r="T8" i="8"/>
  <c r="T21" i="8"/>
  <c r="S34" i="8"/>
  <c r="T111" i="8"/>
  <c r="T88" i="8"/>
  <c r="T80" i="8"/>
  <c r="T71" i="8"/>
  <c r="T81" i="8"/>
  <c r="T103" i="8"/>
  <c r="T84" i="8"/>
  <c r="I105" i="8"/>
  <c r="R105" i="8"/>
  <c r="H166" i="8"/>
  <c r="T194" i="8"/>
  <c r="T69" i="8"/>
  <c r="T72" i="8"/>
  <c r="T89" i="8"/>
  <c r="T201" i="8"/>
  <c r="T23" i="8"/>
  <c r="T32" i="8"/>
  <c r="T68" i="8"/>
  <c r="T87" i="8"/>
  <c r="T49" i="8"/>
  <c r="S23" i="8"/>
  <c r="S24" i="8" s="1"/>
  <c r="S119" i="8"/>
  <c r="R44" i="8"/>
  <c r="R45" i="8" s="1"/>
  <c r="I44" i="8"/>
  <c r="I164" i="8"/>
  <c r="R164" i="8"/>
  <c r="S164" i="8"/>
  <c r="S55" i="8"/>
  <c r="T165" i="8"/>
  <c r="T42" i="8"/>
  <c r="S45" i="8"/>
  <c r="R33" i="8"/>
  <c r="I33" i="8"/>
  <c r="T30" i="8"/>
  <c r="S101" i="8"/>
  <c r="T99" i="8"/>
  <c r="O230" i="8" l="1"/>
  <c r="P230" i="8" s="1"/>
  <c r="S242" i="8"/>
  <c r="Q14" i="12"/>
  <c r="R14" i="12" s="1"/>
  <c r="I246" i="8"/>
  <c r="I243" i="8"/>
  <c r="T243" i="8" s="1"/>
  <c r="R243" i="8"/>
  <c r="S241" i="8"/>
  <c r="S243" i="8"/>
  <c r="I245" i="8"/>
  <c r="R9" i="12"/>
  <c r="C8" i="14"/>
  <c r="Q32" i="12"/>
  <c r="R227" i="8"/>
  <c r="P222" i="8"/>
  <c r="S224" i="8"/>
  <c r="R224" i="8"/>
  <c r="S218" i="8"/>
  <c r="R218" i="8"/>
  <c r="S219" i="8"/>
  <c r="R219" i="8"/>
  <c r="H22" i="16"/>
  <c r="I242" i="8"/>
  <c r="T242" i="8" s="1"/>
  <c r="I22" i="16"/>
  <c r="Q5" i="12"/>
  <c r="R5" i="12" s="1"/>
  <c r="Q4" i="12"/>
  <c r="H238" i="8"/>
  <c r="H240" i="8"/>
  <c r="I241" i="8"/>
  <c r="T241" i="8" s="1"/>
  <c r="J22" i="16"/>
  <c r="L39" i="12"/>
  <c r="M39" i="12" s="1"/>
  <c r="P95" i="8"/>
  <c r="P79" i="8"/>
  <c r="L55" i="12"/>
  <c r="M55" i="12" s="1"/>
  <c r="P160" i="8"/>
  <c r="I219" i="8"/>
  <c r="T219" i="8" s="1"/>
  <c r="I227" i="8"/>
  <c r="T227" i="8" s="1"/>
  <c r="AD16" i="12"/>
  <c r="AE16" i="12"/>
  <c r="I218" i="8"/>
  <c r="T218" i="8" s="1"/>
  <c r="I224" i="8"/>
  <c r="T224" i="8" s="1"/>
  <c r="M11" i="12"/>
  <c r="AE11" i="12" s="1"/>
  <c r="P15" i="12"/>
  <c r="Q15" i="12" s="1"/>
  <c r="H226" i="8"/>
  <c r="Q30" i="12"/>
  <c r="C40" i="14" s="1"/>
  <c r="D17" i="16"/>
  <c r="H17" i="16" s="1"/>
  <c r="Z6" i="12"/>
  <c r="F15" i="12"/>
  <c r="N15" i="12" s="1"/>
  <c r="AA6" i="12"/>
  <c r="Q25" i="12"/>
  <c r="C35" i="14" s="1"/>
  <c r="J19" i="16"/>
  <c r="H19" i="16"/>
  <c r="I19" i="16"/>
  <c r="Q29" i="12"/>
  <c r="I21" i="16"/>
  <c r="H21" i="16"/>
  <c r="J21" i="16"/>
  <c r="Q43" i="12"/>
  <c r="Q48" i="12"/>
  <c r="Q59" i="12"/>
  <c r="C90" i="14" s="1"/>
  <c r="Q41" i="12"/>
  <c r="C63" i="14" s="1"/>
  <c r="Q6" i="12"/>
  <c r="C5" i="14" s="1"/>
  <c r="Q45" i="12"/>
  <c r="S27" i="12"/>
  <c r="N43" i="12"/>
  <c r="P7" i="12"/>
  <c r="F7" i="12"/>
  <c r="O7" i="12"/>
  <c r="S23" i="12"/>
  <c r="N27" i="12"/>
  <c r="Q27" i="12"/>
  <c r="AB14" i="12"/>
  <c r="AA14" i="12"/>
  <c r="N14" i="12"/>
  <c r="Z14" i="12"/>
  <c r="Q46" i="12"/>
  <c r="Q61" i="12"/>
  <c r="C89" i="14" s="1"/>
  <c r="P16" i="12"/>
  <c r="F16" i="12"/>
  <c r="O16" i="12"/>
  <c r="L23" i="12"/>
  <c r="M23" i="12" s="1"/>
  <c r="S21" i="12"/>
  <c r="AB10" i="12"/>
  <c r="Z10" i="12"/>
  <c r="N10" i="12"/>
  <c r="AA10" i="12"/>
  <c r="L12" i="12"/>
  <c r="O223" i="8" s="1"/>
  <c r="Q24" i="12"/>
  <c r="C34" i="14" s="1"/>
  <c r="E64" i="12"/>
  <c r="AB5" i="12"/>
  <c r="AA5" i="12"/>
  <c r="N5" i="12"/>
  <c r="Z5" i="12"/>
  <c r="F13" i="12"/>
  <c r="O13" i="12"/>
  <c r="P8" i="12"/>
  <c r="F8" i="12"/>
  <c r="O8" i="12"/>
  <c r="AB9" i="12"/>
  <c r="Z9" i="12"/>
  <c r="AI4" i="12"/>
  <c r="N9" i="12"/>
  <c r="AA9" i="12"/>
  <c r="Q40" i="12"/>
  <c r="C62" i="14" s="1"/>
  <c r="AI3" i="12"/>
  <c r="AA4" i="12"/>
  <c r="AB4" i="12"/>
  <c r="Z4" i="12"/>
  <c r="N4" i="12"/>
  <c r="AA45" i="8"/>
  <c r="C12" i="13"/>
  <c r="S58" i="8"/>
  <c r="I45" i="8"/>
  <c r="E11" i="12" s="1"/>
  <c r="T55" i="8"/>
  <c r="S208" i="8"/>
  <c r="R208" i="8"/>
  <c r="I208" i="8"/>
  <c r="I58" i="8"/>
  <c r="T24" i="8"/>
  <c r="R127" i="8"/>
  <c r="I127" i="8"/>
  <c r="S127" i="8"/>
  <c r="P36" i="8"/>
  <c r="T13" i="8"/>
  <c r="T14" i="8" s="1"/>
  <c r="T44" i="8"/>
  <c r="T45" i="8" s="1"/>
  <c r="T119" i="8"/>
  <c r="T101" i="8"/>
  <c r="H160" i="8"/>
  <c r="E55" i="12" s="1"/>
  <c r="H79" i="8"/>
  <c r="H29" i="8"/>
  <c r="H95" i="8"/>
  <c r="E39" i="12" s="1"/>
  <c r="T145" i="8"/>
  <c r="T66" i="8"/>
  <c r="T105" i="8"/>
  <c r="T33" i="8"/>
  <c r="T129" i="8"/>
  <c r="T121" i="8"/>
  <c r="R166" i="8"/>
  <c r="I166" i="8"/>
  <c r="S166" i="8"/>
  <c r="S167" i="8" s="1"/>
  <c r="T85" i="8"/>
  <c r="R112" i="8"/>
  <c r="I112" i="8"/>
  <c r="S112" i="8"/>
  <c r="T164" i="8"/>
  <c r="T137" i="8"/>
  <c r="T113" i="8"/>
  <c r="I14" i="8"/>
  <c r="T56" i="8"/>
  <c r="C13" i="14" l="1"/>
  <c r="R240" i="8"/>
  <c r="S240" i="8"/>
  <c r="R238" i="8"/>
  <c r="S238" i="8"/>
  <c r="R4" i="12"/>
  <c r="R45" i="12"/>
  <c r="C69" i="14"/>
  <c r="R15" i="12"/>
  <c r="R48" i="12"/>
  <c r="C65" i="14"/>
  <c r="R43" i="12"/>
  <c r="C70" i="14"/>
  <c r="R29" i="12"/>
  <c r="C41" i="14"/>
  <c r="R27" i="12"/>
  <c r="C42" i="14"/>
  <c r="R32" i="12"/>
  <c r="C37" i="14"/>
  <c r="P223" i="8"/>
  <c r="S226" i="8"/>
  <c r="R226" i="8"/>
  <c r="AA15" i="12"/>
  <c r="AB15" i="12"/>
  <c r="Z15" i="12"/>
  <c r="I240" i="8"/>
  <c r="T240" i="8" s="1"/>
  <c r="I238" i="8"/>
  <c r="T238" i="8" s="1"/>
  <c r="H230" i="8"/>
  <c r="AI7" i="12"/>
  <c r="AC11" i="12"/>
  <c r="O55" i="12"/>
  <c r="AD11" i="12"/>
  <c r="I226" i="8"/>
  <c r="T226" i="8" s="1"/>
  <c r="I17" i="16"/>
  <c r="J17" i="16"/>
  <c r="O11" i="12"/>
  <c r="C9" i="14" s="1"/>
  <c r="H222" i="8"/>
  <c r="Q16" i="12"/>
  <c r="R16" i="12" s="1"/>
  <c r="Q8" i="12"/>
  <c r="C7" i="14" s="1"/>
  <c r="P39" i="12"/>
  <c r="F39" i="12"/>
  <c r="N39" i="12" s="1"/>
  <c r="F11" i="12"/>
  <c r="P11" i="12"/>
  <c r="C10" i="14" s="1"/>
  <c r="Q7" i="12"/>
  <c r="AA13" i="12"/>
  <c r="AB13" i="12"/>
  <c r="Z13" i="12"/>
  <c r="Q13" i="12"/>
  <c r="F64" i="12"/>
  <c r="N64" i="12" s="1"/>
  <c r="O64" i="12"/>
  <c r="P64" i="12"/>
  <c r="E23" i="12"/>
  <c r="F55" i="12"/>
  <c r="N55" i="12" s="1"/>
  <c r="P55" i="12"/>
  <c r="O39" i="12"/>
  <c r="AB16" i="12"/>
  <c r="AA16" i="12"/>
  <c r="Z16" i="12"/>
  <c r="N16" i="12"/>
  <c r="AB8" i="12"/>
  <c r="AA8" i="12"/>
  <c r="Z8" i="12"/>
  <c r="M12" i="12"/>
  <c r="AI6" i="12"/>
  <c r="AB7" i="12"/>
  <c r="AA7" i="12"/>
  <c r="Z7" i="12"/>
  <c r="N7" i="12"/>
  <c r="C14" i="13"/>
  <c r="T183" i="8"/>
  <c r="H63" i="8"/>
  <c r="T58" i="8"/>
  <c r="R95" i="8"/>
  <c r="H64" i="8"/>
  <c r="E12" i="12" s="1"/>
  <c r="T208" i="8"/>
  <c r="S135" i="8"/>
  <c r="R135" i="8"/>
  <c r="I135" i="8"/>
  <c r="I160" i="8"/>
  <c r="S160" i="8"/>
  <c r="T127" i="8"/>
  <c r="I79" i="8"/>
  <c r="S79" i="8"/>
  <c r="H28" i="8"/>
  <c r="I29" i="8"/>
  <c r="S29" i="8"/>
  <c r="T112" i="8"/>
  <c r="O98" i="8"/>
  <c r="O82" i="8"/>
  <c r="O161" i="8"/>
  <c r="O231" i="8" s="1"/>
  <c r="P231" i="8" s="1"/>
  <c r="O62" i="8"/>
  <c r="P62" i="8" s="1"/>
  <c r="I95" i="8"/>
  <c r="S95" i="8"/>
  <c r="R195" i="8"/>
  <c r="I120" i="8"/>
  <c r="R120" i="8"/>
  <c r="S120" i="8"/>
  <c r="R160" i="8"/>
  <c r="T166" i="8"/>
  <c r="R29" i="8"/>
  <c r="R79" i="8"/>
  <c r="O233" i="8" l="1"/>
  <c r="P233" i="8" s="1"/>
  <c r="Q55" i="12"/>
  <c r="C84" i="14" s="1"/>
  <c r="J23" i="16"/>
  <c r="R230" i="8"/>
  <c r="S230" i="8"/>
  <c r="P13" i="12"/>
  <c r="C12" i="14"/>
  <c r="C14" i="14"/>
  <c r="R7" i="12"/>
  <c r="C6" i="14"/>
  <c r="S222" i="8"/>
  <c r="R222" i="8"/>
  <c r="Q39" i="12"/>
  <c r="I230" i="8"/>
  <c r="T230" i="8" s="1"/>
  <c r="P161" i="8"/>
  <c r="P82" i="8"/>
  <c r="L42" i="12"/>
  <c r="P98" i="8"/>
  <c r="I222" i="8"/>
  <c r="T222" i="8" s="1"/>
  <c r="F12" i="12"/>
  <c r="AA12" i="12" s="1"/>
  <c r="H223" i="8"/>
  <c r="AE12" i="12"/>
  <c r="AE17" i="12" s="1"/>
  <c r="AD12" i="12"/>
  <c r="AD17" i="12" s="1"/>
  <c r="AC12" i="12"/>
  <c r="AC17" i="12" s="1"/>
  <c r="M17" i="12"/>
  <c r="Q64" i="12"/>
  <c r="C86" i="14" s="1"/>
  <c r="L58" i="12"/>
  <c r="M58" i="12" s="1"/>
  <c r="L26" i="12"/>
  <c r="F23" i="12"/>
  <c r="N23" i="12" s="1"/>
  <c r="P23" i="12"/>
  <c r="AB11" i="12"/>
  <c r="AA11" i="12"/>
  <c r="Z11" i="12"/>
  <c r="S22" i="12"/>
  <c r="N11" i="12"/>
  <c r="Q11" i="12"/>
  <c r="R11" i="12" s="1"/>
  <c r="O12" i="12"/>
  <c r="O17" i="12" s="1"/>
  <c r="O23" i="12"/>
  <c r="M42" i="12"/>
  <c r="S183" i="8"/>
  <c r="R183" i="8"/>
  <c r="R63" i="8"/>
  <c r="I63" i="8"/>
  <c r="T63" i="8" s="1"/>
  <c r="C13" i="13"/>
  <c r="R64" i="8"/>
  <c r="C11" i="13"/>
  <c r="S63" i="8"/>
  <c r="I64" i="8"/>
  <c r="T64" i="8" s="1"/>
  <c r="S64" i="8"/>
  <c r="T29" i="8"/>
  <c r="T95" i="8"/>
  <c r="I128" i="8"/>
  <c r="R128" i="8"/>
  <c r="S128" i="8"/>
  <c r="T79" i="8"/>
  <c r="T120" i="8"/>
  <c r="T135" i="8"/>
  <c r="T160" i="8"/>
  <c r="R202" i="8"/>
  <c r="I143" i="8"/>
  <c r="R143" i="8"/>
  <c r="S143" i="8"/>
  <c r="I28" i="8"/>
  <c r="S28" i="8"/>
  <c r="S36" i="8" s="1"/>
  <c r="R28" i="8"/>
  <c r="R36" i="8" s="1"/>
  <c r="Q12" i="12" l="1"/>
  <c r="R39" i="12"/>
  <c r="C61" i="14"/>
  <c r="S223" i="8"/>
  <c r="R223" i="8"/>
  <c r="AB12" i="12"/>
  <c r="AB17" i="12" s="1"/>
  <c r="F17" i="12"/>
  <c r="AI5" i="12"/>
  <c r="AI8" i="12" s="1"/>
  <c r="Z12" i="12"/>
  <c r="Z17" i="12" s="1"/>
  <c r="I223" i="8"/>
  <c r="T223" i="8" s="1"/>
  <c r="AA17" i="12"/>
  <c r="Q23" i="12"/>
  <c r="M26" i="12"/>
  <c r="S144" i="8"/>
  <c r="P74" i="8"/>
  <c r="C3" i="14" s="1"/>
  <c r="S195" i="8"/>
  <c r="I195" i="8"/>
  <c r="I144" i="8"/>
  <c r="R144" i="8"/>
  <c r="T143" i="8"/>
  <c r="R209" i="8"/>
  <c r="I136" i="8"/>
  <c r="R136" i="8"/>
  <c r="S136" i="8"/>
  <c r="I36" i="8"/>
  <c r="T28" i="8"/>
  <c r="T36" i="8" s="1"/>
  <c r="T128" i="8"/>
  <c r="P12" i="12" l="1"/>
  <c r="P17" i="12" s="1"/>
  <c r="Q17" i="12"/>
  <c r="R17" i="12" s="1"/>
  <c r="R23" i="12"/>
  <c r="C33" i="14"/>
  <c r="N17" i="12"/>
  <c r="H98" i="8"/>
  <c r="E42" i="12" s="1"/>
  <c r="H161" i="8"/>
  <c r="H231" i="8" s="1"/>
  <c r="H82" i="8"/>
  <c r="T144" i="8"/>
  <c r="T195" i="8"/>
  <c r="S202" i="8"/>
  <c r="I202" i="8"/>
  <c r="O159" i="8"/>
  <c r="O78" i="8"/>
  <c r="O94" i="8"/>
  <c r="H62" i="8"/>
  <c r="T136" i="8"/>
  <c r="O229" i="8" l="1"/>
  <c r="P229" i="8" s="1"/>
  <c r="H233" i="8"/>
  <c r="R233" i="8" s="1"/>
  <c r="R231" i="8"/>
  <c r="S231" i="8"/>
  <c r="I231" i="8"/>
  <c r="T231" i="8" s="1"/>
  <c r="P78" i="8"/>
  <c r="L38" i="12"/>
  <c r="M38" i="12" s="1"/>
  <c r="P94" i="8"/>
  <c r="L54" i="12"/>
  <c r="M54" i="12" s="1"/>
  <c r="P159" i="8"/>
  <c r="F42" i="12"/>
  <c r="P42" i="12"/>
  <c r="O42" i="12"/>
  <c r="L22" i="12"/>
  <c r="M22" i="12" s="1"/>
  <c r="E26" i="12"/>
  <c r="E58" i="12"/>
  <c r="C15" i="14"/>
  <c r="I161" i="8"/>
  <c r="I98" i="8"/>
  <c r="S98" i="8"/>
  <c r="R98" i="8"/>
  <c r="I82" i="8"/>
  <c r="S82" i="8"/>
  <c r="R82" i="8"/>
  <c r="S209" i="8"/>
  <c r="I209" i="8"/>
  <c r="I62" i="8"/>
  <c r="S62" i="8"/>
  <c r="S74" i="8" s="1"/>
  <c r="R62" i="8"/>
  <c r="R74" i="8" s="1"/>
  <c r="T202" i="8"/>
  <c r="Q249" i="8" l="1"/>
  <c r="Q247" i="8"/>
  <c r="I233" i="8"/>
  <c r="T233" i="8" s="1"/>
  <c r="S233" i="8"/>
  <c r="F58" i="12"/>
  <c r="N58" i="12" s="1"/>
  <c r="P58" i="12"/>
  <c r="O58" i="12"/>
  <c r="F26" i="12"/>
  <c r="P26" i="12"/>
  <c r="O26" i="12"/>
  <c r="Q42" i="12"/>
  <c r="C64" i="14" s="1"/>
  <c r="M33" i="12"/>
  <c r="M65" i="12"/>
  <c r="M49" i="12"/>
  <c r="N25" i="14"/>
  <c r="T209" i="8"/>
  <c r="T98" i="8"/>
  <c r="P167" i="8"/>
  <c r="P90" i="8"/>
  <c r="P106" i="8"/>
  <c r="C58" i="14" s="1"/>
  <c r="I74" i="8"/>
  <c r="T62" i="8"/>
  <c r="T74" i="8" s="1"/>
  <c r="T82" i="8"/>
  <c r="O207" i="8" l="1"/>
  <c r="P207" i="8" s="1"/>
  <c r="C81" i="14"/>
  <c r="C30" i="14"/>
  <c r="Q248" i="8"/>
  <c r="R248" i="8" s="1"/>
  <c r="O193" i="8"/>
  <c r="P193" i="8" s="1"/>
  <c r="O134" i="8"/>
  <c r="P134" i="8" s="1"/>
  <c r="P138" i="8" s="1"/>
  <c r="O110" i="8"/>
  <c r="P110" i="8" s="1"/>
  <c r="P114" i="8" s="1"/>
  <c r="O142" i="8"/>
  <c r="P142" i="8" s="1"/>
  <c r="P146" i="8" s="1"/>
  <c r="Q58" i="12"/>
  <c r="C85" i="14" s="1"/>
  <c r="Q26" i="12"/>
  <c r="C36" i="14" s="1"/>
  <c r="H159" i="8"/>
  <c r="E54" i="12" s="1"/>
  <c r="H78" i="8"/>
  <c r="H94" i="8"/>
  <c r="E38" i="12" s="1"/>
  <c r="O200" i="8"/>
  <c r="P200" i="8" s="1"/>
  <c r="H229" i="8" l="1"/>
  <c r="R229" i="8" s="1"/>
  <c r="F54" i="12"/>
  <c r="P54" i="12"/>
  <c r="C83" i="14" s="1"/>
  <c r="O54" i="12"/>
  <c r="F38" i="12"/>
  <c r="P38" i="12"/>
  <c r="C60" i="14" s="1"/>
  <c r="O38" i="12"/>
  <c r="E22" i="12"/>
  <c r="P210" i="8"/>
  <c r="P196" i="8"/>
  <c r="I94" i="8"/>
  <c r="S94" i="8"/>
  <c r="S106" i="8" s="1"/>
  <c r="R94" i="8"/>
  <c r="R106" i="8" s="1"/>
  <c r="I78" i="8"/>
  <c r="S78" i="8"/>
  <c r="S90" i="8" s="1"/>
  <c r="R78" i="8"/>
  <c r="R90" i="8" s="1"/>
  <c r="I159" i="8"/>
  <c r="S159" i="8"/>
  <c r="R159" i="8"/>
  <c r="R167" i="8" s="1"/>
  <c r="S229" i="8" l="1"/>
  <c r="I229" i="8"/>
  <c r="O49" i="12"/>
  <c r="C59" i="14"/>
  <c r="C71" i="14" s="1"/>
  <c r="N77" i="14" s="1"/>
  <c r="O65" i="12"/>
  <c r="C82" i="14"/>
  <c r="S182" i="8"/>
  <c r="S189" i="8" s="1"/>
  <c r="R182" i="8"/>
  <c r="R189" i="8" s="1"/>
  <c r="F22" i="12"/>
  <c r="P22" i="12"/>
  <c r="C32" i="14" s="1"/>
  <c r="O22" i="12"/>
  <c r="P49" i="12"/>
  <c r="Q38" i="12"/>
  <c r="P65" i="12"/>
  <c r="Q54" i="12"/>
  <c r="Q65" i="12" s="1"/>
  <c r="F49" i="12"/>
  <c r="N49" i="12" s="1"/>
  <c r="N38" i="12"/>
  <c r="F65" i="12"/>
  <c r="N65" i="12" s="1"/>
  <c r="N54" i="12"/>
  <c r="T182" i="8"/>
  <c r="I90" i="8"/>
  <c r="T78" i="8"/>
  <c r="T90" i="8" s="1"/>
  <c r="I167" i="8"/>
  <c r="T159" i="8"/>
  <c r="T167" i="8" s="1"/>
  <c r="P203" i="8"/>
  <c r="I106" i="8"/>
  <c r="T94" i="8"/>
  <c r="T106" i="8" s="1"/>
  <c r="T229" i="8" l="1"/>
  <c r="J249" i="8"/>
  <c r="J248" i="8"/>
  <c r="K248" i="8" s="1"/>
  <c r="O33" i="12"/>
  <c r="C31" i="14"/>
  <c r="O118" i="8"/>
  <c r="P118" i="8" s="1"/>
  <c r="P122" i="8" s="1"/>
  <c r="O126" i="8"/>
  <c r="P126" i="8" s="1"/>
  <c r="P130" i="8" s="1"/>
  <c r="P33" i="12"/>
  <c r="Q22" i="12"/>
  <c r="Q49" i="12"/>
  <c r="R49" i="12" s="1"/>
  <c r="R38" i="12"/>
  <c r="F33" i="12"/>
  <c r="N33" i="12" s="1"/>
  <c r="N22" i="12"/>
  <c r="C91" i="14"/>
  <c r="T189" i="8"/>
  <c r="H207" i="8"/>
  <c r="H193" i="8"/>
  <c r="H134" i="8"/>
  <c r="H142" i="8"/>
  <c r="H126" i="8"/>
  <c r="H118" i="8"/>
  <c r="H200" i="8"/>
  <c r="H110" i="8"/>
  <c r="Z105" i="8" l="1"/>
  <c r="Q250" i="8"/>
  <c r="R250" i="8" s="1"/>
  <c r="Q33" i="12"/>
  <c r="R33" i="12" s="1"/>
  <c r="R22" i="12"/>
  <c r="N101" i="14"/>
  <c r="C43" i="14"/>
  <c r="N51" i="14" s="1"/>
  <c r="R118" i="8"/>
  <c r="R122" i="8" s="1"/>
  <c r="I118" i="8"/>
  <c r="S118" i="8"/>
  <c r="S122" i="8" s="1"/>
  <c r="R126" i="8"/>
  <c r="R130" i="8" s="1"/>
  <c r="I126" i="8"/>
  <c r="S126" i="8"/>
  <c r="S130" i="8" s="1"/>
  <c r="I142" i="8"/>
  <c r="R142" i="8"/>
  <c r="R146" i="8" s="1"/>
  <c r="S142" i="8"/>
  <c r="S146" i="8" s="1"/>
  <c r="R134" i="8"/>
  <c r="R138" i="8" s="1"/>
  <c r="I134" i="8"/>
  <c r="S134" i="8"/>
  <c r="S138" i="8" s="1"/>
  <c r="S193" i="8"/>
  <c r="S196" i="8" s="1"/>
  <c r="I193" i="8"/>
  <c r="R193" i="8"/>
  <c r="R196" i="8" s="1"/>
  <c r="R110" i="8"/>
  <c r="R114" i="8" s="1"/>
  <c r="I110" i="8"/>
  <c r="S110" i="8"/>
  <c r="S114" i="8" s="1"/>
  <c r="I207" i="8"/>
  <c r="S207" i="8"/>
  <c r="S210" i="8" s="1"/>
  <c r="R207" i="8"/>
  <c r="S200" i="8"/>
  <c r="S203" i="8" s="1"/>
  <c r="I200" i="8"/>
  <c r="R200" i="8"/>
  <c r="I114" i="8" l="1"/>
  <c r="R203" i="8"/>
  <c r="R210" i="8" s="1"/>
  <c r="I130" i="8"/>
  <c r="T126" i="8"/>
  <c r="T130" i="8" s="1"/>
  <c r="I210" i="8"/>
  <c r="T207" i="8"/>
  <c r="I146" i="8"/>
  <c r="T142" i="8"/>
  <c r="T146" i="8" s="1"/>
  <c r="I196" i="8"/>
  <c r="T193" i="8"/>
  <c r="T196" i="8" s="1"/>
  <c r="I138" i="8"/>
  <c r="T134" i="8"/>
  <c r="T138" i="8" s="1"/>
  <c r="I122" i="8"/>
  <c r="T118" i="8"/>
  <c r="T122" i="8" s="1"/>
  <c r="T110" i="8"/>
  <c r="T114" i="8" s="1"/>
  <c r="I203" i="8"/>
  <c r="T200" i="8"/>
  <c r="Z103" i="8" l="1"/>
  <c r="J250" i="8"/>
  <c r="K250" i="8" s="1"/>
  <c r="T203" i="8"/>
  <c r="T210" i="8" s="1"/>
  <c r="Z106" i="8" l="1"/>
  <c r="Z107" i="8"/>
  <c r="P1177" i="5" l="1"/>
  <c r="R1177" i="5" s="1"/>
  <c r="P1176" i="5"/>
  <c r="R1176" i="5" s="1"/>
  <c r="P1175" i="5"/>
  <c r="R1175" i="5" s="1"/>
  <c r="P1174" i="5"/>
  <c r="R1174" i="5" s="1"/>
  <c r="P1173" i="5"/>
  <c r="R1173" i="5" s="1"/>
  <c r="P1172" i="5"/>
  <c r="R1172" i="5" s="1"/>
  <c r="P1171" i="5"/>
  <c r="R1171" i="5" s="1"/>
  <c r="P1170" i="5"/>
  <c r="R1170" i="5" s="1"/>
  <c r="P1169" i="5"/>
  <c r="R1169" i="5" s="1"/>
  <c r="P1168" i="5"/>
  <c r="R1168" i="5" s="1"/>
  <c r="P1167" i="5"/>
  <c r="R1167" i="5" s="1"/>
  <c r="P1166" i="5"/>
  <c r="R1166" i="5" s="1"/>
  <c r="P1165" i="5"/>
  <c r="R1165" i="5" s="1"/>
  <c r="P1164" i="5"/>
  <c r="R1164" i="5" s="1"/>
  <c r="P1163" i="5"/>
  <c r="R1163" i="5" s="1"/>
  <c r="P1162" i="5"/>
  <c r="R1162" i="5" s="1"/>
  <c r="P1161" i="5"/>
  <c r="R1161" i="5" s="1"/>
  <c r="P1160" i="5"/>
  <c r="R1160" i="5" s="1"/>
  <c r="P1159" i="5"/>
  <c r="R1159" i="5" s="1"/>
  <c r="P1158" i="5"/>
  <c r="R1158" i="5" s="1"/>
  <c r="P1157" i="5"/>
  <c r="R1157" i="5" s="1"/>
  <c r="P1156" i="5"/>
  <c r="R1156" i="5" s="1"/>
  <c r="P1155" i="5"/>
  <c r="R1155" i="5" s="1"/>
  <c r="P1154" i="5"/>
  <c r="R1154" i="5" s="1"/>
  <c r="P1153" i="5"/>
  <c r="R1153" i="5" s="1"/>
  <c r="P1152" i="5"/>
  <c r="R1152" i="5" s="1"/>
  <c r="P1151" i="5"/>
  <c r="R1151" i="5" s="1"/>
  <c r="P1150" i="5"/>
  <c r="R1150" i="5" s="1"/>
  <c r="P1149" i="5"/>
  <c r="R1149" i="5" s="1"/>
  <c r="P1148" i="5"/>
  <c r="R1148" i="5" s="1"/>
  <c r="P1147" i="5"/>
  <c r="R1147" i="5" s="1"/>
  <c r="P1146" i="5"/>
  <c r="R1146" i="5" s="1"/>
  <c r="P1145" i="5"/>
  <c r="R1145" i="5" s="1"/>
  <c r="P1144" i="5"/>
  <c r="R1144" i="5" s="1"/>
  <c r="P1143" i="5"/>
  <c r="R1143" i="5" s="1"/>
  <c r="P1142" i="5"/>
  <c r="R1142" i="5" s="1"/>
  <c r="P1141" i="5"/>
  <c r="R1141" i="5" s="1"/>
  <c r="P1140" i="5"/>
  <c r="R1140" i="5" s="1"/>
  <c r="P1139" i="5"/>
  <c r="R1139" i="5" s="1"/>
  <c r="P1138" i="5"/>
  <c r="R1138" i="5" s="1"/>
  <c r="P1137" i="5"/>
  <c r="R1137" i="5" s="1"/>
  <c r="P1136" i="5"/>
  <c r="R1136" i="5" s="1"/>
  <c r="P1135" i="5"/>
  <c r="R1135" i="5" s="1"/>
  <c r="P1134" i="5"/>
  <c r="R1134" i="5" s="1"/>
  <c r="P1133" i="5"/>
  <c r="R1133" i="5" s="1"/>
  <c r="P1132" i="5"/>
  <c r="R1132" i="5" s="1"/>
  <c r="P1131" i="5"/>
  <c r="R1131" i="5" s="1"/>
  <c r="P1130" i="5"/>
  <c r="R1130" i="5" s="1"/>
  <c r="P1129" i="5"/>
  <c r="R1129" i="5" s="1"/>
  <c r="P1128" i="5"/>
  <c r="R1128" i="5" s="1"/>
  <c r="P1127" i="5"/>
  <c r="R1127" i="5" s="1"/>
  <c r="P1126" i="5"/>
  <c r="R1126" i="5" s="1"/>
  <c r="P1125" i="5"/>
  <c r="R1125" i="5" s="1"/>
  <c r="P1124" i="5"/>
  <c r="R1124" i="5" s="1"/>
  <c r="P1123" i="5"/>
  <c r="R1123" i="5" s="1"/>
  <c r="P1122" i="5"/>
  <c r="R1122" i="5" s="1"/>
  <c r="P1121" i="5"/>
  <c r="R1121" i="5" s="1"/>
  <c r="P1120" i="5"/>
  <c r="R1120" i="5" s="1"/>
  <c r="P1119" i="5"/>
  <c r="R1119" i="5" s="1"/>
  <c r="P1118" i="5"/>
  <c r="R1118" i="5" s="1"/>
  <c r="P1117" i="5"/>
  <c r="R1117" i="5" s="1"/>
  <c r="P1116" i="5"/>
  <c r="R1116" i="5" s="1"/>
  <c r="P1115" i="5"/>
  <c r="R1115" i="5" s="1"/>
  <c r="P1114" i="5"/>
  <c r="R1114" i="5" s="1"/>
  <c r="P1113" i="5"/>
  <c r="R1113" i="5" s="1"/>
  <c r="P1112" i="5"/>
  <c r="R1112" i="5" s="1"/>
  <c r="P1111" i="5"/>
  <c r="R1111" i="5" s="1"/>
  <c r="P1110" i="5"/>
  <c r="R1110" i="5" s="1"/>
  <c r="P1109" i="5"/>
  <c r="R1109" i="5" s="1"/>
  <c r="P1108" i="5"/>
  <c r="R1108" i="5" s="1"/>
  <c r="P1107" i="5"/>
  <c r="R1107" i="5" s="1"/>
  <c r="P1106" i="5"/>
  <c r="R1106" i="5" s="1"/>
  <c r="P1105" i="5"/>
  <c r="R1105" i="5" s="1"/>
  <c r="P1104" i="5"/>
  <c r="R1104" i="5" s="1"/>
  <c r="P1103" i="5"/>
  <c r="R1103" i="5" s="1"/>
  <c r="P1102" i="5"/>
  <c r="R1102" i="5" s="1"/>
  <c r="P1101" i="5"/>
  <c r="R1101" i="5" s="1"/>
  <c r="P1100" i="5"/>
  <c r="R1100" i="5" s="1"/>
  <c r="P1099" i="5"/>
  <c r="R1099" i="5" s="1"/>
  <c r="P1098" i="5"/>
  <c r="R1098" i="5" s="1"/>
  <c r="P1097" i="5"/>
  <c r="R1097" i="5" s="1"/>
  <c r="P1096" i="5"/>
  <c r="R1096" i="5" s="1"/>
  <c r="P1095" i="5"/>
  <c r="R1095" i="5" s="1"/>
  <c r="P1094" i="5"/>
  <c r="R1094" i="5" s="1"/>
  <c r="P1093" i="5"/>
  <c r="R1093" i="5" s="1"/>
  <c r="P1092" i="5"/>
  <c r="R1092" i="5" s="1"/>
  <c r="P1091" i="5"/>
  <c r="R1091" i="5" s="1"/>
  <c r="P1090" i="5"/>
  <c r="R1090" i="5" s="1"/>
  <c r="P1089" i="5"/>
  <c r="R1089" i="5" s="1"/>
  <c r="P1088" i="5"/>
  <c r="R1088" i="5" s="1"/>
  <c r="P1087" i="5"/>
  <c r="R1087" i="5" s="1"/>
  <c r="P1086" i="5"/>
  <c r="R1086" i="5" s="1"/>
  <c r="P1085" i="5"/>
  <c r="R1085" i="5" s="1"/>
  <c r="P1084" i="5"/>
  <c r="R1084" i="5" s="1"/>
  <c r="P1083" i="5"/>
  <c r="R1083" i="5" s="1"/>
  <c r="P1082" i="5"/>
  <c r="R1082" i="5" s="1"/>
  <c r="P1081" i="5"/>
  <c r="R1081" i="5" s="1"/>
  <c r="P1080" i="5"/>
  <c r="R1080" i="5" s="1"/>
  <c r="P1079" i="5"/>
  <c r="R1079" i="5" s="1"/>
  <c r="P1078" i="5"/>
  <c r="R1078" i="5" s="1"/>
  <c r="P1077" i="5"/>
  <c r="R1077" i="5" s="1"/>
  <c r="P1076" i="5"/>
  <c r="R1076" i="5" s="1"/>
  <c r="P1075" i="5"/>
  <c r="R1075" i="5" s="1"/>
  <c r="P1074" i="5"/>
  <c r="R1074" i="5" s="1"/>
  <c r="P1073" i="5"/>
  <c r="R1073" i="5" s="1"/>
  <c r="P1072" i="5"/>
  <c r="R1072" i="5" s="1"/>
  <c r="P1071" i="5"/>
  <c r="R1071" i="5" s="1"/>
  <c r="P1070" i="5"/>
  <c r="R1070" i="5" s="1"/>
  <c r="P1069" i="5"/>
  <c r="R1069" i="5" s="1"/>
  <c r="P1068" i="5"/>
  <c r="R1068" i="5" s="1"/>
  <c r="P1067" i="5"/>
  <c r="R1067" i="5" s="1"/>
  <c r="P1066" i="5"/>
  <c r="R1066" i="5" s="1"/>
  <c r="P1065" i="5"/>
  <c r="R1065" i="5" s="1"/>
  <c r="P1064" i="5"/>
  <c r="R1064" i="5" s="1"/>
  <c r="P1063" i="5"/>
  <c r="R1063" i="5" s="1"/>
  <c r="P1062" i="5"/>
  <c r="R1062" i="5" s="1"/>
  <c r="P1061" i="5"/>
  <c r="R1061" i="5" s="1"/>
  <c r="P1060" i="5"/>
  <c r="R1060" i="5" s="1"/>
  <c r="P1059" i="5"/>
  <c r="R1059" i="5" s="1"/>
  <c r="P1058" i="5"/>
  <c r="R1058" i="5" s="1"/>
  <c r="P1057" i="5"/>
  <c r="R1057" i="5" s="1"/>
  <c r="P1056" i="5"/>
  <c r="R1056" i="5" s="1"/>
  <c r="P1055" i="5"/>
  <c r="R1055" i="5" s="1"/>
  <c r="P1054" i="5"/>
  <c r="R1054" i="5" s="1"/>
  <c r="P1053" i="5"/>
  <c r="R1053" i="5" s="1"/>
  <c r="P1052" i="5"/>
  <c r="R1052" i="5" s="1"/>
  <c r="P1051" i="5"/>
  <c r="R1051" i="5" s="1"/>
  <c r="P1050" i="5"/>
  <c r="R1050" i="5" s="1"/>
  <c r="P1049" i="5"/>
  <c r="R1049" i="5" s="1"/>
  <c r="P1048" i="5"/>
  <c r="R1048" i="5" s="1"/>
  <c r="P1047" i="5"/>
  <c r="R1047" i="5" s="1"/>
  <c r="P1046" i="5"/>
  <c r="R1046" i="5" s="1"/>
  <c r="P1045" i="5"/>
  <c r="R1045" i="5" s="1"/>
  <c r="P1044" i="5"/>
  <c r="R1044" i="5" s="1"/>
  <c r="P1043" i="5"/>
  <c r="R1043" i="5" s="1"/>
  <c r="P1042" i="5"/>
  <c r="R1042" i="5" s="1"/>
  <c r="P1041" i="5"/>
  <c r="R1041" i="5" s="1"/>
  <c r="P1040" i="5"/>
  <c r="R1040" i="5" s="1"/>
  <c r="P1039" i="5"/>
  <c r="R1039" i="5" s="1"/>
  <c r="P1038" i="5"/>
  <c r="R1038" i="5" s="1"/>
  <c r="P1037" i="5"/>
  <c r="R1037" i="5" s="1"/>
  <c r="P1036" i="5"/>
  <c r="R1036" i="5" s="1"/>
  <c r="P1035" i="5"/>
  <c r="R1035" i="5" s="1"/>
  <c r="P1034" i="5"/>
  <c r="R1034" i="5" s="1"/>
  <c r="P1033" i="5"/>
  <c r="R1033" i="5" s="1"/>
  <c r="P1032" i="5"/>
  <c r="R1032" i="5" s="1"/>
  <c r="P1031" i="5"/>
  <c r="R1031" i="5" s="1"/>
  <c r="P1030" i="5"/>
  <c r="R1030" i="5" s="1"/>
  <c r="P1029" i="5"/>
  <c r="R1029" i="5" s="1"/>
  <c r="P1028" i="5"/>
  <c r="R1028" i="5" s="1"/>
  <c r="P1027" i="5"/>
  <c r="R1027" i="5" s="1"/>
  <c r="P1026" i="5"/>
  <c r="R1026" i="5" s="1"/>
  <c r="P1025" i="5"/>
  <c r="R1025" i="5" s="1"/>
  <c r="P1024" i="5"/>
  <c r="R1024" i="5" s="1"/>
  <c r="P1023" i="5"/>
  <c r="R1023" i="5" s="1"/>
  <c r="P1022" i="5"/>
  <c r="R1022" i="5" s="1"/>
  <c r="P1021" i="5"/>
  <c r="R1021" i="5" s="1"/>
  <c r="P1020" i="5"/>
  <c r="R1020" i="5" s="1"/>
  <c r="P1019" i="5"/>
  <c r="R1019" i="5" s="1"/>
  <c r="P1018" i="5"/>
  <c r="R1018" i="5" s="1"/>
  <c r="P1017" i="5"/>
  <c r="R1017" i="5" s="1"/>
  <c r="P1016" i="5"/>
  <c r="R1016" i="5" s="1"/>
  <c r="P1015" i="5"/>
  <c r="R1015" i="5" s="1"/>
  <c r="P1014" i="5"/>
  <c r="R1014" i="5" s="1"/>
  <c r="P1013" i="5"/>
  <c r="R1013" i="5" s="1"/>
  <c r="P1012" i="5"/>
  <c r="R1012" i="5" s="1"/>
  <c r="P1011" i="5"/>
  <c r="R1011" i="5" s="1"/>
  <c r="P1010" i="5"/>
  <c r="R1010" i="5" s="1"/>
  <c r="P1009" i="5"/>
  <c r="R1009" i="5" s="1"/>
  <c r="P1008" i="5"/>
  <c r="R1008" i="5" s="1"/>
  <c r="P1007" i="5"/>
  <c r="R1007" i="5" s="1"/>
  <c r="P1006" i="5"/>
  <c r="R1006" i="5" s="1"/>
  <c r="P1005" i="5"/>
  <c r="R1005" i="5" s="1"/>
  <c r="P1004" i="5"/>
  <c r="R1004" i="5" s="1"/>
  <c r="P1003" i="5"/>
  <c r="R1003" i="5" s="1"/>
  <c r="P1002" i="5"/>
  <c r="R1002" i="5" s="1"/>
  <c r="P1001" i="5"/>
  <c r="R1001" i="5" s="1"/>
  <c r="P1000" i="5"/>
  <c r="R1000" i="5" s="1"/>
  <c r="P999" i="5"/>
  <c r="R999" i="5" s="1"/>
  <c r="P998" i="5"/>
  <c r="R998" i="5" s="1"/>
  <c r="P997" i="5"/>
  <c r="R997" i="5" s="1"/>
  <c r="P996" i="5"/>
  <c r="R996" i="5" s="1"/>
  <c r="P995" i="5"/>
  <c r="R995" i="5" s="1"/>
  <c r="P994" i="5"/>
  <c r="R994" i="5" s="1"/>
  <c r="P993" i="5"/>
  <c r="R993" i="5" s="1"/>
  <c r="P992" i="5"/>
  <c r="R992" i="5" s="1"/>
  <c r="P991" i="5"/>
  <c r="R991" i="5" s="1"/>
  <c r="P990" i="5"/>
  <c r="R990" i="5" s="1"/>
  <c r="P989" i="5"/>
  <c r="R989" i="5" s="1"/>
  <c r="P988" i="5"/>
  <c r="R988" i="5" s="1"/>
  <c r="P987" i="5"/>
  <c r="R987" i="5" s="1"/>
  <c r="P986" i="5"/>
  <c r="R986" i="5" s="1"/>
  <c r="P985" i="5"/>
  <c r="R985" i="5" s="1"/>
  <c r="P984" i="5"/>
  <c r="R984" i="5" s="1"/>
  <c r="P983" i="5"/>
  <c r="R983" i="5" s="1"/>
  <c r="P982" i="5"/>
  <c r="R982" i="5" s="1"/>
  <c r="P981" i="5"/>
  <c r="R981" i="5" s="1"/>
  <c r="P980" i="5"/>
  <c r="R980" i="5" s="1"/>
  <c r="P979" i="5"/>
  <c r="R979" i="5" s="1"/>
  <c r="P978" i="5"/>
  <c r="R978" i="5" s="1"/>
  <c r="P977" i="5"/>
  <c r="R977" i="5" s="1"/>
  <c r="P976" i="5"/>
  <c r="R976" i="5" s="1"/>
  <c r="P975" i="5"/>
  <c r="R975" i="5" s="1"/>
  <c r="P974" i="5"/>
  <c r="R974" i="5" s="1"/>
  <c r="P973" i="5"/>
  <c r="R973" i="5" s="1"/>
  <c r="P972" i="5"/>
  <c r="R972" i="5" s="1"/>
  <c r="P971" i="5"/>
  <c r="R971" i="5" s="1"/>
  <c r="P970" i="5"/>
  <c r="R970" i="5" s="1"/>
  <c r="P969" i="5"/>
  <c r="R969" i="5" s="1"/>
  <c r="P968" i="5"/>
  <c r="R968" i="5" s="1"/>
  <c r="P967" i="5"/>
  <c r="R967" i="5" s="1"/>
  <c r="P966" i="5"/>
  <c r="R966" i="5" s="1"/>
  <c r="P965" i="5"/>
  <c r="R965" i="5" s="1"/>
  <c r="P964" i="5"/>
  <c r="R964" i="5" s="1"/>
  <c r="P963" i="5"/>
  <c r="R963" i="5" s="1"/>
  <c r="P962" i="5"/>
  <c r="R962" i="5" s="1"/>
  <c r="P961" i="5"/>
  <c r="R961" i="5" s="1"/>
  <c r="P960" i="5"/>
  <c r="R960" i="5" s="1"/>
  <c r="P959" i="5"/>
  <c r="R959" i="5" s="1"/>
  <c r="P958" i="5"/>
  <c r="R958" i="5" s="1"/>
  <c r="P957" i="5"/>
  <c r="R957" i="5" s="1"/>
  <c r="P956" i="5"/>
  <c r="R956" i="5" s="1"/>
  <c r="P955" i="5"/>
  <c r="R955" i="5" s="1"/>
  <c r="P954" i="5"/>
  <c r="R954" i="5" s="1"/>
  <c r="P953" i="5"/>
  <c r="R953" i="5" s="1"/>
  <c r="P952" i="5"/>
  <c r="R952" i="5" s="1"/>
  <c r="P951" i="5"/>
  <c r="R951" i="5" s="1"/>
  <c r="P950" i="5"/>
  <c r="R950" i="5" s="1"/>
  <c r="P949" i="5"/>
  <c r="R949" i="5" s="1"/>
  <c r="P948" i="5"/>
  <c r="R948" i="5" s="1"/>
  <c r="P947" i="5"/>
  <c r="R947" i="5" s="1"/>
  <c r="P946" i="5"/>
  <c r="R946" i="5" s="1"/>
  <c r="P945" i="5"/>
  <c r="R945" i="5" s="1"/>
  <c r="P944" i="5"/>
  <c r="R944" i="5" s="1"/>
  <c r="P943" i="5"/>
  <c r="R943" i="5" s="1"/>
  <c r="P942" i="5"/>
  <c r="R942" i="5" s="1"/>
  <c r="P941" i="5"/>
  <c r="R941" i="5" s="1"/>
  <c r="P940" i="5"/>
  <c r="R940" i="5" s="1"/>
  <c r="P939" i="5"/>
  <c r="R939" i="5" s="1"/>
  <c r="P938" i="5"/>
  <c r="R938" i="5" s="1"/>
  <c r="P937" i="5"/>
  <c r="R937" i="5" s="1"/>
  <c r="P936" i="5"/>
  <c r="R936" i="5" s="1"/>
  <c r="P935" i="5"/>
  <c r="R935" i="5" s="1"/>
  <c r="P934" i="5"/>
  <c r="R934" i="5" s="1"/>
  <c r="P933" i="5"/>
  <c r="R933" i="5" s="1"/>
  <c r="P932" i="5"/>
  <c r="R932" i="5" s="1"/>
  <c r="P931" i="5"/>
  <c r="R931" i="5" s="1"/>
  <c r="P930" i="5"/>
  <c r="R930" i="5" s="1"/>
  <c r="P929" i="5"/>
  <c r="R929" i="5" s="1"/>
  <c r="P928" i="5"/>
  <c r="R928" i="5" s="1"/>
  <c r="P927" i="5"/>
  <c r="R927" i="5" s="1"/>
  <c r="P926" i="5"/>
  <c r="R926" i="5" s="1"/>
  <c r="P925" i="5"/>
  <c r="R925" i="5" s="1"/>
  <c r="P924" i="5"/>
  <c r="R924" i="5" s="1"/>
  <c r="P923" i="5"/>
  <c r="R923" i="5" s="1"/>
  <c r="P922" i="5"/>
  <c r="R922" i="5" s="1"/>
  <c r="P921" i="5"/>
  <c r="R921" i="5" s="1"/>
  <c r="P920" i="5"/>
  <c r="R920" i="5" s="1"/>
  <c r="P919" i="5"/>
  <c r="R919" i="5" s="1"/>
  <c r="P918" i="5"/>
  <c r="R918" i="5" s="1"/>
  <c r="P917" i="5"/>
  <c r="R917" i="5" s="1"/>
  <c r="P916" i="5"/>
  <c r="R916" i="5" s="1"/>
  <c r="P915" i="5"/>
  <c r="R915" i="5" s="1"/>
  <c r="P914" i="5"/>
  <c r="R914" i="5" s="1"/>
  <c r="P913" i="5"/>
  <c r="R913" i="5" s="1"/>
  <c r="P912" i="5"/>
  <c r="R912" i="5" s="1"/>
  <c r="P911" i="5"/>
  <c r="R911" i="5" s="1"/>
  <c r="P910" i="5"/>
  <c r="R910" i="5" s="1"/>
  <c r="P909" i="5"/>
  <c r="R909" i="5" s="1"/>
  <c r="P908" i="5"/>
  <c r="R908" i="5" s="1"/>
  <c r="P907" i="5"/>
  <c r="R907" i="5" s="1"/>
  <c r="P906" i="5"/>
  <c r="R906" i="5" s="1"/>
  <c r="P905" i="5"/>
  <c r="R905" i="5" s="1"/>
  <c r="P904" i="5"/>
  <c r="R904" i="5" s="1"/>
  <c r="P903" i="5"/>
  <c r="R903" i="5" s="1"/>
  <c r="P902" i="5"/>
  <c r="R902" i="5" s="1"/>
  <c r="P901" i="5"/>
  <c r="R901" i="5" s="1"/>
  <c r="P900" i="5"/>
  <c r="R900" i="5" s="1"/>
  <c r="P899" i="5"/>
  <c r="R899" i="5" s="1"/>
  <c r="P898" i="5"/>
  <c r="R898" i="5" s="1"/>
  <c r="P897" i="5"/>
  <c r="R897" i="5" s="1"/>
  <c r="P896" i="5"/>
  <c r="R896" i="5" s="1"/>
  <c r="P895" i="5"/>
  <c r="R895" i="5" s="1"/>
  <c r="P894" i="5"/>
  <c r="R894" i="5" s="1"/>
  <c r="P893" i="5"/>
  <c r="R893" i="5" s="1"/>
  <c r="P892" i="5"/>
  <c r="R892" i="5" s="1"/>
  <c r="P891" i="5"/>
  <c r="R891" i="5" s="1"/>
  <c r="P890" i="5"/>
  <c r="R890" i="5" s="1"/>
  <c r="P889" i="5"/>
  <c r="R889" i="5" s="1"/>
  <c r="P888" i="5"/>
  <c r="R888" i="5" s="1"/>
  <c r="P887" i="5"/>
  <c r="R887" i="5" s="1"/>
  <c r="P886" i="5"/>
  <c r="R886" i="5" s="1"/>
  <c r="P885" i="5"/>
  <c r="R885" i="5" s="1"/>
  <c r="P884" i="5"/>
  <c r="R884" i="5" s="1"/>
  <c r="P883" i="5"/>
  <c r="R883" i="5" s="1"/>
  <c r="P882" i="5"/>
  <c r="R882" i="5" s="1"/>
  <c r="P881" i="5"/>
  <c r="R881" i="5" s="1"/>
  <c r="P880" i="5"/>
  <c r="R880" i="5" s="1"/>
  <c r="P879" i="5"/>
  <c r="R879" i="5" s="1"/>
  <c r="P878" i="5"/>
  <c r="R878" i="5" s="1"/>
  <c r="P877" i="5"/>
  <c r="R877" i="5" s="1"/>
  <c r="P876" i="5"/>
  <c r="R876" i="5" s="1"/>
  <c r="P875" i="5"/>
  <c r="R875" i="5" s="1"/>
  <c r="P874" i="5"/>
  <c r="R874" i="5" s="1"/>
  <c r="P873" i="5"/>
  <c r="R873" i="5" s="1"/>
  <c r="P872" i="5"/>
  <c r="R872" i="5" s="1"/>
  <c r="P871" i="5"/>
  <c r="R871" i="5" s="1"/>
  <c r="P870" i="5"/>
  <c r="R870" i="5" s="1"/>
  <c r="P869" i="5"/>
  <c r="R869" i="5" s="1"/>
  <c r="P868" i="5"/>
  <c r="R868" i="5" s="1"/>
  <c r="P867" i="5"/>
  <c r="R867" i="5" s="1"/>
  <c r="P866" i="5"/>
  <c r="R866" i="5" s="1"/>
  <c r="P865" i="5"/>
  <c r="R865" i="5" s="1"/>
  <c r="P864" i="5"/>
  <c r="R864" i="5" s="1"/>
  <c r="P863" i="5"/>
  <c r="R863" i="5" s="1"/>
  <c r="P862" i="5"/>
  <c r="R862" i="5" s="1"/>
  <c r="P861" i="5"/>
  <c r="R861" i="5" s="1"/>
  <c r="P860" i="5"/>
  <c r="R860" i="5" s="1"/>
  <c r="P859" i="5"/>
  <c r="R859" i="5" s="1"/>
  <c r="P858" i="5"/>
  <c r="R858" i="5" s="1"/>
  <c r="P857" i="5"/>
  <c r="R857" i="5" s="1"/>
  <c r="P856" i="5"/>
  <c r="R856" i="5" s="1"/>
  <c r="P855" i="5"/>
  <c r="R855" i="5" s="1"/>
  <c r="P854" i="5"/>
  <c r="R854" i="5" s="1"/>
  <c r="P853" i="5"/>
  <c r="R853" i="5" s="1"/>
  <c r="P852" i="5"/>
  <c r="R852" i="5" s="1"/>
  <c r="P851" i="5"/>
  <c r="R851" i="5" s="1"/>
  <c r="P850" i="5"/>
  <c r="R850" i="5" s="1"/>
  <c r="P849" i="5"/>
  <c r="R849" i="5" s="1"/>
  <c r="P848" i="5"/>
  <c r="R848" i="5" s="1"/>
  <c r="P847" i="5"/>
  <c r="R847" i="5" s="1"/>
  <c r="P846" i="5"/>
  <c r="R846" i="5" s="1"/>
  <c r="P845" i="5"/>
  <c r="R845" i="5" s="1"/>
  <c r="P844" i="5"/>
  <c r="R844" i="5" s="1"/>
  <c r="P843" i="5"/>
  <c r="R843" i="5" s="1"/>
  <c r="P842" i="5"/>
  <c r="R842" i="5" s="1"/>
  <c r="P841" i="5"/>
  <c r="R841" i="5" s="1"/>
  <c r="P840" i="5"/>
  <c r="R840" i="5" s="1"/>
  <c r="P839" i="5"/>
  <c r="R839" i="5" s="1"/>
  <c r="P838" i="5"/>
  <c r="R838" i="5" s="1"/>
  <c r="P837" i="5"/>
  <c r="R837" i="5" s="1"/>
  <c r="P836" i="5"/>
  <c r="R836" i="5" s="1"/>
  <c r="P835" i="5"/>
  <c r="R835" i="5" s="1"/>
  <c r="P834" i="5"/>
  <c r="R834" i="5" s="1"/>
  <c r="P833" i="5"/>
  <c r="R833" i="5" s="1"/>
  <c r="P832" i="5"/>
  <c r="R832" i="5" s="1"/>
  <c r="P831" i="5"/>
  <c r="R831" i="5" s="1"/>
  <c r="P830" i="5"/>
  <c r="R830" i="5" s="1"/>
  <c r="P829" i="5"/>
  <c r="R829" i="5" s="1"/>
  <c r="P828" i="5"/>
  <c r="R828" i="5" s="1"/>
  <c r="P827" i="5"/>
  <c r="R827" i="5" s="1"/>
  <c r="P826" i="5"/>
  <c r="R826" i="5" s="1"/>
  <c r="P825" i="5"/>
  <c r="R825" i="5" s="1"/>
  <c r="P824" i="5"/>
  <c r="R824" i="5" s="1"/>
  <c r="P823" i="5"/>
  <c r="R823" i="5" s="1"/>
  <c r="P822" i="5"/>
  <c r="R822" i="5" s="1"/>
  <c r="P821" i="5"/>
  <c r="R821" i="5" s="1"/>
  <c r="P820" i="5"/>
  <c r="R820" i="5" s="1"/>
  <c r="P819" i="5"/>
  <c r="R819" i="5" s="1"/>
  <c r="P818" i="5"/>
  <c r="R818" i="5" s="1"/>
  <c r="P817" i="5"/>
  <c r="R817" i="5" s="1"/>
  <c r="P816" i="5"/>
  <c r="R816" i="5" s="1"/>
  <c r="P815" i="5"/>
  <c r="R815" i="5" s="1"/>
  <c r="P814" i="5"/>
  <c r="R814" i="5" s="1"/>
  <c r="P813" i="5"/>
  <c r="R813" i="5" s="1"/>
  <c r="P812" i="5"/>
  <c r="R812" i="5" s="1"/>
  <c r="P811" i="5"/>
  <c r="R811" i="5" s="1"/>
  <c r="P810" i="5"/>
  <c r="R810" i="5" s="1"/>
  <c r="P809" i="5"/>
  <c r="R809" i="5" s="1"/>
  <c r="P808" i="5"/>
  <c r="R808" i="5" s="1"/>
  <c r="P807" i="5"/>
  <c r="R807" i="5" s="1"/>
  <c r="P806" i="5"/>
  <c r="R806" i="5" s="1"/>
  <c r="P805" i="5"/>
  <c r="R805" i="5" s="1"/>
  <c r="P804" i="5"/>
  <c r="R804" i="5" s="1"/>
  <c r="P803" i="5"/>
  <c r="R803" i="5" s="1"/>
  <c r="P802" i="5"/>
  <c r="R802" i="5" s="1"/>
  <c r="P801" i="5"/>
  <c r="R801" i="5" s="1"/>
  <c r="P800" i="5"/>
  <c r="R800" i="5" s="1"/>
  <c r="P799" i="5"/>
  <c r="R799" i="5" s="1"/>
  <c r="P798" i="5"/>
  <c r="R798" i="5" s="1"/>
  <c r="P797" i="5"/>
  <c r="R797" i="5" s="1"/>
  <c r="P796" i="5"/>
  <c r="R796" i="5" s="1"/>
  <c r="P795" i="5"/>
  <c r="R795" i="5" s="1"/>
  <c r="P794" i="5"/>
  <c r="R794" i="5" s="1"/>
  <c r="P793" i="5"/>
  <c r="R793" i="5" s="1"/>
  <c r="P792" i="5"/>
  <c r="R792" i="5" s="1"/>
  <c r="P791" i="5"/>
  <c r="R791" i="5" s="1"/>
  <c r="P790" i="5"/>
  <c r="R790" i="5" s="1"/>
  <c r="P789" i="5"/>
  <c r="R789" i="5" s="1"/>
  <c r="P788" i="5"/>
  <c r="R788" i="5" s="1"/>
  <c r="P787" i="5"/>
  <c r="R787" i="5" s="1"/>
  <c r="P786" i="5"/>
  <c r="R786" i="5" s="1"/>
  <c r="P785" i="5"/>
  <c r="R785" i="5" s="1"/>
  <c r="P784" i="5"/>
  <c r="R784" i="5" s="1"/>
  <c r="P783" i="5"/>
  <c r="R783" i="5" s="1"/>
  <c r="P782" i="5"/>
  <c r="R782" i="5" s="1"/>
  <c r="P781" i="5"/>
  <c r="R781" i="5" s="1"/>
  <c r="P780" i="5"/>
  <c r="R780" i="5" s="1"/>
  <c r="P779" i="5"/>
  <c r="R779" i="5" s="1"/>
  <c r="P778" i="5"/>
  <c r="R778" i="5" s="1"/>
  <c r="P777" i="5"/>
  <c r="R777" i="5" s="1"/>
  <c r="P776" i="5"/>
  <c r="R776" i="5" s="1"/>
  <c r="P775" i="5"/>
  <c r="R775" i="5" s="1"/>
  <c r="P774" i="5"/>
  <c r="R774" i="5" s="1"/>
  <c r="P773" i="5"/>
  <c r="R773" i="5" s="1"/>
  <c r="P772" i="5"/>
  <c r="R772" i="5" s="1"/>
  <c r="P771" i="5"/>
  <c r="R771" i="5" s="1"/>
  <c r="P770" i="5"/>
  <c r="R770" i="5" s="1"/>
  <c r="P769" i="5"/>
  <c r="R769" i="5" s="1"/>
  <c r="P768" i="5"/>
  <c r="R768" i="5" s="1"/>
  <c r="P767" i="5"/>
  <c r="R767" i="5" s="1"/>
  <c r="P766" i="5"/>
  <c r="R766" i="5" s="1"/>
  <c r="P765" i="5"/>
  <c r="R765" i="5" s="1"/>
  <c r="P764" i="5"/>
  <c r="R764" i="5" s="1"/>
  <c r="P763" i="5"/>
  <c r="R763" i="5" s="1"/>
  <c r="P762" i="5"/>
  <c r="R762" i="5" s="1"/>
  <c r="P761" i="5"/>
  <c r="R761" i="5" s="1"/>
  <c r="P760" i="5"/>
  <c r="R760" i="5" s="1"/>
  <c r="P759" i="5"/>
  <c r="R759" i="5" s="1"/>
  <c r="P758" i="5"/>
  <c r="R758" i="5" s="1"/>
  <c r="P757" i="5"/>
  <c r="R757" i="5" s="1"/>
  <c r="P756" i="5"/>
  <c r="R756" i="5" s="1"/>
  <c r="P755" i="5"/>
  <c r="R755" i="5" s="1"/>
  <c r="P754" i="5"/>
  <c r="R754" i="5" s="1"/>
  <c r="P753" i="5"/>
  <c r="R753" i="5" s="1"/>
  <c r="P752" i="5"/>
  <c r="R752" i="5" s="1"/>
  <c r="P751" i="5"/>
  <c r="R751" i="5" s="1"/>
  <c r="P750" i="5"/>
  <c r="R750" i="5" s="1"/>
  <c r="P749" i="5"/>
  <c r="R749" i="5" s="1"/>
  <c r="P748" i="5"/>
  <c r="R748" i="5" s="1"/>
  <c r="P747" i="5"/>
  <c r="R747" i="5" s="1"/>
  <c r="P746" i="5"/>
  <c r="R746" i="5" s="1"/>
  <c r="P745" i="5"/>
  <c r="R745" i="5" s="1"/>
  <c r="P744" i="5"/>
  <c r="R744" i="5" s="1"/>
  <c r="P743" i="5"/>
  <c r="R743" i="5" s="1"/>
  <c r="P742" i="5"/>
  <c r="R742" i="5" s="1"/>
  <c r="P741" i="5"/>
  <c r="R741" i="5" s="1"/>
  <c r="P740" i="5"/>
  <c r="R740" i="5" s="1"/>
  <c r="P739" i="5"/>
  <c r="R739" i="5" s="1"/>
  <c r="P738" i="5"/>
  <c r="R738" i="5" s="1"/>
  <c r="P737" i="5"/>
  <c r="R737" i="5" s="1"/>
  <c r="P736" i="5"/>
  <c r="R736" i="5" s="1"/>
  <c r="P735" i="5"/>
  <c r="R735" i="5" s="1"/>
  <c r="P734" i="5"/>
  <c r="R734" i="5" s="1"/>
  <c r="P733" i="5"/>
  <c r="R733" i="5" s="1"/>
  <c r="P732" i="5"/>
  <c r="R732" i="5" s="1"/>
  <c r="P731" i="5"/>
  <c r="R731" i="5" s="1"/>
  <c r="P730" i="5"/>
  <c r="R730" i="5" s="1"/>
  <c r="P729" i="5"/>
  <c r="R729" i="5" s="1"/>
  <c r="P728" i="5"/>
  <c r="R728" i="5" s="1"/>
  <c r="P727" i="5"/>
  <c r="R727" i="5" s="1"/>
  <c r="P726" i="5"/>
  <c r="R726" i="5" s="1"/>
  <c r="P725" i="5"/>
  <c r="R725" i="5" s="1"/>
  <c r="P724" i="5"/>
  <c r="R724" i="5" s="1"/>
  <c r="P723" i="5"/>
  <c r="R723" i="5" s="1"/>
  <c r="P722" i="5"/>
  <c r="R722" i="5" s="1"/>
  <c r="P721" i="5"/>
  <c r="R721" i="5" s="1"/>
  <c r="P720" i="5"/>
  <c r="R720" i="5" s="1"/>
  <c r="P719" i="5"/>
  <c r="R719" i="5" s="1"/>
  <c r="P718" i="5"/>
  <c r="R718" i="5" s="1"/>
  <c r="P717" i="5"/>
  <c r="R717" i="5" s="1"/>
  <c r="P716" i="5"/>
  <c r="R716" i="5" s="1"/>
  <c r="P715" i="5"/>
  <c r="R715" i="5" s="1"/>
  <c r="P714" i="5"/>
  <c r="R714" i="5" s="1"/>
  <c r="P713" i="5"/>
  <c r="R713" i="5" s="1"/>
  <c r="P712" i="5"/>
  <c r="R712" i="5" s="1"/>
  <c r="P711" i="5"/>
  <c r="R711" i="5" s="1"/>
  <c r="P710" i="5"/>
  <c r="R710" i="5" s="1"/>
  <c r="P709" i="5"/>
  <c r="R709" i="5" s="1"/>
  <c r="P708" i="5"/>
  <c r="R708" i="5" s="1"/>
  <c r="P707" i="5"/>
  <c r="R707" i="5" s="1"/>
  <c r="P706" i="5"/>
  <c r="R706" i="5" s="1"/>
  <c r="P705" i="5"/>
  <c r="R705" i="5" s="1"/>
  <c r="P704" i="5"/>
  <c r="R704" i="5" s="1"/>
  <c r="P703" i="5"/>
  <c r="R703" i="5" s="1"/>
  <c r="P702" i="5"/>
  <c r="R702" i="5" s="1"/>
  <c r="P701" i="5"/>
  <c r="R701" i="5" s="1"/>
  <c r="P700" i="5"/>
  <c r="R700" i="5" s="1"/>
  <c r="P699" i="5"/>
  <c r="R699" i="5" s="1"/>
  <c r="P698" i="5"/>
  <c r="R698" i="5" s="1"/>
  <c r="P697" i="5"/>
  <c r="R697" i="5" s="1"/>
  <c r="P696" i="5"/>
  <c r="R696" i="5" s="1"/>
  <c r="P695" i="5"/>
  <c r="R695" i="5" s="1"/>
  <c r="P694" i="5"/>
  <c r="R694" i="5" s="1"/>
  <c r="P693" i="5"/>
  <c r="R693" i="5" s="1"/>
  <c r="P692" i="5"/>
  <c r="R692" i="5" s="1"/>
  <c r="P691" i="5"/>
  <c r="R691" i="5" s="1"/>
  <c r="P690" i="5"/>
  <c r="R690" i="5" s="1"/>
  <c r="P689" i="5"/>
  <c r="R689" i="5" s="1"/>
  <c r="P688" i="5"/>
  <c r="R688" i="5" s="1"/>
  <c r="P687" i="5"/>
  <c r="R687" i="5" s="1"/>
  <c r="P686" i="5"/>
  <c r="R686" i="5" s="1"/>
  <c r="P685" i="5"/>
  <c r="R685" i="5" s="1"/>
  <c r="P684" i="5"/>
  <c r="R684" i="5" s="1"/>
  <c r="P683" i="5"/>
  <c r="R683" i="5" s="1"/>
  <c r="P682" i="5"/>
  <c r="R682" i="5" s="1"/>
  <c r="P681" i="5"/>
  <c r="R681" i="5" s="1"/>
  <c r="P680" i="5"/>
  <c r="R680" i="5" s="1"/>
  <c r="P679" i="5"/>
  <c r="R679" i="5" s="1"/>
  <c r="P678" i="5"/>
  <c r="R678" i="5" s="1"/>
  <c r="P677" i="5"/>
  <c r="R677" i="5" s="1"/>
  <c r="P676" i="5"/>
  <c r="R676" i="5" s="1"/>
  <c r="P675" i="5"/>
  <c r="R675" i="5" s="1"/>
  <c r="P674" i="5"/>
  <c r="R674" i="5" s="1"/>
  <c r="P673" i="5"/>
  <c r="R673" i="5" s="1"/>
  <c r="P672" i="5"/>
  <c r="R672" i="5" s="1"/>
  <c r="P671" i="5"/>
  <c r="R671" i="5" s="1"/>
  <c r="P670" i="5"/>
  <c r="R670" i="5" s="1"/>
  <c r="P669" i="5"/>
  <c r="R669" i="5" s="1"/>
  <c r="P668" i="5"/>
  <c r="R668" i="5" s="1"/>
  <c r="P667" i="5"/>
  <c r="R667" i="5" s="1"/>
  <c r="P666" i="5"/>
  <c r="R666" i="5" s="1"/>
  <c r="P665" i="5"/>
  <c r="R665" i="5" s="1"/>
  <c r="P664" i="5"/>
  <c r="R664" i="5" s="1"/>
  <c r="P663" i="5"/>
  <c r="R663" i="5" s="1"/>
  <c r="P662" i="5"/>
  <c r="R662" i="5" s="1"/>
  <c r="P661" i="5"/>
  <c r="R661" i="5" s="1"/>
  <c r="P660" i="5"/>
  <c r="R660" i="5" s="1"/>
  <c r="P659" i="5"/>
  <c r="R659" i="5" s="1"/>
  <c r="P658" i="5"/>
  <c r="R658" i="5" s="1"/>
  <c r="P657" i="5"/>
  <c r="R657" i="5" s="1"/>
  <c r="P656" i="5"/>
  <c r="R656" i="5" s="1"/>
  <c r="P655" i="5"/>
  <c r="R655" i="5" s="1"/>
  <c r="P654" i="5"/>
  <c r="R654" i="5" s="1"/>
  <c r="P653" i="5"/>
  <c r="R653" i="5" s="1"/>
  <c r="P652" i="5"/>
  <c r="R652" i="5" s="1"/>
  <c r="P651" i="5"/>
  <c r="R651" i="5" s="1"/>
  <c r="P650" i="5"/>
  <c r="R650" i="5" s="1"/>
  <c r="P649" i="5"/>
  <c r="R649" i="5" s="1"/>
  <c r="P648" i="5"/>
  <c r="R648" i="5" s="1"/>
  <c r="P647" i="5"/>
  <c r="R647" i="5" s="1"/>
  <c r="P646" i="5"/>
  <c r="R646" i="5" s="1"/>
  <c r="P645" i="5"/>
  <c r="R645" i="5" s="1"/>
  <c r="P644" i="5"/>
  <c r="R644" i="5" s="1"/>
  <c r="P643" i="5"/>
  <c r="R643" i="5" s="1"/>
  <c r="P642" i="5"/>
  <c r="R642" i="5" s="1"/>
  <c r="P641" i="5"/>
  <c r="R641" i="5" s="1"/>
  <c r="P640" i="5"/>
  <c r="R640" i="5" s="1"/>
  <c r="P639" i="5"/>
  <c r="R639" i="5" s="1"/>
  <c r="P638" i="5"/>
  <c r="R638" i="5" s="1"/>
  <c r="P637" i="5"/>
  <c r="R637" i="5" s="1"/>
  <c r="P636" i="5"/>
  <c r="R636" i="5" s="1"/>
  <c r="P635" i="5"/>
  <c r="R635" i="5" s="1"/>
  <c r="P634" i="5"/>
  <c r="R634" i="5" s="1"/>
  <c r="P633" i="5"/>
  <c r="R633" i="5" s="1"/>
  <c r="P632" i="5"/>
  <c r="R632" i="5" s="1"/>
  <c r="P631" i="5"/>
  <c r="R631" i="5" s="1"/>
  <c r="P630" i="5"/>
  <c r="R630" i="5" s="1"/>
  <c r="P629" i="5"/>
  <c r="R629" i="5" s="1"/>
  <c r="P628" i="5"/>
  <c r="R628" i="5" s="1"/>
  <c r="P627" i="5"/>
  <c r="R627" i="5" s="1"/>
  <c r="P626" i="5"/>
  <c r="R626" i="5" s="1"/>
  <c r="P625" i="5"/>
  <c r="R625" i="5" s="1"/>
  <c r="P624" i="5"/>
  <c r="R624" i="5" s="1"/>
  <c r="P623" i="5"/>
  <c r="R623" i="5" s="1"/>
  <c r="P622" i="5"/>
  <c r="R622" i="5" s="1"/>
  <c r="P621" i="5"/>
  <c r="R621" i="5" s="1"/>
  <c r="P620" i="5"/>
  <c r="R620" i="5" s="1"/>
  <c r="P619" i="5"/>
  <c r="R619" i="5" s="1"/>
  <c r="P618" i="5"/>
  <c r="R618" i="5" s="1"/>
  <c r="P617" i="5"/>
  <c r="R617" i="5" s="1"/>
  <c r="P616" i="5"/>
  <c r="R616" i="5" s="1"/>
  <c r="P615" i="5"/>
  <c r="R615" i="5" s="1"/>
  <c r="P614" i="5"/>
  <c r="R614" i="5" s="1"/>
  <c r="P613" i="5"/>
  <c r="R613" i="5" s="1"/>
  <c r="P612" i="5"/>
  <c r="R612" i="5" s="1"/>
  <c r="P611" i="5"/>
  <c r="R611" i="5" s="1"/>
  <c r="P610" i="5"/>
  <c r="R610" i="5" s="1"/>
  <c r="P609" i="5"/>
  <c r="R609" i="5" s="1"/>
  <c r="P608" i="5"/>
  <c r="R608" i="5" s="1"/>
  <c r="P607" i="5"/>
  <c r="R607" i="5" s="1"/>
  <c r="P606" i="5"/>
  <c r="R606" i="5" s="1"/>
  <c r="P605" i="5"/>
  <c r="R605" i="5" s="1"/>
  <c r="P604" i="5"/>
  <c r="R604" i="5" s="1"/>
  <c r="P603" i="5"/>
  <c r="R603" i="5" s="1"/>
  <c r="P602" i="5"/>
  <c r="R602" i="5" s="1"/>
  <c r="P601" i="5"/>
  <c r="R601" i="5" s="1"/>
  <c r="P600" i="5"/>
  <c r="R600" i="5" s="1"/>
  <c r="P599" i="5"/>
  <c r="R599" i="5" s="1"/>
  <c r="P598" i="5"/>
  <c r="R598" i="5" s="1"/>
  <c r="P597" i="5"/>
  <c r="R597" i="5" s="1"/>
  <c r="P596" i="5"/>
  <c r="R596" i="5" s="1"/>
  <c r="P595" i="5"/>
  <c r="R595" i="5" s="1"/>
  <c r="P594" i="5"/>
  <c r="R594" i="5" s="1"/>
  <c r="P593" i="5"/>
  <c r="R593" i="5" s="1"/>
  <c r="P592" i="5"/>
  <c r="R592" i="5" s="1"/>
  <c r="P591" i="5"/>
  <c r="R591" i="5" s="1"/>
  <c r="P590" i="5"/>
  <c r="R590" i="5" s="1"/>
  <c r="P589" i="5"/>
  <c r="R589" i="5" s="1"/>
  <c r="P588" i="5"/>
  <c r="R588" i="5" s="1"/>
  <c r="P587" i="5"/>
  <c r="R587" i="5" s="1"/>
  <c r="P586" i="5"/>
  <c r="R586" i="5" s="1"/>
  <c r="P585" i="5"/>
  <c r="R585" i="5" s="1"/>
  <c r="P584" i="5"/>
  <c r="R584" i="5" s="1"/>
  <c r="P583" i="5"/>
  <c r="R583" i="5" s="1"/>
  <c r="P582" i="5"/>
  <c r="R582" i="5" s="1"/>
  <c r="P581" i="5"/>
  <c r="R581" i="5" s="1"/>
  <c r="P580" i="5"/>
  <c r="R580" i="5" s="1"/>
  <c r="P579" i="5"/>
  <c r="R579" i="5" s="1"/>
  <c r="P578" i="5"/>
  <c r="R578" i="5" s="1"/>
  <c r="P577" i="5"/>
  <c r="R577" i="5" s="1"/>
  <c r="P576" i="5"/>
  <c r="R576" i="5" s="1"/>
  <c r="P575" i="5"/>
  <c r="R575" i="5" s="1"/>
  <c r="P574" i="5"/>
  <c r="R574" i="5" s="1"/>
  <c r="P573" i="5"/>
  <c r="R573" i="5" s="1"/>
  <c r="P572" i="5"/>
  <c r="R572" i="5" s="1"/>
  <c r="P571" i="5"/>
  <c r="R571" i="5" s="1"/>
  <c r="P570" i="5"/>
  <c r="R570" i="5" s="1"/>
  <c r="P569" i="5"/>
  <c r="R569" i="5" s="1"/>
  <c r="P568" i="5"/>
  <c r="R568" i="5" s="1"/>
  <c r="P567" i="5"/>
  <c r="R567" i="5" s="1"/>
  <c r="P566" i="5"/>
  <c r="R566" i="5" s="1"/>
  <c r="P565" i="5"/>
  <c r="R565" i="5" s="1"/>
  <c r="P564" i="5"/>
  <c r="R564" i="5" s="1"/>
  <c r="P563" i="5"/>
  <c r="R563" i="5" s="1"/>
  <c r="P562" i="5"/>
  <c r="R562" i="5" s="1"/>
  <c r="P561" i="5"/>
  <c r="R561" i="5" s="1"/>
  <c r="P560" i="5"/>
  <c r="R560" i="5" s="1"/>
  <c r="P559" i="5"/>
  <c r="R559" i="5" s="1"/>
  <c r="P558" i="5"/>
  <c r="R558" i="5" s="1"/>
  <c r="P557" i="5"/>
  <c r="R557" i="5" s="1"/>
  <c r="P556" i="5"/>
  <c r="R556" i="5" s="1"/>
  <c r="P555" i="5"/>
  <c r="R555" i="5" s="1"/>
  <c r="P554" i="5"/>
  <c r="R554" i="5" s="1"/>
  <c r="P553" i="5"/>
  <c r="R553" i="5" s="1"/>
  <c r="P552" i="5"/>
  <c r="R552" i="5" s="1"/>
  <c r="P551" i="5"/>
  <c r="R551" i="5" s="1"/>
  <c r="P550" i="5"/>
  <c r="R550" i="5" s="1"/>
  <c r="P549" i="5"/>
  <c r="R549" i="5" s="1"/>
  <c r="P548" i="5"/>
  <c r="R548" i="5" s="1"/>
  <c r="P547" i="5"/>
  <c r="R547" i="5" s="1"/>
  <c r="P546" i="5"/>
  <c r="R546" i="5" s="1"/>
  <c r="P545" i="5"/>
  <c r="R545" i="5" s="1"/>
  <c r="P544" i="5"/>
  <c r="R544" i="5" s="1"/>
  <c r="P543" i="5"/>
  <c r="R543" i="5" s="1"/>
  <c r="P542" i="5"/>
  <c r="R542" i="5" s="1"/>
  <c r="P541" i="5"/>
  <c r="R541" i="5" s="1"/>
  <c r="P540" i="5"/>
  <c r="R540" i="5" s="1"/>
  <c r="P539" i="5"/>
  <c r="R539" i="5" s="1"/>
  <c r="P538" i="5"/>
  <c r="R538" i="5" s="1"/>
  <c r="P537" i="5"/>
  <c r="R537" i="5" s="1"/>
  <c r="P536" i="5"/>
  <c r="R536" i="5" s="1"/>
  <c r="P535" i="5"/>
  <c r="R535" i="5" s="1"/>
  <c r="P534" i="5"/>
  <c r="R534" i="5" s="1"/>
  <c r="P533" i="5"/>
  <c r="R533" i="5" s="1"/>
  <c r="P532" i="5"/>
  <c r="R532" i="5" s="1"/>
  <c r="P531" i="5"/>
  <c r="R531" i="5" s="1"/>
  <c r="P530" i="5"/>
  <c r="R530" i="5" s="1"/>
  <c r="P529" i="5"/>
  <c r="R529" i="5" s="1"/>
  <c r="P528" i="5"/>
  <c r="R528" i="5" s="1"/>
  <c r="P527" i="5"/>
  <c r="R527" i="5" s="1"/>
  <c r="P526" i="5"/>
  <c r="R526" i="5" s="1"/>
  <c r="P525" i="5"/>
  <c r="R525" i="5" s="1"/>
  <c r="P524" i="5"/>
  <c r="R524" i="5" s="1"/>
  <c r="P523" i="5"/>
  <c r="R523" i="5" s="1"/>
  <c r="P522" i="5"/>
  <c r="R522" i="5" s="1"/>
  <c r="P521" i="5"/>
  <c r="R521" i="5" s="1"/>
  <c r="P520" i="5"/>
  <c r="R520" i="5" s="1"/>
  <c r="P519" i="5"/>
  <c r="R519" i="5" s="1"/>
  <c r="P518" i="5"/>
  <c r="R518" i="5" s="1"/>
  <c r="P517" i="5"/>
  <c r="R517" i="5" s="1"/>
  <c r="P516" i="5"/>
  <c r="R516" i="5" s="1"/>
  <c r="P515" i="5"/>
  <c r="R515" i="5" s="1"/>
  <c r="P514" i="5"/>
  <c r="R514" i="5" s="1"/>
  <c r="P513" i="5"/>
  <c r="R513" i="5" s="1"/>
  <c r="P512" i="5"/>
  <c r="R512" i="5" s="1"/>
  <c r="P511" i="5"/>
  <c r="R511" i="5" s="1"/>
  <c r="P510" i="5"/>
  <c r="R510" i="5" s="1"/>
  <c r="P509" i="5"/>
  <c r="R509" i="5" s="1"/>
  <c r="P508" i="5"/>
  <c r="R508" i="5" s="1"/>
  <c r="P507" i="5"/>
  <c r="R507" i="5" s="1"/>
  <c r="P506" i="5"/>
  <c r="R506" i="5" s="1"/>
  <c r="P505" i="5"/>
  <c r="R505" i="5" s="1"/>
  <c r="P504" i="5"/>
  <c r="R504" i="5" s="1"/>
  <c r="P503" i="5"/>
  <c r="R503" i="5" s="1"/>
  <c r="P502" i="5"/>
  <c r="R502" i="5" s="1"/>
  <c r="P501" i="5"/>
  <c r="R501" i="5" s="1"/>
  <c r="P500" i="5"/>
  <c r="R500" i="5" s="1"/>
  <c r="P499" i="5"/>
  <c r="R499" i="5" s="1"/>
  <c r="P498" i="5"/>
  <c r="R498" i="5" s="1"/>
  <c r="P497" i="5"/>
  <c r="R497" i="5" s="1"/>
  <c r="P496" i="5"/>
  <c r="R496" i="5" s="1"/>
  <c r="P495" i="5"/>
  <c r="R495" i="5" s="1"/>
  <c r="P494" i="5"/>
  <c r="R494" i="5" s="1"/>
  <c r="P493" i="5"/>
  <c r="R493" i="5" s="1"/>
  <c r="P492" i="5"/>
  <c r="R492" i="5" s="1"/>
  <c r="P491" i="5"/>
  <c r="R491" i="5" s="1"/>
  <c r="P490" i="5"/>
  <c r="R490" i="5" s="1"/>
  <c r="P489" i="5"/>
  <c r="R489" i="5" s="1"/>
  <c r="P488" i="5"/>
  <c r="R488" i="5" s="1"/>
  <c r="P487" i="5"/>
  <c r="R487" i="5" s="1"/>
  <c r="P486" i="5"/>
  <c r="R486" i="5" s="1"/>
  <c r="P485" i="5"/>
  <c r="R485" i="5" s="1"/>
  <c r="P484" i="5"/>
  <c r="R484" i="5" s="1"/>
  <c r="P483" i="5"/>
  <c r="R483" i="5" s="1"/>
  <c r="P482" i="5"/>
  <c r="R482" i="5" s="1"/>
  <c r="P481" i="5"/>
  <c r="R481" i="5" s="1"/>
  <c r="P480" i="5"/>
  <c r="R480" i="5" s="1"/>
  <c r="P479" i="5"/>
  <c r="R479" i="5" s="1"/>
  <c r="P478" i="5"/>
  <c r="R478" i="5" s="1"/>
  <c r="P477" i="5"/>
  <c r="R477" i="5" s="1"/>
  <c r="P476" i="5"/>
  <c r="R476" i="5" s="1"/>
  <c r="P475" i="5"/>
  <c r="R475" i="5" s="1"/>
  <c r="P474" i="5"/>
  <c r="R474" i="5" s="1"/>
  <c r="P473" i="5"/>
  <c r="R473" i="5" s="1"/>
  <c r="P472" i="5"/>
  <c r="R472" i="5" s="1"/>
  <c r="P471" i="5"/>
  <c r="R471" i="5" s="1"/>
  <c r="P470" i="5"/>
  <c r="R470" i="5" s="1"/>
  <c r="P469" i="5"/>
  <c r="R469" i="5" s="1"/>
  <c r="P468" i="5"/>
  <c r="R468" i="5" s="1"/>
  <c r="P467" i="5"/>
  <c r="R467" i="5" s="1"/>
  <c r="P466" i="5"/>
  <c r="R466" i="5" s="1"/>
  <c r="P465" i="5"/>
  <c r="R465" i="5" s="1"/>
  <c r="P464" i="5"/>
  <c r="R464" i="5" s="1"/>
  <c r="P463" i="5"/>
  <c r="R463" i="5" s="1"/>
  <c r="P462" i="5"/>
  <c r="R462" i="5" s="1"/>
  <c r="P461" i="5"/>
  <c r="R461" i="5" s="1"/>
  <c r="P460" i="5"/>
  <c r="R460" i="5" s="1"/>
  <c r="P459" i="5"/>
  <c r="R459" i="5" s="1"/>
  <c r="P458" i="5"/>
  <c r="R458" i="5" s="1"/>
  <c r="P457" i="5"/>
  <c r="R457" i="5" s="1"/>
  <c r="P456" i="5"/>
  <c r="R456" i="5" s="1"/>
  <c r="P455" i="5"/>
  <c r="R455" i="5" s="1"/>
  <c r="P454" i="5"/>
  <c r="R454" i="5" s="1"/>
  <c r="P453" i="5"/>
  <c r="R453" i="5" s="1"/>
  <c r="P452" i="5"/>
  <c r="R452" i="5" s="1"/>
  <c r="P451" i="5"/>
  <c r="R451" i="5" s="1"/>
  <c r="P450" i="5"/>
  <c r="R450" i="5" s="1"/>
  <c r="P449" i="5"/>
  <c r="R449" i="5" s="1"/>
  <c r="P448" i="5"/>
  <c r="R448" i="5" s="1"/>
  <c r="P447" i="5"/>
  <c r="R447" i="5" s="1"/>
  <c r="P446" i="5"/>
  <c r="R446" i="5" s="1"/>
  <c r="P445" i="5"/>
  <c r="R445" i="5" s="1"/>
  <c r="P444" i="5"/>
  <c r="R444" i="5" s="1"/>
  <c r="P443" i="5"/>
  <c r="R443" i="5" s="1"/>
  <c r="P442" i="5"/>
  <c r="R442" i="5" s="1"/>
  <c r="P441" i="5"/>
  <c r="R441" i="5" s="1"/>
  <c r="P440" i="5"/>
  <c r="R440" i="5" s="1"/>
  <c r="P439" i="5"/>
  <c r="R439" i="5" s="1"/>
  <c r="P438" i="5"/>
  <c r="R438" i="5" s="1"/>
  <c r="P437" i="5"/>
  <c r="R437" i="5" s="1"/>
  <c r="P436" i="5"/>
  <c r="R436" i="5" s="1"/>
  <c r="P435" i="5"/>
  <c r="R435" i="5" s="1"/>
  <c r="P434" i="5"/>
  <c r="R434" i="5" s="1"/>
  <c r="P433" i="5"/>
  <c r="R433" i="5" s="1"/>
  <c r="P432" i="5"/>
  <c r="R432" i="5" s="1"/>
  <c r="P431" i="5"/>
  <c r="R431" i="5" s="1"/>
  <c r="P430" i="5"/>
  <c r="R430" i="5" s="1"/>
  <c r="P429" i="5"/>
  <c r="R429" i="5" s="1"/>
  <c r="P428" i="5"/>
  <c r="R428" i="5" s="1"/>
  <c r="P427" i="5"/>
  <c r="R427" i="5" s="1"/>
  <c r="P426" i="5"/>
  <c r="R426" i="5" s="1"/>
  <c r="P425" i="5"/>
  <c r="R425" i="5" s="1"/>
  <c r="P424" i="5"/>
  <c r="R424" i="5" s="1"/>
  <c r="P423" i="5"/>
  <c r="R423" i="5" s="1"/>
  <c r="P422" i="5"/>
  <c r="R422" i="5" s="1"/>
  <c r="P421" i="5"/>
  <c r="R421" i="5" s="1"/>
  <c r="P420" i="5"/>
  <c r="R420" i="5" s="1"/>
  <c r="P419" i="5"/>
  <c r="R419" i="5" s="1"/>
  <c r="P418" i="5"/>
  <c r="R418" i="5" s="1"/>
  <c r="P417" i="5"/>
  <c r="R417" i="5" s="1"/>
  <c r="P416" i="5"/>
  <c r="R416" i="5" s="1"/>
  <c r="P415" i="5"/>
  <c r="R415" i="5" s="1"/>
  <c r="P414" i="5"/>
  <c r="R414" i="5" s="1"/>
  <c r="P413" i="5"/>
  <c r="R413" i="5" s="1"/>
  <c r="P412" i="5"/>
  <c r="R412" i="5" s="1"/>
  <c r="P411" i="5"/>
  <c r="R411" i="5" s="1"/>
  <c r="P410" i="5"/>
  <c r="R410" i="5" s="1"/>
  <c r="P409" i="5"/>
  <c r="R409" i="5" s="1"/>
  <c r="P408" i="5"/>
  <c r="R408" i="5" s="1"/>
  <c r="P407" i="5"/>
  <c r="R407" i="5" s="1"/>
  <c r="P406" i="5"/>
  <c r="R406" i="5" s="1"/>
  <c r="P405" i="5"/>
  <c r="R405" i="5" s="1"/>
  <c r="P404" i="5"/>
  <c r="R404" i="5" s="1"/>
  <c r="P403" i="5"/>
  <c r="R403" i="5" s="1"/>
  <c r="P402" i="5"/>
  <c r="R402" i="5" s="1"/>
  <c r="P401" i="5"/>
  <c r="R401" i="5" s="1"/>
  <c r="P400" i="5"/>
  <c r="R400" i="5" s="1"/>
  <c r="P399" i="5"/>
  <c r="R399" i="5" s="1"/>
  <c r="P398" i="5"/>
  <c r="R398" i="5" s="1"/>
  <c r="P397" i="5"/>
  <c r="R397" i="5" s="1"/>
  <c r="P396" i="5"/>
  <c r="R396" i="5" s="1"/>
  <c r="P395" i="5"/>
  <c r="R395" i="5" s="1"/>
  <c r="P394" i="5"/>
  <c r="R394" i="5" s="1"/>
  <c r="P393" i="5"/>
  <c r="R393" i="5" s="1"/>
  <c r="P392" i="5"/>
  <c r="R392" i="5" s="1"/>
  <c r="P391" i="5"/>
  <c r="R391" i="5" s="1"/>
  <c r="P390" i="5"/>
  <c r="R390" i="5" s="1"/>
  <c r="P389" i="5"/>
  <c r="R389" i="5" s="1"/>
  <c r="P388" i="5"/>
  <c r="R388" i="5" s="1"/>
  <c r="P387" i="5"/>
  <c r="R387" i="5" s="1"/>
  <c r="P386" i="5"/>
  <c r="R386" i="5" s="1"/>
  <c r="P385" i="5"/>
  <c r="R385" i="5" s="1"/>
  <c r="P384" i="5"/>
  <c r="R384" i="5" s="1"/>
  <c r="P383" i="5"/>
  <c r="R383" i="5" s="1"/>
  <c r="P382" i="5"/>
  <c r="R382" i="5" s="1"/>
  <c r="P381" i="5"/>
  <c r="R381" i="5" s="1"/>
  <c r="P380" i="5"/>
  <c r="R380" i="5" s="1"/>
  <c r="P379" i="5"/>
  <c r="R379" i="5" s="1"/>
  <c r="P378" i="5"/>
  <c r="R378" i="5" s="1"/>
  <c r="P377" i="5"/>
  <c r="R377" i="5" s="1"/>
  <c r="P376" i="5"/>
  <c r="R376" i="5" s="1"/>
  <c r="P375" i="5"/>
  <c r="R375" i="5" s="1"/>
  <c r="P374" i="5"/>
  <c r="R374" i="5" s="1"/>
  <c r="P373" i="5"/>
  <c r="R373" i="5" s="1"/>
  <c r="P372" i="5"/>
  <c r="R372" i="5" s="1"/>
  <c r="P371" i="5"/>
  <c r="R371" i="5" s="1"/>
  <c r="P370" i="5"/>
  <c r="R370" i="5" s="1"/>
  <c r="P369" i="5"/>
  <c r="R369" i="5" s="1"/>
  <c r="P368" i="5"/>
  <c r="R368" i="5" s="1"/>
  <c r="P367" i="5"/>
  <c r="R367" i="5" s="1"/>
  <c r="P366" i="5"/>
  <c r="R366" i="5" s="1"/>
  <c r="P365" i="5"/>
  <c r="R365" i="5" s="1"/>
  <c r="P364" i="5"/>
  <c r="R364" i="5" s="1"/>
  <c r="P363" i="5"/>
  <c r="R363" i="5" s="1"/>
  <c r="P362" i="5"/>
  <c r="R362" i="5" s="1"/>
  <c r="P361" i="5"/>
  <c r="R361" i="5" s="1"/>
  <c r="P360" i="5"/>
  <c r="R360" i="5" s="1"/>
  <c r="P359" i="5"/>
  <c r="R359" i="5" s="1"/>
  <c r="P358" i="5"/>
  <c r="R358" i="5" s="1"/>
  <c r="P357" i="5"/>
  <c r="R357" i="5" s="1"/>
  <c r="P356" i="5"/>
  <c r="R356" i="5" s="1"/>
  <c r="P355" i="5"/>
  <c r="R355" i="5" s="1"/>
  <c r="P354" i="5"/>
  <c r="R354" i="5" s="1"/>
  <c r="P353" i="5"/>
  <c r="R353" i="5" s="1"/>
  <c r="P352" i="5"/>
  <c r="R352" i="5" s="1"/>
  <c r="P351" i="5"/>
  <c r="R351" i="5" s="1"/>
  <c r="P350" i="5"/>
  <c r="R350" i="5" s="1"/>
  <c r="P349" i="5"/>
  <c r="R349" i="5" s="1"/>
  <c r="P348" i="5"/>
  <c r="R348" i="5" s="1"/>
  <c r="P347" i="5"/>
  <c r="R347" i="5" s="1"/>
  <c r="P346" i="5"/>
  <c r="R346" i="5" s="1"/>
  <c r="P345" i="5"/>
  <c r="R345" i="5" s="1"/>
  <c r="P344" i="5"/>
  <c r="R344" i="5" s="1"/>
  <c r="P343" i="5"/>
  <c r="R343" i="5" s="1"/>
  <c r="P342" i="5"/>
  <c r="R342" i="5" s="1"/>
  <c r="P341" i="5"/>
  <c r="R341" i="5" s="1"/>
  <c r="P340" i="5"/>
  <c r="R340" i="5" s="1"/>
  <c r="P339" i="5"/>
  <c r="R339" i="5" s="1"/>
  <c r="P338" i="5"/>
  <c r="R338" i="5" s="1"/>
  <c r="P337" i="5"/>
  <c r="R337" i="5" s="1"/>
  <c r="P336" i="5"/>
  <c r="R336" i="5" s="1"/>
  <c r="P335" i="5"/>
  <c r="R335" i="5" s="1"/>
  <c r="P334" i="5"/>
  <c r="R334" i="5" s="1"/>
  <c r="P333" i="5"/>
  <c r="R333" i="5" s="1"/>
  <c r="P332" i="5"/>
  <c r="R332" i="5" s="1"/>
  <c r="P331" i="5"/>
  <c r="R331" i="5" s="1"/>
  <c r="P330" i="5"/>
  <c r="R330" i="5" s="1"/>
  <c r="P329" i="5"/>
  <c r="R329" i="5" s="1"/>
  <c r="P328" i="5"/>
  <c r="R328" i="5" s="1"/>
  <c r="P327" i="5"/>
  <c r="R327" i="5" s="1"/>
  <c r="P326" i="5"/>
  <c r="R326" i="5" s="1"/>
  <c r="P325" i="5"/>
  <c r="R325" i="5" s="1"/>
  <c r="P324" i="5"/>
  <c r="R324" i="5" s="1"/>
  <c r="P323" i="5"/>
  <c r="R323" i="5" s="1"/>
  <c r="P322" i="5"/>
  <c r="R322" i="5" s="1"/>
  <c r="P321" i="5"/>
  <c r="R321" i="5" s="1"/>
  <c r="P320" i="5"/>
  <c r="R320" i="5" s="1"/>
  <c r="P319" i="5"/>
  <c r="R319" i="5" s="1"/>
  <c r="P318" i="5"/>
  <c r="R318" i="5" s="1"/>
  <c r="P317" i="5"/>
  <c r="R317" i="5" s="1"/>
  <c r="P316" i="5"/>
  <c r="R316" i="5" s="1"/>
  <c r="P315" i="5"/>
  <c r="R315" i="5" s="1"/>
  <c r="P314" i="5"/>
  <c r="R314" i="5" s="1"/>
  <c r="P313" i="5"/>
  <c r="R313" i="5" s="1"/>
  <c r="P312" i="5"/>
  <c r="R312" i="5" s="1"/>
  <c r="P311" i="5"/>
  <c r="R311" i="5" s="1"/>
  <c r="P310" i="5"/>
  <c r="R310" i="5" s="1"/>
  <c r="P309" i="5"/>
  <c r="R309" i="5" s="1"/>
  <c r="P308" i="5"/>
  <c r="R308" i="5" s="1"/>
  <c r="P307" i="5"/>
  <c r="R307" i="5" s="1"/>
  <c r="P306" i="5"/>
  <c r="R306" i="5" s="1"/>
  <c r="P305" i="5"/>
  <c r="R305" i="5" s="1"/>
  <c r="P304" i="5"/>
  <c r="R304" i="5" s="1"/>
  <c r="P303" i="5"/>
  <c r="R303" i="5" s="1"/>
  <c r="P302" i="5"/>
  <c r="R302" i="5" s="1"/>
  <c r="P301" i="5"/>
  <c r="R301" i="5" s="1"/>
  <c r="P300" i="5"/>
  <c r="R300" i="5" s="1"/>
  <c r="P299" i="5"/>
  <c r="R299" i="5" s="1"/>
  <c r="P298" i="5"/>
  <c r="R298" i="5" s="1"/>
  <c r="P297" i="5"/>
  <c r="R297" i="5" s="1"/>
  <c r="P296" i="5"/>
  <c r="R296" i="5" s="1"/>
  <c r="P295" i="5"/>
  <c r="R295" i="5" s="1"/>
  <c r="P294" i="5"/>
  <c r="R294" i="5" s="1"/>
  <c r="P293" i="5"/>
  <c r="R293" i="5" s="1"/>
  <c r="P292" i="5"/>
  <c r="R292" i="5" s="1"/>
  <c r="P291" i="5"/>
  <c r="R291" i="5" s="1"/>
  <c r="P290" i="5"/>
  <c r="R290" i="5" s="1"/>
  <c r="P289" i="5"/>
  <c r="R289" i="5" s="1"/>
  <c r="P288" i="5"/>
  <c r="R288" i="5" s="1"/>
  <c r="P287" i="5"/>
  <c r="R287" i="5" s="1"/>
  <c r="P286" i="5"/>
  <c r="R286" i="5" s="1"/>
  <c r="P285" i="5"/>
  <c r="R285" i="5" s="1"/>
  <c r="P284" i="5"/>
  <c r="R284" i="5" s="1"/>
  <c r="P283" i="5"/>
  <c r="R283" i="5" s="1"/>
  <c r="P282" i="5"/>
  <c r="R282" i="5" s="1"/>
  <c r="P281" i="5"/>
  <c r="R281" i="5" s="1"/>
  <c r="P280" i="5"/>
  <c r="R280" i="5" s="1"/>
  <c r="P279" i="5"/>
  <c r="R279" i="5" s="1"/>
  <c r="P278" i="5"/>
  <c r="R278" i="5" s="1"/>
  <c r="P277" i="5"/>
  <c r="R277" i="5" s="1"/>
  <c r="P276" i="5"/>
  <c r="R276" i="5" s="1"/>
  <c r="P275" i="5"/>
  <c r="R275" i="5" s="1"/>
  <c r="P274" i="5"/>
  <c r="R274" i="5" s="1"/>
  <c r="P273" i="5"/>
  <c r="R273" i="5" s="1"/>
  <c r="P272" i="5"/>
  <c r="R272" i="5" s="1"/>
  <c r="P271" i="5"/>
  <c r="R271" i="5" s="1"/>
  <c r="P270" i="5"/>
  <c r="R270" i="5" s="1"/>
  <c r="P269" i="5"/>
  <c r="R269" i="5" s="1"/>
  <c r="P268" i="5"/>
  <c r="R268" i="5" s="1"/>
  <c r="P267" i="5"/>
  <c r="R267" i="5" s="1"/>
  <c r="P266" i="5"/>
  <c r="R266" i="5" s="1"/>
  <c r="P265" i="5"/>
  <c r="R265" i="5" s="1"/>
  <c r="P264" i="5"/>
  <c r="R264" i="5" s="1"/>
  <c r="P263" i="5"/>
  <c r="R263" i="5" s="1"/>
  <c r="P262" i="5"/>
  <c r="R262" i="5" s="1"/>
  <c r="P261" i="5"/>
  <c r="R261" i="5" s="1"/>
  <c r="P260" i="5"/>
  <c r="R260" i="5" s="1"/>
  <c r="P259" i="5"/>
  <c r="R259" i="5" s="1"/>
  <c r="P258" i="5"/>
  <c r="R258" i="5" s="1"/>
  <c r="P257" i="5"/>
  <c r="R257" i="5" s="1"/>
  <c r="P256" i="5"/>
  <c r="R256" i="5" s="1"/>
  <c r="P255" i="5"/>
  <c r="R255" i="5" s="1"/>
  <c r="P254" i="5"/>
  <c r="R254" i="5" s="1"/>
  <c r="P253" i="5"/>
  <c r="R253" i="5" s="1"/>
  <c r="P252" i="5"/>
  <c r="R252" i="5" s="1"/>
  <c r="P251" i="5"/>
  <c r="R251" i="5" s="1"/>
  <c r="P250" i="5"/>
  <c r="R250" i="5" s="1"/>
  <c r="P249" i="5"/>
  <c r="R249" i="5" s="1"/>
  <c r="P248" i="5"/>
  <c r="R248" i="5" s="1"/>
  <c r="P247" i="5"/>
  <c r="R247" i="5" s="1"/>
  <c r="P246" i="5"/>
  <c r="R246" i="5" s="1"/>
  <c r="P245" i="5"/>
  <c r="R245" i="5" s="1"/>
  <c r="P244" i="5"/>
  <c r="R244" i="5" s="1"/>
  <c r="P243" i="5"/>
  <c r="R243" i="5" s="1"/>
  <c r="P242" i="5"/>
  <c r="R242" i="5" s="1"/>
  <c r="P241" i="5"/>
  <c r="R241" i="5" s="1"/>
  <c r="P240" i="5"/>
  <c r="R240" i="5" s="1"/>
  <c r="P239" i="5"/>
  <c r="R239" i="5" s="1"/>
  <c r="P238" i="5"/>
  <c r="R238" i="5" s="1"/>
  <c r="P237" i="5"/>
  <c r="R237" i="5" s="1"/>
  <c r="P236" i="5"/>
  <c r="R236" i="5" s="1"/>
  <c r="P235" i="5"/>
  <c r="R235" i="5" s="1"/>
  <c r="P234" i="5"/>
  <c r="R234" i="5" s="1"/>
  <c r="P233" i="5"/>
  <c r="R233" i="5" s="1"/>
  <c r="P232" i="5"/>
  <c r="R232" i="5" s="1"/>
  <c r="P231" i="5"/>
  <c r="R231" i="5" s="1"/>
  <c r="P230" i="5"/>
  <c r="R230" i="5" s="1"/>
  <c r="P229" i="5"/>
  <c r="R229" i="5" s="1"/>
  <c r="P228" i="5"/>
  <c r="R228" i="5" s="1"/>
  <c r="P227" i="5"/>
  <c r="R227" i="5" s="1"/>
  <c r="P226" i="5"/>
  <c r="R226" i="5" s="1"/>
  <c r="P225" i="5"/>
  <c r="R225" i="5" s="1"/>
  <c r="P224" i="5"/>
  <c r="R224" i="5" s="1"/>
  <c r="P223" i="5"/>
  <c r="R223" i="5" s="1"/>
  <c r="P222" i="5"/>
  <c r="R222" i="5" s="1"/>
  <c r="P221" i="5"/>
  <c r="R221" i="5" s="1"/>
  <c r="P220" i="5"/>
  <c r="R220" i="5" s="1"/>
  <c r="P219" i="5"/>
  <c r="R219" i="5" s="1"/>
  <c r="P218" i="5"/>
  <c r="R218" i="5" s="1"/>
  <c r="P217" i="5"/>
  <c r="R217" i="5" s="1"/>
  <c r="P216" i="5"/>
  <c r="R216" i="5" s="1"/>
  <c r="P215" i="5"/>
  <c r="R215" i="5" s="1"/>
  <c r="P214" i="5"/>
  <c r="R214" i="5" s="1"/>
  <c r="P213" i="5"/>
  <c r="R213" i="5" s="1"/>
  <c r="P212" i="5"/>
  <c r="R212" i="5" s="1"/>
  <c r="P211" i="5"/>
  <c r="R211" i="5" s="1"/>
  <c r="P210" i="5"/>
  <c r="R210" i="5" s="1"/>
  <c r="P209" i="5"/>
  <c r="R209" i="5" s="1"/>
  <c r="P208" i="5"/>
  <c r="R208" i="5" s="1"/>
  <c r="P207" i="5"/>
  <c r="R207" i="5" s="1"/>
  <c r="P206" i="5"/>
  <c r="R206" i="5" s="1"/>
  <c r="P205" i="5"/>
  <c r="R205" i="5" s="1"/>
  <c r="P204" i="5"/>
  <c r="R204" i="5" s="1"/>
  <c r="P203" i="5"/>
  <c r="R203" i="5" s="1"/>
  <c r="P202" i="5"/>
  <c r="R202" i="5" s="1"/>
  <c r="P201" i="5"/>
  <c r="R201" i="5" s="1"/>
  <c r="P200" i="5"/>
  <c r="R200" i="5" s="1"/>
  <c r="P199" i="5"/>
  <c r="R199" i="5" s="1"/>
  <c r="P198" i="5"/>
  <c r="R198" i="5" s="1"/>
  <c r="P197" i="5"/>
  <c r="R197" i="5" s="1"/>
  <c r="P196" i="5"/>
  <c r="R196" i="5" s="1"/>
  <c r="P195" i="5"/>
  <c r="R195" i="5" s="1"/>
  <c r="P194" i="5"/>
  <c r="R194" i="5" s="1"/>
  <c r="P193" i="5"/>
  <c r="R193" i="5" s="1"/>
  <c r="P192" i="5"/>
  <c r="R192" i="5" s="1"/>
  <c r="P191" i="5"/>
  <c r="R191" i="5" s="1"/>
  <c r="P190" i="5"/>
  <c r="R190" i="5" s="1"/>
  <c r="P189" i="5"/>
  <c r="R189" i="5" s="1"/>
  <c r="P188" i="5"/>
  <c r="R188" i="5" s="1"/>
  <c r="P187" i="5"/>
  <c r="R187" i="5" s="1"/>
  <c r="P186" i="5"/>
  <c r="R186" i="5" s="1"/>
  <c r="P185" i="5"/>
  <c r="R185" i="5" s="1"/>
  <c r="P184" i="5"/>
  <c r="R184" i="5" s="1"/>
  <c r="P183" i="5"/>
  <c r="R183" i="5" s="1"/>
  <c r="P182" i="5"/>
  <c r="R182" i="5" s="1"/>
  <c r="P181" i="5"/>
  <c r="R181" i="5" s="1"/>
  <c r="P180" i="5"/>
  <c r="R180" i="5" s="1"/>
  <c r="P179" i="5"/>
  <c r="R179" i="5" s="1"/>
  <c r="P178" i="5"/>
  <c r="R178" i="5" s="1"/>
  <c r="P177" i="5"/>
  <c r="R177" i="5" s="1"/>
  <c r="P176" i="5"/>
  <c r="R176" i="5" s="1"/>
  <c r="P175" i="5"/>
  <c r="R175" i="5" s="1"/>
  <c r="P174" i="5"/>
  <c r="R174" i="5" s="1"/>
  <c r="P173" i="5"/>
  <c r="R173" i="5" s="1"/>
  <c r="P172" i="5"/>
  <c r="R172" i="5" s="1"/>
  <c r="P171" i="5"/>
  <c r="R171" i="5" s="1"/>
  <c r="P170" i="5"/>
  <c r="R170" i="5" s="1"/>
  <c r="P169" i="5"/>
  <c r="R169" i="5" s="1"/>
  <c r="P168" i="5"/>
  <c r="R168" i="5" s="1"/>
  <c r="P167" i="5"/>
  <c r="R167" i="5" s="1"/>
  <c r="P166" i="5"/>
  <c r="R166" i="5" s="1"/>
  <c r="P165" i="5"/>
  <c r="R165" i="5" s="1"/>
  <c r="P164" i="5"/>
  <c r="R164" i="5" s="1"/>
  <c r="P163" i="5"/>
  <c r="R163" i="5" s="1"/>
  <c r="P162" i="5"/>
  <c r="R162" i="5" s="1"/>
  <c r="P161" i="5"/>
  <c r="R161" i="5" s="1"/>
  <c r="P160" i="5"/>
  <c r="R160" i="5" s="1"/>
  <c r="P159" i="5"/>
  <c r="R159" i="5" s="1"/>
  <c r="P158" i="5"/>
  <c r="R158" i="5" s="1"/>
  <c r="P157" i="5"/>
  <c r="R157" i="5" s="1"/>
  <c r="P156" i="5"/>
  <c r="R156" i="5" s="1"/>
  <c r="P155" i="5"/>
  <c r="R155" i="5" s="1"/>
  <c r="P154" i="5"/>
  <c r="R154" i="5" s="1"/>
  <c r="P153" i="5"/>
  <c r="R153" i="5" s="1"/>
  <c r="P152" i="5"/>
  <c r="R152" i="5" s="1"/>
  <c r="P151" i="5"/>
  <c r="R151" i="5" s="1"/>
  <c r="P150" i="5"/>
  <c r="R150" i="5" s="1"/>
  <c r="P149" i="5"/>
  <c r="R149" i="5" s="1"/>
  <c r="P148" i="5"/>
  <c r="R148" i="5" s="1"/>
  <c r="P147" i="5"/>
  <c r="R147" i="5" s="1"/>
  <c r="P146" i="5"/>
  <c r="R146" i="5" s="1"/>
  <c r="P145" i="5"/>
  <c r="R145" i="5" s="1"/>
  <c r="P144" i="5"/>
  <c r="R144" i="5" s="1"/>
  <c r="P143" i="5"/>
  <c r="R143" i="5" s="1"/>
  <c r="P142" i="5"/>
  <c r="R142" i="5" s="1"/>
  <c r="P141" i="5"/>
  <c r="R141" i="5" s="1"/>
  <c r="P140" i="5"/>
  <c r="R140" i="5" s="1"/>
  <c r="P139" i="5"/>
  <c r="R139" i="5" s="1"/>
  <c r="P138" i="5"/>
  <c r="R138" i="5" s="1"/>
  <c r="P137" i="5"/>
  <c r="R137" i="5" s="1"/>
  <c r="P136" i="5"/>
  <c r="R136" i="5" s="1"/>
  <c r="P135" i="5"/>
  <c r="R135" i="5" s="1"/>
  <c r="P134" i="5"/>
  <c r="R134" i="5" s="1"/>
  <c r="P133" i="5"/>
  <c r="R133" i="5" s="1"/>
  <c r="P132" i="5"/>
  <c r="R132" i="5" s="1"/>
  <c r="P131" i="5"/>
  <c r="R131" i="5" s="1"/>
  <c r="P130" i="5"/>
  <c r="R130" i="5" s="1"/>
  <c r="P129" i="5"/>
  <c r="R129" i="5" s="1"/>
  <c r="P128" i="5"/>
  <c r="R128" i="5" s="1"/>
  <c r="P127" i="5"/>
  <c r="R127" i="5" s="1"/>
  <c r="P126" i="5"/>
  <c r="R126" i="5" s="1"/>
  <c r="P125" i="5"/>
  <c r="R125" i="5" s="1"/>
  <c r="P124" i="5"/>
  <c r="R124" i="5" s="1"/>
  <c r="P123" i="5"/>
  <c r="R123" i="5" s="1"/>
  <c r="P122" i="5"/>
  <c r="R122" i="5" s="1"/>
  <c r="P121" i="5"/>
  <c r="R121" i="5" s="1"/>
  <c r="P120" i="5"/>
  <c r="R120" i="5" s="1"/>
  <c r="P119" i="5"/>
  <c r="R119" i="5" s="1"/>
  <c r="P118" i="5"/>
  <c r="R118" i="5" s="1"/>
  <c r="P117" i="5"/>
  <c r="R117" i="5" s="1"/>
  <c r="P116" i="5"/>
  <c r="R116" i="5" s="1"/>
  <c r="P115" i="5"/>
  <c r="R115" i="5" s="1"/>
  <c r="P114" i="5"/>
  <c r="R114" i="5" s="1"/>
  <c r="P113" i="5"/>
  <c r="R113" i="5" s="1"/>
  <c r="P112" i="5"/>
  <c r="R112" i="5" s="1"/>
  <c r="P111" i="5"/>
  <c r="R111" i="5" s="1"/>
  <c r="P110" i="5"/>
  <c r="R110" i="5" s="1"/>
  <c r="P109" i="5"/>
  <c r="R109" i="5" s="1"/>
  <c r="P108" i="5"/>
  <c r="R108" i="5" s="1"/>
  <c r="P107" i="5"/>
  <c r="R107" i="5" s="1"/>
  <c r="P106" i="5"/>
  <c r="R106" i="5" s="1"/>
  <c r="P105" i="5"/>
  <c r="R105" i="5" s="1"/>
  <c r="P104" i="5"/>
  <c r="R104" i="5" s="1"/>
  <c r="P103" i="5"/>
  <c r="R103" i="5" s="1"/>
  <c r="P102" i="5"/>
  <c r="R102" i="5" s="1"/>
  <c r="P101" i="5"/>
  <c r="R101" i="5" s="1"/>
  <c r="P100" i="5"/>
  <c r="R100" i="5" s="1"/>
  <c r="P99" i="5"/>
  <c r="R99" i="5" s="1"/>
  <c r="P98" i="5"/>
  <c r="R98" i="5" s="1"/>
  <c r="P97" i="5"/>
  <c r="R97" i="5" s="1"/>
  <c r="P96" i="5"/>
  <c r="R96" i="5" s="1"/>
  <c r="P95" i="5"/>
  <c r="R95" i="5" s="1"/>
  <c r="P94" i="5"/>
  <c r="R94" i="5" s="1"/>
  <c r="P93" i="5"/>
  <c r="R93" i="5" s="1"/>
  <c r="P92" i="5"/>
  <c r="R92" i="5" s="1"/>
  <c r="P91" i="5"/>
  <c r="R91" i="5" s="1"/>
  <c r="P90" i="5"/>
  <c r="R90" i="5" s="1"/>
  <c r="P89" i="5"/>
  <c r="R89" i="5" s="1"/>
  <c r="P88" i="5"/>
  <c r="R88" i="5" s="1"/>
  <c r="P87" i="5"/>
  <c r="R87" i="5" s="1"/>
  <c r="P86" i="5"/>
  <c r="R86" i="5" s="1"/>
  <c r="P85" i="5"/>
  <c r="R85" i="5" s="1"/>
  <c r="P84" i="5"/>
  <c r="R84" i="5" s="1"/>
  <c r="P83" i="5"/>
  <c r="R83" i="5" s="1"/>
  <c r="P82" i="5"/>
  <c r="R82" i="5" s="1"/>
  <c r="P81" i="5"/>
  <c r="R81" i="5" s="1"/>
  <c r="P80" i="5"/>
  <c r="R80" i="5" s="1"/>
  <c r="P79" i="5"/>
  <c r="R79" i="5" s="1"/>
  <c r="P78" i="5"/>
  <c r="R78" i="5" s="1"/>
  <c r="P77" i="5"/>
  <c r="R77" i="5" s="1"/>
  <c r="P76" i="5"/>
  <c r="R76" i="5" s="1"/>
  <c r="P75" i="5"/>
  <c r="R75" i="5" s="1"/>
  <c r="P74" i="5"/>
  <c r="R74" i="5" s="1"/>
  <c r="P73" i="5"/>
  <c r="R73" i="5" s="1"/>
  <c r="P72" i="5"/>
  <c r="R72" i="5" s="1"/>
  <c r="P71" i="5"/>
  <c r="R71" i="5" s="1"/>
  <c r="P70" i="5"/>
  <c r="R70" i="5" s="1"/>
  <c r="P69" i="5"/>
  <c r="R69" i="5" s="1"/>
  <c r="P68" i="5"/>
  <c r="R68" i="5" s="1"/>
  <c r="P67" i="5"/>
  <c r="R67" i="5" s="1"/>
  <c r="P66" i="5"/>
  <c r="R66" i="5" s="1"/>
  <c r="P65" i="5"/>
  <c r="R65" i="5" s="1"/>
  <c r="P64" i="5"/>
  <c r="R64" i="5" s="1"/>
  <c r="P63" i="5"/>
  <c r="R63" i="5" s="1"/>
  <c r="P62" i="5"/>
  <c r="R62" i="5" s="1"/>
  <c r="P61" i="5"/>
  <c r="R61" i="5" s="1"/>
  <c r="P60" i="5"/>
  <c r="R60" i="5" s="1"/>
  <c r="P59" i="5"/>
  <c r="R59" i="5" s="1"/>
  <c r="P58" i="5"/>
  <c r="R58" i="5" s="1"/>
  <c r="P57" i="5"/>
  <c r="R57" i="5" s="1"/>
  <c r="P56" i="5"/>
  <c r="R56" i="5" s="1"/>
  <c r="P55" i="5"/>
  <c r="R55" i="5" s="1"/>
  <c r="P54" i="5"/>
  <c r="R54" i="5" s="1"/>
  <c r="P53" i="5"/>
  <c r="R53" i="5" s="1"/>
  <c r="P52" i="5"/>
  <c r="R52" i="5" s="1"/>
  <c r="P51" i="5"/>
  <c r="R51" i="5" s="1"/>
  <c r="P50" i="5"/>
  <c r="R50" i="5" s="1"/>
  <c r="P49" i="5"/>
  <c r="R49" i="5" s="1"/>
  <c r="P48" i="5"/>
  <c r="R48" i="5" s="1"/>
  <c r="P47" i="5"/>
  <c r="R47" i="5" s="1"/>
  <c r="P46" i="5"/>
  <c r="R46" i="5" s="1"/>
  <c r="P45" i="5"/>
  <c r="R45" i="5" s="1"/>
  <c r="P44" i="5"/>
  <c r="R44" i="5" s="1"/>
  <c r="P43" i="5"/>
  <c r="R43" i="5" s="1"/>
  <c r="P42" i="5"/>
  <c r="R42" i="5" s="1"/>
  <c r="P41" i="5"/>
  <c r="R41" i="5" s="1"/>
  <c r="P40" i="5"/>
  <c r="R40" i="5" s="1"/>
  <c r="P39" i="5"/>
  <c r="R39" i="5" s="1"/>
  <c r="P38" i="5"/>
  <c r="R38" i="5" s="1"/>
  <c r="P37" i="5"/>
  <c r="R37" i="5" s="1"/>
  <c r="P36" i="5"/>
  <c r="R36" i="5" s="1"/>
  <c r="P35" i="5"/>
  <c r="R35" i="5" s="1"/>
  <c r="P34" i="5"/>
  <c r="R34" i="5" s="1"/>
  <c r="P33" i="5"/>
  <c r="R33" i="5" s="1"/>
  <c r="P32" i="5"/>
  <c r="R32" i="5" s="1"/>
  <c r="P31" i="5"/>
  <c r="R31" i="5" s="1"/>
  <c r="P30" i="5"/>
  <c r="R30" i="5" s="1"/>
  <c r="P29" i="5"/>
  <c r="R29" i="5" s="1"/>
  <c r="P28" i="5"/>
  <c r="R28" i="5" s="1"/>
  <c r="P27" i="5"/>
  <c r="R27" i="5" s="1"/>
  <c r="P26" i="5"/>
  <c r="R26" i="5" s="1"/>
  <c r="P25" i="5"/>
  <c r="R25" i="5" s="1"/>
  <c r="P24" i="5"/>
  <c r="R24" i="5" s="1"/>
  <c r="P23" i="5"/>
  <c r="R23" i="5" s="1"/>
  <c r="P22" i="5"/>
  <c r="R22" i="5" s="1"/>
  <c r="P21" i="5"/>
  <c r="R21" i="5" s="1"/>
  <c r="P20" i="5"/>
  <c r="R20" i="5" s="1"/>
  <c r="P19" i="5"/>
  <c r="R19" i="5" s="1"/>
  <c r="P18" i="5"/>
  <c r="R18" i="5" s="1"/>
  <c r="P17" i="5"/>
  <c r="R17" i="5" s="1"/>
  <c r="P16" i="5"/>
  <c r="R16" i="5" s="1"/>
  <c r="P15" i="5"/>
  <c r="R15" i="5" s="1"/>
  <c r="P14" i="5"/>
  <c r="R14" i="5" s="1"/>
  <c r="P13" i="5"/>
  <c r="R13" i="5" s="1"/>
  <c r="P12" i="5"/>
  <c r="R12" i="5" s="1"/>
  <c r="P11" i="5"/>
  <c r="R11" i="5" s="1"/>
  <c r="P10" i="5"/>
  <c r="R10" i="5" s="1"/>
  <c r="P9" i="5"/>
  <c r="R9" i="5" s="1"/>
  <c r="P8" i="5"/>
  <c r="R8" i="5" s="1"/>
  <c r="P7" i="5"/>
  <c r="R7" i="5" s="1"/>
  <c r="P6" i="5"/>
  <c r="R6" i="5" s="1"/>
  <c r="P5" i="5"/>
  <c r="R5" i="5" s="1"/>
  <c r="P4" i="5"/>
  <c r="R4" i="5" s="1"/>
  <c r="P3" i="5"/>
  <c r="R3" i="5" s="1"/>
  <c r="P2" i="5"/>
  <c r="A2" i="4"/>
  <c r="I91" i="1"/>
  <c r="S207" i="1"/>
  <c r="R207" i="1"/>
  <c r="Q207" i="1"/>
  <c r="P207" i="1"/>
  <c r="O207" i="1"/>
  <c r="N207" i="1"/>
  <c r="M207" i="1"/>
  <c r="L207" i="1"/>
  <c r="K207" i="1"/>
  <c r="J207" i="1"/>
  <c r="I207" i="1"/>
  <c r="S206" i="1"/>
  <c r="R206" i="1"/>
  <c r="Q206" i="1"/>
  <c r="P206" i="1"/>
  <c r="O206" i="1"/>
  <c r="N206" i="1"/>
  <c r="M206" i="1"/>
  <c r="L206" i="1"/>
  <c r="K206" i="1"/>
  <c r="J206" i="1"/>
  <c r="I206" i="1"/>
  <c r="S205" i="1"/>
  <c r="R205" i="1"/>
  <c r="Q205" i="1"/>
  <c r="P205" i="1"/>
  <c r="O205" i="1"/>
  <c r="N205" i="1"/>
  <c r="M205" i="1"/>
  <c r="L205" i="1"/>
  <c r="K205" i="1"/>
  <c r="J205" i="1"/>
  <c r="I205" i="1"/>
  <c r="S204" i="1"/>
  <c r="R204" i="1"/>
  <c r="Q204" i="1"/>
  <c r="P204" i="1"/>
  <c r="O204" i="1"/>
  <c r="N204" i="1"/>
  <c r="M204" i="1"/>
  <c r="L204" i="1"/>
  <c r="K204" i="1"/>
  <c r="J204" i="1"/>
  <c r="I204" i="1"/>
  <c r="S203" i="1"/>
  <c r="R203" i="1"/>
  <c r="Q203" i="1"/>
  <c r="P203" i="1"/>
  <c r="O203" i="1"/>
  <c r="N203" i="1"/>
  <c r="M203" i="1"/>
  <c r="L203" i="1"/>
  <c r="K203" i="1"/>
  <c r="J203" i="1"/>
  <c r="I203" i="1"/>
  <c r="H207" i="1"/>
  <c r="H205" i="1"/>
  <c r="H206" i="1"/>
  <c r="H203" i="1"/>
  <c r="H204" i="1"/>
  <c r="I123" i="1"/>
  <c r="I121" i="1"/>
  <c r="I117" i="1"/>
  <c r="I119" i="1"/>
  <c r="I115" i="1"/>
  <c r="J115" i="1" s="1"/>
  <c r="I113" i="1"/>
  <c r="I127" i="1"/>
  <c r="I125" i="1"/>
  <c r="J125" i="1" s="1"/>
  <c r="I111" i="1"/>
  <c r="I109" i="1"/>
  <c r="I107" i="1"/>
  <c r="I105" i="1"/>
  <c r="J105" i="1" s="1"/>
  <c r="I103" i="1"/>
  <c r="J103" i="1" s="1"/>
  <c r="I101" i="1"/>
  <c r="S419" i="1"/>
  <c r="R419" i="1"/>
  <c r="Q419" i="1"/>
  <c r="P419" i="1"/>
  <c r="O419" i="1"/>
  <c r="N419" i="1"/>
  <c r="M419" i="1"/>
  <c r="L419" i="1"/>
  <c r="K419" i="1"/>
  <c r="J419" i="1"/>
  <c r="I419" i="1"/>
  <c r="S418" i="1"/>
  <c r="R418" i="1"/>
  <c r="Q418" i="1"/>
  <c r="P418" i="1"/>
  <c r="O418" i="1"/>
  <c r="N418" i="1"/>
  <c r="M418" i="1"/>
  <c r="L418" i="1"/>
  <c r="K418" i="1"/>
  <c r="J418" i="1"/>
  <c r="I418" i="1"/>
  <c r="S417" i="1"/>
  <c r="R417" i="1"/>
  <c r="Q417" i="1"/>
  <c r="P417" i="1"/>
  <c r="O417" i="1"/>
  <c r="N417" i="1"/>
  <c r="M417" i="1"/>
  <c r="L417" i="1"/>
  <c r="K417" i="1"/>
  <c r="J417" i="1"/>
  <c r="I417" i="1"/>
  <c r="S416" i="1"/>
  <c r="R416" i="1"/>
  <c r="Q416" i="1"/>
  <c r="P416" i="1"/>
  <c r="O416" i="1"/>
  <c r="N416" i="1"/>
  <c r="M416" i="1"/>
  <c r="L416" i="1"/>
  <c r="K416" i="1"/>
  <c r="J416" i="1"/>
  <c r="I416" i="1"/>
  <c r="S415" i="1"/>
  <c r="R415" i="1"/>
  <c r="Q415" i="1"/>
  <c r="P415" i="1"/>
  <c r="O415" i="1"/>
  <c r="N415" i="1"/>
  <c r="M415" i="1"/>
  <c r="L415" i="1"/>
  <c r="K415" i="1"/>
  <c r="J415" i="1"/>
  <c r="I415" i="1"/>
  <c r="S414" i="1"/>
  <c r="R414" i="1"/>
  <c r="Q414" i="1"/>
  <c r="P414" i="1"/>
  <c r="O414" i="1"/>
  <c r="N414" i="1"/>
  <c r="M414" i="1"/>
  <c r="L414" i="1"/>
  <c r="K414" i="1"/>
  <c r="J414" i="1"/>
  <c r="I414" i="1"/>
  <c r="S413" i="1"/>
  <c r="R413" i="1"/>
  <c r="Q413" i="1"/>
  <c r="P413" i="1"/>
  <c r="O413" i="1"/>
  <c r="N413" i="1"/>
  <c r="M413" i="1"/>
  <c r="L413" i="1"/>
  <c r="K413" i="1"/>
  <c r="J413" i="1"/>
  <c r="I413" i="1"/>
  <c r="S412" i="1"/>
  <c r="R412" i="1"/>
  <c r="Q412" i="1"/>
  <c r="P412" i="1"/>
  <c r="O412" i="1"/>
  <c r="N412" i="1"/>
  <c r="M412" i="1"/>
  <c r="L412" i="1"/>
  <c r="K412" i="1"/>
  <c r="J412" i="1"/>
  <c r="I412" i="1"/>
  <c r="S401" i="1"/>
  <c r="R401" i="1"/>
  <c r="Q401" i="1"/>
  <c r="P401" i="1"/>
  <c r="O401" i="1"/>
  <c r="N401" i="1"/>
  <c r="M401" i="1"/>
  <c r="L401" i="1"/>
  <c r="K401" i="1"/>
  <c r="J401" i="1"/>
  <c r="I401" i="1"/>
  <c r="S400" i="1"/>
  <c r="R400" i="1"/>
  <c r="Q400" i="1"/>
  <c r="P400" i="1"/>
  <c r="O400" i="1"/>
  <c r="N400" i="1"/>
  <c r="M400" i="1"/>
  <c r="L400" i="1"/>
  <c r="K400" i="1"/>
  <c r="J400" i="1"/>
  <c r="I400" i="1"/>
  <c r="S399" i="1"/>
  <c r="R399" i="1"/>
  <c r="Q399" i="1"/>
  <c r="P399" i="1"/>
  <c r="O399" i="1"/>
  <c r="N399" i="1"/>
  <c r="M399" i="1"/>
  <c r="L399" i="1"/>
  <c r="K399" i="1"/>
  <c r="J399" i="1"/>
  <c r="I399" i="1"/>
  <c r="H417" i="1"/>
  <c r="H418" i="1"/>
  <c r="H419" i="1"/>
  <c r="H416" i="1"/>
  <c r="H415" i="1"/>
  <c r="H414" i="1"/>
  <c r="H413" i="1"/>
  <c r="H412" i="1"/>
  <c r="H399" i="1"/>
  <c r="H400" i="1"/>
  <c r="H401" i="1"/>
  <c r="T1499" i="5" l="1"/>
  <c r="T1510" i="5"/>
  <c r="T1503" i="5"/>
  <c r="T1508" i="5"/>
  <c r="T1502" i="5"/>
  <c r="T1513" i="5"/>
  <c r="T1504" i="5"/>
  <c r="T1505" i="5"/>
  <c r="T1512" i="5"/>
  <c r="T1494" i="5"/>
  <c r="T1506" i="5"/>
  <c r="T1511" i="5"/>
  <c r="T1507" i="5"/>
  <c r="T1497" i="5"/>
  <c r="T1509" i="5"/>
  <c r="T1496" i="5"/>
  <c r="T1500" i="5"/>
  <c r="T1492" i="5"/>
  <c r="T1495" i="5"/>
  <c r="T1493" i="5"/>
  <c r="T1501" i="5"/>
  <c r="T1498" i="5"/>
  <c r="T1491" i="5"/>
  <c r="T1490" i="5"/>
  <c r="T1478" i="5"/>
  <c r="T1482" i="5"/>
  <c r="T1486" i="5"/>
  <c r="T1480" i="5"/>
  <c r="T1487" i="5"/>
  <c r="T1483" i="5"/>
  <c r="T1479" i="5"/>
  <c r="T1489" i="5"/>
  <c r="T1488" i="5"/>
  <c r="T1484" i="5"/>
  <c r="T1485" i="5"/>
  <c r="T1481" i="5"/>
  <c r="T1457" i="5"/>
  <c r="T1468" i="5"/>
  <c r="T1469" i="5"/>
  <c r="T1460" i="5"/>
  <c r="T1472" i="5"/>
  <c r="T1461" i="5"/>
  <c r="T1455" i="5"/>
  <c r="T1456" i="5"/>
  <c r="T1474" i="5"/>
  <c r="T1459" i="5"/>
  <c r="T1473" i="5"/>
  <c r="T1464" i="5"/>
  <c r="T1463" i="5"/>
  <c r="T1477" i="5"/>
  <c r="T1467" i="5"/>
  <c r="T1466" i="5"/>
  <c r="T1458" i="5"/>
  <c r="T1471" i="5"/>
  <c r="T1462" i="5"/>
  <c r="T1465" i="5"/>
  <c r="T1470" i="5"/>
  <c r="T1475" i="5"/>
  <c r="T1476" i="5"/>
  <c r="T1430" i="5"/>
  <c r="T1454" i="5"/>
  <c r="T1441" i="5"/>
  <c r="T1447" i="5"/>
  <c r="T1442" i="5"/>
  <c r="T1438" i="5"/>
  <c r="T1446" i="5"/>
  <c r="T1440" i="5"/>
  <c r="T1443" i="5"/>
  <c r="T1445" i="5"/>
  <c r="T1433" i="5"/>
  <c r="T1448" i="5"/>
  <c r="T1451" i="5"/>
  <c r="T1436" i="5"/>
  <c r="T1452" i="5"/>
  <c r="T1449" i="5"/>
  <c r="T1450" i="5"/>
  <c r="T1431" i="5"/>
  <c r="T1434" i="5"/>
  <c r="T1435" i="5"/>
  <c r="T1437" i="5"/>
  <c r="T1453" i="5"/>
  <c r="T1444" i="5"/>
  <c r="T1439" i="5"/>
  <c r="T1432" i="5"/>
  <c r="T1421" i="5"/>
  <c r="T1425" i="5"/>
  <c r="T1428" i="5"/>
  <c r="T1426" i="5"/>
  <c r="T1420" i="5"/>
  <c r="T1422" i="5"/>
  <c r="T1429" i="5"/>
  <c r="T1419" i="5"/>
  <c r="T1427" i="5"/>
  <c r="T1418" i="5"/>
  <c r="T1423" i="5"/>
  <c r="T1424" i="5"/>
  <c r="T1295" i="5"/>
  <c r="T1407" i="5"/>
  <c r="T1372" i="5"/>
  <c r="T1408" i="5"/>
  <c r="T1342" i="5"/>
  <c r="T1313" i="5"/>
  <c r="T1281" i="5"/>
  <c r="T1344" i="5"/>
  <c r="T1412" i="5"/>
  <c r="T1417" i="5"/>
  <c r="T1379" i="5"/>
  <c r="T1415" i="5"/>
  <c r="T1413" i="5"/>
  <c r="T1312" i="5"/>
  <c r="T1334" i="5"/>
  <c r="T1336" i="5"/>
  <c r="T1337" i="5"/>
  <c r="T1416" i="5"/>
  <c r="T1310" i="5"/>
  <c r="T1409" i="5"/>
  <c r="T1414" i="5"/>
  <c r="T1411" i="5"/>
  <c r="T1410" i="5"/>
  <c r="T1264" i="5"/>
  <c r="T1390" i="5"/>
  <c r="T1291" i="5"/>
  <c r="T1368" i="5"/>
  <c r="T1285" i="5"/>
  <c r="T1345" i="5"/>
  <c r="T1354" i="5"/>
  <c r="T1352" i="5"/>
  <c r="T1320" i="5"/>
  <c r="T1403" i="5"/>
  <c r="T1383" i="5"/>
  <c r="T1316" i="5"/>
  <c r="T1406" i="5"/>
  <c r="T1317" i="5"/>
  <c r="T1356" i="5"/>
  <c r="T1251" i="5"/>
  <c r="T1402" i="5"/>
  <c r="T1293" i="5"/>
  <c r="T1319" i="5"/>
  <c r="T1396" i="5"/>
  <c r="T1309" i="5"/>
  <c r="T1392" i="5"/>
  <c r="T1378" i="5"/>
  <c r="T1303" i="5"/>
  <c r="T1359" i="5"/>
  <c r="T1315" i="5"/>
  <c r="T1271" i="5"/>
  <c r="T1369" i="5"/>
  <c r="T1265" i="5"/>
  <c r="T1405" i="5"/>
  <c r="T1386" i="5"/>
  <c r="T1343" i="5"/>
  <c r="T1273" i="5"/>
  <c r="T1391" i="5"/>
  <c r="T1297" i="5"/>
  <c r="T1324" i="5"/>
  <c r="T1330" i="5"/>
  <c r="T1290" i="5"/>
  <c r="T1288" i="5"/>
  <c r="T1323" i="5"/>
  <c r="T1361" i="5"/>
  <c r="T1314" i="5"/>
  <c r="T1401" i="5"/>
  <c r="T1339" i="5"/>
  <c r="T1263" i="5"/>
  <c r="T1366" i="5"/>
  <c r="T1381" i="5"/>
  <c r="T1404" i="5"/>
  <c r="T1253" i="5"/>
  <c r="T1299" i="5"/>
  <c r="T1274" i="5"/>
  <c r="T1307" i="5"/>
  <c r="T1327" i="5"/>
  <c r="T1376" i="5"/>
  <c r="T1280" i="5"/>
  <c r="T1360" i="5"/>
  <c r="T1380" i="5"/>
  <c r="T1325" i="5"/>
  <c r="T1289" i="5"/>
  <c r="T1350" i="5"/>
  <c r="T1358" i="5"/>
  <c r="T1305" i="5"/>
  <c r="T1348" i="5"/>
  <c r="T1395" i="5"/>
  <c r="T1377" i="5"/>
  <c r="T1397" i="5"/>
  <c r="T1256" i="5"/>
  <c r="T1321" i="5"/>
  <c r="T1365" i="5"/>
  <c r="T1306" i="5"/>
  <c r="T1364" i="5"/>
  <c r="T1329" i="5"/>
  <c r="T1347" i="5"/>
  <c r="T1301" i="5"/>
  <c r="T1270" i="5"/>
  <c r="T1294" i="5"/>
  <c r="T1278" i="5"/>
  <c r="T1250" i="5"/>
  <c r="T1363" i="5"/>
  <c r="T1399" i="5"/>
  <c r="T1393" i="5"/>
  <c r="T1260" i="5"/>
  <c r="T1287" i="5"/>
  <c r="T1349" i="5"/>
  <c r="T1300" i="5"/>
  <c r="T1322" i="5"/>
  <c r="T1272" i="5"/>
  <c r="T1267" i="5"/>
  <c r="T1283" i="5"/>
  <c r="T1254" i="5"/>
  <c r="T1341" i="5"/>
  <c r="T1255" i="5"/>
  <c r="T1331" i="5"/>
  <c r="T1371" i="5"/>
  <c r="T1257" i="5"/>
  <c r="T1353" i="5"/>
  <c r="T1268" i="5"/>
  <c r="T1382" i="5"/>
  <c r="T1398" i="5"/>
  <c r="T1277" i="5"/>
  <c r="T1292" i="5"/>
  <c r="T1326" i="5"/>
  <c r="T1276" i="5"/>
  <c r="T1389" i="5"/>
  <c r="T1370" i="5"/>
  <c r="T1357" i="5"/>
  <c r="T1262" i="5"/>
  <c r="T1367" i="5"/>
  <c r="T1318" i="5"/>
  <c r="T1333" i="5"/>
  <c r="T1282" i="5"/>
  <c r="T1286" i="5"/>
  <c r="T1302" i="5"/>
  <c r="T1387" i="5"/>
  <c r="T1388" i="5"/>
  <c r="T1269" i="5"/>
  <c r="T1332" i="5"/>
  <c r="T1304" i="5"/>
  <c r="T1362" i="5"/>
  <c r="T1311" i="5"/>
  <c r="T1279" i="5"/>
  <c r="T1375" i="5"/>
  <c r="T1296" i="5"/>
  <c r="T1384" i="5"/>
  <c r="T1252" i="5"/>
  <c r="T1394" i="5"/>
  <c r="T1308" i="5"/>
  <c r="T1284" i="5"/>
  <c r="T1346" i="5"/>
  <c r="T1340" i="5"/>
  <c r="T1259" i="5"/>
  <c r="T1355" i="5"/>
  <c r="T1335" i="5"/>
  <c r="T1261" i="5"/>
  <c r="T1373" i="5"/>
  <c r="T1400" i="5"/>
  <c r="T1374" i="5"/>
  <c r="T1298" i="5"/>
  <c r="T1338" i="5"/>
  <c r="T1328" i="5"/>
  <c r="T1385" i="5"/>
  <c r="T1275" i="5"/>
  <c r="T1258" i="5"/>
  <c r="T1266" i="5"/>
  <c r="T1351" i="5"/>
  <c r="T1209" i="5"/>
  <c r="T1190" i="5"/>
  <c r="T1221" i="5"/>
  <c r="T1204" i="5"/>
  <c r="T1234" i="5"/>
  <c r="T1183" i="5"/>
  <c r="T1208" i="5"/>
  <c r="T1222" i="5"/>
  <c r="T1198" i="5"/>
  <c r="T1203" i="5"/>
  <c r="T1244" i="5"/>
  <c r="T1210" i="5"/>
  <c r="T1193" i="5"/>
  <c r="T1218" i="5"/>
  <c r="T1242" i="5"/>
  <c r="T1245" i="5"/>
  <c r="T1219" i="5"/>
  <c r="T1184" i="5"/>
  <c r="T1178" i="5"/>
  <c r="T1188" i="5"/>
  <c r="T1230" i="5"/>
  <c r="T1233" i="5"/>
  <c r="T1211" i="5"/>
  <c r="T1229" i="5"/>
  <c r="T1194" i="5"/>
  <c r="T1191" i="5"/>
  <c r="T1197" i="5"/>
  <c r="T1187" i="5"/>
  <c r="T1200" i="5"/>
  <c r="T1223" i="5"/>
  <c r="T1232" i="5"/>
  <c r="T1205" i="5"/>
  <c r="T1231" i="5"/>
  <c r="T1180" i="5"/>
  <c r="T1243" i="5"/>
  <c r="T1248" i="5"/>
  <c r="T1238" i="5"/>
  <c r="T1186" i="5"/>
  <c r="T1225" i="5"/>
  <c r="T1185" i="5"/>
  <c r="T1249" i="5"/>
  <c r="T1236" i="5"/>
  <c r="T1220" i="5"/>
  <c r="T1206" i="5"/>
  <c r="T1226" i="5"/>
  <c r="T1247" i="5"/>
  <c r="T1235" i="5"/>
  <c r="T1239" i="5"/>
  <c r="T1182" i="5"/>
  <c r="T1201" i="5"/>
  <c r="T1195" i="5"/>
  <c r="T1213" i="5"/>
  <c r="T1241" i="5"/>
  <c r="T1207" i="5"/>
  <c r="T1189" i="5"/>
  <c r="T1240" i="5"/>
  <c r="T1215" i="5"/>
  <c r="T1196" i="5"/>
  <c r="T1202" i="5"/>
  <c r="T1181" i="5"/>
  <c r="T1224" i="5"/>
  <c r="T1227" i="5"/>
  <c r="T1214" i="5"/>
  <c r="T1228" i="5"/>
  <c r="T1199" i="5"/>
  <c r="T1237" i="5"/>
  <c r="T1216" i="5"/>
  <c r="T1246" i="5"/>
  <c r="T1212" i="5"/>
  <c r="T1217" i="5"/>
  <c r="T1179" i="5"/>
  <c r="T1192" i="5"/>
  <c r="Q2" i="5"/>
  <c r="S2" i="5" s="1"/>
  <c r="T2" i="5" s="1"/>
  <c r="R2" i="5"/>
  <c r="Q738" i="5"/>
  <c r="S738" i="5" s="1"/>
  <c r="T738" i="5" s="1"/>
  <c r="Q798" i="5"/>
  <c r="S798" i="5" s="1"/>
  <c r="T798" i="5" s="1"/>
  <c r="Q898" i="5"/>
  <c r="S898" i="5" s="1"/>
  <c r="T898" i="5" s="1"/>
  <c r="Q978" i="5"/>
  <c r="S978" i="5" s="1"/>
  <c r="T978" i="5" s="1"/>
  <c r="Q1058" i="5"/>
  <c r="S1058" i="5" s="1"/>
  <c r="T1058" i="5" s="1"/>
  <c r="Q980" i="5"/>
  <c r="S980" i="5" s="1"/>
  <c r="T980" i="5" s="1"/>
  <c r="Q65" i="5"/>
  <c r="S65" i="5" s="1"/>
  <c r="T65" i="5" s="1"/>
  <c r="Q541" i="5"/>
  <c r="S541" i="5" s="1"/>
  <c r="T541" i="5" s="1"/>
  <c r="Q621" i="5"/>
  <c r="S621" i="5" s="1"/>
  <c r="T621" i="5" s="1"/>
  <c r="Q741" i="5"/>
  <c r="S741" i="5" s="1"/>
  <c r="T741" i="5" s="1"/>
  <c r="Q1081" i="5"/>
  <c r="S1081" i="5" s="1"/>
  <c r="T1081" i="5" s="1"/>
  <c r="Q246" i="5"/>
  <c r="S246" i="5" s="1"/>
  <c r="T246" i="5" s="1"/>
  <c r="Q474" i="5"/>
  <c r="S474" i="5" s="1"/>
  <c r="T474" i="5" s="1"/>
  <c r="Q562" i="5"/>
  <c r="S562" i="5" s="1"/>
  <c r="T562" i="5" s="1"/>
  <c r="Q684" i="5"/>
  <c r="S684" i="5" s="1"/>
  <c r="T684" i="5" s="1"/>
  <c r="Q209" i="5"/>
  <c r="S209" i="5" s="1"/>
  <c r="T209" i="5" s="1"/>
  <c r="Q745" i="5"/>
  <c r="S745" i="5" s="1"/>
  <c r="T745" i="5" s="1"/>
  <c r="Q805" i="5"/>
  <c r="S805" i="5" s="1"/>
  <c r="T805" i="5" s="1"/>
  <c r="Q925" i="5"/>
  <c r="S925" i="5" s="1"/>
  <c r="T925" i="5" s="1"/>
  <c r="Q30" i="5"/>
  <c r="S30" i="5" s="1"/>
  <c r="T30" i="5" s="1"/>
  <c r="Q726" i="5"/>
  <c r="S726" i="5" s="1"/>
  <c r="T726" i="5" s="1"/>
  <c r="Q906" i="5"/>
  <c r="S906" i="5" s="1"/>
  <c r="T906" i="5" s="1"/>
  <c r="Q1126" i="5"/>
  <c r="S1126" i="5" s="1"/>
  <c r="T1126" i="5" s="1"/>
  <c r="Q291" i="5"/>
  <c r="S291" i="5" s="1"/>
  <c r="T291" i="5" s="1"/>
  <c r="Q391" i="5"/>
  <c r="S391" i="5" s="1"/>
  <c r="T391" i="5" s="1"/>
  <c r="Q32" i="5"/>
  <c r="S32" i="5" s="1"/>
  <c r="T32" i="5" s="1"/>
  <c r="Q52" i="5"/>
  <c r="S52" i="5" s="1"/>
  <c r="T52" i="5" s="1"/>
  <c r="Q92" i="5"/>
  <c r="S92" i="5" s="1"/>
  <c r="T92" i="5" s="1"/>
  <c r="Q132" i="5"/>
  <c r="S132" i="5" s="1"/>
  <c r="T132" i="5" s="1"/>
  <c r="Q172" i="5"/>
  <c r="S172" i="5" s="1"/>
  <c r="T172" i="5" s="1"/>
  <c r="Q272" i="5"/>
  <c r="S272" i="5" s="1"/>
  <c r="T272" i="5" s="1"/>
  <c r="Q332" i="5"/>
  <c r="S332" i="5" s="1"/>
  <c r="T332" i="5" s="1"/>
  <c r="Q420" i="5"/>
  <c r="S420" i="5" s="1"/>
  <c r="T420" i="5" s="1"/>
  <c r="Q480" i="5"/>
  <c r="S480" i="5" s="1"/>
  <c r="T480" i="5" s="1"/>
  <c r="Q508" i="5"/>
  <c r="S508" i="5" s="1"/>
  <c r="T508" i="5" s="1"/>
  <c r="Q528" i="5"/>
  <c r="S528" i="5" s="1"/>
  <c r="T528" i="5" s="1"/>
  <c r="Q548" i="5"/>
  <c r="S548" i="5" s="1"/>
  <c r="T548" i="5" s="1"/>
  <c r="Q568" i="5"/>
  <c r="S568" i="5" s="1"/>
  <c r="T568" i="5" s="1"/>
  <c r="Q588" i="5"/>
  <c r="S588" i="5" s="1"/>
  <c r="T588" i="5" s="1"/>
  <c r="Q608" i="5"/>
  <c r="S608" i="5" s="1"/>
  <c r="T608" i="5" s="1"/>
  <c r="Q648" i="5"/>
  <c r="S648" i="5" s="1"/>
  <c r="T648" i="5" s="1"/>
  <c r="Q668" i="5"/>
  <c r="S668" i="5" s="1"/>
  <c r="T668" i="5" s="1"/>
  <c r="Q688" i="5"/>
  <c r="S688" i="5" s="1"/>
  <c r="T688" i="5" s="1"/>
  <c r="Q708" i="5"/>
  <c r="S708" i="5" s="1"/>
  <c r="T708" i="5" s="1"/>
  <c r="Q748" i="5"/>
  <c r="S748" i="5" s="1"/>
  <c r="T748" i="5" s="1"/>
  <c r="Q788" i="5"/>
  <c r="S788" i="5" s="1"/>
  <c r="T788" i="5" s="1"/>
  <c r="Q828" i="5"/>
  <c r="S828" i="5" s="1"/>
  <c r="T828" i="5" s="1"/>
  <c r="Q868" i="5"/>
  <c r="S868" i="5" s="1"/>
  <c r="T868" i="5" s="1"/>
  <c r="Q908" i="5"/>
  <c r="S908" i="5" s="1"/>
  <c r="T908" i="5" s="1"/>
  <c r="Q928" i="5"/>
  <c r="S928" i="5" s="1"/>
  <c r="T928" i="5" s="1"/>
  <c r="Q968" i="5"/>
  <c r="S968" i="5" s="1"/>
  <c r="T968" i="5" s="1"/>
  <c r="Q988" i="5"/>
  <c r="S988" i="5" s="1"/>
  <c r="T988" i="5" s="1"/>
  <c r="Q1008" i="5"/>
  <c r="S1008" i="5" s="1"/>
  <c r="T1008" i="5" s="1"/>
  <c r="Q1028" i="5"/>
  <c r="S1028" i="5" s="1"/>
  <c r="T1028" i="5" s="1"/>
  <c r="Q1048" i="5"/>
  <c r="S1048" i="5" s="1"/>
  <c r="T1048" i="5" s="1"/>
  <c r="Q1068" i="5"/>
  <c r="S1068" i="5" s="1"/>
  <c r="T1068" i="5" s="1"/>
  <c r="Q1088" i="5"/>
  <c r="S1088" i="5" s="1"/>
  <c r="T1088" i="5" s="1"/>
  <c r="Q1128" i="5"/>
  <c r="S1128" i="5" s="1"/>
  <c r="T1128" i="5" s="1"/>
  <c r="Q1168" i="5"/>
  <c r="S1168" i="5" s="1"/>
  <c r="T1168" i="5" s="1"/>
  <c r="Q73" i="5"/>
  <c r="S73" i="5" s="1"/>
  <c r="T73" i="5" s="1"/>
  <c r="Q93" i="5"/>
  <c r="S93" i="5" s="1"/>
  <c r="T93" i="5" s="1"/>
  <c r="Q113" i="5"/>
  <c r="S113" i="5" s="1"/>
  <c r="T113" i="5" s="1"/>
  <c r="Q173" i="5"/>
  <c r="S173" i="5" s="1"/>
  <c r="T173" i="5" s="1"/>
  <c r="Q193" i="5"/>
  <c r="S193" i="5" s="1"/>
  <c r="T193" i="5" s="1"/>
  <c r="Q253" i="5"/>
  <c r="S253" i="5" s="1"/>
  <c r="T253" i="5" s="1"/>
  <c r="Q273" i="5"/>
  <c r="S273" i="5" s="1"/>
  <c r="T273" i="5" s="1"/>
  <c r="Q293" i="5"/>
  <c r="S293" i="5" s="1"/>
  <c r="T293" i="5" s="1"/>
  <c r="Q373" i="5"/>
  <c r="S373" i="5" s="1"/>
  <c r="T373" i="5" s="1"/>
  <c r="Q393" i="5"/>
  <c r="S393" i="5" s="1"/>
  <c r="T393" i="5" s="1"/>
  <c r="Q421" i="5"/>
  <c r="S421" i="5" s="1"/>
  <c r="T421" i="5" s="1"/>
  <c r="Q481" i="5"/>
  <c r="S481" i="5" s="1"/>
  <c r="T481" i="5" s="1"/>
  <c r="Q509" i="5"/>
  <c r="S509" i="5" s="1"/>
  <c r="T509" i="5" s="1"/>
  <c r="Q569" i="5"/>
  <c r="S569" i="5" s="1"/>
  <c r="T569" i="5" s="1"/>
  <c r="Q589" i="5"/>
  <c r="S589" i="5" s="1"/>
  <c r="T589" i="5" s="1"/>
  <c r="Q609" i="5"/>
  <c r="S609" i="5" s="1"/>
  <c r="T609" i="5" s="1"/>
  <c r="Q629" i="5"/>
  <c r="S629" i="5" s="1"/>
  <c r="T629" i="5" s="1"/>
  <c r="Q649" i="5"/>
  <c r="S649" i="5" s="1"/>
  <c r="T649" i="5" s="1"/>
  <c r="Q689" i="5"/>
  <c r="S689" i="5" s="1"/>
  <c r="T689" i="5" s="1"/>
  <c r="Q749" i="5"/>
  <c r="S749" i="5" s="1"/>
  <c r="T749" i="5" s="1"/>
  <c r="Q829" i="5"/>
  <c r="S829" i="5" s="1"/>
  <c r="T829" i="5" s="1"/>
  <c r="Q909" i="5"/>
  <c r="S909" i="5" s="1"/>
  <c r="T909" i="5" s="1"/>
  <c r="Q929" i="5"/>
  <c r="S929" i="5" s="1"/>
  <c r="T929" i="5" s="1"/>
  <c r="Q949" i="5"/>
  <c r="S949" i="5" s="1"/>
  <c r="T949" i="5" s="1"/>
  <c r="Q989" i="5"/>
  <c r="S989" i="5" s="1"/>
  <c r="T989" i="5" s="1"/>
  <c r="Q1009" i="5"/>
  <c r="S1009" i="5" s="1"/>
  <c r="T1009" i="5" s="1"/>
  <c r="Q1029" i="5"/>
  <c r="S1029" i="5" s="1"/>
  <c r="T1029" i="5" s="1"/>
  <c r="Q1049" i="5"/>
  <c r="S1049" i="5" s="1"/>
  <c r="T1049" i="5" s="1"/>
  <c r="Q1149" i="5"/>
  <c r="S1149" i="5" s="1"/>
  <c r="T1149" i="5" s="1"/>
  <c r="Q1169" i="5"/>
  <c r="S1169" i="5" s="1"/>
  <c r="T1169" i="5" s="1"/>
  <c r="Q22" i="5"/>
  <c r="S22" i="5" s="1"/>
  <c r="T22" i="5" s="1"/>
  <c r="Q242" i="5"/>
  <c r="S242" i="5" s="1"/>
  <c r="T242" i="5" s="1"/>
  <c r="Q430" i="5"/>
  <c r="S430" i="5" s="1"/>
  <c r="T430" i="5" s="1"/>
  <c r="Q958" i="5"/>
  <c r="S958" i="5" s="1"/>
  <c r="T958" i="5" s="1"/>
  <c r="Q699" i="5"/>
  <c r="S699" i="5" s="1"/>
  <c r="T699" i="5" s="1"/>
  <c r="Q799" i="5"/>
  <c r="S799" i="5" s="1"/>
  <c r="T799" i="5" s="1"/>
  <c r="Q1119" i="5"/>
  <c r="S1119" i="5" s="1"/>
  <c r="T1119" i="5" s="1"/>
  <c r="Q224" i="5"/>
  <c r="S224" i="5" s="1"/>
  <c r="T224" i="5" s="1"/>
  <c r="Q1020" i="5"/>
  <c r="S1020" i="5" s="1"/>
  <c r="T1020" i="5" s="1"/>
  <c r="Q225" i="5"/>
  <c r="S225" i="5" s="1"/>
  <c r="T225" i="5" s="1"/>
  <c r="Q345" i="5"/>
  <c r="S345" i="5" s="1"/>
  <c r="T345" i="5" s="1"/>
  <c r="Q86" i="5"/>
  <c r="S86" i="5" s="1"/>
  <c r="T86" i="5" s="1"/>
  <c r="Q722" i="5"/>
  <c r="S722" i="5" s="1"/>
  <c r="T722" i="5" s="1"/>
  <c r="Q783" i="5"/>
  <c r="S783" i="5" s="1"/>
  <c r="T783" i="5" s="1"/>
  <c r="Q964" i="5"/>
  <c r="S964" i="5" s="1"/>
  <c r="T964" i="5" s="1"/>
  <c r="Q1024" i="5"/>
  <c r="S1024" i="5" s="1"/>
  <c r="T1024" i="5" s="1"/>
  <c r="Q1124" i="5"/>
  <c r="S1124" i="5" s="1"/>
  <c r="T1124" i="5" s="1"/>
  <c r="Q89" i="5"/>
  <c r="S89" i="5" s="1"/>
  <c r="T89" i="5" s="1"/>
  <c r="Q605" i="5"/>
  <c r="S605" i="5" s="1"/>
  <c r="T605" i="5" s="1"/>
  <c r="Q825" i="5"/>
  <c r="S825" i="5" s="1"/>
  <c r="T825" i="5" s="1"/>
  <c r="Q905" i="5"/>
  <c r="S905" i="5" s="1"/>
  <c r="T905" i="5" s="1"/>
  <c r="Q1125" i="5"/>
  <c r="S1125" i="5" s="1"/>
  <c r="T1125" i="5" s="1"/>
  <c r="Q210" i="5"/>
  <c r="S210" i="5" s="1"/>
  <c r="T210" i="5" s="1"/>
  <c r="Q310" i="5"/>
  <c r="S310" i="5" s="1"/>
  <c r="T310" i="5" s="1"/>
  <c r="Q418" i="5"/>
  <c r="S418" i="5" s="1"/>
  <c r="T418" i="5" s="1"/>
  <c r="Q806" i="5"/>
  <c r="S806" i="5" s="1"/>
  <c r="T806" i="5" s="1"/>
  <c r="Q91" i="5"/>
  <c r="S91" i="5" s="1"/>
  <c r="T91" i="5" s="1"/>
  <c r="Q231" i="5"/>
  <c r="S231" i="5" s="1"/>
  <c r="T231" i="5" s="1"/>
  <c r="Q331" i="5"/>
  <c r="S331" i="5" s="1"/>
  <c r="T331" i="5" s="1"/>
  <c r="Q459" i="5"/>
  <c r="S459" i="5" s="1"/>
  <c r="T459" i="5" s="1"/>
  <c r="Q547" i="5"/>
  <c r="S547" i="5" s="1"/>
  <c r="T547" i="5" s="1"/>
  <c r="Q867" i="5"/>
  <c r="S867" i="5" s="1"/>
  <c r="T867" i="5" s="1"/>
  <c r="Q967" i="5"/>
  <c r="S967" i="5" s="1"/>
  <c r="T967" i="5" s="1"/>
  <c r="Q1067" i="5"/>
  <c r="S1067" i="5" s="1"/>
  <c r="T1067" i="5" s="1"/>
  <c r="Q550" i="5"/>
  <c r="S550" i="5" s="1"/>
  <c r="T550" i="5" s="1"/>
  <c r="Q750" i="5"/>
  <c r="S750" i="5" s="1"/>
  <c r="T750" i="5" s="1"/>
  <c r="Q910" i="5"/>
  <c r="S910" i="5" s="1"/>
  <c r="T910" i="5" s="1"/>
  <c r="Q15" i="5"/>
  <c r="S15" i="5" s="1"/>
  <c r="T15" i="5" s="1"/>
  <c r="Q95" i="5"/>
  <c r="S95" i="5" s="1"/>
  <c r="T95" i="5" s="1"/>
  <c r="Q255" i="5"/>
  <c r="S255" i="5" s="1"/>
  <c r="T255" i="5" s="1"/>
  <c r="Q375" i="5"/>
  <c r="S375" i="5" s="1"/>
  <c r="T375" i="5" s="1"/>
  <c r="Q771" i="5"/>
  <c r="S771" i="5" s="1"/>
  <c r="T771" i="5" s="1"/>
  <c r="Q811" i="5"/>
  <c r="S811" i="5" s="1"/>
  <c r="T811" i="5" s="1"/>
  <c r="Q831" i="5"/>
  <c r="S831" i="5" s="1"/>
  <c r="T831" i="5" s="1"/>
  <c r="Q911" i="5"/>
  <c r="S911" i="5" s="1"/>
  <c r="T911" i="5" s="1"/>
  <c r="Q931" i="5"/>
  <c r="S931" i="5" s="1"/>
  <c r="T931" i="5" s="1"/>
  <c r="Q991" i="5"/>
  <c r="S991" i="5" s="1"/>
  <c r="T991" i="5" s="1"/>
  <c r="Q1071" i="5"/>
  <c r="S1071" i="5" s="1"/>
  <c r="T1071" i="5" s="1"/>
  <c r="Q1091" i="5"/>
  <c r="S1091" i="5" s="1"/>
  <c r="T1091" i="5" s="1"/>
  <c r="Q1111" i="5"/>
  <c r="S1111" i="5" s="1"/>
  <c r="T1111" i="5" s="1"/>
  <c r="Q1131" i="5"/>
  <c r="S1131" i="5" s="1"/>
  <c r="T1131" i="5" s="1"/>
  <c r="Q1171" i="5"/>
  <c r="S1171" i="5" s="1"/>
  <c r="T1171" i="5" s="1"/>
  <c r="Q16" i="5"/>
  <c r="S16" i="5" s="1"/>
  <c r="T16" i="5" s="1"/>
  <c r="Q56" i="5"/>
  <c r="S56" i="5" s="1"/>
  <c r="T56" i="5" s="1"/>
  <c r="Q96" i="5"/>
  <c r="S96" i="5" s="1"/>
  <c r="T96" i="5" s="1"/>
  <c r="Q116" i="5"/>
  <c r="S116" i="5" s="1"/>
  <c r="T116" i="5" s="1"/>
  <c r="Q136" i="5"/>
  <c r="S136" i="5" s="1"/>
  <c r="T136" i="5" s="1"/>
  <c r="Q156" i="5"/>
  <c r="S156" i="5" s="1"/>
  <c r="T156" i="5" s="1"/>
  <c r="Q176" i="5"/>
  <c r="S176" i="5" s="1"/>
  <c r="T176" i="5" s="1"/>
  <c r="Q216" i="5"/>
  <c r="S216" i="5" s="1"/>
  <c r="T216" i="5" s="1"/>
  <c r="Q236" i="5"/>
  <c r="S236" i="5" s="1"/>
  <c r="T236" i="5" s="1"/>
  <c r="Q276" i="5"/>
  <c r="S276" i="5" s="1"/>
  <c r="T276" i="5" s="1"/>
  <c r="Q316" i="5"/>
  <c r="S316" i="5" s="1"/>
  <c r="T316" i="5" s="1"/>
  <c r="Q336" i="5"/>
  <c r="S336" i="5" s="1"/>
  <c r="T336" i="5" s="1"/>
  <c r="Q376" i="5"/>
  <c r="S376" i="5" s="1"/>
  <c r="T376" i="5" s="1"/>
  <c r="Q396" i="5"/>
  <c r="S396" i="5" s="1"/>
  <c r="T396" i="5" s="1"/>
  <c r="Q444" i="5"/>
  <c r="S444" i="5" s="1"/>
  <c r="T444" i="5" s="1"/>
  <c r="Q512" i="5"/>
  <c r="S512" i="5" s="1"/>
  <c r="T512" i="5" s="1"/>
  <c r="Q572" i="5"/>
  <c r="S572" i="5" s="1"/>
  <c r="T572" i="5" s="1"/>
  <c r="Q592" i="5"/>
  <c r="S592" i="5" s="1"/>
  <c r="T592" i="5" s="1"/>
  <c r="Q652" i="5"/>
  <c r="S652" i="5" s="1"/>
  <c r="T652" i="5" s="1"/>
  <c r="Q672" i="5"/>
  <c r="S672" i="5" s="1"/>
  <c r="T672" i="5" s="1"/>
  <c r="Q692" i="5"/>
  <c r="S692" i="5" s="1"/>
  <c r="T692" i="5" s="1"/>
  <c r="Q712" i="5"/>
  <c r="S712" i="5" s="1"/>
  <c r="T712" i="5" s="1"/>
  <c r="Q752" i="5"/>
  <c r="S752" i="5" s="1"/>
  <c r="T752" i="5" s="1"/>
  <c r="Q772" i="5"/>
  <c r="S772" i="5" s="1"/>
  <c r="T772" i="5" s="1"/>
  <c r="Q792" i="5"/>
  <c r="S792" i="5" s="1"/>
  <c r="T792" i="5" s="1"/>
  <c r="Q832" i="5"/>
  <c r="S832" i="5" s="1"/>
  <c r="T832" i="5" s="1"/>
  <c r="Q852" i="5"/>
  <c r="S852" i="5" s="1"/>
  <c r="T852" i="5" s="1"/>
  <c r="Q872" i="5"/>
  <c r="S872" i="5" s="1"/>
  <c r="T872" i="5" s="1"/>
  <c r="Q892" i="5"/>
  <c r="S892" i="5" s="1"/>
  <c r="T892" i="5" s="1"/>
  <c r="Q932" i="5"/>
  <c r="S932" i="5" s="1"/>
  <c r="T932" i="5" s="1"/>
  <c r="Q992" i="5"/>
  <c r="S992" i="5" s="1"/>
  <c r="T992" i="5" s="1"/>
  <c r="Q1092" i="5"/>
  <c r="S1092" i="5" s="1"/>
  <c r="T1092" i="5" s="1"/>
  <c r="Q1152" i="5"/>
  <c r="S1152" i="5" s="1"/>
  <c r="T1152" i="5" s="1"/>
  <c r="Q1172" i="5"/>
  <c r="S1172" i="5" s="1"/>
  <c r="T1172" i="5" s="1"/>
  <c r="Q282" i="5"/>
  <c r="S282" i="5" s="1"/>
  <c r="T282" i="5" s="1"/>
  <c r="Q490" i="5"/>
  <c r="S490" i="5" s="1"/>
  <c r="T490" i="5" s="1"/>
  <c r="Q558" i="5"/>
  <c r="S558" i="5" s="1"/>
  <c r="T558" i="5" s="1"/>
  <c r="Q778" i="5"/>
  <c r="S778" i="5" s="1"/>
  <c r="T778" i="5" s="1"/>
  <c r="Q878" i="5"/>
  <c r="S878" i="5" s="1"/>
  <c r="T878" i="5" s="1"/>
  <c r="Q938" i="5"/>
  <c r="S938" i="5" s="1"/>
  <c r="T938" i="5" s="1"/>
  <c r="Q1038" i="5"/>
  <c r="S1038" i="5" s="1"/>
  <c r="T1038" i="5" s="1"/>
  <c r="Q1098" i="5"/>
  <c r="S1098" i="5" s="1"/>
  <c r="T1098" i="5" s="1"/>
  <c r="Q839" i="5"/>
  <c r="S839" i="5" s="1"/>
  <c r="T839" i="5" s="1"/>
  <c r="Q365" i="5"/>
  <c r="S365" i="5" s="1"/>
  <c r="T365" i="5" s="1"/>
  <c r="Q781" i="5"/>
  <c r="S781" i="5" s="1"/>
  <c r="T781" i="5" s="1"/>
  <c r="Q1061" i="5"/>
  <c r="S1061" i="5" s="1"/>
  <c r="T1061" i="5" s="1"/>
  <c r="Q582" i="5"/>
  <c r="S582" i="5" s="1"/>
  <c r="T582" i="5" s="1"/>
  <c r="Q942" i="5"/>
  <c r="S942" i="5" s="1"/>
  <c r="T942" i="5" s="1"/>
  <c r="Q1142" i="5"/>
  <c r="S1142" i="5" s="1"/>
  <c r="T1142" i="5" s="1"/>
  <c r="Q127" i="5"/>
  <c r="S127" i="5" s="1"/>
  <c r="T127" i="5" s="1"/>
  <c r="Q407" i="5"/>
  <c r="S407" i="5" s="1"/>
  <c r="T407" i="5" s="1"/>
  <c r="Q475" i="5"/>
  <c r="S475" i="5" s="1"/>
  <c r="T475" i="5" s="1"/>
  <c r="Q1063" i="5"/>
  <c r="S1063" i="5" s="1"/>
  <c r="T1063" i="5" s="1"/>
  <c r="Q544" i="5"/>
  <c r="S544" i="5" s="1"/>
  <c r="T544" i="5" s="1"/>
  <c r="Q724" i="5"/>
  <c r="S724" i="5" s="1"/>
  <c r="T724" i="5" s="1"/>
  <c r="Q924" i="5"/>
  <c r="S924" i="5" s="1"/>
  <c r="T924" i="5" s="1"/>
  <c r="Q369" i="5"/>
  <c r="S369" i="5" s="1"/>
  <c r="T369" i="5" s="1"/>
  <c r="Q417" i="5"/>
  <c r="S417" i="5" s="1"/>
  <c r="T417" i="5" s="1"/>
  <c r="Q505" i="5"/>
  <c r="S505" i="5" s="1"/>
  <c r="T505" i="5" s="1"/>
  <c r="Q725" i="5"/>
  <c r="S725" i="5" s="1"/>
  <c r="T725" i="5" s="1"/>
  <c r="Q965" i="5"/>
  <c r="S965" i="5" s="1"/>
  <c r="T965" i="5" s="1"/>
  <c r="Q70" i="5"/>
  <c r="S70" i="5" s="1"/>
  <c r="T70" i="5" s="1"/>
  <c r="Q766" i="5"/>
  <c r="S766" i="5" s="1"/>
  <c r="T766" i="5" s="1"/>
  <c r="Q1006" i="5"/>
  <c r="S1006" i="5" s="1"/>
  <c r="T1006" i="5" s="1"/>
  <c r="Q1086" i="5"/>
  <c r="S1086" i="5" s="1"/>
  <c r="T1086" i="5" s="1"/>
  <c r="Q211" i="5"/>
  <c r="S211" i="5" s="1"/>
  <c r="T211" i="5" s="1"/>
  <c r="Q627" i="5"/>
  <c r="S627" i="5" s="1"/>
  <c r="T627" i="5" s="1"/>
  <c r="Q927" i="5"/>
  <c r="S927" i="5" s="1"/>
  <c r="T927" i="5" s="1"/>
  <c r="Q1167" i="5"/>
  <c r="S1167" i="5" s="1"/>
  <c r="T1167" i="5" s="1"/>
  <c r="Q294" i="5"/>
  <c r="S294" i="5" s="1"/>
  <c r="T294" i="5" s="1"/>
  <c r="Q422" i="5"/>
  <c r="S422" i="5" s="1"/>
  <c r="T422" i="5" s="1"/>
  <c r="Q590" i="5"/>
  <c r="S590" i="5" s="1"/>
  <c r="T590" i="5" s="1"/>
  <c r="Q650" i="5"/>
  <c r="S650" i="5" s="1"/>
  <c r="T650" i="5" s="1"/>
  <c r="Q1170" i="5"/>
  <c r="S1170" i="5" s="1"/>
  <c r="T1170" i="5" s="1"/>
  <c r="Q75" i="5"/>
  <c r="S75" i="5" s="1"/>
  <c r="T75" i="5" s="1"/>
  <c r="Q355" i="5"/>
  <c r="S355" i="5" s="1"/>
  <c r="T355" i="5" s="1"/>
  <c r="Q571" i="5"/>
  <c r="S571" i="5" s="1"/>
  <c r="T571" i="5" s="1"/>
  <c r="Q57" i="5"/>
  <c r="S57" i="5" s="1"/>
  <c r="T57" i="5" s="1"/>
  <c r="Q137" i="5"/>
  <c r="S137" i="5" s="1"/>
  <c r="T137" i="5" s="1"/>
  <c r="Q297" i="5"/>
  <c r="S297" i="5" s="1"/>
  <c r="T297" i="5" s="1"/>
  <c r="Q425" i="5"/>
  <c r="S425" i="5" s="1"/>
  <c r="T425" i="5" s="1"/>
  <c r="Q485" i="5"/>
  <c r="S485" i="5" s="1"/>
  <c r="T485" i="5" s="1"/>
  <c r="Q533" i="5"/>
  <c r="S533" i="5" s="1"/>
  <c r="T533" i="5" s="1"/>
  <c r="Q793" i="5"/>
  <c r="S793" i="5" s="1"/>
  <c r="T793" i="5" s="1"/>
  <c r="Q853" i="5"/>
  <c r="S853" i="5" s="1"/>
  <c r="T853" i="5" s="1"/>
  <c r="Q1093" i="5"/>
  <c r="S1093" i="5" s="1"/>
  <c r="T1093" i="5" s="1"/>
  <c r="Q58" i="5"/>
  <c r="S58" i="5" s="1"/>
  <c r="T58" i="5" s="1"/>
  <c r="Q138" i="5"/>
  <c r="S138" i="5" s="1"/>
  <c r="T138" i="5" s="1"/>
  <c r="Q158" i="5"/>
  <c r="S158" i="5" s="1"/>
  <c r="T158" i="5" s="1"/>
  <c r="Q198" i="5"/>
  <c r="S198" i="5" s="1"/>
  <c r="T198" i="5" s="1"/>
  <c r="Q218" i="5"/>
  <c r="S218" i="5" s="1"/>
  <c r="T218" i="5" s="1"/>
  <c r="Q238" i="5"/>
  <c r="S238" i="5" s="1"/>
  <c r="T238" i="5" s="1"/>
  <c r="Q278" i="5"/>
  <c r="S278" i="5" s="1"/>
  <c r="T278" i="5" s="1"/>
  <c r="Q298" i="5"/>
  <c r="S298" i="5" s="1"/>
  <c r="T298" i="5" s="1"/>
  <c r="Q358" i="5"/>
  <c r="S358" i="5" s="1"/>
  <c r="T358" i="5" s="1"/>
  <c r="Q378" i="5"/>
  <c r="S378" i="5" s="1"/>
  <c r="T378" i="5" s="1"/>
  <c r="Q398" i="5"/>
  <c r="S398" i="5" s="1"/>
  <c r="T398" i="5" s="1"/>
  <c r="Q446" i="5"/>
  <c r="S446" i="5" s="1"/>
  <c r="T446" i="5" s="1"/>
  <c r="Q466" i="5"/>
  <c r="S466" i="5" s="1"/>
  <c r="T466" i="5" s="1"/>
  <c r="Q486" i="5"/>
  <c r="S486" i="5" s="1"/>
  <c r="T486" i="5" s="1"/>
  <c r="Q514" i="5"/>
  <c r="S514" i="5" s="1"/>
  <c r="T514" i="5" s="1"/>
  <c r="Q554" i="5"/>
  <c r="S554" i="5" s="1"/>
  <c r="T554" i="5" s="1"/>
  <c r="Q634" i="5"/>
  <c r="S634" i="5" s="1"/>
  <c r="T634" i="5" s="1"/>
  <c r="Q694" i="5"/>
  <c r="S694" i="5" s="1"/>
  <c r="T694" i="5" s="1"/>
  <c r="Q774" i="5"/>
  <c r="S774" i="5" s="1"/>
  <c r="T774" i="5" s="1"/>
  <c r="Q794" i="5"/>
  <c r="S794" i="5" s="1"/>
  <c r="T794" i="5" s="1"/>
  <c r="Q834" i="5"/>
  <c r="S834" i="5" s="1"/>
  <c r="T834" i="5" s="1"/>
  <c r="Q954" i="5"/>
  <c r="S954" i="5" s="1"/>
  <c r="T954" i="5" s="1"/>
  <c r="Q974" i="5"/>
  <c r="S974" i="5" s="1"/>
  <c r="T974" i="5" s="1"/>
  <c r="Q1014" i="5"/>
  <c r="S1014" i="5" s="1"/>
  <c r="T1014" i="5" s="1"/>
  <c r="Q1034" i="5"/>
  <c r="S1034" i="5" s="1"/>
  <c r="T1034" i="5" s="1"/>
  <c r="Q1074" i="5"/>
  <c r="S1074" i="5" s="1"/>
  <c r="T1074" i="5" s="1"/>
  <c r="Q1094" i="5"/>
  <c r="S1094" i="5" s="1"/>
  <c r="T1094" i="5" s="1"/>
  <c r="Q1134" i="5"/>
  <c r="S1134" i="5" s="1"/>
  <c r="T1134" i="5" s="1"/>
  <c r="Q1154" i="5"/>
  <c r="S1154" i="5" s="1"/>
  <c r="T1154" i="5" s="1"/>
  <c r="Q1174" i="5"/>
  <c r="S1174" i="5" s="1"/>
  <c r="T1174" i="5" s="1"/>
  <c r="Q82" i="5"/>
  <c r="S82" i="5" s="1"/>
  <c r="T82" i="5" s="1"/>
  <c r="Q410" i="5"/>
  <c r="S410" i="5" s="1"/>
  <c r="T410" i="5" s="1"/>
  <c r="Q518" i="5"/>
  <c r="S518" i="5" s="1"/>
  <c r="T518" i="5" s="1"/>
  <c r="Q1138" i="5"/>
  <c r="S1138" i="5" s="1"/>
  <c r="T1138" i="5" s="1"/>
  <c r="Q939" i="5"/>
  <c r="S939" i="5" s="1"/>
  <c r="T939" i="5" s="1"/>
  <c r="Q1080" i="5"/>
  <c r="S1080" i="5" s="1"/>
  <c r="T1080" i="5" s="1"/>
  <c r="Q45" i="5"/>
  <c r="S45" i="5" s="1"/>
  <c r="T45" i="5" s="1"/>
  <c r="Q285" i="5"/>
  <c r="S285" i="5" s="1"/>
  <c r="T285" i="5" s="1"/>
  <c r="Q493" i="5"/>
  <c r="S493" i="5" s="1"/>
  <c r="T493" i="5" s="1"/>
  <c r="Q721" i="5"/>
  <c r="S721" i="5" s="1"/>
  <c r="T721" i="5" s="1"/>
  <c r="Q921" i="5"/>
  <c r="S921" i="5" s="1"/>
  <c r="T921" i="5" s="1"/>
  <c r="Q981" i="5"/>
  <c r="S981" i="5" s="1"/>
  <c r="T981" i="5" s="1"/>
  <c r="Q1121" i="5"/>
  <c r="S1121" i="5" s="1"/>
  <c r="T1121" i="5" s="1"/>
  <c r="Q166" i="5"/>
  <c r="S166" i="5" s="1"/>
  <c r="T166" i="5" s="1"/>
  <c r="Q723" i="5"/>
  <c r="S723" i="5" s="1"/>
  <c r="T723" i="5" s="1"/>
  <c r="Q189" i="5"/>
  <c r="S189" i="5" s="1"/>
  <c r="T189" i="5" s="1"/>
  <c r="Q269" i="5"/>
  <c r="S269" i="5" s="1"/>
  <c r="T269" i="5" s="1"/>
  <c r="Q349" i="5"/>
  <c r="S349" i="5" s="1"/>
  <c r="T349" i="5" s="1"/>
  <c r="Q545" i="5"/>
  <c r="S545" i="5" s="1"/>
  <c r="T545" i="5" s="1"/>
  <c r="Q1145" i="5"/>
  <c r="S1145" i="5" s="1"/>
  <c r="T1145" i="5" s="1"/>
  <c r="Q130" i="5"/>
  <c r="S130" i="5" s="1"/>
  <c r="T130" i="5" s="1"/>
  <c r="Q230" i="5"/>
  <c r="S230" i="5" s="1"/>
  <c r="T230" i="5" s="1"/>
  <c r="Q370" i="5"/>
  <c r="S370" i="5" s="1"/>
  <c r="T370" i="5" s="1"/>
  <c r="Q666" i="5"/>
  <c r="S666" i="5" s="1"/>
  <c r="T666" i="5" s="1"/>
  <c r="Q866" i="5"/>
  <c r="S866" i="5" s="1"/>
  <c r="T866" i="5" s="1"/>
  <c r="Q986" i="5"/>
  <c r="S986" i="5" s="1"/>
  <c r="T986" i="5" s="1"/>
  <c r="Q1106" i="5"/>
  <c r="S1106" i="5" s="1"/>
  <c r="T1106" i="5" s="1"/>
  <c r="Q31" i="5"/>
  <c r="S31" i="5" s="1"/>
  <c r="T31" i="5" s="1"/>
  <c r="Q311" i="5"/>
  <c r="S311" i="5" s="1"/>
  <c r="T311" i="5" s="1"/>
  <c r="Q607" i="5"/>
  <c r="S607" i="5" s="1"/>
  <c r="T607" i="5" s="1"/>
  <c r="Q647" i="5"/>
  <c r="S647" i="5" s="1"/>
  <c r="T647" i="5" s="1"/>
  <c r="Q727" i="5"/>
  <c r="S727" i="5" s="1"/>
  <c r="T727" i="5" s="1"/>
  <c r="Q987" i="5"/>
  <c r="S987" i="5" s="1"/>
  <c r="T987" i="5" s="1"/>
  <c r="Q1147" i="5"/>
  <c r="S1147" i="5" s="1"/>
  <c r="T1147" i="5" s="1"/>
  <c r="Q34" i="5"/>
  <c r="S34" i="5" s="1"/>
  <c r="T34" i="5" s="1"/>
  <c r="Q114" i="5"/>
  <c r="S114" i="5" s="1"/>
  <c r="T114" i="5" s="1"/>
  <c r="Q610" i="5"/>
  <c r="S610" i="5" s="1"/>
  <c r="T610" i="5" s="1"/>
  <c r="Q770" i="5"/>
  <c r="S770" i="5" s="1"/>
  <c r="T770" i="5" s="1"/>
  <c r="Q930" i="5"/>
  <c r="S930" i="5" s="1"/>
  <c r="T930" i="5" s="1"/>
  <c r="Q1010" i="5"/>
  <c r="S1010" i="5" s="1"/>
  <c r="T1010" i="5" s="1"/>
  <c r="Q395" i="5"/>
  <c r="S395" i="5" s="1"/>
  <c r="T395" i="5" s="1"/>
  <c r="Q463" i="5"/>
  <c r="S463" i="5" s="1"/>
  <c r="T463" i="5" s="1"/>
  <c r="Q691" i="5"/>
  <c r="S691" i="5" s="1"/>
  <c r="T691" i="5" s="1"/>
  <c r="Q77" i="5"/>
  <c r="S77" i="5" s="1"/>
  <c r="T77" i="5" s="1"/>
  <c r="Q357" i="5"/>
  <c r="S357" i="5" s="1"/>
  <c r="T357" i="5" s="1"/>
  <c r="Q445" i="5"/>
  <c r="S445" i="5" s="1"/>
  <c r="T445" i="5" s="1"/>
  <c r="Q613" i="5"/>
  <c r="S613" i="5" s="1"/>
  <c r="T613" i="5" s="1"/>
  <c r="Q773" i="5"/>
  <c r="S773" i="5" s="1"/>
  <c r="T773" i="5" s="1"/>
  <c r="Q893" i="5"/>
  <c r="S893" i="5" s="1"/>
  <c r="T893" i="5" s="1"/>
  <c r="Q933" i="5"/>
  <c r="S933" i="5" s="1"/>
  <c r="T933" i="5" s="1"/>
  <c r="Q1013" i="5"/>
  <c r="S1013" i="5" s="1"/>
  <c r="T1013" i="5" s="1"/>
  <c r="Q1153" i="5"/>
  <c r="S1153" i="5" s="1"/>
  <c r="T1153" i="5" s="1"/>
  <c r="Q19" i="5"/>
  <c r="S19" i="5" s="1"/>
  <c r="T19" i="5" s="1"/>
  <c r="Q59" i="5"/>
  <c r="S59" i="5" s="1"/>
  <c r="T59" i="5" s="1"/>
  <c r="Q99" i="5"/>
  <c r="S99" i="5" s="1"/>
  <c r="T99" i="5" s="1"/>
  <c r="Q159" i="5"/>
  <c r="S159" i="5" s="1"/>
  <c r="T159" i="5" s="1"/>
  <c r="Q219" i="5"/>
  <c r="S219" i="5" s="1"/>
  <c r="T219" i="5" s="1"/>
  <c r="Q299" i="5"/>
  <c r="S299" i="5" s="1"/>
  <c r="T299" i="5" s="1"/>
  <c r="Q379" i="5"/>
  <c r="S379" i="5" s="1"/>
  <c r="T379" i="5" s="1"/>
  <c r="Q399" i="5"/>
  <c r="S399" i="5" s="1"/>
  <c r="T399" i="5" s="1"/>
  <c r="Q447" i="5"/>
  <c r="S447" i="5" s="1"/>
  <c r="T447" i="5" s="1"/>
  <c r="Q487" i="5"/>
  <c r="S487" i="5" s="1"/>
  <c r="T487" i="5" s="1"/>
  <c r="Q515" i="5"/>
  <c r="S515" i="5" s="1"/>
  <c r="T515" i="5" s="1"/>
  <c r="Q535" i="5"/>
  <c r="S535" i="5" s="1"/>
  <c r="T535" i="5" s="1"/>
  <c r="Q555" i="5"/>
  <c r="S555" i="5" s="1"/>
  <c r="T555" i="5" s="1"/>
  <c r="Q575" i="5"/>
  <c r="S575" i="5" s="1"/>
  <c r="T575" i="5" s="1"/>
  <c r="Q615" i="5"/>
  <c r="S615" i="5" s="1"/>
  <c r="T615" i="5" s="1"/>
  <c r="Q655" i="5"/>
  <c r="S655" i="5" s="1"/>
  <c r="T655" i="5" s="1"/>
  <c r="Q695" i="5"/>
  <c r="S695" i="5" s="1"/>
  <c r="T695" i="5" s="1"/>
  <c r="Q715" i="5"/>
  <c r="S715" i="5" s="1"/>
  <c r="T715" i="5" s="1"/>
  <c r="Q735" i="5"/>
  <c r="S735" i="5" s="1"/>
  <c r="T735" i="5" s="1"/>
  <c r="Q755" i="5"/>
  <c r="S755" i="5" s="1"/>
  <c r="T755" i="5" s="1"/>
  <c r="Q775" i="5"/>
  <c r="S775" i="5" s="1"/>
  <c r="T775" i="5" s="1"/>
  <c r="Q795" i="5"/>
  <c r="S795" i="5" s="1"/>
  <c r="T795" i="5" s="1"/>
  <c r="Q835" i="5"/>
  <c r="S835" i="5" s="1"/>
  <c r="T835" i="5" s="1"/>
  <c r="Q875" i="5"/>
  <c r="S875" i="5" s="1"/>
  <c r="T875" i="5" s="1"/>
  <c r="Q895" i="5"/>
  <c r="S895" i="5" s="1"/>
  <c r="T895" i="5" s="1"/>
  <c r="Q915" i="5"/>
  <c r="S915" i="5" s="1"/>
  <c r="T915" i="5" s="1"/>
  <c r="Q935" i="5"/>
  <c r="S935" i="5" s="1"/>
  <c r="T935" i="5" s="1"/>
  <c r="Q955" i="5"/>
  <c r="S955" i="5" s="1"/>
  <c r="T955" i="5" s="1"/>
  <c r="Q1095" i="5"/>
  <c r="S1095" i="5" s="1"/>
  <c r="T1095" i="5" s="1"/>
  <c r="Q1115" i="5"/>
  <c r="S1115" i="5" s="1"/>
  <c r="T1115" i="5" s="1"/>
  <c r="Q1135" i="5"/>
  <c r="S1135" i="5" s="1"/>
  <c r="T1135" i="5" s="1"/>
  <c r="Q1155" i="5"/>
  <c r="S1155" i="5" s="1"/>
  <c r="T1155" i="5" s="1"/>
  <c r="Q362" i="5"/>
  <c r="S362" i="5" s="1"/>
  <c r="T362" i="5" s="1"/>
  <c r="Q538" i="5"/>
  <c r="S538" i="5" s="1"/>
  <c r="T538" i="5" s="1"/>
  <c r="Q739" i="5"/>
  <c r="S739" i="5" s="1"/>
  <c r="T739" i="5" s="1"/>
  <c r="Q1079" i="5"/>
  <c r="S1079" i="5" s="1"/>
  <c r="T1079" i="5" s="1"/>
  <c r="Q85" i="5"/>
  <c r="S85" i="5" s="1"/>
  <c r="T85" i="5" s="1"/>
  <c r="Q305" i="5"/>
  <c r="S305" i="5" s="1"/>
  <c r="T305" i="5" s="1"/>
  <c r="Q433" i="5"/>
  <c r="S433" i="5" s="1"/>
  <c r="T433" i="5" s="1"/>
  <c r="Q661" i="5"/>
  <c r="S661" i="5" s="1"/>
  <c r="T661" i="5" s="1"/>
  <c r="Q761" i="5"/>
  <c r="S761" i="5" s="1"/>
  <c r="T761" i="5" s="1"/>
  <c r="Q821" i="5"/>
  <c r="S821" i="5" s="1"/>
  <c r="T821" i="5" s="1"/>
  <c r="Q901" i="5"/>
  <c r="S901" i="5" s="1"/>
  <c r="T901" i="5" s="1"/>
  <c r="Q1001" i="5"/>
  <c r="S1001" i="5" s="1"/>
  <c r="T1001" i="5" s="1"/>
  <c r="Q1101" i="5"/>
  <c r="S1101" i="5" s="1"/>
  <c r="T1101" i="5" s="1"/>
  <c r="Q66" i="5"/>
  <c r="S66" i="5" s="1"/>
  <c r="T66" i="5" s="1"/>
  <c r="Q326" i="5"/>
  <c r="S326" i="5" s="1"/>
  <c r="T326" i="5" s="1"/>
  <c r="Q434" i="5"/>
  <c r="S434" i="5" s="1"/>
  <c r="T434" i="5" s="1"/>
  <c r="Q622" i="5"/>
  <c r="S622" i="5" s="1"/>
  <c r="T622" i="5" s="1"/>
  <c r="Q662" i="5"/>
  <c r="S662" i="5" s="1"/>
  <c r="T662" i="5" s="1"/>
  <c r="Q742" i="5"/>
  <c r="S742" i="5" s="1"/>
  <c r="T742" i="5" s="1"/>
  <c r="Q802" i="5"/>
  <c r="S802" i="5" s="1"/>
  <c r="T802" i="5" s="1"/>
  <c r="Q962" i="5"/>
  <c r="S962" i="5" s="1"/>
  <c r="T962" i="5" s="1"/>
  <c r="Q1162" i="5"/>
  <c r="S1162" i="5" s="1"/>
  <c r="T1162" i="5" s="1"/>
  <c r="Q367" i="5"/>
  <c r="S367" i="5" s="1"/>
  <c r="T367" i="5" s="1"/>
  <c r="Q1123" i="5"/>
  <c r="S1123" i="5" s="1"/>
  <c r="T1123" i="5" s="1"/>
  <c r="Q784" i="5"/>
  <c r="S784" i="5" s="1"/>
  <c r="T784" i="5" s="1"/>
  <c r="Q864" i="5"/>
  <c r="S864" i="5" s="1"/>
  <c r="T864" i="5" s="1"/>
  <c r="Q129" i="5"/>
  <c r="S129" i="5" s="1"/>
  <c r="T129" i="5" s="1"/>
  <c r="Q229" i="5"/>
  <c r="S229" i="5" s="1"/>
  <c r="T229" i="5" s="1"/>
  <c r="Q329" i="5"/>
  <c r="S329" i="5" s="1"/>
  <c r="T329" i="5" s="1"/>
  <c r="Q585" i="5"/>
  <c r="S585" i="5" s="1"/>
  <c r="T585" i="5" s="1"/>
  <c r="Q1165" i="5"/>
  <c r="S1165" i="5" s="1"/>
  <c r="T1165" i="5" s="1"/>
  <c r="Q190" i="5"/>
  <c r="S190" i="5" s="1"/>
  <c r="T190" i="5" s="1"/>
  <c r="Q270" i="5"/>
  <c r="S270" i="5" s="1"/>
  <c r="T270" i="5" s="1"/>
  <c r="Q350" i="5"/>
  <c r="S350" i="5" s="1"/>
  <c r="T350" i="5" s="1"/>
  <c r="Q506" i="5"/>
  <c r="S506" i="5" s="1"/>
  <c r="T506" i="5" s="1"/>
  <c r="Q646" i="5"/>
  <c r="S646" i="5" s="1"/>
  <c r="T646" i="5" s="1"/>
  <c r="Q746" i="5"/>
  <c r="S746" i="5" s="1"/>
  <c r="T746" i="5" s="1"/>
  <c r="Q1046" i="5"/>
  <c r="S1046" i="5" s="1"/>
  <c r="T1046" i="5" s="1"/>
  <c r="Q1166" i="5"/>
  <c r="S1166" i="5" s="1"/>
  <c r="T1166" i="5" s="1"/>
  <c r="Q71" i="5"/>
  <c r="S71" i="5" s="1"/>
  <c r="T71" i="5" s="1"/>
  <c r="Q131" i="5"/>
  <c r="S131" i="5" s="1"/>
  <c r="T131" i="5" s="1"/>
  <c r="Q191" i="5"/>
  <c r="S191" i="5" s="1"/>
  <c r="T191" i="5" s="1"/>
  <c r="Q271" i="5"/>
  <c r="S271" i="5" s="1"/>
  <c r="T271" i="5" s="1"/>
  <c r="Q371" i="5"/>
  <c r="S371" i="5" s="1"/>
  <c r="T371" i="5" s="1"/>
  <c r="Q419" i="5"/>
  <c r="S419" i="5" s="1"/>
  <c r="T419" i="5" s="1"/>
  <c r="Q507" i="5"/>
  <c r="S507" i="5" s="1"/>
  <c r="T507" i="5" s="1"/>
  <c r="Q767" i="5"/>
  <c r="S767" i="5" s="1"/>
  <c r="T767" i="5" s="1"/>
  <c r="Q1107" i="5"/>
  <c r="S1107" i="5" s="1"/>
  <c r="T1107" i="5" s="1"/>
  <c r="Q54" i="5"/>
  <c r="S54" i="5" s="1"/>
  <c r="T54" i="5" s="1"/>
  <c r="Q234" i="5"/>
  <c r="S234" i="5" s="1"/>
  <c r="T234" i="5" s="1"/>
  <c r="Q314" i="5"/>
  <c r="S314" i="5" s="1"/>
  <c r="T314" i="5" s="1"/>
  <c r="Q690" i="5"/>
  <c r="S690" i="5" s="1"/>
  <c r="T690" i="5" s="1"/>
  <c r="Q890" i="5"/>
  <c r="S890" i="5" s="1"/>
  <c r="T890" i="5" s="1"/>
  <c r="Q1070" i="5"/>
  <c r="S1070" i="5" s="1"/>
  <c r="T1070" i="5" s="1"/>
  <c r="Q1150" i="5"/>
  <c r="S1150" i="5" s="1"/>
  <c r="T1150" i="5" s="1"/>
  <c r="Q277" i="5"/>
  <c r="S277" i="5" s="1"/>
  <c r="T277" i="5" s="1"/>
  <c r="Q693" i="5"/>
  <c r="S693" i="5" s="1"/>
  <c r="T693" i="5" s="1"/>
  <c r="Q753" i="5"/>
  <c r="S753" i="5" s="1"/>
  <c r="T753" i="5" s="1"/>
  <c r="Q873" i="5"/>
  <c r="S873" i="5" s="1"/>
  <c r="T873" i="5" s="1"/>
  <c r="Q913" i="5"/>
  <c r="S913" i="5" s="1"/>
  <c r="T913" i="5" s="1"/>
  <c r="Q973" i="5"/>
  <c r="S973" i="5" s="1"/>
  <c r="T973" i="5" s="1"/>
  <c r="Q1033" i="5"/>
  <c r="S1033" i="5" s="1"/>
  <c r="T1033" i="5" s="1"/>
  <c r="Q20" i="5"/>
  <c r="S20" i="5" s="1"/>
  <c r="T20" i="5" s="1"/>
  <c r="Q100" i="5"/>
  <c r="S100" i="5" s="1"/>
  <c r="T100" i="5" s="1"/>
  <c r="Q120" i="5"/>
  <c r="S120" i="5" s="1"/>
  <c r="T120" i="5" s="1"/>
  <c r="Q160" i="5"/>
  <c r="S160" i="5" s="1"/>
  <c r="T160" i="5" s="1"/>
  <c r="Q180" i="5"/>
  <c r="S180" i="5" s="1"/>
  <c r="T180" i="5" s="1"/>
  <c r="Q200" i="5"/>
  <c r="S200" i="5" s="1"/>
  <c r="T200" i="5" s="1"/>
  <c r="Q240" i="5"/>
  <c r="S240" i="5" s="1"/>
  <c r="T240" i="5" s="1"/>
  <c r="Q260" i="5"/>
  <c r="S260" i="5" s="1"/>
  <c r="T260" i="5" s="1"/>
  <c r="Q340" i="5"/>
  <c r="S340" i="5" s="1"/>
  <c r="T340" i="5" s="1"/>
  <c r="Q400" i="5"/>
  <c r="S400" i="5" s="1"/>
  <c r="T400" i="5" s="1"/>
  <c r="Q428" i="5"/>
  <c r="S428" i="5" s="1"/>
  <c r="T428" i="5" s="1"/>
  <c r="Q448" i="5"/>
  <c r="S448" i="5" s="1"/>
  <c r="T448" i="5" s="1"/>
  <c r="Q488" i="5"/>
  <c r="S488" i="5" s="1"/>
  <c r="T488" i="5" s="1"/>
  <c r="Q556" i="5"/>
  <c r="S556" i="5" s="1"/>
  <c r="T556" i="5" s="1"/>
  <c r="Q576" i="5"/>
  <c r="S576" i="5" s="1"/>
  <c r="T576" i="5" s="1"/>
  <c r="Q616" i="5"/>
  <c r="S616" i="5" s="1"/>
  <c r="T616" i="5" s="1"/>
  <c r="Q636" i="5"/>
  <c r="S636" i="5" s="1"/>
  <c r="T636" i="5" s="1"/>
  <c r="Q656" i="5"/>
  <c r="S656" i="5" s="1"/>
  <c r="T656" i="5" s="1"/>
  <c r="Q696" i="5"/>
  <c r="S696" i="5" s="1"/>
  <c r="T696" i="5" s="1"/>
  <c r="Q716" i="5"/>
  <c r="S716" i="5" s="1"/>
  <c r="T716" i="5" s="1"/>
  <c r="Q756" i="5"/>
  <c r="S756" i="5" s="1"/>
  <c r="T756" i="5" s="1"/>
  <c r="Q776" i="5"/>
  <c r="S776" i="5" s="1"/>
  <c r="T776" i="5" s="1"/>
  <c r="Q796" i="5"/>
  <c r="S796" i="5" s="1"/>
  <c r="T796" i="5" s="1"/>
  <c r="Q836" i="5"/>
  <c r="S836" i="5" s="1"/>
  <c r="T836" i="5" s="1"/>
  <c r="Q876" i="5"/>
  <c r="S876" i="5" s="1"/>
  <c r="T876" i="5" s="1"/>
  <c r="Q896" i="5"/>
  <c r="S896" i="5" s="1"/>
  <c r="T896" i="5" s="1"/>
  <c r="Q916" i="5"/>
  <c r="S916" i="5" s="1"/>
  <c r="T916" i="5" s="1"/>
  <c r="Q936" i="5"/>
  <c r="S936" i="5" s="1"/>
  <c r="T936" i="5" s="1"/>
  <c r="Q956" i="5"/>
  <c r="S956" i="5" s="1"/>
  <c r="T956" i="5" s="1"/>
  <c r="Q976" i="5"/>
  <c r="S976" i="5" s="1"/>
  <c r="T976" i="5" s="1"/>
  <c r="Q1016" i="5"/>
  <c r="S1016" i="5" s="1"/>
  <c r="T1016" i="5" s="1"/>
  <c r="Q1096" i="5"/>
  <c r="S1096" i="5" s="1"/>
  <c r="T1096" i="5" s="1"/>
  <c r="Q1116" i="5"/>
  <c r="S1116" i="5" s="1"/>
  <c r="T1116" i="5" s="1"/>
  <c r="Q1136" i="5"/>
  <c r="S1136" i="5" s="1"/>
  <c r="T1136" i="5" s="1"/>
  <c r="Q1156" i="5"/>
  <c r="S1156" i="5" s="1"/>
  <c r="T1156" i="5" s="1"/>
  <c r="Q102" i="5"/>
  <c r="S102" i="5" s="1"/>
  <c r="T102" i="5" s="1"/>
  <c r="Q202" i="5"/>
  <c r="S202" i="5" s="1"/>
  <c r="T202" i="5" s="1"/>
  <c r="Q858" i="5"/>
  <c r="S858" i="5" s="1"/>
  <c r="T858" i="5" s="1"/>
  <c r="Q1118" i="5"/>
  <c r="S1118" i="5" s="1"/>
  <c r="T1118" i="5" s="1"/>
  <c r="Q599" i="5"/>
  <c r="S599" i="5" s="1"/>
  <c r="T599" i="5" s="1"/>
  <c r="Q5" i="5"/>
  <c r="S5" i="5" s="1"/>
  <c r="T5" i="5" s="1"/>
  <c r="Q105" i="5"/>
  <c r="S105" i="5" s="1"/>
  <c r="T105" i="5" s="1"/>
  <c r="Q185" i="5"/>
  <c r="S185" i="5" s="1"/>
  <c r="T185" i="5" s="1"/>
  <c r="Q405" i="5"/>
  <c r="S405" i="5" s="1"/>
  <c r="T405" i="5" s="1"/>
  <c r="Q473" i="5"/>
  <c r="S473" i="5" s="1"/>
  <c r="T473" i="5" s="1"/>
  <c r="Q681" i="5"/>
  <c r="S681" i="5" s="1"/>
  <c r="T681" i="5" s="1"/>
  <c r="Q801" i="5"/>
  <c r="S801" i="5" s="1"/>
  <c r="T801" i="5" s="1"/>
  <c r="Q881" i="5"/>
  <c r="S881" i="5" s="1"/>
  <c r="T881" i="5" s="1"/>
  <c r="Q26" i="5"/>
  <c r="S26" i="5" s="1"/>
  <c r="T26" i="5" s="1"/>
  <c r="Q306" i="5"/>
  <c r="S306" i="5" s="1"/>
  <c r="T306" i="5" s="1"/>
  <c r="Q346" i="5"/>
  <c r="S346" i="5" s="1"/>
  <c r="T346" i="5" s="1"/>
  <c r="Q502" i="5"/>
  <c r="S502" i="5" s="1"/>
  <c r="T502" i="5" s="1"/>
  <c r="Q602" i="5"/>
  <c r="S602" i="5" s="1"/>
  <c r="T602" i="5" s="1"/>
  <c r="Q782" i="5"/>
  <c r="S782" i="5" s="1"/>
  <c r="T782" i="5" s="1"/>
  <c r="Q1082" i="5"/>
  <c r="S1082" i="5" s="1"/>
  <c r="T1082" i="5" s="1"/>
  <c r="Q503" i="5"/>
  <c r="S503" i="5" s="1"/>
  <c r="T503" i="5" s="1"/>
  <c r="Q863" i="5"/>
  <c r="S863" i="5" s="1"/>
  <c r="T863" i="5" s="1"/>
  <c r="Q1083" i="5"/>
  <c r="S1083" i="5" s="1"/>
  <c r="T1083" i="5" s="1"/>
  <c r="Q1164" i="5"/>
  <c r="S1164" i="5" s="1"/>
  <c r="T1164" i="5" s="1"/>
  <c r="Q29" i="5"/>
  <c r="S29" i="5" s="1"/>
  <c r="T29" i="5" s="1"/>
  <c r="Q169" i="5"/>
  <c r="S169" i="5" s="1"/>
  <c r="T169" i="5" s="1"/>
  <c r="Q525" i="5"/>
  <c r="S525" i="5" s="1"/>
  <c r="T525" i="5" s="1"/>
  <c r="Q705" i="5"/>
  <c r="S705" i="5" s="1"/>
  <c r="T705" i="5" s="1"/>
  <c r="Q945" i="5"/>
  <c r="S945" i="5" s="1"/>
  <c r="T945" i="5" s="1"/>
  <c r="Q1065" i="5"/>
  <c r="S1065" i="5" s="1"/>
  <c r="T1065" i="5" s="1"/>
  <c r="Q10" i="5"/>
  <c r="S10" i="5" s="1"/>
  <c r="T10" i="5" s="1"/>
  <c r="Q390" i="5"/>
  <c r="S390" i="5" s="1"/>
  <c r="T390" i="5" s="1"/>
  <c r="Q458" i="5"/>
  <c r="S458" i="5" s="1"/>
  <c r="T458" i="5" s="1"/>
  <c r="Q1066" i="5"/>
  <c r="S1066" i="5" s="1"/>
  <c r="T1066" i="5" s="1"/>
  <c r="Q587" i="5"/>
  <c r="S587" i="5" s="1"/>
  <c r="T587" i="5" s="1"/>
  <c r="Q827" i="5"/>
  <c r="S827" i="5" s="1"/>
  <c r="T827" i="5" s="1"/>
  <c r="Q907" i="5"/>
  <c r="S907" i="5" s="1"/>
  <c r="T907" i="5" s="1"/>
  <c r="Q1007" i="5"/>
  <c r="S1007" i="5" s="1"/>
  <c r="T1007" i="5" s="1"/>
  <c r="Q1127" i="5"/>
  <c r="S1127" i="5" s="1"/>
  <c r="T1127" i="5" s="1"/>
  <c r="Q74" i="5"/>
  <c r="S74" i="5" s="1"/>
  <c r="T74" i="5" s="1"/>
  <c r="Q174" i="5"/>
  <c r="S174" i="5" s="1"/>
  <c r="T174" i="5" s="1"/>
  <c r="Q274" i="5"/>
  <c r="S274" i="5" s="1"/>
  <c r="T274" i="5" s="1"/>
  <c r="Q462" i="5"/>
  <c r="S462" i="5" s="1"/>
  <c r="T462" i="5" s="1"/>
  <c r="Q810" i="5"/>
  <c r="S810" i="5" s="1"/>
  <c r="T810" i="5" s="1"/>
  <c r="Q35" i="5"/>
  <c r="S35" i="5" s="1"/>
  <c r="T35" i="5" s="1"/>
  <c r="Q237" i="5"/>
  <c r="S237" i="5" s="1"/>
  <c r="T237" i="5" s="1"/>
  <c r="Q465" i="5"/>
  <c r="S465" i="5" s="1"/>
  <c r="T465" i="5" s="1"/>
  <c r="Q513" i="5"/>
  <c r="S513" i="5" s="1"/>
  <c r="T513" i="5" s="1"/>
  <c r="Q573" i="5"/>
  <c r="S573" i="5" s="1"/>
  <c r="T573" i="5" s="1"/>
  <c r="Q673" i="5"/>
  <c r="S673" i="5" s="1"/>
  <c r="T673" i="5" s="1"/>
  <c r="Q489" i="5"/>
  <c r="S489" i="5" s="1"/>
  <c r="T489" i="5" s="1"/>
  <c r="Q557" i="5"/>
  <c r="S557" i="5" s="1"/>
  <c r="T557" i="5" s="1"/>
  <c r="Q657" i="5"/>
  <c r="S657" i="5" s="1"/>
  <c r="T657" i="5" s="1"/>
  <c r="Q697" i="5"/>
  <c r="S697" i="5" s="1"/>
  <c r="T697" i="5" s="1"/>
  <c r="Q737" i="5"/>
  <c r="S737" i="5" s="1"/>
  <c r="T737" i="5" s="1"/>
  <c r="Q1037" i="5"/>
  <c r="S1037" i="5" s="1"/>
  <c r="T1037" i="5" s="1"/>
  <c r="Q1097" i="5"/>
  <c r="S1097" i="5" s="1"/>
  <c r="T1097" i="5" s="1"/>
  <c r="Q1137" i="5"/>
  <c r="S1137" i="5" s="1"/>
  <c r="T1137" i="5" s="1"/>
  <c r="Q1177" i="5"/>
  <c r="S1177" i="5" s="1"/>
  <c r="T1177" i="5" s="1"/>
  <c r="Q1052" i="5"/>
  <c r="S1052" i="5" s="1"/>
  <c r="T1052" i="5" s="1"/>
  <c r="Q1056" i="5"/>
  <c r="S1056" i="5" s="1"/>
  <c r="T1056" i="5" s="1"/>
  <c r="O475" i="1"/>
  <c r="D588" i="5" s="1"/>
  <c r="C588" i="5" s="1"/>
  <c r="D589" i="5"/>
  <c r="M477" i="1"/>
  <c r="D546" i="5" s="1"/>
  <c r="C546" i="5" s="1"/>
  <c r="D547" i="5"/>
  <c r="N477" i="1"/>
  <c r="D549" i="5" s="1"/>
  <c r="C549" i="5" s="1"/>
  <c r="D550" i="5"/>
  <c r="L479" i="1"/>
  <c r="D507" i="5" s="1"/>
  <c r="C507" i="5" s="1"/>
  <c r="D508" i="5"/>
  <c r="O477" i="1"/>
  <c r="D552" i="5" s="1"/>
  <c r="C552" i="5" s="1"/>
  <c r="D553" i="5"/>
  <c r="M479" i="1"/>
  <c r="D510" i="5" s="1"/>
  <c r="C510" i="5" s="1"/>
  <c r="D511" i="5"/>
  <c r="R475" i="1"/>
  <c r="D597" i="5" s="1"/>
  <c r="C597" i="5" s="1"/>
  <c r="D598" i="5"/>
  <c r="N479" i="1"/>
  <c r="D513" i="5" s="1"/>
  <c r="C513" i="5" s="1"/>
  <c r="D514" i="5"/>
  <c r="Q477" i="1"/>
  <c r="D558" i="5" s="1"/>
  <c r="C558" i="5" s="1"/>
  <c r="D559" i="5"/>
  <c r="O479" i="1"/>
  <c r="D516" i="5" s="1"/>
  <c r="C516" i="5" s="1"/>
  <c r="D517" i="5"/>
  <c r="I476" i="1"/>
  <c r="D378" i="5" s="1"/>
  <c r="C378" i="5" s="1"/>
  <c r="D379" i="5"/>
  <c r="P479" i="1"/>
  <c r="D519" i="5" s="1"/>
  <c r="C519" i="5" s="1"/>
  <c r="D520" i="5"/>
  <c r="J476" i="1"/>
  <c r="D381" i="5" s="1"/>
  <c r="C381" i="5" s="1"/>
  <c r="D382" i="5"/>
  <c r="S477" i="1"/>
  <c r="D564" i="5" s="1"/>
  <c r="C564" i="5" s="1"/>
  <c r="D565" i="5"/>
  <c r="Q479" i="1"/>
  <c r="D522" i="5" s="1"/>
  <c r="C522" i="5" s="1"/>
  <c r="D523" i="5"/>
  <c r="K476" i="1"/>
  <c r="D384" i="5" s="1"/>
  <c r="C384" i="5" s="1"/>
  <c r="D385" i="5"/>
  <c r="J123" i="1"/>
  <c r="L476" i="1"/>
  <c r="D387" i="5" s="1"/>
  <c r="C387" i="5" s="1"/>
  <c r="D388" i="5"/>
  <c r="J478" i="1"/>
  <c r="D837" i="5" s="1"/>
  <c r="C837" i="5" s="1"/>
  <c r="D838" i="5"/>
  <c r="S479" i="1"/>
  <c r="D528" i="5" s="1"/>
  <c r="C528" i="5" s="1"/>
  <c r="D529" i="5"/>
  <c r="K478" i="1"/>
  <c r="D840" i="5" s="1"/>
  <c r="C840" i="5" s="1"/>
  <c r="D841" i="5"/>
  <c r="N476" i="1"/>
  <c r="D393" i="5" s="1"/>
  <c r="C393" i="5" s="1"/>
  <c r="D394" i="5"/>
  <c r="L478" i="1"/>
  <c r="D843" i="5" s="1"/>
  <c r="C843" i="5" s="1"/>
  <c r="D844" i="5"/>
  <c r="O476" i="1"/>
  <c r="D396" i="5" s="1"/>
  <c r="C396" i="5" s="1"/>
  <c r="D397" i="5"/>
  <c r="M478" i="1"/>
  <c r="D846" i="5" s="1"/>
  <c r="C846" i="5" s="1"/>
  <c r="D847" i="5"/>
  <c r="H477" i="1"/>
  <c r="D531" i="5" s="1"/>
  <c r="C531" i="5" s="1"/>
  <c r="D532" i="5"/>
  <c r="P476" i="1"/>
  <c r="D399" i="5" s="1"/>
  <c r="C399" i="5" s="1"/>
  <c r="D400" i="5"/>
  <c r="N478" i="1"/>
  <c r="D849" i="5" s="1"/>
  <c r="C849" i="5" s="1"/>
  <c r="D850" i="5"/>
  <c r="H479" i="1"/>
  <c r="D495" i="5" s="1"/>
  <c r="C495" i="5" s="1"/>
  <c r="D496" i="5"/>
  <c r="Q476" i="1"/>
  <c r="D402" i="5" s="1"/>
  <c r="C402" i="5" s="1"/>
  <c r="D403" i="5"/>
  <c r="O478" i="1"/>
  <c r="D852" i="5" s="1"/>
  <c r="C852" i="5" s="1"/>
  <c r="D853" i="5"/>
  <c r="I475" i="1"/>
  <c r="D570" i="5" s="1"/>
  <c r="C570" i="5" s="1"/>
  <c r="D571" i="5"/>
  <c r="R476" i="1"/>
  <c r="D405" i="5" s="1"/>
  <c r="C405" i="5" s="1"/>
  <c r="D406" i="5"/>
  <c r="P478" i="1"/>
  <c r="D855" i="5" s="1"/>
  <c r="C855" i="5" s="1"/>
  <c r="D856" i="5"/>
  <c r="J475" i="1"/>
  <c r="D573" i="5" s="1"/>
  <c r="C573" i="5" s="1"/>
  <c r="D574" i="5"/>
  <c r="S476" i="1"/>
  <c r="D408" i="5" s="1"/>
  <c r="C408" i="5" s="1"/>
  <c r="D409" i="5"/>
  <c r="Q478" i="1"/>
  <c r="D858" i="5" s="1"/>
  <c r="C858" i="5" s="1"/>
  <c r="D859" i="5"/>
  <c r="P475" i="1"/>
  <c r="D591" i="5" s="1"/>
  <c r="C591" i="5" s="1"/>
  <c r="D592" i="5"/>
  <c r="P477" i="1"/>
  <c r="D555" i="5" s="1"/>
  <c r="C555" i="5" s="1"/>
  <c r="D556" i="5"/>
  <c r="K475" i="1"/>
  <c r="D576" i="5" s="1"/>
  <c r="C576" i="5" s="1"/>
  <c r="D577" i="5"/>
  <c r="I477" i="1"/>
  <c r="D534" i="5" s="1"/>
  <c r="C534" i="5" s="1"/>
  <c r="D535" i="5"/>
  <c r="R478" i="1"/>
  <c r="D861" i="5" s="1"/>
  <c r="C861" i="5" s="1"/>
  <c r="D862" i="5"/>
  <c r="K479" i="1"/>
  <c r="D504" i="5" s="1"/>
  <c r="C504" i="5" s="1"/>
  <c r="D505" i="5"/>
  <c r="S475" i="1"/>
  <c r="D600" i="5" s="1"/>
  <c r="C600" i="5" s="1"/>
  <c r="D601" i="5"/>
  <c r="R477" i="1"/>
  <c r="D561" i="5" s="1"/>
  <c r="C561" i="5" s="1"/>
  <c r="D562" i="5"/>
  <c r="R479" i="1"/>
  <c r="D525" i="5" s="1"/>
  <c r="C525" i="5" s="1"/>
  <c r="D526" i="5"/>
  <c r="M476" i="1"/>
  <c r="D390" i="5" s="1"/>
  <c r="C390" i="5" s="1"/>
  <c r="D391" i="5"/>
  <c r="L475" i="1"/>
  <c r="D579" i="5" s="1"/>
  <c r="C579" i="5" s="1"/>
  <c r="D580" i="5"/>
  <c r="J477" i="1"/>
  <c r="D537" i="5" s="1"/>
  <c r="C537" i="5" s="1"/>
  <c r="D538" i="5"/>
  <c r="S478" i="1"/>
  <c r="D864" i="5" s="1"/>
  <c r="C864" i="5" s="1"/>
  <c r="D865" i="5"/>
  <c r="I478" i="1"/>
  <c r="D834" i="5" s="1"/>
  <c r="C834" i="5" s="1"/>
  <c r="D835" i="5"/>
  <c r="M475" i="1"/>
  <c r="D582" i="5" s="1"/>
  <c r="C582" i="5" s="1"/>
  <c r="D583" i="5"/>
  <c r="K477" i="1"/>
  <c r="D540" i="5" s="1"/>
  <c r="C540" i="5" s="1"/>
  <c r="D541" i="5"/>
  <c r="I479" i="1"/>
  <c r="D498" i="5" s="1"/>
  <c r="C498" i="5" s="1"/>
  <c r="D499" i="5"/>
  <c r="Q475" i="1"/>
  <c r="D594" i="5" s="1"/>
  <c r="C594" i="5" s="1"/>
  <c r="D595" i="5"/>
  <c r="H476" i="1"/>
  <c r="D375" i="5" s="1"/>
  <c r="C375" i="5" s="1"/>
  <c r="D376" i="5"/>
  <c r="H475" i="1"/>
  <c r="D567" i="5" s="1"/>
  <c r="C567" i="5" s="1"/>
  <c r="D568" i="5"/>
  <c r="H478" i="1"/>
  <c r="D831" i="5" s="1"/>
  <c r="C831" i="5" s="1"/>
  <c r="D832" i="5"/>
  <c r="N475" i="1"/>
  <c r="D585" i="5" s="1"/>
  <c r="C585" i="5" s="1"/>
  <c r="D586" i="5"/>
  <c r="L477" i="1"/>
  <c r="D543" i="5" s="1"/>
  <c r="C543" i="5" s="1"/>
  <c r="D544" i="5"/>
  <c r="J479" i="1"/>
  <c r="D501" i="5" s="1"/>
  <c r="C501" i="5" s="1"/>
  <c r="D502" i="5"/>
  <c r="Q1122" i="5"/>
  <c r="S1122" i="5" s="1"/>
  <c r="T1122" i="5" s="1"/>
  <c r="Q840" i="5"/>
  <c r="S840" i="5" s="1"/>
  <c r="T840" i="5" s="1"/>
  <c r="Q879" i="5"/>
  <c r="S879" i="5" s="1"/>
  <c r="T879" i="5" s="1"/>
  <c r="Q155" i="5"/>
  <c r="S155" i="5" s="1"/>
  <c r="T155" i="5" s="1"/>
  <c r="Q1050" i="5"/>
  <c r="S1050" i="5" s="1"/>
  <c r="T1050" i="5" s="1"/>
  <c r="Q1069" i="5"/>
  <c r="S1069" i="5" s="1"/>
  <c r="T1069" i="5" s="1"/>
  <c r="Q146" i="5"/>
  <c r="S146" i="5" s="1"/>
  <c r="T146" i="5" s="1"/>
  <c r="Q78" i="5"/>
  <c r="S78" i="5" s="1"/>
  <c r="T78" i="5" s="1"/>
  <c r="Q511" i="5"/>
  <c r="S511" i="5" s="1"/>
  <c r="T511" i="5" s="1"/>
  <c r="Q710" i="5"/>
  <c r="S710" i="5" s="1"/>
  <c r="T710" i="5" s="1"/>
  <c r="Q966" i="5"/>
  <c r="S966" i="5" s="1"/>
  <c r="T966" i="5" s="1"/>
  <c r="Q164" i="5"/>
  <c r="S164" i="5" s="1"/>
  <c r="T164" i="5" s="1"/>
  <c r="Q754" i="5"/>
  <c r="S754" i="5" s="1"/>
  <c r="T754" i="5" s="1"/>
  <c r="Q1087" i="5"/>
  <c r="S1087" i="5" s="1"/>
  <c r="T1087" i="5" s="1"/>
  <c r="Q118" i="5"/>
  <c r="S118" i="5" s="1"/>
  <c r="T118" i="5" s="1"/>
  <c r="Q521" i="5"/>
  <c r="S521" i="5" s="1"/>
  <c r="T521" i="5" s="1"/>
  <c r="Q982" i="5"/>
  <c r="S982" i="5" s="1"/>
  <c r="T982" i="5" s="1"/>
  <c r="Q453" i="5"/>
  <c r="S453" i="5" s="1"/>
  <c r="T453" i="5" s="1"/>
  <c r="Q612" i="5"/>
  <c r="S612" i="5" s="1"/>
  <c r="T612" i="5" s="1"/>
  <c r="Q822" i="5"/>
  <c r="S822" i="5" s="1"/>
  <c r="T822" i="5" s="1"/>
  <c r="Q849" i="5"/>
  <c r="S849" i="5" s="1"/>
  <c r="T849" i="5" s="1"/>
  <c r="Q542" i="5"/>
  <c r="S542" i="5" s="1"/>
  <c r="T542" i="5" s="1"/>
  <c r="Q865" i="5"/>
  <c r="S865" i="5" s="1"/>
  <c r="T865" i="5" s="1"/>
  <c r="Q1173" i="5"/>
  <c r="S1173" i="5" s="1"/>
  <c r="T1173" i="5" s="1"/>
  <c r="Q559" i="5"/>
  <c r="S559" i="5" s="1"/>
  <c r="T559" i="5" s="1"/>
  <c r="Q809" i="5"/>
  <c r="S809" i="5" s="1"/>
  <c r="T809" i="5" s="1"/>
  <c r="Q640" i="5"/>
  <c r="S640" i="5" s="1"/>
  <c r="T640" i="5" s="1"/>
  <c r="Q529" i="5"/>
  <c r="S529" i="5" s="1"/>
  <c r="T529" i="5" s="1"/>
  <c r="Q1102" i="5"/>
  <c r="S1102" i="5" s="1"/>
  <c r="T1102" i="5" s="1"/>
  <c r="Q862" i="5"/>
  <c r="S862" i="5" s="1"/>
  <c r="T862" i="5" s="1"/>
  <c r="Q377" i="5"/>
  <c r="S377" i="5" s="1"/>
  <c r="T377" i="5" s="1"/>
  <c r="Q625" i="5"/>
  <c r="S625" i="5" s="1"/>
  <c r="T625" i="5" s="1"/>
  <c r="Q780" i="5"/>
  <c r="S780" i="5" s="1"/>
  <c r="T780" i="5" s="1"/>
  <c r="Q730" i="5"/>
  <c r="S730" i="5" s="1"/>
  <c r="T730" i="5" s="1"/>
  <c r="Q808" i="5"/>
  <c r="S808" i="5" s="1"/>
  <c r="T808" i="5" s="1"/>
  <c r="Q256" i="5"/>
  <c r="S256" i="5" s="1"/>
  <c r="T256" i="5" s="1"/>
  <c r="Q882" i="5"/>
  <c r="S882" i="5" s="1"/>
  <c r="T882" i="5" s="1"/>
  <c r="Q620" i="5"/>
  <c r="S620" i="5" s="1"/>
  <c r="T620" i="5" s="1"/>
  <c r="Q168" i="5"/>
  <c r="S168" i="5" s="1"/>
  <c r="T168" i="5" s="1"/>
  <c r="Q522" i="5"/>
  <c r="S522" i="5" s="1"/>
  <c r="T522" i="5" s="1"/>
  <c r="Q432" i="5"/>
  <c r="S432" i="5" s="1"/>
  <c r="T432" i="5" s="1"/>
  <c r="Q227" i="5"/>
  <c r="S227" i="5" s="1"/>
  <c r="T227" i="5" s="1"/>
  <c r="Q335" i="5"/>
  <c r="S335" i="5" s="1"/>
  <c r="T335" i="5" s="1"/>
  <c r="Q352" i="5"/>
  <c r="S352" i="5" s="1"/>
  <c r="T352" i="5" s="1"/>
  <c r="Q402" i="5"/>
  <c r="S402" i="5" s="1"/>
  <c r="T402" i="5" s="1"/>
  <c r="Q680" i="5"/>
  <c r="S680" i="5" s="1"/>
  <c r="T680" i="5" s="1"/>
  <c r="Q713" i="5"/>
  <c r="S713" i="5" s="1"/>
  <c r="T713" i="5" s="1"/>
  <c r="Q970" i="5"/>
  <c r="S970" i="5" s="1"/>
  <c r="T970" i="5" s="1"/>
  <c r="Q1022" i="5"/>
  <c r="S1022" i="5" s="1"/>
  <c r="T1022" i="5" s="1"/>
  <c r="Q1110" i="5"/>
  <c r="S1110" i="5" s="1"/>
  <c r="T1110" i="5" s="1"/>
  <c r="Q423" i="5"/>
  <c r="S423" i="5" s="1"/>
  <c r="T423" i="5" s="1"/>
  <c r="Q546" i="5"/>
  <c r="S546" i="5" s="1"/>
  <c r="T546" i="5" s="1"/>
  <c r="Q698" i="5"/>
  <c r="S698" i="5" s="1"/>
  <c r="T698" i="5" s="1"/>
  <c r="Q850" i="5"/>
  <c r="S850" i="5" s="1"/>
  <c r="T850" i="5" s="1"/>
  <c r="Q920" i="5"/>
  <c r="S920" i="5" s="1"/>
  <c r="T920" i="5" s="1"/>
  <c r="Q1005" i="5"/>
  <c r="S1005" i="5" s="1"/>
  <c r="T1005" i="5" s="1"/>
  <c r="Q1039" i="5"/>
  <c r="S1039" i="5" s="1"/>
  <c r="T1039" i="5" s="1"/>
  <c r="Q140" i="5"/>
  <c r="S140" i="5" s="1"/>
  <c r="T140" i="5" s="1"/>
  <c r="Q175" i="5"/>
  <c r="S175" i="5" s="1"/>
  <c r="T175" i="5" s="1"/>
  <c r="Q192" i="5"/>
  <c r="S192" i="5" s="1"/>
  <c r="T192" i="5" s="1"/>
  <c r="Q301" i="5"/>
  <c r="S301" i="5" s="1"/>
  <c r="T301" i="5" s="1"/>
  <c r="Q403" i="5"/>
  <c r="S403" i="5" s="1"/>
  <c r="T403" i="5" s="1"/>
  <c r="Q6" i="5"/>
  <c r="S6" i="5" s="1"/>
  <c r="T6" i="5" s="1"/>
  <c r="Q296" i="5"/>
  <c r="S296" i="5" s="1"/>
  <c r="T296" i="5" s="1"/>
  <c r="Q312" i="5"/>
  <c r="S312" i="5" s="1"/>
  <c r="T312" i="5" s="1"/>
  <c r="Q43" i="5"/>
  <c r="S43" i="5" s="1"/>
  <c r="T43" i="5" s="1"/>
  <c r="Q454" i="5"/>
  <c r="S454" i="5" s="1"/>
  <c r="T454" i="5" s="1"/>
  <c r="Q642" i="5"/>
  <c r="S642" i="5" s="1"/>
  <c r="T642" i="5" s="1"/>
  <c r="Q711" i="5"/>
  <c r="S711" i="5" s="1"/>
  <c r="T711" i="5" s="1"/>
  <c r="Q779" i="5"/>
  <c r="S779" i="5" s="1"/>
  <c r="T779" i="5" s="1"/>
  <c r="Q951" i="5"/>
  <c r="S951" i="5" s="1"/>
  <c r="T951" i="5" s="1"/>
  <c r="Q1002" i="5"/>
  <c r="S1002" i="5" s="1"/>
  <c r="T1002" i="5" s="1"/>
  <c r="Q80" i="5"/>
  <c r="S80" i="5" s="1"/>
  <c r="T80" i="5" s="1"/>
  <c r="Q594" i="5"/>
  <c r="S594" i="5" s="1"/>
  <c r="T594" i="5" s="1"/>
  <c r="Q8" i="5"/>
  <c r="Q280" i="5"/>
  <c r="S280" i="5" s="1"/>
  <c r="T280" i="5" s="1"/>
  <c r="Q383" i="5"/>
  <c r="S383" i="5" s="1"/>
  <c r="T383" i="5" s="1"/>
  <c r="Q918" i="5"/>
  <c r="S918" i="5" s="1"/>
  <c r="T918" i="5" s="1"/>
  <c r="Q565" i="5"/>
  <c r="S565" i="5" s="1"/>
  <c r="T565" i="5" s="1"/>
  <c r="Q851" i="5"/>
  <c r="S851" i="5" s="1"/>
  <c r="T851" i="5" s="1"/>
  <c r="Q1112" i="5"/>
  <c r="S1112" i="5" s="1"/>
  <c r="T1112" i="5" s="1"/>
  <c r="Q33" i="5"/>
  <c r="S33" i="5" s="1"/>
  <c r="T33" i="5" s="1"/>
  <c r="Q631" i="5"/>
  <c r="S631" i="5" s="1"/>
  <c r="T631" i="5" s="1"/>
  <c r="Q751" i="5"/>
  <c r="S751" i="5" s="1"/>
  <c r="T751" i="5" s="1"/>
  <c r="Q106" i="5"/>
  <c r="S106" i="5" s="1"/>
  <c r="T106" i="5" s="1"/>
  <c r="Q785" i="5"/>
  <c r="S785" i="5" s="1"/>
  <c r="T785" i="5" s="1"/>
  <c r="Q719" i="5"/>
  <c r="S719" i="5" s="1"/>
  <c r="T719" i="5" s="1"/>
  <c r="Q36" i="5"/>
  <c r="S36" i="5" s="1"/>
  <c r="T36" i="5" s="1"/>
  <c r="Q196" i="5"/>
  <c r="S196" i="5" s="1"/>
  <c r="T196" i="5" s="1"/>
  <c r="Q961" i="5"/>
  <c r="S961" i="5" s="1"/>
  <c r="T961" i="5" s="1"/>
  <c r="Q994" i="5"/>
  <c r="S994" i="5" s="1"/>
  <c r="T994" i="5" s="1"/>
  <c r="Q531" i="5"/>
  <c r="S531" i="5" s="1"/>
  <c r="T531" i="5" s="1"/>
  <c r="Q598" i="5"/>
  <c r="S598" i="5" s="1"/>
  <c r="T598" i="5" s="1"/>
  <c r="Q630" i="5"/>
  <c r="S630" i="5" s="1"/>
  <c r="T630" i="5" s="1"/>
  <c r="Q1148" i="5"/>
  <c r="S1148" i="5" s="1"/>
  <c r="T1148" i="5" s="1"/>
  <c r="Q372" i="5"/>
  <c r="S372" i="5" s="1"/>
  <c r="T372" i="5" s="1"/>
  <c r="Q682" i="5"/>
  <c r="S682" i="5" s="1"/>
  <c r="T682" i="5" s="1"/>
  <c r="Q990" i="5"/>
  <c r="S990" i="5" s="1"/>
  <c r="T990" i="5" s="1"/>
  <c r="Q768" i="5"/>
  <c r="S768" i="5" s="1"/>
  <c r="T768" i="5" s="1"/>
  <c r="Q922" i="5"/>
  <c r="S922" i="5" s="1"/>
  <c r="T922" i="5" s="1"/>
  <c r="Q1041" i="5"/>
  <c r="S1041" i="5" s="1"/>
  <c r="T1041" i="5" s="1"/>
  <c r="Q1078" i="5"/>
  <c r="S1078" i="5" s="1"/>
  <c r="T1078" i="5" s="1"/>
  <c r="Q51" i="5"/>
  <c r="S51" i="5" s="1"/>
  <c r="T51" i="5" s="1"/>
  <c r="Q87" i="5"/>
  <c r="S87" i="5" s="1"/>
  <c r="T87" i="5" s="1"/>
  <c r="Q194" i="5"/>
  <c r="S194" i="5" s="1"/>
  <c r="T194" i="5" s="1"/>
  <c r="Q303" i="5"/>
  <c r="S303" i="5" s="1"/>
  <c r="T303" i="5" s="1"/>
  <c r="Q461" i="5"/>
  <c r="S461" i="5" s="1"/>
  <c r="T461" i="5" s="1"/>
  <c r="Q566" i="5"/>
  <c r="S566" i="5" s="1"/>
  <c r="T566" i="5" s="1"/>
  <c r="Q178" i="5"/>
  <c r="S178" i="5" s="1"/>
  <c r="T178" i="5" s="1"/>
  <c r="Q232" i="5"/>
  <c r="S232" i="5" s="1"/>
  <c r="T232" i="5" s="1"/>
  <c r="Q374" i="5"/>
  <c r="S374" i="5" s="1"/>
  <c r="T374" i="5" s="1"/>
  <c r="Q618" i="5"/>
  <c r="S618" i="5" s="1"/>
  <c r="T618" i="5" s="1"/>
  <c r="Q769" i="5"/>
  <c r="S769" i="5" s="1"/>
  <c r="T769" i="5" s="1"/>
  <c r="Q519" i="5"/>
  <c r="S519" i="5" s="1"/>
  <c r="T519" i="5" s="1"/>
  <c r="Q534" i="5"/>
  <c r="S534" i="5" s="1"/>
  <c r="T534" i="5" s="1"/>
  <c r="Q586" i="5"/>
  <c r="S586" i="5" s="1"/>
  <c r="T586" i="5" s="1"/>
  <c r="Q871" i="5"/>
  <c r="S871" i="5" s="1"/>
  <c r="T871" i="5" s="1"/>
  <c r="Q1027" i="5"/>
  <c r="S1027" i="5" s="1"/>
  <c r="T1027" i="5" s="1"/>
  <c r="Q323" i="5"/>
  <c r="S323" i="5" s="1"/>
  <c r="T323" i="5" s="1"/>
  <c r="Q412" i="5"/>
  <c r="S412" i="5" s="1"/>
  <c r="T412" i="5" s="1"/>
  <c r="Q414" i="5"/>
  <c r="S414" i="5" s="1"/>
  <c r="T414" i="5" s="1"/>
  <c r="Q671" i="5"/>
  <c r="S671" i="5" s="1"/>
  <c r="T671" i="5" s="1"/>
  <c r="Q740" i="5"/>
  <c r="S740" i="5" s="1"/>
  <c r="T740" i="5" s="1"/>
  <c r="Q807" i="5"/>
  <c r="S807" i="5" s="1"/>
  <c r="T807" i="5" s="1"/>
  <c r="Q912" i="5"/>
  <c r="S912" i="5" s="1"/>
  <c r="T912" i="5" s="1"/>
  <c r="Q1030" i="5"/>
  <c r="S1030" i="5" s="1"/>
  <c r="T1030" i="5" s="1"/>
  <c r="Q183" i="5"/>
  <c r="S183" i="5" s="1"/>
  <c r="T183" i="5" s="1"/>
  <c r="Q451" i="5"/>
  <c r="S451" i="5" s="1"/>
  <c r="T451" i="5" s="1"/>
  <c r="Q606" i="5"/>
  <c r="S606" i="5" s="1"/>
  <c r="T606" i="5" s="1"/>
  <c r="Q364" i="5"/>
  <c r="S364" i="5" s="1"/>
  <c r="T364" i="5" s="1"/>
  <c r="Q540" i="5"/>
  <c r="S540" i="5" s="1"/>
  <c r="T540" i="5" s="1"/>
  <c r="Q791" i="5"/>
  <c r="S791" i="5" s="1"/>
  <c r="T791" i="5" s="1"/>
  <c r="Q1140" i="5"/>
  <c r="S1140" i="5" s="1"/>
  <c r="T1140" i="5" s="1"/>
  <c r="Q1159" i="5"/>
  <c r="S1159" i="5" s="1"/>
  <c r="T1159" i="5" s="1"/>
  <c r="Q212" i="5"/>
  <c r="S212" i="5" s="1"/>
  <c r="T212" i="5" s="1"/>
  <c r="Q162" i="5"/>
  <c r="S162" i="5" s="1"/>
  <c r="T162" i="5" s="1"/>
  <c r="Q55" i="5"/>
  <c r="S55" i="5" s="1"/>
  <c r="T55" i="5" s="1"/>
  <c r="Q455" i="5"/>
  <c r="S455" i="5" s="1"/>
  <c r="T455" i="5" s="1"/>
  <c r="Q1003" i="5"/>
  <c r="S1003" i="5" s="1"/>
  <c r="T1003" i="5" s="1"/>
  <c r="Q439" i="5"/>
  <c r="S439" i="5" s="1"/>
  <c r="T439" i="5" s="1"/>
  <c r="Q119" i="5"/>
  <c r="S119" i="5" s="1"/>
  <c r="T119" i="5" s="1"/>
  <c r="Q103" i="5"/>
  <c r="S103" i="5" s="1"/>
  <c r="T103" i="5" s="1"/>
  <c r="Q265" i="5"/>
  <c r="S265" i="5" s="1"/>
  <c r="T265" i="5" s="1"/>
  <c r="Q440" i="5"/>
  <c r="S440" i="5" s="1"/>
  <c r="T440" i="5" s="1"/>
  <c r="Q250" i="5"/>
  <c r="S250" i="5" s="1"/>
  <c r="T250" i="5" s="1"/>
  <c r="Q887" i="5"/>
  <c r="S887" i="5" s="1"/>
  <c r="T887" i="5" s="1"/>
  <c r="Q165" i="5"/>
  <c r="S165" i="5" s="1"/>
  <c r="T165" i="5" s="1"/>
  <c r="Q826" i="5"/>
  <c r="S826" i="5" s="1"/>
  <c r="T826" i="5" s="1"/>
  <c r="Q72" i="5"/>
  <c r="S72" i="5" s="1"/>
  <c r="T72" i="5" s="1"/>
  <c r="Q181" i="5"/>
  <c r="S181" i="5" s="1"/>
  <c r="T181" i="5" s="1"/>
  <c r="Q23" i="5"/>
  <c r="S23" i="5" s="1"/>
  <c r="T23" i="5" s="1"/>
  <c r="Q842" i="5"/>
  <c r="S842" i="5" s="1"/>
  <c r="T842" i="5" s="1"/>
  <c r="Q25" i="5"/>
  <c r="S25" i="5" s="1"/>
  <c r="T25" i="5" s="1"/>
  <c r="Q134" i="5"/>
  <c r="S134" i="5" s="1"/>
  <c r="T134" i="5" s="1"/>
  <c r="Q135" i="5"/>
  <c r="S135" i="5" s="1"/>
  <c r="T135" i="5" s="1"/>
  <c r="Q510" i="5"/>
  <c r="S510" i="5" s="1"/>
  <c r="T510" i="5" s="1"/>
  <c r="Q904" i="5"/>
  <c r="S904" i="5" s="1"/>
  <c r="T904" i="5" s="1"/>
  <c r="Q406" i="5"/>
  <c r="S406" i="5" s="1"/>
  <c r="T406" i="5" s="1"/>
  <c r="Q857" i="5"/>
  <c r="S857" i="5" s="1"/>
  <c r="T857" i="5" s="1"/>
  <c r="Q9" i="5"/>
  <c r="S9" i="5" s="1"/>
  <c r="T9" i="5" s="1"/>
  <c r="Q313" i="5"/>
  <c r="S313" i="5" s="1"/>
  <c r="T313" i="5" s="1"/>
  <c r="Q249" i="5"/>
  <c r="S249" i="5" s="1"/>
  <c r="T249" i="5" s="1"/>
  <c r="Q53" i="5"/>
  <c r="S53" i="5" s="1"/>
  <c r="T53" i="5" s="1"/>
  <c r="Q214" i="5"/>
  <c r="S214" i="5" s="1"/>
  <c r="T214" i="5" s="1"/>
  <c r="Q39" i="5"/>
  <c r="S39" i="5" s="1"/>
  <c r="T39" i="5" s="1"/>
  <c r="Q148" i="5"/>
  <c r="S148" i="5" s="1"/>
  <c r="T148" i="5" s="1"/>
  <c r="Q327" i="5"/>
  <c r="S327" i="5" s="1"/>
  <c r="T327" i="5" s="1"/>
  <c r="Q492" i="5"/>
  <c r="S492" i="5" s="1"/>
  <c r="T492" i="5" s="1"/>
  <c r="Q762" i="5"/>
  <c r="S762" i="5" s="1"/>
  <c r="T762" i="5" s="1"/>
  <c r="Q537" i="5"/>
  <c r="S537" i="5" s="1"/>
  <c r="T537" i="5" s="1"/>
  <c r="Q600" i="5"/>
  <c r="S600" i="5" s="1"/>
  <c r="T600" i="5" s="1"/>
  <c r="Q855" i="5"/>
  <c r="S855" i="5" s="1"/>
  <c r="T855" i="5" s="1"/>
  <c r="Q1084" i="5"/>
  <c r="S1084" i="5" s="1"/>
  <c r="T1084" i="5" s="1"/>
  <c r="Q7" i="5"/>
  <c r="S7" i="5" s="1"/>
  <c r="T7" i="5" s="1"/>
  <c r="Q37" i="5"/>
  <c r="S37" i="5" s="1"/>
  <c r="T37" i="5" s="1"/>
  <c r="Q163" i="5"/>
  <c r="S163" i="5" s="1"/>
  <c r="T163" i="5" s="1"/>
  <c r="Q195" i="5"/>
  <c r="S195" i="5" s="1"/>
  <c r="T195" i="5" s="1"/>
  <c r="Q281" i="5"/>
  <c r="S281" i="5" s="1"/>
  <c r="T281" i="5" s="1"/>
  <c r="Q389" i="5"/>
  <c r="S389" i="5" s="1"/>
  <c r="T389" i="5" s="1"/>
  <c r="Q471" i="5"/>
  <c r="S471" i="5" s="1"/>
  <c r="T471" i="5" s="1"/>
  <c r="Q523" i="5"/>
  <c r="S523" i="5" s="1"/>
  <c r="T523" i="5" s="1"/>
  <c r="Q551" i="5"/>
  <c r="S551" i="5" s="1"/>
  <c r="T551" i="5" s="1"/>
  <c r="Q567" i="5"/>
  <c r="S567" i="5" s="1"/>
  <c r="T567" i="5" s="1"/>
  <c r="Q777" i="5"/>
  <c r="S777" i="5" s="1"/>
  <c r="T777" i="5" s="1"/>
  <c r="Q870" i="5"/>
  <c r="S870" i="5" s="1"/>
  <c r="T870" i="5" s="1"/>
  <c r="Q885" i="5"/>
  <c r="S885" i="5" s="1"/>
  <c r="T885" i="5" s="1"/>
  <c r="Q902" i="5"/>
  <c r="S902" i="5" s="1"/>
  <c r="T902" i="5" s="1"/>
  <c r="Q1032" i="5"/>
  <c r="S1032" i="5" s="1"/>
  <c r="T1032" i="5" s="1"/>
  <c r="Q38" i="5"/>
  <c r="S38" i="5" s="1"/>
  <c r="T38" i="5" s="1"/>
  <c r="Q147" i="5"/>
  <c r="S147" i="5" s="1"/>
  <c r="T147" i="5" s="1"/>
  <c r="Q179" i="5"/>
  <c r="S179" i="5" s="1"/>
  <c r="T179" i="5" s="1"/>
  <c r="Q248" i="5"/>
  <c r="S248" i="5" s="1"/>
  <c r="T248" i="5" s="1"/>
  <c r="Q267" i="5"/>
  <c r="S267" i="5" s="1"/>
  <c r="T267" i="5" s="1"/>
  <c r="Q438" i="5"/>
  <c r="S438" i="5" s="1"/>
  <c r="T438" i="5" s="1"/>
  <c r="Q472" i="5"/>
  <c r="S472" i="5" s="1"/>
  <c r="T472" i="5" s="1"/>
  <c r="Q491" i="5"/>
  <c r="S491" i="5" s="1"/>
  <c r="T491" i="5" s="1"/>
  <c r="Q552" i="5"/>
  <c r="S552" i="5" s="1"/>
  <c r="T552" i="5" s="1"/>
  <c r="Q841" i="5"/>
  <c r="S841" i="5" s="1"/>
  <c r="T841" i="5" s="1"/>
  <c r="Q856" i="5"/>
  <c r="S856" i="5" s="1"/>
  <c r="T856" i="5" s="1"/>
  <c r="Q886" i="5"/>
  <c r="S886" i="5" s="1"/>
  <c r="T886" i="5" s="1"/>
  <c r="Q903" i="5"/>
  <c r="S903" i="5" s="1"/>
  <c r="T903" i="5" s="1"/>
  <c r="Q919" i="5"/>
  <c r="S919" i="5" s="1"/>
  <c r="T919" i="5" s="1"/>
  <c r="Q952" i="5"/>
  <c r="S952" i="5" s="1"/>
  <c r="T952" i="5" s="1"/>
  <c r="Q969" i="5"/>
  <c r="S969" i="5" s="1"/>
  <c r="T969" i="5" s="1"/>
  <c r="Q985" i="5"/>
  <c r="S985" i="5" s="1"/>
  <c r="T985" i="5" s="1"/>
  <c r="Q1018" i="5"/>
  <c r="S1018" i="5" s="1"/>
  <c r="T1018" i="5" s="1"/>
  <c r="Q843" i="5"/>
  <c r="S843" i="5" s="1"/>
  <c r="T843" i="5" s="1"/>
  <c r="Q888" i="5"/>
  <c r="S888" i="5" s="1"/>
  <c r="T888" i="5" s="1"/>
  <c r="Q333" i="5"/>
  <c r="S333" i="5" s="1"/>
  <c r="T333" i="5" s="1"/>
  <c r="Q408" i="5"/>
  <c r="S408" i="5" s="1"/>
  <c r="T408" i="5" s="1"/>
  <c r="Q714" i="5"/>
  <c r="S714" i="5" s="1"/>
  <c r="T714" i="5" s="1"/>
  <c r="Q874" i="5"/>
  <c r="S874" i="5" s="1"/>
  <c r="T874" i="5" s="1"/>
  <c r="Q334" i="5"/>
  <c r="S334" i="5" s="1"/>
  <c r="T334" i="5" s="1"/>
  <c r="Q847" i="5"/>
  <c r="S847" i="5" s="1"/>
  <c r="T847" i="5" s="1"/>
  <c r="Q1109" i="5"/>
  <c r="S1109" i="5" s="1"/>
  <c r="T1109" i="5" s="1"/>
  <c r="Q1141" i="5"/>
  <c r="S1141" i="5" s="1"/>
  <c r="T1141" i="5" s="1"/>
  <c r="Q578" i="5"/>
  <c r="S578" i="5" s="1"/>
  <c r="T578" i="5" s="1"/>
  <c r="Q623" i="5"/>
  <c r="S623" i="5" s="1"/>
  <c r="T623" i="5" s="1"/>
  <c r="Q639" i="5"/>
  <c r="S639" i="5" s="1"/>
  <c r="T639" i="5" s="1"/>
  <c r="Q687" i="5"/>
  <c r="S687" i="5" s="1"/>
  <c r="T687" i="5" s="1"/>
  <c r="Q703" i="5"/>
  <c r="S703" i="5" s="1"/>
  <c r="T703" i="5" s="1"/>
  <c r="Q1077" i="5"/>
  <c r="S1077" i="5" s="1"/>
  <c r="T1077" i="5" s="1"/>
  <c r="Q1144" i="5"/>
  <c r="S1144" i="5" s="1"/>
  <c r="T1144" i="5" s="1"/>
  <c r="Q1175" i="5"/>
  <c r="S1175" i="5" s="1"/>
  <c r="T1175" i="5" s="1"/>
  <c r="Q215" i="5"/>
  <c r="S215" i="5" s="1"/>
  <c r="T215" i="5" s="1"/>
  <c r="Q441" i="5"/>
  <c r="S441" i="5" s="1"/>
  <c r="T441" i="5" s="1"/>
  <c r="Q937" i="5"/>
  <c r="S937" i="5" s="1"/>
  <c r="T937" i="5" s="1"/>
  <c r="Q149" i="5"/>
  <c r="S149" i="5" s="1"/>
  <c r="T149" i="5" s="1"/>
  <c r="Q457" i="5"/>
  <c r="S457" i="5" s="1"/>
  <c r="T457" i="5" s="1"/>
  <c r="Q764" i="5"/>
  <c r="S764" i="5" s="1"/>
  <c r="T764" i="5" s="1"/>
  <c r="Q844" i="5"/>
  <c r="S844" i="5" s="1"/>
  <c r="T844" i="5" s="1"/>
  <c r="Q651" i="5"/>
  <c r="S651" i="5" s="1"/>
  <c r="T651" i="5" s="1"/>
  <c r="Q683" i="5"/>
  <c r="S683" i="5" s="1"/>
  <c r="T683" i="5" s="1"/>
  <c r="Q732" i="5"/>
  <c r="S732" i="5" s="1"/>
  <c r="T732" i="5" s="1"/>
  <c r="Q27" i="5"/>
  <c r="S27" i="5" s="1"/>
  <c r="T27" i="5" s="1"/>
  <c r="Q394" i="5"/>
  <c r="S394" i="5" s="1"/>
  <c r="T394" i="5" s="1"/>
  <c r="Q443" i="5"/>
  <c r="S443" i="5" s="1"/>
  <c r="T443" i="5" s="1"/>
  <c r="Q574" i="5"/>
  <c r="S574" i="5" s="1"/>
  <c r="T574" i="5" s="1"/>
  <c r="Q813" i="5"/>
  <c r="S813" i="5" s="1"/>
  <c r="T813" i="5" s="1"/>
  <c r="Q830" i="5"/>
  <c r="S830" i="5" s="1"/>
  <c r="T830" i="5" s="1"/>
  <c r="Q61" i="5"/>
  <c r="S61" i="5" s="1"/>
  <c r="T61" i="5" s="1"/>
  <c r="Q123" i="5"/>
  <c r="S123" i="5" s="1"/>
  <c r="T123" i="5" s="1"/>
  <c r="Q152" i="5"/>
  <c r="S152" i="5" s="1"/>
  <c r="T152" i="5" s="1"/>
  <c r="Q317" i="5"/>
  <c r="S317" i="5" s="1"/>
  <c r="T317" i="5" s="1"/>
  <c r="Q366" i="5"/>
  <c r="S366" i="5" s="1"/>
  <c r="T366" i="5" s="1"/>
  <c r="Q669" i="5"/>
  <c r="S669" i="5" s="1"/>
  <c r="T669" i="5" s="1"/>
  <c r="Q814" i="5"/>
  <c r="S814" i="5" s="1"/>
  <c r="T814" i="5" s="1"/>
  <c r="Q62" i="5"/>
  <c r="S62" i="5" s="1"/>
  <c r="T62" i="5" s="1"/>
  <c r="Q186" i="5"/>
  <c r="S186" i="5" s="1"/>
  <c r="T186" i="5" s="1"/>
  <c r="Q290" i="5"/>
  <c r="S290" i="5" s="1"/>
  <c r="T290" i="5" s="1"/>
  <c r="Q637" i="5"/>
  <c r="S637" i="5" s="1"/>
  <c r="T637" i="5" s="1"/>
  <c r="Q14" i="5"/>
  <c r="S14" i="5" s="1"/>
  <c r="T14" i="5" s="1"/>
  <c r="Q46" i="5"/>
  <c r="S46" i="5" s="1"/>
  <c r="T46" i="5" s="1"/>
  <c r="Q63" i="5"/>
  <c r="S63" i="5" s="1"/>
  <c r="T63" i="5" s="1"/>
  <c r="Q1158" i="5"/>
  <c r="S1158" i="5" s="1"/>
  <c r="T1158" i="5" s="1"/>
  <c r="Q79" i="5"/>
  <c r="S79" i="5" s="1"/>
  <c r="T79" i="5" s="1"/>
  <c r="Q110" i="5"/>
  <c r="S110" i="5" s="1"/>
  <c r="T110" i="5" s="1"/>
  <c r="Q223" i="5"/>
  <c r="S223" i="5" s="1"/>
  <c r="T223" i="5" s="1"/>
  <c r="Q624" i="5"/>
  <c r="S624" i="5" s="1"/>
  <c r="T624" i="5" s="1"/>
  <c r="Q704" i="5"/>
  <c r="S704" i="5" s="1"/>
  <c r="T704" i="5" s="1"/>
  <c r="Q1060" i="5"/>
  <c r="S1060" i="5" s="1"/>
  <c r="T1060" i="5" s="1"/>
  <c r="Q49" i="5"/>
  <c r="S49" i="5" s="1"/>
  <c r="T49" i="5" s="1"/>
  <c r="Q94" i="5"/>
  <c r="S94" i="5" s="1"/>
  <c r="T94" i="5" s="1"/>
  <c r="Q126" i="5"/>
  <c r="S126" i="5" s="1"/>
  <c r="T126" i="5" s="1"/>
  <c r="Q241" i="5"/>
  <c r="S241" i="5" s="1"/>
  <c r="T241" i="5" s="1"/>
  <c r="Q292" i="5"/>
  <c r="S292" i="5" s="1"/>
  <c r="T292" i="5" s="1"/>
  <c r="Q322" i="5"/>
  <c r="S322" i="5" s="1"/>
  <c r="T322" i="5" s="1"/>
  <c r="Q354" i="5"/>
  <c r="S354" i="5" s="1"/>
  <c r="T354" i="5" s="1"/>
  <c r="Q483" i="5"/>
  <c r="S483" i="5" s="1"/>
  <c r="T483" i="5" s="1"/>
  <c r="Q532" i="5"/>
  <c r="S532" i="5" s="1"/>
  <c r="T532" i="5" s="1"/>
  <c r="Q580" i="5"/>
  <c r="S580" i="5" s="1"/>
  <c r="T580" i="5" s="1"/>
  <c r="Q595" i="5"/>
  <c r="S595" i="5" s="1"/>
  <c r="T595" i="5" s="1"/>
  <c r="Q658" i="5"/>
  <c r="S658" i="5" s="1"/>
  <c r="T658" i="5" s="1"/>
  <c r="Q720" i="5"/>
  <c r="S720" i="5" s="1"/>
  <c r="T720" i="5" s="1"/>
  <c r="Q963" i="5"/>
  <c r="S963" i="5" s="1"/>
  <c r="T963" i="5" s="1"/>
  <c r="Q1011" i="5"/>
  <c r="S1011" i="5" s="1"/>
  <c r="T1011" i="5" s="1"/>
  <c r="Q1042" i="5"/>
  <c r="S1042" i="5" s="1"/>
  <c r="T1042" i="5" s="1"/>
  <c r="Q1129" i="5"/>
  <c r="S1129" i="5" s="1"/>
  <c r="T1129" i="5" s="1"/>
  <c r="Q1160" i="5"/>
  <c r="S1160" i="5" s="1"/>
  <c r="T1160" i="5" s="1"/>
  <c r="Q1176" i="5"/>
  <c r="S1176" i="5" s="1"/>
  <c r="T1176" i="5" s="1"/>
  <c r="Q157" i="5"/>
  <c r="S157" i="5" s="1"/>
  <c r="T157" i="5" s="1"/>
  <c r="Q307" i="5"/>
  <c r="S307" i="5" s="1"/>
  <c r="T307" i="5" s="1"/>
  <c r="Q384" i="5"/>
  <c r="S384" i="5" s="1"/>
  <c r="T384" i="5" s="1"/>
  <c r="Q450" i="5"/>
  <c r="S450" i="5" s="1"/>
  <c r="T450" i="5" s="1"/>
  <c r="Q484" i="5"/>
  <c r="S484" i="5" s="1"/>
  <c r="T484" i="5" s="1"/>
  <c r="Q563" i="5"/>
  <c r="S563" i="5" s="1"/>
  <c r="T563" i="5" s="1"/>
  <c r="Q581" i="5"/>
  <c r="S581" i="5" s="1"/>
  <c r="T581" i="5" s="1"/>
  <c r="Q596" i="5"/>
  <c r="S596" i="5" s="1"/>
  <c r="T596" i="5" s="1"/>
  <c r="Q641" i="5"/>
  <c r="S641" i="5" s="1"/>
  <c r="T641" i="5" s="1"/>
  <c r="Q706" i="5"/>
  <c r="S706" i="5" s="1"/>
  <c r="T706" i="5" s="1"/>
  <c r="Q897" i="5"/>
  <c r="S897" i="5" s="1"/>
  <c r="T897" i="5" s="1"/>
  <c r="Q914" i="5"/>
  <c r="S914" i="5" s="1"/>
  <c r="T914" i="5" s="1"/>
  <c r="Q946" i="5"/>
  <c r="S946" i="5" s="1"/>
  <c r="T946" i="5" s="1"/>
  <c r="Q996" i="5"/>
  <c r="S996" i="5" s="1"/>
  <c r="T996" i="5" s="1"/>
  <c r="Q1012" i="5"/>
  <c r="S1012" i="5" s="1"/>
  <c r="T1012" i="5" s="1"/>
  <c r="Q1146" i="5"/>
  <c r="S1146" i="5" s="1"/>
  <c r="T1146" i="5" s="1"/>
  <c r="Q1161" i="5"/>
  <c r="S1161" i="5" s="1"/>
  <c r="T1161" i="5" s="1"/>
  <c r="Q564" i="5"/>
  <c r="S564" i="5" s="1"/>
  <c r="T564" i="5" s="1"/>
  <c r="Q597" i="5"/>
  <c r="S597" i="5" s="1"/>
  <c r="T597" i="5" s="1"/>
  <c r="Q611" i="5"/>
  <c r="S611" i="5" s="1"/>
  <c r="T611" i="5" s="1"/>
  <c r="Q626" i="5"/>
  <c r="S626" i="5" s="1"/>
  <c r="T626" i="5" s="1"/>
  <c r="Q659" i="5"/>
  <c r="S659" i="5" s="1"/>
  <c r="T659" i="5" s="1"/>
  <c r="Q674" i="5"/>
  <c r="S674" i="5" s="1"/>
  <c r="T674" i="5" s="1"/>
  <c r="Q707" i="5"/>
  <c r="S707" i="5" s="1"/>
  <c r="T707" i="5" s="1"/>
  <c r="Q997" i="5"/>
  <c r="S997" i="5" s="1"/>
  <c r="T997" i="5" s="1"/>
  <c r="Q1044" i="5"/>
  <c r="S1044" i="5" s="1"/>
  <c r="T1044" i="5" s="1"/>
  <c r="Q1062" i="5"/>
  <c r="S1062" i="5" s="1"/>
  <c r="T1062" i="5" s="1"/>
  <c r="Q1113" i="5"/>
  <c r="S1113" i="5" s="1"/>
  <c r="T1113" i="5" s="1"/>
  <c r="Q1130" i="5"/>
  <c r="S1130" i="5" s="1"/>
  <c r="T1130" i="5" s="1"/>
  <c r="Q467" i="5"/>
  <c r="S467" i="5" s="1"/>
  <c r="T467" i="5" s="1"/>
  <c r="Q549" i="5"/>
  <c r="S549" i="5" s="1"/>
  <c r="T549" i="5" s="1"/>
  <c r="Q660" i="5"/>
  <c r="S660" i="5" s="1"/>
  <c r="T660" i="5" s="1"/>
  <c r="Q675" i="5"/>
  <c r="S675" i="5" s="1"/>
  <c r="T675" i="5" s="1"/>
  <c r="Q837" i="5"/>
  <c r="S837" i="5" s="1"/>
  <c r="T837" i="5" s="1"/>
  <c r="Q948" i="5"/>
  <c r="S948" i="5" s="1"/>
  <c r="T948" i="5" s="1"/>
  <c r="Q998" i="5"/>
  <c r="S998" i="5" s="1"/>
  <c r="T998" i="5" s="1"/>
  <c r="Q1045" i="5"/>
  <c r="S1045" i="5" s="1"/>
  <c r="T1045" i="5" s="1"/>
  <c r="Q1114" i="5"/>
  <c r="S1114" i="5" s="1"/>
  <c r="T1114" i="5" s="1"/>
  <c r="Q747" i="5"/>
  <c r="S747" i="5" s="1"/>
  <c r="T747" i="5" s="1"/>
  <c r="Q442" i="5"/>
  <c r="S442" i="5" s="1"/>
  <c r="T442" i="5" s="1"/>
  <c r="Q731" i="5"/>
  <c r="S731" i="5" s="1"/>
  <c r="T731" i="5" s="1"/>
  <c r="Q812" i="5"/>
  <c r="S812" i="5" s="1"/>
  <c r="T812" i="5" s="1"/>
  <c r="Q1089" i="5"/>
  <c r="S1089" i="5" s="1"/>
  <c r="T1089" i="5" s="1"/>
  <c r="Q150" i="5"/>
  <c r="S150" i="5" s="1"/>
  <c r="T150" i="5" s="1"/>
  <c r="Q476" i="5"/>
  <c r="S476" i="5" s="1"/>
  <c r="T476" i="5" s="1"/>
  <c r="Q845" i="5"/>
  <c r="S845" i="5" s="1"/>
  <c r="T845" i="5" s="1"/>
  <c r="Q859" i="5"/>
  <c r="S859" i="5" s="1"/>
  <c r="T859" i="5" s="1"/>
  <c r="Q889" i="5"/>
  <c r="S889" i="5" s="1"/>
  <c r="T889" i="5" s="1"/>
  <c r="Q1090" i="5"/>
  <c r="S1090" i="5" s="1"/>
  <c r="T1090" i="5" s="1"/>
  <c r="Q635" i="5"/>
  <c r="S635" i="5" s="1"/>
  <c r="T635" i="5" s="1"/>
  <c r="Q860" i="5"/>
  <c r="S860" i="5" s="1"/>
  <c r="T860" i="5" s="1"/>
  <c r="Q1108" i="5"/>
  <c r="S1108" i="5" s="1"/>
  <c r="T1108" i="5" s="1"/>
  <c r="Q107" i="5"/>
  <c r="S107" i="5" s="1"/>
  <c r="T107" i="5" s="1"/>
  <c r="Q351" i="5"/>
  <c r="S351" i="5" s="1"/>
  <c r="T351" i="5" s="1"/>
  <c r="Q380" i="5"/>
  <c r="S380" i="5" s="1"/>
  <c r="T380" i="5" s="1"/>
  <c r="Q460" i="5"/>
  <c r="S460" i="5" s="1"/>
  <c r="T460" i="5" s="1"/>
  <c r="Q530" i="5"/>
  <c r="S530" i="5" s="1"/>
  <c r="T530" i="5" s="1"/>
  <c r="Q654" i="5"/>
  <c r="S654" i="5" s="1"/>
  <c r="T654" i="5" s="1"/>
  <c r="Q815" i="5"/>
  <c r="S815" i="5" s="1"/>
  <c r="T815" i="5" s="1"/>
  <c r="Q154" i="5"/>
  <c r="S154" i="5" s="1"/>
  <c r="T154" i="5" s="1"/>
  <c r="Q368" i="5"/>
  <c r="S368" i="5" s="1"/>
  <c r="T368" i="5" s="1"/>
  <c r="Q516" i="5"/>
  <c r="S516" i="5" s="1"/>
  <c r="T516" i="5" s="1"/>
  <c r="Q638" i="5"/>
  <c r="S638" i="5" s="1"/>
  <c r="T638" i="5" s="1"/>
  <c r="Q1040" i="5"/>
  <c r="S1040" i="5" s="1"/>
  <c r="T1040" i="5" s="1"/>
  <c r="Q1143" i="5"/>
  <c r="S1143" i="5" s="1"/>
  <c r="T1143" i="5" s="1"/>
  <c r="Q109" i="5"/>
  <c r="S109" i="5" s="1"/>
  <c r="T109" i="5" s="1"/>
  <c r="Q125" i="5"/>
  <c r="S125" i="5" s="1"/>
  <c r="T125" i="5" s="1"/>
  <c r="Q320" i="5"/>
  <c r="S320" i="5" s="1"/>
  <c r="T320" i="5" s="1"/>
  <c r="Q382" i="5"/>
  <c r="S382" i="5" s="1"/>
  <c r="T382" i="5" s="1"/>
  <c r="Q338" i="5"/>
  <c r="S338" i="5" s="1"/>
  <c r="T338" i="5" s="1"/>
  <c r="Q397" i="5"/>
  <c r="S397" i="5" s="1"/>
  <c r="T397" i="5" s="1"/>
  <c r="Q415" i="5"/>
  <c r="S415" i="5" s="1"/>
  <c r="T415" i="5" s="1"/>
  <c r="Q579" i="5"/>
  <c r="S579" i="5" s="1"/>
  <c r="T579" i="5" s="1"/>
  <c r="Q67" i="5"/>
  <c r="S67" i="5" s="1"/>
  <c r="T67" i="5" s="1"/>
  <c r="Q81" i="5"/>
  <c r="S81" i="5" s="1"/>
  <c r="T81" i="5" s="1"/>
  <c r="Q143" i="5"/>
  <c r="S143" i="5" s="1"/>
  <c r="T143" i="5" s="1"/>
  <c r="Q208" i="5"/>
  <c r="S208" i="5" s="1"/>
  <c r="T208" i="5" s="1"/>
  <c r="Q226" i="5"/>
  <c r="S226" i="5" s="1"/>
  <c r="T226" i="5" s="1"/>
  <c r="Q177" i="5"/>
  <c r="S177" i="5" s="1"/>
  <c r="T177" i="5" s="1"/>
  <c r="Q263" i="5"/>
  <c r="S263" i="5" s="1"/>
  <c r="T263" i="5" s="1"/>
  <c r="Q279" i="5"/>
  <c r="S279" i="5" s="1"/>
  <c r="T279" i="5" s="1"/>
  <c r="Q295" i="5"/>
  <c r="S295" i="5" s="1"/>
  <c r="T295" i="5" s="1"/>
  <c r="Q309" i="5"/>
  <c r="S309" i="5" s="1"/>
  <c r="T309" i="5" s="1"/>
  <c r="Q386" i="5"/>
  <c r="S386" i="5" s="1"/>
  <c r="T386" i="5" s="1"/>
  <c r="Q468" i="5"/>
  <c r="S468" i="5" s="1"/>
  <c r="T468" i="5" s="1"/>
  <c r="Q583" i="5"/>
  <c r="S583" i="5" s="1"/>
  <c r="T583" i="5" s="1"/>
  <c r="Q643" i="5"/>
  <c r="S643" i="5" s="1"/>
  <c r="T643" i="5" s="1"/>
  <c r="Q676" i="5"/>
  <c r="S676" i="5" s="1"/>
  <c r="T676" i="5" s="1"/>
  <c r="Q838" i="5"/>
  <c r="S838" i="5" s="1"/>
  <c r="T838" i="5" s="1"/>
  <c r="Q917" i="5"/>
  <c r="S917" i="5" s="1"/>
  <c r="T917" i="5" s="1"/>
  <c r="Q1015" i="5"/>
  <c r="S1015" i="5" s="1"/>
  <c r="T1015" i="5" s="1"/>
  <c r="Q1064" i="5"/>
  <c r="S1064" i="5" s="1"/>
  <c r="T1064" i="5" s="1"/>
  <c r="Q1099" i="5"/>
  <c r="S1099" i="5" s="1"/>
  <c r="T1099" i="5" s="1"/>
  <c r="Q424" i="5"/>
  <c r="S424" i="5" s="1"/>
  <c r="T424" i="5" s="1"/>
  <c r="Q41" i="5"/>
  <c r="S41" i="5" s="1"/>
  <c r="T41" i="5" s="1"/>
  <c r="Q182" i="5"/>
  <c r="S182" i="5" s="1"/>
  <c r="T182" i="5" s="1"/>
  <c r="Q233" i="5"/>
  <c r="S233" i="5" s="1"/>
  <c r="T233" i="5" s="1"/>
  <c r="Q300" i="5"/>
  <c r="S300" i="5" s="1"/>
  <c r="T300" i="5" s="1"/>
  <c r="Q392" i="5"/>
  <c r="S392" i="5" s="1"/>
  <c r="T392" i="5" s="1"/>
  <c r="Q971" i="5"/>
  <c r="S971" i="5" s="1"/>
  <c r="T971" i="5" s="1"/>
  <c r="Q1105" i="5"/>
  <c r="S1105" i="5" s="1"/>
  <c r="T1105" i="5" s="1"/>
  <c r="Q42" i="5"/>
  <c r="S42" i="5" s="1"/>
  <c r="T42" i="5" s="1"/>
  <c r="Q252" i="5"/>
  <c r="S252" i="5" s="1"/>
  <c r="T252" i="5" s="1"/>
  <c r="Q11" i="5"/>
  <c r="S11" i="5" s="1"/>
  <c r="T11" i="5" s="1"/>
  <c r="Q90" i="5"/>
  <c r="S90" i="5" s="1"/>
  <c r="T90" i="5" s="1"/>
  <c r="Q121" i="5"/>
  <c r="S121" i="5" s="1"/>
  <c r="T121" i="5" s="1"/>
  <c r="Q217" i="5"/>
  <c r="S217" i="5" s="1"/>
  <c r="T217" i="5" s="1"/>
  <c r="Q411" i="5"/>
  <c r="S411" i="5" s="1"/>
  <c r="T411" i="5" s="1"/>
  <c r="Q765" i="5"/>
  <c r="S765" i="5" s="1"/>
  <c r="T765" i="5" s="1"/>
  <c r="Q76" i="5"/>
  <c r="S76" i="5" s="1"/>
  <c r="T76" i="5" s="1"/>
  <c r="Q122" i="5"/>
  <c r="S122" i="5" s="1"/>
  <c r="T122" i="5" s="1"/>
  <c r="Q151" i="5"/>
  <c r="S151" i="5" s="1"/>
  <c r="T151" i="5" s="1"/>
  <c r="Q184" i="5"/>
  <c r="S184" i="5" s="1"/>
  <c r="T184" i="5" s="1"/>
  <c r="Q846" i="5"/>
  <c r="S846" i="5" s="1"/>
  <c r="T846" i="5" s="1"/>
  <c r="Q1073" i="5"/>
  <c r="S1073" i="5" s="1"/>
  <c r="T1073" i="5" s="1"/>
  <c r="Q478" i="5"/>
  <c r="S478" i="5" s="1"/>
  <c r="T478" i="5" s="1"/>
  <c r="Q591" i="5"/>
  <c r="S591" i="5" s="1"/>
  <c r="T591" i="5" s="1"/>
  <c r="Q701" i="5"/>
  <c r="S701" i="5" s="1"/>
  <c r="T701" i="5" s="1"/>
  <c r="Q734" i="5"/>
  <c r="S734" i="5" s="1"/>
  <c r="T734" i="5" s="1"/>
  <c r="Q153" i="5"/>
  <c r="S153" i="5" s="1"/>
  <c r="T153" i="5" s="1"/>
  <c r="Q318" i="5"/>
  <c r="S318" i="5" s="1"/>
  <c r="T318" i="5" s="1"/>
  <c r="Q381" i="5"/>
  <c r="S381" i="5" s="1"/>
  <c r="T381" i="5" s="1"/>
  <c r="Q413" i="5"/>
  <c r="S413" i="5" s="1"/>
  <c r="T413" i="5" s="1"/>
  <c r="Q670" i="5"/>
  <c r="S670" i="5" s="1"/>
  <c r="T670" i="5" s="1"/>
  <c r="Q717" i="5"/>
  <c r="S717" i="5" s="1"/>
  <c r="T717" i="5" s="1"/>
  <c r="Q800" i="5"/>
  <c r="S800" i="5" s="1"/>
  <c r="T800" i="5" s="1"/>
  <c r="Q1057" i="5"/>
  <c r="S1057" i="5" s="1"/>
  <c r="T1057" i="5" s="1"/>
  <c r="Q108" i="5"/>
  <c r="S108" i="5" s="1"/>
  <c r="T108" i="5" s="1"/>
  <c r="Q124" i="5"/>
  <c r="S124" i="5" s="1"/>
  <c r="T124" i="5" s="1"/>
  <c r="Q171" i="5"/>
  <c r="S171" i="5" s="1"/>
  <c r="T171" i="5" s="1"/>
  <c r="Q204" i="5"/>
  <c r="S204" i="5" s="1"/>
  <c r="T204" i="5" s="1"/>
  <c r="Q319" i="5"/>
  <c r="S319" i="5" s="1"/>
  <c r="T319" i="5" s="1"/>
  <c r="Q593" i="5"/>
  <c r="S593" i="5" s="1"/>
  <c r="T593" i="5" s="1"/>
  <c r="Q686" i="5"/>
  <c r="S686" i="5" s="1"/>
  <c r="T686" i="5" s="1"/>
  <c r="Q702" i="5"/>
  <c r="S702" i="5" s="1"/>
  <c r="T702" i="5" s="1"/>
  <c r="Q736" i="5"/>
  <c r="S736" i="5" s="1"/>
  <c r="T736" i="5" s="1"/>
  <c r="Q993" i="5"/>
  <c r="S993" i="5" s="1"/>
  <c r="T993" i="5" s="1"/>
  <c r="Q1026" i="5"/>
  <c r="S1026" i="5" s="1"/>
  <c r="T1026" i="5" s="1"/>
  <c r="Q47" i="5"/>
  <c r="S47" i="5" s="1"/>
  <c r="T47" i="5" s="1"/>
  <c r="Q257" i="5"/>
  <c r="S257" i="5" s="1"/>
  <c r="T257" i="5" s="1"/>
  <c r="Q304" i="5"/>
  <c r="S304" i="5" s="1"/>
  <c r="T304" i="5" s="1"/>
  <c r="Q337" i="5"/>
  <c r="S337" i="5" s="1"/>
  <c r="T337" i="5" s="1"/>
  <c r="Q258" i="5"/>
  <c r="S258" i="5" s="1"/>
  <c r="T258" i="5" s="1"/>
  <c r="Q275" i="5"/>
  <c r="S275" i="5" s="1"/>
  <c r="T275" i="5" s="1"/>
  <c r="Q321" i="5"/>
  <c r="S321" i="5" s="1"/>
  <c r="T321" i="5" s="1"/>
  <c r="Q353" i="5"/>
  <c r="S353" i="5" s="1"/>
  <c r="T353" i="5" s="1"/>
  <c r="Q979" i="5"/>
  <c r="S979" i="5" s="1"/>
  <c r="T979" i="5" s="1"/>
  <c r="Q50" i="5"/>
  <c r="S50" i="5" s="1"/>
  <c r="T50" i="5" s="1"/>
  <c r="Q112" i="5"/>
  <c r="S112" i="5" s="1"/>
  <c r="T112" i="5" s="1"/>
  <c r="Q243" i="5"/>
  <c r="S243" i="5" s="1"/>
  <c r="T243" i="5" s="1"/>
  <c r="Q308" i="5"/>
  <c r="S308" i="5" s="1"/>
  <c r="T308" i="5" s="1"/>
  <c r="Q68" i="5"/>
  <c r="S68" i="5" s="1"/>
  <c r="T68" i="5" s="1"/>
  <c r="Q244" i="5"/>
  <c r="S244" i="5" s="1"/>
  <c r="T244" i="5" s="1"/>
  <c r="Q262" i="5"/>
  <c r="S262" i="5" s="1"/>
  <c r="T262" i="5" s="1"/>
  <c r="Q324" i="5"/>
  <c r="S324" i="5" s="1"/>
  <c r="T324" i="5" s="1"/>
  <c r="Q341" i="5"/>
  <c r="S341" i="5" s="1"/>
  <c r="T341" i="5" s="1"/>
  <c r="Q356" i="5"/>
  <c r="S356" i="5" s="1"/>
  <c r="T356" i="5" s="1"/>
  <c r="Q21" i="5"/>
  <c r="S21" i="5" s="1"/>
  <c r="T21" i="5" s="1"/>
  <c r="Q97" i="5"/>
  <c r="S97" i="5" s="1"/>
  <c r="T97" i="5" s="1"/>
  <c r="Q69" i="5"/>
  <c r="S69" i="5" s="1"/>
  <c r="T69" i="5" s="1"/>
  <c r="Q115" i="5"/>
  <c r="S115" i="5" s="1"/>
  <c r="T115" i="5" s="1"/>
  <c r="Q245" i="5"/>
  <c r="S245" i="5" s="1"/>
  <c r="T245" i="5" s="1"/>
  <c r="Q536" i="5"/>
  <c r="S536" i="5" s="1"/>
  <c r="T536" i="5" s="1"/>
  <c r="Q584" i="5"/>
  <c r="S584" i="5" s="1"/>
  <c r="T584" i="5" s="1"/>
  <c r="Q628" i="5"/>
  <c r="S628" i="5" s="1"/>
  <c r="T628" i="5" s="1"/>
  <c r="Q644" i="5"/>
  <c r="S644" i="5" s="1"/>
  <c r="T644" i="5" s="1"/>
  <c r="Q869" i="5"/>
  <c r="S869" i="5" s="1"/>
  <c r="T869" i="5" s="1"/>
  <c r="Q884" i="5"/>
  <c r="S884" i="5" s="1"/>
  <c r="T884" i="5" s="1"/>
  <c r="Q950" i="5"/>
  <c r="S950" i="5" s="1"/>
  <c r="T950" i="5" s="1"/>
  <c r="Q1000" i="5"/>
  <c r="S1000" i="5" s="1"/>
  <c r="T1000" i="5" s="1"/>
  <c r="Q1031" i="5"/>
  <c r="S1031" i="5" s="1"/>
  <c r="T1031" i="5" s="1"/>
  <c r="Q1047" i="5"/>
  <c r="S1047" i="5" s="1"/>
  <c r="T1047" i="5" s="1"/>
  <c r="Q517" i="5"/>
  <c r="S517" i="5" s="1"/>
  <c r="T517" i="5" s="1"/>
  <c r="Q700" i="5"/>
  <c r="S700" i="5" s="1"/>
  <c r="T700" i="5" s="1"/>
  <c r="Q823" i="5"/>
  <c r="S823" i="5" s="1"/>
  <c r="T823" i="5" s="1"/>
  <c r="Q947" i="5"/>
  <c r="S947" i="5" s="1"/>
  <c r="T947" i="5" s="1"/>
  <c r="Q1059" i="5"/>
  <c r="S1059" i="5" s="1"/>
  <c r="T1059" i="5" s="1"/>
  <c r="Q1075" i="5"/>
  <c r="S1075" i="5" s="1"/>
  <c r="T1075" i="5" s="1"/>
  <c r="Q1139" i="5"/>
  <c r="S1139" i="5" s="1"/>
  <c r="T1139" i="5" s="1"/>
  <c r="Q84" i="5"/>
  <c r="S84" i="5" s="1"/>
  <c r="T84" i="5" s="1"/>
  <c r="Q268" i="5"/>
  <c r="S268" i="5" s="1"/>
  <c r="T268" i="5" s="1"/>
  <c r="Q283" i="5"/>
  <c r="S283" i="5" s="1"/>
  <c r="T283" i="5" s="1"/>
  <c r="Q343" i="5"/>
  <c r="S343" i="5" s="1"/>
  <c r="T343" i="5" s="1"/>
  <c r="Q524" i="5"/>
  <c r="S524" i="5" s="1"/>
  <c r="T524" i="5" s="1"/>
  <c r="Q539" i="5"/>
  <c r="S539" i="5" s="1"/>
  <c r="T539" i="5" s="1"/>
  <c r="Q601" i="5"/>
  <c r="S601" i="5" s="1"/>
  <c r="T601" i="5" s="1"/>
  <c r="Q709" i="5"/>
  <c r="S709" i="5" s="1"/>
  <c r="T709" i="5" s="1"/>
  <c r="Q816" i="5"/>
  <c r="S816" i="5" s="1"/>
  <c r="T816" i="5" s="1"/>
  <c r="Q923" i="5"/>
  <c r="S923" i="5" s="1"/>
  <c r="T923" i="5" s="1"/>
  <c r="Q957" i="5"/>
  <c r="S957" i="5" s="1"/>
  <c r="T957" i="5" s="1"/>
  <c r="Q28" i="5"/>
  <c r="S28" i="5" s="1"/>
  <c r="T28" i="5" s="1"/>
  <c r="Q98" i="5"/>
  <c r="S98" i="5" s="1"/>
  <c r="T98" i="5" s="1"/>
  <c r="Q128" i="5"/>
  <c r="S128" i="5" s="1"/>
  <c r="T128" i="5" s="1"/>
  <c r="Q142" i="5"/>
  <c r="S142" i="5" s="1"/>
  <c r="T142" i="5" s="1"/>
  <c r="Q284" i="5"/>
  <c r="S284" i="5" s="1"/>
  <c r="T284" i="5" s="1"/>
  <c r="Q344" i="5"/>
  <c r="S344" i="5" s="1"/>
  <c r="T344" i="5" s="1"/>
  <c r="Q359" i="5"/>
  <c r="S359" i="5" s="1"/>
  <c r="T359" i="5" s="1"/>
  <c r="Q449" i="5"/>
  <c r="S449" i="5" s="1"/>
  <c r="T449" i="5" s="1"/>
  <c r="Q479" i="5"/>
  <c r="S479" i="5" s="1"/>
  <c r="T479" i="5" s="1"/>
  <c r="Q496" i="5"/>
  <c r="S496" i="5" s="1"/>
  <c r="T496" i="5" s="1"/>
  <c r="Q553" i="5"/>
  <c r="S553" i="5" s="1"/>
  <c r="T553" i="5" s="1"/>
  <c r="Q678" i="5"/>
  <c r="S678" i="5" s="1"/>
  <c r="T678" i="5" s="1"/>
  <c r="Q757" i="5"/>
  <c r="S757" i="5" s="1"/>
  <c r="T757" i="5" s="1"/>
  <c r="Q786" i="5"/>
  <c r="S786" i="5" s="1"/>
  <c r="T786" i="5" s="1"/>
  <c r="Q817" i="5"/>
  <c r="S817" i="5" s="1"/>
  <c r="T817" i="5" s="1"/>
  <c r="Q848" i="5"/>
  <c r="S848" i="5" s="1"/>
  <c r="T848" i="5" s="1"/>
  <c r="Q861" i="5"/>
  <c r="S861" i="5" s="1"/>
  <c r="T861" i="5" s="1"/>
  <c r="Q891" i="5"/>
  <c r="S891" i="5" s="1"/>
  <c r="T891" i="5" s="1"/>
  <c r="Q941" i="5"/>
  <c r="S941" i="5" s="1"/>
  <c r="T941" i="5" s="1"/>
  <c r="Q972" i="5"/>
  <c r="S972" i="5" s="1"/>
  <c r="T972" i="5" s="1"/>
  <c r="Q1051" i="5"/>
  <c r="S1051" i="5" s="1"/>
  <c r="T1051" i="5" s="1"/>
  <c r="Q1085" i="5"/>
  <c r="S1085" i="5" s="1"/>
  <c r="T1085" i="5" s="1"/>
  <c r="Q1100" i="5"/>
  <c r="S1100" i="5" s="1"/>
  <c r="T1100" i="5" s="1"/>
  <c r="Q1163" i="5"/>
  <c r="S1163" i="5" s="1"/>
  <c r="T1163" i="5" s="1"/>
  <c r="Q497" i="5"/>
  <c r="S497" i="5" s="1"/>
  <c r="T497" i="5" s="1"/>
  <c r="Q526" i="5"/>
  <c r="S526" i="5" s="1"/>
  <c r="T526" i="5" s="1"/>
  <c r="Q663" i="5"/>
  <c r="S663" i="5" s="1"/>
  <c r="T663" i="5" s="1"/>
  <c r="Q679" i="5"/>
  <c r="S679" i="5" s="1"/>
  <c r="T679" i="5" s="1"/>
  <c r="Q787" i="5"/>
  <c r="S787" i="5" s="1"/>
  <c r="T787" i="5" s="1"/>
  <c r="Q803" i="5"/>
  <c r="S803" i="5" s="1"/>
  <c r="T803" i="5" s="1"/>
  <c r="Q833" i="5"/>
  <c r="S833" i="5" s="1"/>
  <c r="T833" i="5" s="1"/>
  <c r="Q1021" i="5"/>
  <c r="S1021" i="5" s="1"/>
  <c r="T1021" i="5" s="1"/>
  <c r="Q1132" i="5"/>
  <c r="S1132" i="5" s="1"/>
  <c r="T1132" i="5" s="1"/>
  <c r="Q3" i="5"/>
  <c r="S3" i="5" s="1"/>
  <c r="T3" i="5" s="1"/>
  <c r="Q220" i="5"/>
  <c r="S220" i="5" s="1"/>
  <c r="T220" i="5" s="1"/>
  <c r="Q286" i="5"/>
  <c r="S286" i="5" s="1"/>
  <c r="T286" i="5" s="1"/>
  <c r="Q330" i="5"/>
  <c r="S330" i="5" s="1"/>
  <c r="T330" i="5" s="1"/>
  <c r="Q498" i="5"/>
  <c r="S498" i="5" s="1"/>
  <c r="T498" i="5" s="1"/>
  <c r="Q527" i="5"/>
  <c r="S527" i="5" s="1"/>
  <c r="T527" i="5" s="1"/>
  <c r="Q570" i="5"/>
  <c r="S570" i="5" s="1"/>
  <c r="T570" i="5" s="1"/>
  <c r="Q603" i="5"/>
  <c r="S603" i="5" s="1"/>
  <c r="T603" i="5" s="1"/>
  <c r="Q664" i="5"/>
  <c r="S664" i="5" s="1"/>
  <c r="T664" i="5" s="1"/>
  <c r="Q743" i="5"/>
  <c r="S743" i="5" s="1"/>
  <c r="T743" i="5" s="1"/>
  <c r="Q758" i="5"/>
  <c r="S758" i="5" s="1"/>
  <c r="T758" i="5" s="1"/>
  <c r="Q804" i="5"/>
  <c r="S804" i="5" s="1"/>
  <c r="T804" i="5" s="1"/>
  <c r="Q819" i="5"/>
  <c r="S819" i="5" s="1"/>
  <c r="T819" i="5" s="1"/>
  <c r="Q959" i="5"/>
  <c r="S959" i="5" s="1"/>
  <c r="T959" i="5" s="1"/>
  <c r="Q1053" i="5"/>
  <c r="S1053" i="5" s="1"/>
  <c r="T1053" i="5" s="1"/>
  <c r="Q1117" i="5"/>
  <c r="S1117" i="5" s="1"/>
  <c r="T1117" i="5" s="1"/>
  <c r="Q1133" i="5"/>
  <c r="S1133" i="5" s="1"/>
  <c r="T1133" i="5" s="1"/>
  <c r="Q4" i="5"/>
  <c r="S4" i="5" s="1"/>
  <c r="T4" i="5" s="1"/>
  <c r="Q17" i="5"/>
  <c r="S17" i="5" s="1"/>
  <c r="T17" i="5" s="1"/>
  <c r="Q144" i="5"/>
  <c r="S144" i="5" s="1"/>
  <c r="T144" i="5" s="1"/>
  <c r="Q205" i="5"/>
  <c r="S205" i="5" s="1"/>
  <c r="T205" i="5" s="1"/>
  <c r="Q604" i="5"/>
  <c r="S604" i="5" s="1"/>
  <c r="T604" i="5" s="1"/>
  <c r="Q632" i="5"/>
  <c r="S632" i="5" s="1"/>
  <c r="T632" i="5" s="1"/>
  <c r="Q728" i="5"/>
  <c r="S728" i="5" s="1"/>
  <c r="T728" i="5" s="1"/>
  <c r="Q744" i="5"/>
  <c r="S744" i="5" s="1"/>
  <c r="T744" i="5" s="1"/>
  <c r="Q759" i="5"/>
  <c r="S759" i="5" s="1"/>
  <c r="T759" i="5" s="1"/>
  <c r="Q894" i="5"/>
  <c r="S894" i="5" s="1"/>
  <c r="T894" i="5" s="1"/>
  <c r="Q926" i="5"/>
  <c r="S926" i="5" s="1"/>
  <c r="T926" i="5" s="1"/>
  <c r="Q975" i="5"/>
  <c r="S975" i="5" s="1"/>
  <c r="T975" i="5" s="1"/>
  <c r="Q500" i="5"/>
  <c r="S500" i="5" s="1"/>
  <c r="T500" i="5" s="1"/>
  <c r="Q729" i="5"/>
  <c r="S729" i="5" s="1"/>
  <c r="T729" i="5" s="1"/>
  <c r="Q760" i="5"/>
  <c r="S760" i="5" s="1"/>
  <c r="T760" i="5" s="1"/>
  <c r="Q789" i="5"/>
  <c r="S789" i="5" s="1"/>
  <c r="T789" i="5" s="1"/>
  <c r="Q943" i="5"/>
  <c r="S943" i="5" s="1"/>
  <c r="T943" i="5" s="1"/>
  <c r="Q1023" i="5"/>
  <c r="S1023" i="5" s="1"/>
  <c r="T1023" i="5" s="1"/>
  <c r="Q1055" i="5"/>
  <c r="S1055" i="5" s="1"/>
  <c r="T1055" i="5" s="1"/>
  <c r="Q1103" i="5"/>
  <c r="S1103" i="5" s="1"/>
  <c r="T1103" i="5" s="1"/>
  <c r="Q499" i="5"/>
  <c r="S499" i="5" s="1"/>
  <c r="T499" i="5" s="1"/>
  <c r="Q44" i="5"/>
  <c r="S44" i="5" s="1"/>
  <c r="T44" i="5" s="1"/>
  <c r="Q101" i="5"/>
  <c r="S101" i="5" s="1"/>
  <c r="T101" i="5" s="1"/>
  <c r="Q117" i="5"/>
  <c r="S117" i="5" s="1"/>
  <c r="T117" i="5" s="1"/>
  <c r="Q221" i="5"/>
  <c r="S221" i="5" s="1"/>
  <c r="T221" i="5" s="1"/>
  <c r="Q288" i="5"/>
  <c r="S288" i="5" s="1"/>
  <c r="T288" i="5" s="1"/>
  <c r="Q347" i="5"/>
  <c r="S347" i="5" s="1"/>
  <c r="T347" i="5" s="1"/>
  <c r="Q363" i="5"/>
  <c r="S363" i="5" s="1"/>
  <c r="T363" i="5" s="1"/>
  <c r="Q404" i="5"/>
  <c r="S404" i="5" s="1"/>
  <c r="T404" i="5" s="1"/>
  <c r="Q18" i="5"/>
  <c r="S18" i="5" s="1"/>
  <c r="T18" i="5" s="1"/>
  <c r="Q60" i="5"/>
  <c r="S60" i="5" s="1"/>
  <c r="T60" i="5" s="1"/>
  <c r="Q207" i="5"/>
  <c r="S207" i="5" s="1"/>
  <c r="T207" i="5" s="1"/>
  <c r="Q222" i="5"/>
  <c r="S222" i="5" s="1"/>
  <c r="T222" i="5" s="1"/>
  <c r="Q302" i="5"/>
  <c r="S302" i="5" s="1"/>
  <c r="T302" i="5" s="1"/>
  <c r="Q348" i="5"/>
  <c r="S348" i="5" s="1"/>
  <c r="T348" i="5" s="1"/>
  <c r="Q436" i="5"/>
  <c r="S436" i="5" s="1"/>
  <c r="T436" i="5" s="1"/>
  <c r="Q452" i="5"/>
  <c r="S452" i="5" s="1"/>
  <c r="T452" i="5" s="1"/>
  <c r="Q482" i="5"/>
  <c r="S482" i="5" s="1"/>
  <c r="T482" i="5" s="1"/>
  <c r="Q501" i="5"/>
  <c r="S501" i="5" s="1"/>
  <c r="T501" i="5" s="1"/>
  <c r="Q633" i="5"/>
  <c r="S633" i="5" s="1"/>
  <c r="T633" i="5" s="1"/>
  <c r="Q790" i="5"/>
  <c r="S790" i="5" s="1"/>
  <c r="T790" i="5" s="1"/>
  <c r="Q977" i="5"/>
  <c r="S977" i="5" s="1"/>
  <c r="T977" i="5" s="1"/>
  <c r="Q1072" i="5"/>
  <c r="S1072" i="5" s="1"/>
  <c r="T1072" i="5" s="1"/>
  <c r="Q1104" i="5"/>
  <c r="S1104" i="5" s="1"/>
  <c r="T1104" i="5" s="1"/>
  <c r="Q1120" i="5"/>
  <c r="S1120" i="5" s="1"/>
  <c r="T1120" i="5" s="1"/>
  <c r="Q877" i="5"/>
  <c r="S877" i="5" s="1"/>
  <c r="T877" i="5" s="1"/>
  <c r="Q983" i="5"/>
  <c r="S983" i="5" s="1"/>
  <c r="T983" i="5" s="1"/>
  <c r="Q469" i="5"/>
  <c r="S469" i="5" s="1"/>
  <c r="T469" i="5" s="1"/>
  <c r="Q543" i="5"/>
  <c r="S543" i="5" s="1"/>
  <c r="T543" i="5" s="1"/>
  <c r="Q763" i="5"/>
  <c r="S763" i="5" s="1"/>
  <c r="T763" i="5" s="1"/>
  <c r="Q820" i="5"/>
  <c r="S820" i="5" s="1"/>
  <c r="T820" i="5" s="1"/>
  <c r="Q940" i="5"/>
  <c r="S940" i="5" s="1"/>
  <c r="T940" i="5" s="1"/>
  <c r="Q984" i="5"/>
  <c r="S984" i="5" s="1"/>
  <c r="T984" i="5" s="1"/>
  <c r="Q999" i="5"/>
  <c r="S999" i="5" s="1"/>
  <c r="T999" i="5" s="1"/>
  <c r="Q1043" i="5"/>
  <c r="S1043" i="5" s="1"/>
  <c r="T1043" i="5" s="1"/>
  <c r="Q1076" i="5"/>
  <c r="S1076" i="5" s="1"/>
  <c r="T1076" i="5" s="1"/>
  <c r="Q1151" i="5"/>
  <c r="S1151" i="5" s="1"/>
  <c r="T1151" i="5" s="1"/>
  <c r="Q88" i="5"/>
  <c r="S88" i="5" s="1"/>
  <c r="T88" i="5" s="1"/>
  <c r="Q201" i="5"/>
  <c r="S201" i="5" s="1"/>
  <c r="T201" i="5" s="1"/>
  <c r="Q328" i="5"/>
  <c r="S328" i="5" s="1"/>
  <c r="T328" i="5" s="1"/>
  <c r="Q429" i="5"/>
  <c r="S429" i="5" s="1"/>
  <c r="T429" i="5" s="1"/>
  <c r="Q456" i="5"/>
  <c r="S456" i="5" s="1"/>
  <c r="T456" i="5" s="1"/>
  <c r="Q504" i="5"/>
  <c r="S504" i="5" s="1"/>
  <c r="T504" i="5" s="1"/>
  <c r="Q619" i="5"/>
  <c r="S619" i="5" s="1"/>
  <c r="T619" i="5" s="1"/>
  <c r="Q880" i="5"/>
  <c r="S880" i="5" s="1"/>
  <c r="T880" i="5" s="1"/>
  <c r="Q1017" i="5"/>
  <c r="S1017" i="5" s="1"/>
  <c r="T1017" i="5" s="1"/>
  <c r="Q387" i="5"/>
  <c r="S387" i="5" s="1"/>
  <c r="T387" i="5" s="1"/>
  <c r="Q431" i="5"/>
  <c r="S431" i="5" s="1"/>
  <c r="T431" i="5" s="1"/>
  <c r="Q824" i="5"/>
  <c r="S824" i="5" s="1"/>
  <c r="T824" i="5" s="1"/>
  <c r="Q899" i="5"/>
  <c r="S899" i="5" s="1"/>
  <c r="T899" i="5" s="1"/>
  <c r="Q944" i="5"/>
  <c r="S944" i="5" s="1"/>
  <c r="T944" i="5" s="1"/>
  <c r="Q960" i="5"/>
  <c r="S960" i="5" s="1"/>
  <c r="T960" i="5" s="1"/>
  <c r="Q1004" i="5"/>
  <c r="S1004" i="5" s="1"/>
  <c r="T1004" i="5" s="1"/>
  <c r="Q1019" i="5"/>
  <c r="S1019" i="5" s="1"/>
  <c r="T1019" i="5" s="1"/>
  <c r="Q64" i="5"/>
  <c r="S64" i="5" s="1"/>
  <c r="T64" i="5" s="1"/>
  <c r="Q187" i="5"/>
  <c r="S187" i="5" s="1"/>
  <c r="T187" i="5" s="1"/>
  <c r="Q401" i="5"/>
  <c r="S401" i="5" s="1"/>
  <c r="T401" i="5" s="1"/>
  <c r="Q416" i="5"/>
  <c r="S416" i="5" s="1"/>
  <c r="T416" i="5" s="1"/>
  <c r="Q24" i="5"/>
  <c r="S24" i="5" s="1"/>
  <c r="T24" i="5" s="1"/>
  <c r="Q203" i="5"/>
  <c r="S203" i="5" s="1"/>
  <c r="T203" i="5" s="1"/>
  <c r="Q361" i="5"/>
  <c r="S361" i="5" s="1"/>
  <c r="T361" i="5" s="1"/>
  <c r="Q388" i="5"/>
  <c r="S388" i="5" s="1"/>
  <c r="T388" i="5" s="1"/>
  <c r="Q520" i="5"/>
  <c r="S520" i="5" s="1"/>
  <c r="T520" i="5" s="1"/>
  <c r="Q577" i="5"/>
  <c r="S577" i="5" s="1"/>
  <c r="T577" i="5" s="1"/>
  <c r="Q797" i="5"/>
  <c r="S797" i="5" s="1"/>
  <c r="T797" i="5" s="1"/>
  <c r="Q883" i="5"/>
  <c r="S883" i="5" s="1"/>
  <c r="T883" i="5" s="1"/>
  <c r="Q900" i="5"/>
  <c r="S900" i="5" s="1"/>
  <c r="T900" i="5" s="1"/>
  <c r="Q1157" i="5"/>
  <c r="S1157" i="5" s="1"/>
  <c r="T1157" i="5" s="1"/>
  <c r="Q953" i="5"/>
  <c r="S953" i="5" s="1"/>
  <c r="T953" i="5" s="1"/>
  <c r="Q111" i="5"/>
  <c r="S111" i="5" s="1"/>
  <c r="T111" i="5" s="1"/>
  <c r="Q139" i="5"/>
  <c r="S139" i="5" s="1"/>
  <c r="T139" i="5" s="1"/>
  <c r="Q197" i="5"/>
  <c r="S197" i="5" s="1"/>
  <c r="T197" i="5" s="1"/>
  <c r="Q206" i="5"/>
  <c r="S206" i="5" s="1"/>
  <c r="T206" i="5" s="1"/>
  <c r="Q235" i="5"/>
  <c r="S235" i="5" s="1"/>
  <c r="T235" i="5" s="1"/>
  <c r="Q254" i="5"/>
  <c r="S254" i="5" s="1"/>
  <c r="T254" i="5" s="1"/>
  <c r="Q264" i="5"/>
  <c r="S264" i="5" s="1"/>
  <c r="T264" i="5" s="1"/>
  <c r="Q494" i="5"/>
  <c r="S494" i="5" s="1"/>
  <c r="T494" i="5" s="1"/>
  <c r="Q83" i="5"/>
  <c r="S83" i="5" s="1"/>
  <c r="T83" i="5" s="1"/>
  <c r="Q495" i="5"/>
  <c r="S495" i="5" s="1"/>
  <c r="T495" i="5" s="1"/>
  <c r="Q342" i="5"/>
  <c r="S342" i="5" s="1"/>
  <c r="T342" i="5" s="1"/>
  <c r="Q12" i="5"/>
  <c r="S12" i="5" s="1"/>
  <c r="T12" i="5" s="1"/>
  <c r="Q287" i="5"/>
  <c r="S287" i="5" s="1"/>
  <c r="T287" i="5" s="1"/>
  <c r="Q13" i="5"/>
  <c r="S13" i="5" s="1"/>
  <c r="T13" i="5" s="1"/>
  <c r="Q133" i="5"/>
  <c r="S133" i="5" s="1"/>
  <c r="T133" i="5" s="1"/>
  <c r="Q561" i="5"/>
  <c r="S561" i="5" s="1"/>
  <c r="T561" i="5" s="1"/>
  <c r="Q667" i="5"/>
  <c r="S667" i="5" s="1"/>
  <c r="T667" i="5" s="1"/>
  <c r="Q1036" i="5"/>
  <c r="S1036" i="5" s="1"/>
  <c r="T1036" i="5" s="1"/>
  <c r="Q315" i="5"/>
  <c r="S315" i="5" s="1"/>
  <c r="T315" i="5" s="1"/>
  <c r="Q560" i="5"/>
  <c r="S560" i="5" s="1"/>
  <c r="T560" i="5" s="1"/>
  <c r="Q435" i="5"/>
  <c r="S435" i="5" s="1"/>
  <c r="T435" i="5" s="1"/>
  <c r="Q733" i="5"/>
  <c r="S733" i="5" s="1"/>
  <c r="T733" i="5" s="1"/>
  <c r="Q1025" i="5"/>
  <c r="S1025" i="5" s="1"/>
  <c r="T1025" i="5" s="1"/>
  <c r="Q170" i="5"/>
  <c r="S170" i="5" s="1"/>
  <c r="T170" i="5" s="1"/>
  <c r="Q247" i="5"/>
  <c r="S247" i="5" s="1"/>
  <c r="T247" i="5" s="1"/>
  <c r="Q104" i="5"/>
  <c r="S104" i="5" s="1"/>
  <c r="T104" i="5" s="1"/>
  <c r="Q141" i="5"/>
  <c r="S141" i="5" s="1"/>
  <c r="T141" i="5" s="1"/>
  <c r="Q266" i="5"/>
  <c r="S266" i="5" s="1"/>
  <c r="T266" i="5" s="1"/>
  <c r="Q239" i="5"/>
  <c r="S239" i="5" s="1"/>
  <c r="T239" i="5" s="1"/>
  <c r="Q617" i="5"/>
  <c r="S617" i="5" s="1"/>
  <c r="T617" i="5" s="1"/>
  <c r="Q259" i="5"/>
  <c r="S259" i="5" s="1"/>
  <c r="T259" i="5" s="1"/>
  <c r="Q289" i="5"/>
  <c r="S289" i="5" s="1"/>
  <c r="T289" i="5" s="1"/>
  <c r="Q464" i="5"/>
  <c r="S464" i="5" s="1"/>
  <c r="T464" i="5" s="1"/>
  <c r="Q477" i="5"/>
  <c r="S477" i="5" s="1"/>
  <c r="T477" i="5" s="1"/>
  <c r="Q145" i="5"/>
  <c r="S145" i="5" s="1"/>
  <c r="T145" i="5" s="1"/>
  <c r="Q470" i="5"/>
  <c r="S470" i="5" s="1"/>
  <c r="T470" i="5" s="1"/>
  <c r="Q934" i="5"/>
  <c r="S934" i="5" s="1"/>
  <c r="T934" i="5" s="1"/>
  <c r="Q251" i="5"/>
  <c r="S251" i="5" s="1"/>
  <c r="T251" i="5" s="1"/>
  <c r="Q426" i="5"/>
  <c r="S426" i="5" s="1"/>
  <c r="T426" i="5" s="1"/>
  <c r="Q437" i="5"/>
  <c r="S437" i="5" s="1"/>
  <c r="T437" i="5" s="1"/>
  <c r="Q854" i="5"/>
  <c r="S854" i="5" s="1"/>
  <c r="T854" i="5" s="1"/>
  <c r="Q48" i="5"/>
  <c r="S48" i="5" s="1"/>
  <c r="T48" i="5" s="1"/>
  <c r="Q40" i="5"/>
  <c r="S40" i="5" s="1"/>
  <c r="T40" i="5" s="1"/>
  <c r="Q161" i="5"/>
  <c r="S161" i="5" s="1"/>
  <c r="T161" i="5" s="1"/>
  <c r="Q228" i="5"/>
  <c r="S228" i="5" s="1"/>
  <c r="T228" i="5" s="1"/>
  <c r="Q385" i="5"/>
  <c r="S385" i="5" s="1"/>
  <c r="T385" i="5" s="1"/>
  <c r="Q995" i="5"/>
  <c r="S995" i="5" s="1"/>
  <c r="T995" i="5" s="1"/>
  <c r="Q1035" i="5"/>
  <c r="S1035" i="5" s="1"/>
  <c r="T1035" i="5" s="1"/>
  <c r="Q213" i="5"/>
  <c r="S213" i="5" s="1"/>
  <c r="T213" i="5" s="1"/>
  <c r="Q261" i="5"/>
  <c r="S261" i="5" s="1"/>
  <c r="T261" i="5" s="1"/>
  <c r="Q339" i="5"/>
  <c r="S339" i="5" s="1"/>
  <c r="T339" i="5" s="1"/>
  <c r="Q409" i="5"/>
  <c r="S409" i="5" s="1"/>
  <c r="T409" i="5" s="1"/>
  <c r="Q427" i="5"/>
  <c r="S427" i="5" s="1"/>
  <c r="T427" i="5" s="1"/>
  <c r="Q645" i="5"/>
  <c r="S645" i="5" s="1"/>
  <c r="T645" i="5" s="1"/>
  <c r="Q1054" i="5"/>
  <c r="S1054" i="5" s="1"/>
  <c r="T1054" i="5" s="1"/>
  <c r="Q665" i="5"/>
  <c r="S665" i="5" s="1"/>
  <c r="T665" i="5" s="1"/>
  <c r="Q199" i="5"/>
  <c r="S199" i="5" s="1"/>
  <c r="T199" i="5" s="1"/>
  <c r="Q685" i="5"/>
  <c r="S685" i="5" s="1"/>
  <c r="T685" i="5" s="1"/>
  <c r="Q818" i="5"/>
  <c r="S818" i="5" s="1"/>
  <c r="T818" i="5" s="1"/>
  <c r="Q325" i="5"/>
  <c r="S325" i="5" s="1"/>
  <c r="T325" i="5" s="1"/>
  <c r="Q653" i="5"/>
  <c r="S653" i="5" s="1"/>
  <c r="T653" i="5" s="1"/>
  <c r="Q167" i="5"/>
  <c r="S167" i="5" s="1"/>
  <c r="T167" i="5" s="1"/>
  <c r="Q188" i="5"/>
  <c r="S188" i="5" s="1"/>
  <c r="T188" i="5" s="1"/>
  <c r="Q677" i="5"/>
  <c r="S677" i="5" s="1"/>
  <c r="T677" i="5" s="1"/>
  <c r="Q718" i="5"/>
  <c r="S718" i="5" s="1"/>
  <c r="T718" i="5" s="1"/>
  <c r="Q360" i="5"/>
  <c r="S360" i="5" s="1"/>
  <c r="T360" i="5" s="1"/>
  <c r="Q614" i="5"/>
  <c r="S614" i="5" s="1"/>
  <c r="T614" i="5" s="1"/>
  <c r="J91" i="1"/>
  <c r="J111" i="1"/>
  <c r="K111" i="1" s="1"/>
  <c r="J101" i="1"/>
  <c r="J121" i="1"/>
  <c r="J117" i="1"/>
  <c r="J119" i="1"/>
  <c r="K115" i="1"/>
  <c r="J113" i="1"/>
  <c r="J127" i="1"/>
  <c r="K125" i="1"/>
  <c r="J109" i="1"/>
  <c r="J107" i="1"/>
  <c r="K105" i="1"/>
  <c r="K103" i="1"/>
  <c r="M402" i="1"/>
  <c r="M404" i="1"/>
  <c r="N402" i="1"/>
  <c r="N404" i="1"/>
  <c r="J402" i="1"/>
  <c r="I404" i="1"/>
  <c r="H404" i="1"/>
  <c r="S403" i="1"/>
  <c r="J404" i="1"/>
  <c r="O404" i="1"/>
  <c r="Q404" i="1"/>
  <c r="L402" i="1"/>
  <c r="R402" i="1"/>
  <c r="S402" i="1"/>
  <c r="R404" i="1"/>
  <c r="S404" i="1"/>
  <c r="K403" i="1"/>
  <c r="L404" i="1"/>
  <c r="M403" i="1"/>
  <c r="N403" i="1"/>
  <c r="K402" i="1"/>
  <c r="K404" i="1"/>
  <c r="Q402" i="1"/>
  <c r="H403" i="1"/>
  <c r="P403" i="1"/>
  <c r="H402" i="1"/>
  <c r="I403" i="1"/>
  <c r="J403" i="1"/>
  <c r="L403" i="1"/>
  <c r="I402" i="1"/>
  <c r="R403" i="1"/>
  <c r="Q403" i="1"/>
  <c r="O402" i="1"/>
  <c r="P402" i="1"/>
  <c r="O403" i="1"/>
  <c r="P404" i="1"/>
  <c r="G442" i="1"/>
  <c r="H440" i="1"/>
  <c r="S438" i="1"/>
  <c r="R438" i="1"/>
  <c r="Q438" i="1"/>
  <c r="P438" i="1"/>
  <c r="O438" i="1"/>
  <c r="N438" i="1"/>
  <c r="M438" i="1"/>
  <c r="L438" i="1"/>
  <c r="K438" i="1"/>
  <c r="J438" i="1"/>
  <c r="I438" i="1"/>
  <c r="H438" i="1"/>
  <c r="S435" i="1"/>
  <c r="R435" i="1"/>
  <c r="Q435" i="1"/>
  <c r="P435" i="1"/>
  <c r="O435" i="1"/>
  <c r="N435" i="1"/>
  <c r="M435" i="1"/>
  <c r="L435" i="1"/>
  <c r="K435" i="1"/>
  <c r="J435" i="1"/>
  <c r="I435" i="1"/>
  <c r="H435" i="1"/>
  <c r="S432" i="1"/>
  <c r="R432" i="1"/>
  <c r="Q432" i="1"/>
  <c r="P432" i="1"/>
  <c r="O432" i="1"/>
  <c r="N432" i="1"/>
  <c r="M432" i="1"/>
  <c r="L432" i="1"/>
  <c r="K432" i="1"/>
  <c r="J432" i="1"/>
  <c r="I432" i="1"/>
  <c r="H432" i="1"/>
  <c r="S325" i="1"/>
  <c r="R325" i="1"/>
  <c r="Q325" i="1"/>
  <c r="P325" i="1"/>
  <c r="O325" i="1"/>
  <c r="N325" i="1"/>
  <c r="M325" i="1"/>
  <c r="L325" i="1"/>
  <c r="K325" i="1"/>
  <c r="J325" i="1"/>
  <c r="I325" i="1"/>
  <c r="H325" i="1"/>
  <c r="S257" i="1"/>
  <c r="R257" i="1"/>
  <c r="Q257" i="1"/>
  <c r="P257" i="1"/>
  <c r="O257" i="1"/>
  <c r="N257" i="1"/>
  <c r="M257" i="1"/>
  <c r="L257" i="1"/>
  <c r="K257" i="1"/>
  <c r="J257" i="1"/>
  <c r="I257" i="1"/>
  <c r="H257" i="1"/>
  <c r="H258" i="1" s="1"/>
  <c r="K123" i="1" l="1"/>
  <c r="K91" i="1"/>
  <c r="K101" i="1"/>
  <c r="K121" i="1"/>
  <c r="K117" i="1"/>
  <c r="K119" i="1"/>
  <c r="L115" i="1"/>
  <c r="K113" i="1"/>
  <c r="K127" i="1"/>
  <c r="L125" i="1"/>
  <c r="L111" i="1"/>
  <c r="K109" i="1"/>
  <c r="K107" i="1"/>
  <c r="L105" i="1"/>
  <c r="L103" i="1"/>
  <c r="J441" i="1"/>
  <c r="K441" i="1"/>
  <c r="O441" i="1"/>
  <c r="L441" i="1"/>
  <c r="M441" i="1"/>
  <c r="N441" i="1"/>
  <c r="R441" i="1"/>
  <c r="P441" i="1"/>
  <c r="S441" i="1"/>
  <c r="H441" i="1"/>
  <c r="I441" i="1"/>
  <c r="Q441" i="1"/>
  <c r="K258" i="1"/>
  <c r="J258" i="1"/>
  <c r="I258" i="1"/>
  <c r="S258" i="1"/>
  <c r="R258" i="1"/>
  <c r="Q258" i="1"/>
  <c r="P258" i="1"/>
  <c r="O258" i="1"/>
  <c r="N258" i="1"/>
  <c r="M258" i="1"/>
  <c r="L258" i="1"/>
  <c r="L356" i="1"/>
  <c r="K356" i="1"/>
  <c r="J356" i="1"/>
  <c r="I356" i="1"/>
  <c r="S356" i="1"/>
  <c r="R356" i="1"/>
  <c r="Q356" i="1"/>
  <c r="P356" i="1"/>
  <c r="O356" i="1"/>
  <c r="N356" i="1"/>
  <c r="M356" i="1"/>
  <c r="G356" i="1"/>
  <c r="F356" i="1"/>
  <c r="E356" i="1"/>
  <c r="D356" i="1"/>
  <c r="L123" i="1" l="1"/>
  <c r="L91" i="1"/>
  <c r="L101" i="1"/>
  <c r="L121" i="1"/>
  <c r="L117" i="1"/>
  <c r="L119" i="1"/>
  <c r="M115" i="1"/>
  <c r="L113" i="1"/>
  <c r="L127" i="1"/>
  <c r="M125" i="1"/>
  <c r="M111" i="1"/>
  <c r="L109" i="1"/>
  <c r="L107" i="1"/>
  <c r="M105" i="1"/>
  <c r="M103" i="1"/>
  <c r="S323" i="1"/>
  <c r="R323" i="1"/>
  <c r="Q323" i="1"/>
  <c r="P323" i="1"/>
  <c r="O323" i="1"/>
  <c r="N323" i="1"/>
  <c r="M323" i="1"/>
  <c r="L323" i="1"/>
  <c r="K323" i="1"/>
  <c r="J323" i="1"/>
  <c r="I323" i="1"/>
  <c r="S322" i="1"/>
  <c r="R322" i="1"/>
  <c r="Q322" i="1"/>
  <c r="P322" i="1"/>
  <c r="O322" i="1"/>
  <c r="N322" i="1"/>
  <c r="M322" i="1"/>
  <c r="L322" i="1"/>
  <c r="K322" i="1"/>
  <c r="J322" i="1"/>
  <c r="S321" i="1"/>
  <c r="R321" i="1"/>
  <c r="Q321" i="1"/>
  <c r="P321" i="1"/>
  <c r="O321" i="1"/>
  <c r="N321" i="1"/>
  <c r="M321" i="1"/>
  <c r="L321" i="1"/>
  <c r="K321" i="1"/>
  <c r="J321" i="1"/>
  <c r="I321" i="1"/>
  <c r="S320" i="1"/>
  <c r="R320" i="1"/>
  <c r="Q320" i="1"/>
  <c r="P320" i="1"/>
  <c r="O320" i="1"/>
  <c r="N320" i="1"/>
  <c r="M320" i="1"/>
  <c r="L320" i="1"/>
  <c r="K320" i="1"/>
  <c r="J320" i="1"/>
  <c r="I320" i="1"/>
  <c r="H323" i="1"/>
  <c r="H322" i="1"/>
  <c r="H321" i="1"/>
  <c r="H320" i="1"/>
  <c r="M123" i="1" l="1"/>
  <c r="M91" i="1"/>
  <c r="M101" i="1"/>
  <c r="M121" i="1"/>
  <c r="M117" i="1"/>
  <c r="M119" i="1"/>
  <c r="N115" i="1"/>
  <c r="M113" i="1"/>
  <c r="M127" i="1"/>
  <c r="N125" i="1"/>
  <c r="N111" i="1"/>
  <c r="M109" i="1"/>
  <c r="M107" i="1"/>
  <c r="N105" i="1"/>
  <c r="N103" i="1"/>
  <c r="S49" i="1"/>
  <c r="R49" i="1"/>
  <c r="Q49" i="1"/>
  <c r="P49" i="1"/>
  <c r="O49" i="1"/>
  <c r="N49" i="1"/>
  <c r="M49" i="1"/>
  <c r="L49" i="1"/>
  <c r="K49" i="1"/>
  <c r="J49" i="1"/>
  <c r="I49" i="1"/>
  <c r="S48" i="1"/>
  <c r="R48" i="1"/>
  <c r="Q48" i="1"/>
  <c r="P48" i="1"/>
  <c r="O48" i="1"/>
  <c r="N48" i="1"/>
  <c r="M48" i="1"/>
  <c r="L48" i="1"/>
  <c r="K48" i="1"/>
  <c r="J48" i="1"/>
  <c r="I48" i="1"/>
  <c r="S64" i="1"/>
  <c r="R64" i="1"/>
  <c r="Q64" i="1"/>
  <c r="P64" i="1"/>
  <c r="O64" i="1"/>
  <c r="N64" i="1"/>
  <c r="M64" i="1"/>
  <c r="L64" i="1"/>
  <c r="K64" i="1"/>
  <c r="J64" i="1"/>
  <c r="I64" i="1"/>
  <c r="H64" i="1"/>
  <c r="H49" i="1"/>
  <c r="H48" i="1"/>
  <c r="I26" i="1"/>
  <c r="S10" i="1"/>
  <c r="R10" i="1"/>
  <c r="Q10" i="1"/>
  <c r="P10" i="1"/>
  <c r="O10" i="1"/>
  <c r="N10" i="1"/>
  <c r="M10" i="1"/>
  <c r="L10" i="1"/>
  <c r="K10" i="1"/>
  <c r="J10" i="1"/>
  <c r="I10" i="1"/>
  <c r="H10" i="1"/>
  <c r="S9" i="1"/>
  <c r="R9" i="1"/>
  <c r="Q9" i="1"/>
  <c r="P9" i="1"/>
  <c r="O9" i="1"/>
  <c r="N9" i="1"/>
  <c r="M9" i="1"/>
  <c r="L9" i="1"/>
  <c r="K9" i="1"/>
  <c r="J9" i="1"/>
  <c r="I9" i="1"/>
  <c r="H9" i="1"/>
  <c r="S8" i="1"/>
  <c r="R8" i="1"/>
  <c r="Q8" i="1"/>
  <c r="P8" i="1"/>
  <c r="O8" i="1"/>
  <c r="N8" i="1"/>
  <c r="M8" i="1"/>
  <c r="L8" i="1"/>
  <c r="K8" i="1"/>
  <c r="J8" i="1"/>
  <c r="I8" i="1"/>
  <c r="H8" i="1"/>
  <c r="H3" i="1"/>
  <c r="G64" i="1"/>
  <c r="F64" i="1"/>
  <c r="E64" i="1"/>
  <c r="D64" i="1"/>
  <c r="N123" i="1" l="1"/>
  <c r="N91" i="1"/>
  <c r="N101" i="1"/>
  <c r="N121" i="1"/>
  <c r="N117" i="1"/>
  <c r="N119" i="1"/>
  <c r="O115" i="1"/>
  <c r="N113" i="1"/>
  <c r="N127" i="1"/>
  <c r="O125" i="1"/>
  <c r="O111" i="1"/>
  <c r="N109" i="1"/>
  <c r="N107" i="1"/>
  <c r="O105" i="1"/>
  <c r="O103" i="1"/>
  <c r="S269" i="1"/>
  <c r="D1453" i="5" s="1"/>
  <c r="C1453" i="5" s="1"/>
  <c r="R269" i="1"/>
  <c r="D1452" i="5" s="1"/>
  <c r="C1452" i="5" s="1"/>
  <c r="Q269" i="1"/>
  <c r="D1451" i="5" s="1"/>
  <c r="C1451" i="5" s="1"/>
  <c r="P269" i="1"/>
  <c r="D1450" i="5" s="1"/>
  <c r="C1450" i="5" s="1"/>
  <c r="O269" i="1"/>
  <c r="D1449" i="5" s="1"/>
  <c r="C1449" i="5" s="1"/>
  <c r="N269" i="1"/>
  <c r="D1448" i="5" s="1"/>
  <c r="C1448" i="5" s="1"/>
  <c r="M269" i="1"/>
  <c r="D1447" i="5" s="1"/>
  <c r="C1447" i="5" s="1"/>
  <c r="L269" i="1"/>
  <c r="D1446" i="5" s="1"/>
  <c r="C1446" i="5" s="1"/>
  <c r="K269" i="1"/>
  <c r="D1445" i="5" s="1"/>
  <c r="C1445" i="5" s="1"/>
  <c r="J269" i="1"/>
  <c r="D1444" i="5" s="1"/>
  <c r="C1444" i="5" s="1"/>
  <c r="I269" i="1"/>
  <c r="D1443" i="5" s="1"/>
  <c r="C1443" i="5" s="1"/>
  <c r="H269" i="1"/>
  <c r="D1442" i="5" s="1"/>
  <c r="C1442" i="5" s="1"/>
  <c r="S266" i="1"/>
  <c r="D1441" i="5" s="1"/>
  <c r="C1441" i="5" s="1"/>
  <c r="R266" i="1"/>
  <c r="D1440" i="5" s="1"/>
  <c r="C1440" i="5" s="1"/>
  <c r="Q266" i="1"/>
  <c r="D1439" i="5" s="1"/>
  <c r="C1439" i="5" s="1"/>
  <c r="P266" i="1"/>
  <c r="D1438" i="5" s="1"/>
  <c r="C1438" i="5" s="1"/>
  <c r="O266" i="1"/>
  <c r="D1437" i="5" s="1"/>
  <c r="C1437" i="5" s="1"/>
  <c r="N266" i="1"/>
  <c r="D1436" i="5" s="1"/>
  <c r="C1436" i="5" s="1"/>
  <c r="M266" i="1"/>
  <c r="D1435" i="5" s="1"/>
  <c r="C1435" i="5" s="1"/>
  <c r="L266" i="1"/>
  <c r="D1434" i="5" s="1"/>
  <c r="C1434" i="5" s="1"/>
  <c r="K266" i="1"/>
  <c r="D1433" i="5" s="1"/>
  <c r="C1433" i="5" s="1"/>
  <c r="J266" i="1"/>
  <c r="D1432" i="5" s="1"/>
  <c r="C1432" i="5" s="1"/>
  <c r="I266" i="1"/>
  <c r="D1431" i="5" s="1"/>
  <c r="C1431" i="5" s="1"/>
  <c r="H266" i="1"/>
  <c r="S263" i="1"/>
  <c r="R263" i="1"/>
  <c r="Q263" i="1"/>
  <c r="P263" i="1"/>
  <c r="O263" i="1"/>
  <c r="N263" i="1"/>
  <c r="M263" i="1"/>
  <c r="L263" i="1"/>
  <c r="K263" i="1"/>
  <c r="J263" i="1"/>
  <c r="I263" i="1"/>
  <c r="H263" i="1"/>
  <c r="S260" i="1"/>
  <c r="R260" i="1"/>
  <c r="Q260" i="1"/>
  <c r="P260" i="1"/>
  <c r="O260" i="1"/>
  <c r="N260" i="1"/>
  <c r="M260" i="1"/>
  <c r="L260" i="1"/>
  <c r="K260" i="1"/>
  <c r="J260" i="1"/>
  <c r="I260" i="1"/>
  <c r="S254" i="1"/>
  <c r="R254" i="1"/>
  <c r="Q254" i="1"/>
  <c r="P254" i="1"/>
  <c r="O254" i="1"/>
  <c r="N254" i="1"/>
  <c r="M254" i="1"/>
  <c r="L254" i="1"/>
  <c r="K254" i="1"/>
  <c r="J254" i="1"/>
  <c r="I254" i="1"/>
  <c r="H254" i="1"/>
  <c r="D1302" i="5" l="1"/>
  <c r="D1395" i="5"/>
  <c r="D126" i="5"/>
  <c r="D1301" i="5"/>
  <c r="C1301" i="5" s="1"/>
  <c r="D153" i="5"/>
  <c r="D1304" i="5"/>
  <c r="C1304" i="5" s="1"/>
  <c r="D162" i="5"/>
  <c r="D1305" i="5"/>
  <c r="C1305" i="5" s="1"/>
  <c r="D180" i="5"/>
  <c r="D1307" i="5"/>
  <c r="C1307" i="5" s="1"/>
  <c r="D1201" i="5"/>
  <c r="D1396" i="5"/>
  <c r="C1396" i="5" s="1"/>
  <c r="D1217" i="5"/>
  <c r="D1400" i="5"/>
  <c r="C1400" i="5" s="1"/>
  <c r="D1209" i="5"/>
  <c r="D1398" i="5"/>
  <c r="C1398" i="5" s="1"/>
  <c r="D1233" i="5"/>
  <c r="D1404" i="5"/>
  <c r="C1404" i="5" s="1"/>
  <c r="D1237" i="5"/>
  <c r="D1405" i="5"/>
  <c r="C1405" i="5" s="1"/>
  <c r="D144" i="5"/>
  <c r="D1303" i="5"/>
  <c r="C1303" i="5" s="1"/>
  <c r="D1193" i="5"/>
  <c r="D1394" i="5"/>
  <c r="C1394" i="5" s="1"/>
  <c r="D1205" i="5"/>
  <c r="D1397" i="5"/>
  <c r="C1397" i="5" s="1"/>
  <c r="D198" i="5"/>
  <c r="D1309" i="5"/>
  <c r="C1309" i="5" s="1"/>
  <c r="D1221" i="5"/>
  <c r="D1401" i="5"/>
  <c r="C1401" i="5" s="1"/>
  <c r="D1229" i="5"/>
  <c r="D1403" i="5"/>
  <c r="C1403" i="5" s="1"/>
  <c r="D171" i="5"/>
  <c r="D1306" i="5"/>
  <c r="D189" i="5"/>
  <c r="D1308" i="5"/>
  <c r="C1308" i="5" s="1"/>
  <c r="D1213" i="5"/>
  <c r="D1399" i="5"/>
  <c r="C1399" i="5" s="1"/>
  <c r="D1225" i="5"/>
  <c r="D1402" i="5"/>
  <c r="C1402" i="5" s="1"/>
  <c r="D99" i="5"/>
  <c r="D1298" i="5"/>
  <c r="C1298" i="5" s="1"/>
  <c r="D108" i="5"/>
  <c r="D1299" i="5"/>
  <c r="D117" i="5"/>
  <c r="D1300" i="5"/>
  <c r="D1252" i="5"/>
  <c r="C1252" i="5" s="1"/>
  <c r="D421" i="5"/>
  <c r="D1253" i="5"/>
  <c r="C1253" i="5" s="1"/>
  <c r="D425" i="5"/>
  <c r="D1254" i="5"/>
  <c r="C1254" i="5" s="1"/>
  <c r="D429" i="5"/>
  <c r="D1256" i="5"/>
  <c r="C1256" i="5" s="1"/>
  <c r="D437" i="5"/>
  <c r="D1259" i="5"/>
  <c r="C1259" i="5" s="1"/>
  <c r="D449" i="5"/>
  <c r="D1260" i="5"/>
  <c r="C1260" i="5" s="1"/>
  <c r="D453" i="5"/>
  <c r="D1261" i="5"/>
  <c r="C1261" i="5" s="1"/>
  <c r="D457" i="5"/>
  <c r="D1251" i="5"/>
  <c r="C1251" i="5" s="1"/>
  <c r="D417" i="5"/>
  <c r="D1257" i="5"/>
  <c r="C1257" i="5" s="1"/>
  <c r="D441" i="5"/>
  <c r="D1258" i="5"/>
  <c r="C1258" i="5" s="1"/>
  <c r="D445" i="5"/>
  <c r="D135" i="5"/>
  <c r="D141" i="5"/>
  <c r="D140" i="5"/>
  <c r="D413" i="5"/>
  <c r="D1430" i="5"/>
  <c r="C1430" i="5" s="1"/>
  <c r="D1255" i="5"/>
  <c r="C1255" i="5" s="1"/>
  <c r="D433" i="5"/>
  <c r="D92" i="5"/>
  <c r="D1285" i="5"/>
  <c r="C1285" i="5" s="1"/>
  <c r="D1342" i="5"/>
  <c r="C1342" i="5" s="1"/>
  <c r="D1378" i="5"/>
  <c r="C1378" i="5" s="1"/>
  <c r="D1270" i="5"/>
  <c r="C1270" i="5" s="1"/>
  <c r="D1354" i="5"/>
  <c r="C1354" i="5" s="1"/>
  <c r="C1306" i="5"/>
  <c r="D1390" i="5"/>
  <c r="C1390" i="5" s="1"/>
  <c r="D1366" i="5"/>
  <c r="C1366" i="5" s="1"/>
  <c r="D1164" i="5"/>
  <c r="D1344" i="5"/>
  <c r="C1344" i="5" s="1"/>
  <c r="D1392" i="5"/>
  <c r="C1392" i="5" s="1"/>
  <c r="D1272" i="5"/>
  <c r="C1272" i="5" s="1"/>
  <c r="D1380" i="5"/>
  <c r="C1380" i="5" s="1"/>
  <c r="D1368" i="5"/>
  <c r="C1368" i="5" s="1"/>
  <c r="D1356" i="5"/>
  <c r="C1356" i="5" s="1"/>
  <c r="D410" i="5"/>
  <c r="C410" i="5" s="1"/>
  <c r="D1250" i="5"/>
  <c r="C1250" i="5" s="1"/>
  <c r="D1192" i="5"/>
  <c r="D1197" i="5"/>
  <c r="D1377" i="5"/>
  <c r="C1377" i="5" s="1"/>
  <c r="D1389" i="5"/>
  <c r="C1389" i="5" s="1"/>
  <c r="D1365" i="5"/>
  <c r="C1365" i="5" s="1"/>
  <c r="D1341" i="5"/>
  <c r="C1341" i="5" s="1"/>
  <c r="D1353" i="5"/>
  <c r="C1353" i="5" s="1"/>
  <c r="D1269" i="5"/>
  <c r="C1269" i="5" s="1"/>
  <c r="D4" i="5"/>
  <c r="D1274" i="5"/>
  <c r="C1274" i="5" s="1"/>
  <c r="D12" i="5"/>
  <c r="D1275" i="5"/>
  <c r="C1275" i="5" s="1"/>
  <c r="D28" i="5"/>
  <c r="D1277" i="5"/>
  <c r="C1277" i="5" s="1"/>
  <c r="D36" i="5"/>
  <c r="D1278" i="5"/>
  <c r="C1278" i="5" s="1"/>
  <c r="D1154" i="5"/>
  <c r="D1382" i="5"/>
  <c r="C1382" i="5" s="1"/>
  <c r="D1262" i="5"/>
  <c r="C1262" i="5" s="1"/>
  <c r="D1346" i="5"/>
  <c r="C1346" i="5" s="1"/>
  <c r="D1370" i="5"/>
  <c r="C1370" i="5" s="1"/>
  <c r="D1334" i="5"/>
  <c r="C1334" i="5" s="1"/>
  <c r="D1358" i="5"/>
  <c r="C1358" i="5" s="1"/>
  <c r="D44" i="5"/>
  <c r="D1279" i="5"/>
  <c r="C1279" i="5" s="1"/>
  <c r="D1371" i="5"/>
  <c r="C1371" i="5" s="1"/>
  <c r="C1299" i="5"/>
  <c r="D1335" i="5"/>
  <c r="C1335" i="5" s="1"/>
  <c r="C1395" i="5"/>
  <c r="D1347" i="5"/>
  <c r="C1347" i="5" s="1"/>
  <c r="D1263" i="5"/>
  <c r="C1263" i="5" s="1"/>
  <c r="D1359" i="5"/>
  <c r="C1359" i="5" s="1"/>
  <c r="D1383" i="5"/>
  <c r="C1383" i="5" s="1"/>
  <c r="D52" i="5"/>
  <c r="D1280" i="5"/>
  <c r="C1280" i="5" s="1"/>
  <c r="C1300" i="5"/>
  <c r="D1336" i="5"/>
  <c r="C1336" i="5" s="1"/>
  <c r="D1264" i="5"/>
  <c r="C1264" i="5" s="1"/>
  <c r="D1372" i="5"/>
  <c r="C1372" i="5" s="1"/>
  <c r="D1348" i="5"/>
  <c r="C1348" i="5" s="1"/>
  <c r="D1360" i="5"/>
  <c r="C1360" i="5" s="1"/>
  <c r="D1384" i="5"/>
  <c r="C1384" i="5" s="1"/>
  <c r="D1373" i="5"/>
  <c r="C1373" i="5" s="1"/>
  <c r="D1349" i="5"/>
  <c r="C1349" i="5" s="1"/>
  <c r="D1265" i="5"/>
  <c r="C1265" i="5" s="1"/>
  <c r="D1337" i="5"/>
  <c r="C1337" i="5" s="1"/>
  <c r="D1385" i="5"/>
  <c r="C1385" i="5" s="1"/>
  <c r="D1361" i="5"/>
  <c r="C1361" i="5" s="1"/>
  <c r="D1266" i="5"/>
  <c r="C1266" i="5" s="1"/>
  <c r="C1302" i="5"/>
  <c r="D1386" i="5"/>
  <c r="C1386" i="5" s="1"/>
  <c r="D1350" i="5"/>
  <c r="C1350" i="5" s="1"/>
  <c r="D1362" i="5"/>
  <c r="C1362" i="5" s="1"/>
  <c r="D1338" i="5"/>
  <c r="C1338" i="5" s="1"/>
  <c r="D1374" i="5"/>
  <c r="C1374" i="5" s="1"/>
  <c r="D1357" i="5"/>
  <c r="C1357" i="5" s="1"/>
  <c r="D1393" i="5"/>
  <c r="C1393" i="5" s="1"/>
  <c r="D1369" i="5"/>
  <c r="C1369" i="5" s="1"/>
  <c r="D1381" i="5"/>
  <c r="C1381" i="5" s="1"/>
  <c r="D1345" i="5"/>
  <c r="C1345" i="5" s="1"/>
  <c r="D1273" i="5"/>
  <c r="C1273" i="5" s="1"/>
  <c r="D20" i="5"/>
  <c r="D1276" i="5"/>
  <c r="C1276" i="5" s="1"/>
  <c r="D76" i="5"/>
  <c r="D1283" i="5"/>
  <c r="C1283" i="5" s="1"/>
  <c r="D1267" i="5"/>
  <c r="C1267" i="5" s="1"/>
  <c r="D1387" i="5"/>
  <c r="C1387" i="5" s="1"/>
  <c r="D1351" i="5"/>
  <c r="C1351" i="5" s="1"/>
  <c r="D1363" i="5"/>
  <c r="C1363" i="5" s="1"/>
  <c r="D1339" i="5"/>
  <c r="C1339" i="5" s="1"/>
  <c r="D1375" i="5"/>
  <c r="C1375" i="5" s="1"/>
  <c r="D1355" i="5"/>
  <c r="C1355" i="5" s="1"/>
  <c r="D1391" i="5"/>
  <c r="C1391" i="5" s="1"/>
  <c r="D1367" i="5"/>
  <c r="C1367" i="5" s="1"/>
  <c r="D1271" i="5"/>
  <c r="C1271" i="5" s="1"/>
  <c r="D1379" i="5"/>
  <c r="C1379" i="5" s="1"/>
  <c r="D1343" i="5"/>
  <c r="C1343" i="5" s="1"/>
  <c r="D60" i="5"/>
  <c r="D1281" i="5"/>
  <c r="C1281" i="5" s="1"/>
  <c r="D68" i="5"/>
  <c r="D1282" i="5"/>
  <c r="C1282" i="5" s="1"/>
  <c r="D84" i="5"/>
  <c r="D1284" i="5"/>
  <c r="C1284" i="5" s="1"/>
  <c r="D1388" i="5"/>
  <c r="C1388" i="5" s="1"/>
  <c r="D1352" i="5"/>
  <c r="C1352" i="5" s="1"/>
  <c r="D1268" i="5"/>
  <c r="C1268" i="5" s="1"/>
  <c r="D1340" i="5"/>
  <c r="C1340" i="5" s="1"/>
  <c r="D1364" i="5"/>
  <c r="C1364" i="5" s="1"/>
  <c r="D1376" i="5"/>
  <c r="C1376" i="5" s="1"/>
  <c r="O123" i="1"/>
  <c r="D1162" i="5"/>
  <c r="D482" i="5"/>
  <c r="D483" i="5"/>
  <c r="D484" i="5"/>
  <c r="D491" i="5"/>
  <c r="D492" i="5"/>
  <c r="D493" i="5"/>
  <c r="D1165" i="5"/>
  <c r="D465" i="5"/>
  <c r="D466" i="5"/>
  <c r="D1156" i="5"/>
  <c r="D464" i="5"/>
  <c r="D1161" i="5"/>
  <c r="D479" i="5"/>
  <c r="D480" i="5"/>
  <c r="D481" i="5"/>
  <c r="D1157" i="5"/>
  <c r="D468" i="5"/>
  <c r="D469" i="5"/>
  <c r="D467" i="5"/>
  <c r="D461" i="5"/>
  <c r="D462" i="5"/>
  <c r="D463" i="5"/>
  <c r="D1155" i="5"/>
  <c r="D470" i="5"/>
  <c r="D1158" i="5"/>
  <c r="D471" i="5"/>
  <c r="D472" i="5"/>
  <c r="D473" i="5"/>
  <c r="D475" i="5"/>
  <c r="D474" i="5"/>
  <c r="D1159" i="5"/>
  <c r="D486" i="5"/>
  <c r="D485" i="5"/>
  <c r="D1163" i="5"/>
  <c r="D487" i="5"/>
  <c r="D478" i="5"/>
  <c r="D1160" i="5"/>
  <c r="D476" i="5"/>
  <c r="D477" i="5"/>
  <c r="D980" i="5"/>
  <c r="D948" i="5"/>
  <c r="D946" i="5"/>
  <c r="D945" i="5"/>
  <c r="D944" i="5"/>
  <c r="D947" i="5"/>
  <c r="D1216" i="5"/>
  <c r="D1214" i="5"/>
  <c r="C1214" i="5" s="1"/>
  <c r="D1244" i="5"/>
  <c r="C1244" i="5" s="1"/>
  <c r="D1215" i="5"/>
  <c r="C1215" i="5" s="1"/>
  <c r="D1245" i="5"/>
  <c r="C1245" i="5" s="1"/>
  <c r="D1220" i="5"/>
  <c r="D949" i="5"/>
  <c r="D1219" i="5"/>
  <c r="C1219" i="5" s="1"/>
  <c r="D1218" i="5"/>
  <c r="C1218" i="5" s="1"/>
  <c r="D951" i="5"/>
  <c r="D981" i="5"/>
  <c r="D953" i="5"/>
  <c r="D952" i="5"/>
  <c r="D950" i="5"/>
  <c r="D958" i="5"/>
  <c r="D957" i="5"/>
  <c r="D956" i="5"/>
  <c r="D955" i="5"/>
  <c r="D1246" i="5"/>
  <c r="C1246" i="5" s="1"/>
  <c r="D1224" i="5"/>
  <c r="D1223" i="5"/>
  <c r="C1223" i="5" s="1"/>
  <c r="D1222" i="5"/>
  <c r="C1222" i="5" s="1"/>
  <c r="D982" i="5"/>
  <c r="D954" i="5"/>
  <c r="D985" i="5"/>
  <c r="D973" i="5"/>
  <c r="D970" i="5"/>
  <c r="D969" i="5"/>
  <c r="D1249" i="5"/>
  <c r="C1249" i="5" s="1"/>
  <c r="D1236" i="5"/>
  <c r="D971" i="5"/>
  <c r="D1235" i="5"/>
  <c r="C1235" i="5" s="1"/>
  <c r="D1234" i="5"/>
  <c r="C1234" i="5" s="1"/>
  <c r="D972" i="5"/>
  <c r="D917" i="5"/>
  <c r="D1238" i="5"/>
  <c r="C1238" i="5" s="1"/>
  <c r="D916" i="5"/>
  <c r="D915" i="5"/>
  <c r="D914" i="5"/>
  <c r="D1190" i="5"/>
  <c r="C1190" i="5" s="1"/>
  <c r="D1191" i="5"/>
  <c r="C1191" i="5" s="1"/>
  <c r="D974" i="5"/>
  <c r="D918" i="5"/>
  <c r="D1239" i="5"/>
  <c r="C1239" i="5" s="1"/>
  <c r="D1196" i="5"/>
  <c r="D1195" i="5"/>
  <c r="C1195" i="5" s="1"/>
  <c r="D1194" i="5"/>
  <c r="C1194" i="5" s="1"/>
  <c r="D922" i="5"/>
  <c r="D919" i="5"/>
  <c r="D975" i="5"/>
  <c r="D921" i="5"/>
  <c r="D923" i="5"/>
  <c r="D920" i="5"/>
  <c r="D927" i="5"/>
  <c r="D926" i="5"/>
  <c r="D925" i="5"/>
  <c r="D924" i="5"/>
  <c r="D1198" i="5"/>
  <c r="C1198" i="5" s="1"/>
  <c r="D976" i="5"/>
  <c r="D928" i="5"/>
  <c r="D1240" i="5"/>
  <c r="C1240" i="5" s="1"/>
  <c r="D1199" i="5"/>
  <c r="C1199" i="5" s="1"/>
  <c r="D1200" i="5"/>
  <c r="D1202" i="5"/>
  <c r="C1202" i="5" s="1"/>
  <c r="D931" i="5"/>
  <c r="D930" i="5"/>
  <c r="D929" i="5"/>
  <c r="D977" i="5"/>
  <c r="D933" i="5"/>
  <c r="D932" i="5"/>
  <c r="D1241" i="5"/>
  <c r="C1241" i="5" s="1"/>
  <c r="D1204" i="5"/>
  <c r="D1203" i="5"/>
  <c r="C1203" i="5" s="1"/>
  <c r="D1208" i="5"/>
  <c r="D1206" i="5"/>
  <c r="C1206" i="5" s="1"/>
  <c r="D1242" i="5"/>
  <c r="C1242" i="5" s="1"/>
  <c r="D1207" i="5"/>
  <c r="C1207" i="5" s="1"/>
  <c r="D978" i="5"/>
  <c r="D938" i="5"/>
  <c r="D937" i="5"/>
  <c r="D935" i="5"/>
  <c r="D936" i="5"/>
  <c r="D934" i="5"/>
  <c r="D1227" i="5"/>
  <c r="C1227" i="5" s="1"/>
  <c r="D1226" i="5"/>
  <c r="C1226" i="5" s="1"/>
  <c r="D1247" i="5"/>
  <c r="C1247" i="5" s="1"/>
  <c r="D962" i="5"/>
  <c r="D1228" i="5"/>
  <c r="D983" i="5"/>
  <c r="D963" i="5"/>
  <c r="D960" i="5"/>
  <c r="D961" i="5"/>
  <c r="D959" i="5"/>
  <c r="D965" i="5"/>
  <c r="D964" i="5"/>
  <c r="D966" i="5"/>
  <c r="D984" i="5"/>
  <c r="D967" i="5"/>
  <c r="D968" i="5"/>
  <c r="D1232" i="5"/>
  <c r="D1231" i="5"/>
  <c r="C1231" i="5" s="1"/>
  <c r="D1248" i="5"/>
  <c r="C1248" i="5" s="1"/>
  <c r="D1230" i="5"/>
  <c r="C1230" i="5" s="1"/>
  <c r="D941" i="5"/>
  <c r="D940" i="5"/>
  <c r="D939" i="5"/>
  <c r="D1210" i="5"/>
  <c r="C1210" i="5" s="1"/>
  <c r="D942" i="5"/>
  <c r="D979" i="5"/>
  <c r="D943" i="5"/>
  <c r="D1212" i="5"/>
  <c r="D1243" i="5"/>
  <c r="C1243" i="5" s="1"/>
  <c r="D1211" i="5"/>
  <c r="C1211" i="5" s="1"/>
  <c r="D149" i="5"/>
  <c r="D145" i="5"/>
  <c r="D150" i="5"/>
  <c r="D148" i="5"/>
  <c r="D146" i="5"/>
  <c r="D147" i="5"/>
  <c r="D192" i="5"/>
  <c r="D191" i="5"/>
  <c r="D194" i="5"/>
  <c r="D195" i="5"/>
  <c r="D193" i="5"/>
  <c r="D201" i="5"/>
  <c r="D204" i="5"/>
  <c r="D200" i="5"/>
  <c r="D203" i="5"/>
  <c r="D202" i="5"/>
  <c r="D158" i="5"/>
  <c r="D159" i="5"/>
  <c r="D157" i="5"/>
  <c r="D155" i="5"/>
  <c r="D156" i="5"/>
  <c r="D167" i="5"/>
  <c r="D165" i="5"/>
  <c r="D168" i="5"/>
  <c r="D166" i="5"/>
  <c r="D164" i="5"/>
  <c r="D183" i="5"/>
  <c r="D182" i="5"/>
  <c r="D185" i="5"/>
  <c r="D186" i="5"/>
  <c r="D184" i="5"/>
  <c r="D101" i="5"/>
  <c r="D104" i="5"/>
  <c r="D102" i="5"/>
  <c r="D105" i="5"/>
  <c r="D103" i="5"/>
  <c r="D122" i="5"/>
  <c r="D123" i="5"/>
  <c r="D121" i="5"/>
  <c r="D119" i="5"/>
  <c r="D120" i="5"/>
  <c r="D139" i="5"/>
  <c r="D138" i="5"/>
  <c r="D174" i="5"/>
  <c r="D173" i="5"/>
  <c r="D176" i="5"/>
  <c r="D177" i="5"/>
  <c r="D175" i="5"/>
  <c r="D110" i="5"/>
  <c r="D114" i="5"/>
  <c r="D112" i="5"/>
  <c r="D113" i="5"/>
  <c r="D111" i="5"/>
  <c r="D131" i="5"/>
  <c r="D132" i="5"/>
  <c r="D130" i="5"/>
  <c r="D128" i="5"/>
  <c r="D129" i="5"/>
  <c r="D127" i="5"/>
  <c r="D1073" i="5"/>
  <c r="C1073" i="5" s="1"/>
  <c r="D136" i="5"/>
  <c r="D1074" i="5"/>
  <c r="C1074" i="5" s="1"/>
  <c r="D163" i="5"/>
  <c r="D1077" i="5"/>
  <c r="C1077" i="5" s="1"/>
  <c r="D1075" i="5"/>
  <c r="C1075" i="5" s="1"/>
  <c r="D154" i="5"/>
  <c r="D1076" i="5"/>
  <c r="C1076" i="5" s="1"/>
  <c r="D172" i="5"/>
  <c r="D1078" i="5"/>
  <c r="C1078" i="5" s="1"/>
  <c r="D181" i="5"/>
  <c r="D1079" i="5"/>
  <c r="C1079" i="5" s="1"/>
  <c r="D190" i="5"/>
  <c r="D1080" i="5"/>
  <c r="C1080" i="5" s="1"/>
  <c r="D199" i="5"/>
  <c r="D1081" i="5"/>
  <c r="C1081" i="5" s="1"/>
  <c r="D100" i="5"/>
  <c r="D1070" i="5"/>
  <c r="C1070" i="5" s="1"/>
  <c r="D109" i="5"/>
  <c r="D1071" i="5"/>
  <c r="C1071" i="5" s="1"/>
  <c r="D118" i="5"/>
  <c r="D1072" i="5"/>
  <c r="C1072" i="5" s="1"/>
  <c r="D24" i="5"/>
  <c r="D18" i="5"/>
  <c r="D23" i="5"/>
  <c r="D19" i="5"/>
  <c r="D21" i="5"/>
  <c r="D25" i="5"/>
  <c r="D22" i="5"/>
  <c r="D27" i="5"/>
  <c r="D29" i="5"/>
  <c r="D33" i="5"/>
  <c r="D30" i="5"/>
  <c r="D32" i="5"/>
  <c r="D26" i="5"/>
  <c r="D31" i="5"/>
  <c r="D34" i="5"/>
  <c r="D39" i="5"/>
  <c r="D37" i="5"/>
  <c r="D40" i="5"/>
  <c r="D41" i="5"/>
  <c r="D38" i="5"/>
  <c r="D35" i="5"/>
  <c r="D42" i="5"/>
  <c r="D48" i="5"/>
  <c r="D45" i="5"/>
  <c r="D46" i="5"/>
  <c r="D49" i="5"/>
  <c r="D47" i="5"/>
  <c r="D43" i="5"/>
  <c r="D64" i="5"/>
  <c r="D58" i="5"/>
  <c r="D62" i="5"/>
  <c r="D63" i="5"/>
  <c r="D59" i="5"/>
  <c r="D61" i="5"/>
  <c r="D65" i="5"/>
  <c r="D71" i="5"/>
  <c r="D67" i="5"/>
  <c r="D69" i="5"/>
  <c r="D73" i="5"/>
  <c r="D66" i="5"/>
  <c r="D70" i="5"/>
  <c r="D72" i="5"/>
  <c r="D50" i="5"/>
  <c r="D56" i="5"/>
  <c r="D57" i="5"/>
  <c r="D53" i="5"/>
  <c r="D54" i="5"/>
  <c r="D55" i="5"/>
  <c r="D51" i="5"/>
  <c r="D16" i="5"/>
  <c r="D10" i="5"/>
  <c r="D11" i="5"/>
  <c r="D17" i="5"/>
  <c r="D13" i="5"/>
  <c r="D14" i="5"/>
  <c r="D15" i="5"/>
  <c r="D7" i="5"/>
  <c r="D3" i="5"/>
  <c r="D5" i="5"/>
  <c r="D9" i="5"/>
  <c r="D8" i="5"/>
  <c r="D6" i="5"/>
  <c r="D2" i="5"/>
  <c r="D74" i="5"/>
  <c r="D79" i="5"/>
  <c r="D77" i="5"/>
  <c r="D81" i="5"/>
  <c r="D75" i="5"/>
  <c r="D78" i="5"/>
  <c r="D80" i="5"/>
  <c r="D85" i="5"/>
  <c r="D89" i="5"/>
  <c r="D86" i="5"/>
  <c r="D87" i="5"/>
  <c r="D83" i="5"/>
  <c r="D88" i="5"/>
  <c r="D82" i="5"/>
  <c r="D93" i="5"/>
  <c r="D97" i="5"/>
  <c r="D96" i="5"/>
  <c r="D94" i="5"/>
  <c r="D90" i="5"/>
  <c r="D95" i="5"/>
  <c r="D91" i="5"/>
  <c r="D460" i="5"/>
  <c r="D459" i="5"/>
  <c r="D458" i="5"/>
  <c r="C458" i="5" s="1"/>
  <c r="D415" i="5"/>
  <c r="C415" i="5" s="1"/>
  <c r="D1143" i="5"/>
  <c r="D416" i="5"/>
  <c r="D414" i="5"/>
  <c r="D489" i="5"/>
  <c r="D488" i="5"/>
  <c r="D490" i="5"/>
  <c r="D456" i="5"/>
  <c r="D455" i="5"/>
  <c r="C455" i="5" s="1"/>
  <c r="D1153" i="5"/>
  <c r="D454" i="5"/>
  <c r="D423" i="5"/>
  <c r="C423" i="5" s="1"/>
  <c r="D1145" i="5"/>
  <c r="D422" i="5"/>
  <c r="D424" i="5"/>
  <c r="D419" i="5"/>
  <c r="C419" i="5" s="1"/>
  <c r="D1144" i="5"/>
  <c r="D418" i="5"/>
  <c r="D420" i="5"/>
  <c r="D431" i="5"/>
  <c r="C431" i="5" s="1"/>
  <c r="D1147" i="5"/>
  <c r="D430" i="5"/>
  <c r="D432" i="5"/>
  <c r="D411" i="5"/>
  <c r="C411" i="5" s="1"/>
  <c r="D412" i="5"/>
  <c r="D1142" i="5"/>
  <c r="H439" i="1"/>
  <c r="D427" i="5"/>
  <c r="C427" i="5" s="1"/>
  <c r="D1146" i="5"/>
  <c r="D426" i="5"/>
  <c r="D428" i="5"/>
  <c r="D435" i="5"/>
  <c r="C435" i="5" s="1"/>
  <c r="D1148" i="5"/>
  <c r="D434" i="5"/>
  <c r="D436" i="5"/>
  <c r="D1149" i="5"/>
  <c r="D438" i="5"/>
  <c r="D439" i="5"/>
  <c r="C439" i="5" s="1"/>
  <c r="D440" i="5"/>
  <c r="D1150" i="5"/>
  <c r="D442" i="5"/>
  <c r="D443" i="5"/>
  <c r="C443" i="5" s="1"/>
  <c r="D444" i="5"/>
  <c r="D1151" i="5"/>
  <c r="D446" i="5"/>
  <c r="D448" i="5"/>
  <c r="D447" i="5"/>
  <c r="C447" i="5" s="1"/>
  <c r="D450" i="5"/>
  <c r="D1152" i="5"/>
  <c r="D451" i="5"/>
  <c r="C451" i="5" s="1"/>
  <c r="D452" i="5"/>
  <c r="O91" i="1"/>
  <c r="M118" i="1"/>
  <c r="N124" i="1"/>
  <c r="N102" i="1"/>
  <c r="P452" i="1"/>
  <c r="P470" i="1"/>
  <c r="P469" i="1"/>
  <c r="Q452" i="1"/>
  <c r="Q469" i="1"/>
  <c r="Q470" i="1"/>
  <c r="S452" i="1"/>
  <c r="S469" i="1"/>
  <c r="S470" i="1"/>
  <c r="H104" i="1"/>
  <c r="H110" i="1"/>
  <c r="H100" i="1"/>
  <c r="H108" i="1"/>
  <c r="H106" i="1"/>
  <c r="I110" i="1"/>
  <c r="I104" i="1"/>
  <c r="I106" i="1"/>
  <c r="I100" i="1"/>
  <c r="J104" i="1"/>
  <c r="I108" i="1"/>
  <c r="J106" i="1"/>
  <c r="K110" i="1"/>
  <c r="J110" i="1"/>
  <c r="K104" i="1"/>
  <c r="J100" i="1"/>
  <c r="J108" i="1"/>
  <c r="K100" i="1"/>
  <c r="K106" i="1"/>
  <c r="L104" i="1"/>
  <c r="L110" i="1"/>
  <c r="K108" i="1"/>
  <c r="L100" i="1"/>
  <c r="C137" i="5" s="1"/>
  <c r="L108" i="1"/>
  <c r="M104" i="1"/>
  <c r="M110" i="1"/>
  <c r="L106" i="1"/>
  <c r="N110" i="1"/>
  <c r="M126" i="1"/>
  <c r="N112" i="1"/>
  <c r="H452" i="1"/>
  <c r="H454" i="1" s="1"/>
  <c r="H112" i="1"/>
  <c r="H470" i="1"/>
  <c r="H469" i="1"/>
  <c r="H118" i="1"/>
  <c r="I114" i="1"/>
  <c r="H114" i="1"/>
  <c r="I112" i="1"/>
  <c r="I118" i="1"/>
  <c r="J114" i="1"/>
  <c r="J118" i="1"/>
  <c r="K114" i="1"/>
  <c r="J112" i="1"/>
  <c r="K118" i="1"/>
  <c r="L114" i="1"/>
  <c r="K112" i="1"/>
  <c r="L112" i="1"/>
  <c r="L118" i="1"/>
  <c r="C41" i="5" s="1"/>
  <c r="M114" i="1"/>
  <c r="I452" i="1"/>
  <c r="I469" i="1"/>
  <c r="I470" i="1"/>
  <c r="M100" i="1"/>
  <c r="R452" i="1"/>
  <c r="R470" i="1"/>
  <c r="R469" i="1"/>
  <c r="N114" i="1"/>
  <c r="O102" i="1"/>
  <c r="K452" i="1"/>
  <c r="K469" i="1"/>
  <c r="K470" i="1"/>
  <c r="N104" i="1"/>
  <c r="L452" i="1"/>
  <c r="L469" i="1"/>
  <c r="L470" i="1"/>
  <c r="H126" i="1"/>
  <c r="H124" i="1"/>
  <c r="H102" i="1"/>
  <c r="J124" i="1"/>
  <c r="I102" i="1"/>
  <c r="I126" i="1"/>
  <c r="J102" i="1"/>
  <c r="I124" i="1"/>
  <c r="K102" i="1"/>
  <c r="K124" i="1"/>
  <c r="J126" i="1"/>
  <c r="L124" i="1"/>
  <c r="K126" i="1"/>
  <c r="L102" i="1"/>
  <c r="M102" i="1"/>
  <c r="L126" i="1"/>
  <c r="M124" i="1"/>
  <c r="J452" i="1"/>
  <c r="J469" i="1"/>
  <c r="J470" i="1"/>
  <c r="M452" i="1"/>
  <c r="M469" i="1"/>
  <c r="M470" i="1"/>
  <c r="M106" i="1"/>
  <c r="M112" i="1"/>
  <c r="N452" i="1"/>
  <c r="N469" i="1"/>
  <c r="N470" i="1"/>
  <c r="O452" i="1"/>
  <c r="O469" i="1"/>
  <c r="O470" i="1"/>
  <c r="M108" i="1"/>
  <c r="O101" i="1"/>
  <c r="N100" i="1"/>
  <c r="O121" i="1"/>
  <c r="O117" i="1"/>
  <c r="O119" i="1"/>
  <c r="N118" i="1"/>
  <c r="P115" i="1"/>
  <c r="O114" i="1"/>
  <c r="O113" i="1"/>
  <c r="O112" i="1" s="1"/>
  <c r="O127" i="1"/>
  <c r="N126" i="1"/>
  <c r="P125" i="1"/>
  <c r="O124" i="1"/>
  <c r="P111" i="1"/>
  <c r="O110" i="1"/>
  <c r="O109" i="1"/>
  <c r="N108" i="1"/>
  <c r="O107" i="1"/>
  <c r="N106" i="1"/>
  <c r="O104" i="1"/>
  <c r="P105" i="1"/>
  <c r="P103" i="1"/>
  <c r="P102" i="1" s="1"/>
  <c r="N459" i="1"/>
  <c r="N458" i="1"/>
  <c r="S458" i="1"/>
  <c r="S459" i="1"/>
  <c r="M459" i="1"/>
  <c r="M458" i="1"/>
  <c r="O459" i="1"/>
  <c r="O458" i="1"/>
  <c r="P458" i="1"/>
  <c r="P459" i="1"/>
  <c r="Q458" i="1"/>
  <c r="Q459" i="1"/>
  <c r="R458" i="1"/>
  <c r="R459" i="1"/>
  <c r="H459" i="1"/>
  <c r="H458" i="1"/>
  <c r="I459" i="1"/>
  <c r="I458" i="1"/>
  <c r="J459" i="1"/>
  <c r="J458" i="1"/>
  <c r="K459" i="1"/>
  <c r="K458" i="1"/>
  <c r="L459" i="1"/>
  <c r="L458" i="1"/>
  <c r="L445" i="1"/>
  <c r="L397" i="1"/>
  <c r="N445" i="1"/>
  <c r="N397" i="1"/>
  <c r="I445" i="1"/>
  <c r="I397" i="1"/>
  <c r="J445" i="1"/>
  <c r="J397" i="1"/>
  <c r="M445" i="1"/>
  <c r="M397" i="1"/>
  <c r="K445" i="1"/>
  <c r="K397" i="1"/>
  <c r="O445" i="1"/>
  <c r="O397" i="1"/>
  <c r="P445" i="1"/>
  <c r="P397" i="1"/>
  <c r="Q445" i="1"/>
  <c r="Q397" i="1"/>
  <c r="R445" i="1"/>
  <c r="R397" i="1"/>
  <c r="S445" i="1"/>
  <c r="S397" i="1"/>
  <c r="H445" i="1"/>
  <c r="H397" i="1"/>
  <c r="P319" i="1"/>
  <c r="Q319" i="1"/>
  <c r="R319" i="1"/>
  <c r="S319" i="1"/>
  <c r="I319" i="1"/>
  <c r="J319" i="1"/>
  <c r="K319" i="1"/>
  <c r="M319" i="1"/>
  <c r="N319" i="1"/>
  <c r="H319" i="1"/>
  <c r="L319" i="1"/>
  <c r="O319" i="1"/>
  <c r="C48" i="5" l="1"/>
  <c r="C39" i="5"/>
  <c r="C31" i="5"/>
  <c r="C7" i="5"/>
  <c r="C17" i="5"/>
  <c r="C63" i="5"/>
  <c r="C40" i="5"/>
  <c r="C33" i="5"/>
  <c r="C141" i="5"/>
  <c r="C15" i="5"/>
  <c r="C16" i="5"/>
  <c r="C47" i="5"/>
  <c r="C55" i="5"/>
  <c r="C57" i="5"/>
  <c r="C32" i="5"/>
  <c r="C25" i="5"/>
  <c r="C23" i="5"/>
  <c r="C24" i="5"/>
  <c r="C49" i="5"/>
  <c r="C64" i="5"/>
  <c r="C56" i="5"/>
  <c r="C8" i="5"/>
  <c r="C1159" i="5"/>
  <c r="C9" i="5"/>
  <c r="C481" i="5"/>
  <c r="C1154" i="5"/>
  <c r="C101" i="5"/>
  <c r="C132" i="5"/>
  <c r="C105" i="5"/>
  <c r="C103" i="5"/>
  <c r="C475" i="5"/>
  <c r="C156" i="5"/>
  <c r="C165" i="5"/>
  <c r="C123" i="5"/>
  <c r="C114" i="5"/>
  <c r="C120" i="5"/>
  <c r="C150" i="5"/>
  <c r="C110" i="5"/>
  <c r="C478" i="5"/>
  <c r="P123" i="1"/>
  <c r="C159" i="5"/>
  <c r="C112" i="5"/>
  <c r="C1156" i="5"/>
  <c r="C472" i="5"/>
  <c r="C1155" i="5"/>
  <c r="C466" i="5"/>
  <c r="C1158" i="5"/>
  <c r="C463" i="5"/>
  <c r="C469" i="5"/>
  <c r="C1160" i="5"/>
  <c r="C1157" i="5"/>
  <c r="C139" i="5"/>
  <c r="C146" i="5"/>
  <c r="C148" i="5"/>
  <c r="C138" i="5"/>
  <c r="C147" i="5"/>
  <c r="C111" i="5"/>
  <c r="C113" i="5"/>
  <c r="C102" i="5"/>
  <c r="C130" i="5"/>
  <c r="C128" i="5"/>
  <c r="C158" i="5"/>
  <c r="C167" i="5"/>
  <c r="C140" i="5"/>
  <c r="C119" i="5"/>
  <c r="C129" i="5"/>
  <c r="C121" i="5"/>
  <c r="C157" i="5"/>
  <c r="C155" i="5"/>
  <c r="C149" i="5"/>
  <c r="C104" i="5"/>
  <c r="C122" i="5"/>
  <c r="C131" i="5"/>
  <c r="C1147" i="5"/>
  <c r="C441" i="5"/>
  <c r="C1148" i="5"/>
  <c r="C421" i="5"/>
  <c r="C425" i="5"/>
  <c r="C413" i="5"/>
  <c r="C460" i="5"/>
  <c r="C1142" i="5"/>
  <c r="C433" i="5"/>
  <c r="C1143" i="5"/>
  <c r="C1146" i="5"/>
  <c r="C417" i="5"/>
  <c r="C437" i="5"/>
  <c r="C1145" i="5"/>
  <c r="C429" i="5"/>
  <c r="C1144" i="5"/>
  <c r="P91" i="1"/>
  <c r="I454" i="1"/>
  <c r="J454" i="1" s="1"/>
  <c r="K454" i="1" s="1"/>
  <c r="L454" i="1" s="1"/>
  <c r="M454" i="1" s="1"/>
  <c r="N454" i="1" s="1"/>
  <c r="O454" i="1" s="1"/>
  <c r="P454" i="1" s="1"/>
  <c r="Q454" i="1" s="1"/>
  <c r="R454" i="1" s="1"/>
  <c r="S454" i="1" s="1"/>
  <c r="P101" i="1"/>
  <c r="O100" i="1"/>
  <c r="C164" i="5" s="1"/>
  <c r="P121" i="1"/>
  <c r="P117" i="1"/>
  <c r="P119" i="1"/>
  <c r="O118" i="1"/>
  <c r="C65" i="5" s="1"/>
  <c r="P114" i="1"/>
  <c r="C72" i="5" s="1"/>
  <c r="Q115" i="1"/>
  <c r="P113" i="1"/>
  <c r="P112" i="1" s="1"/>
  <c r="C71" i="5" s="1"/>
  <c r="P127" i="1"/>
  <c r="O126" i="1"/>
  <c r="Q125" i="1"/>
  <c r="P124" i="1"/>
  <c r="C484" i="5" s="1"/>
  <c r="Q111" i="1"/>
  <c r="P110" i="1"/>
  <c r="P109" i="1"/>
  <c r="O108" i="1"/>
  <c r="C168" i="5" s="1"/>
  <c r="P107" i="1"/>
  <c r="O106" i="1"/>
  <c r="C166" i="5" s="1"/>
  <c r="Q105" i="1"/>
  <c r="P104" i="1"/>
  <c r="C174" i="5" s="1"/>
  <c r="Q103" i="1"/>
  <c r="Q102" i="1" s="1"/>
  <c r="H409" i="1"/>
  <c r="M422" i="1"/>
  <c r="M423" i="1"/>
  <c r="M424" i="1"/>
  <c r="M421" i="1"/>
  <c r="D1109" i="5" s="1"/>
  <c r="R423" i="1"/>
  <c r="R421" i="1"/>
  <c r="D1134" i="5" s="1"/>
  <c r="R422" i="1"/>
  <c r="R424" i="1"/>
  <c r="Q423" i="1"/>
  <c r="Q421" i="1"/>
  <c r="D1129" i="5" s="1"/>
  <c r="Q422" i="1"/>
  <c r="Q424" i="1"/>
  <c r="O421" i="1"/>
  <c r="D1119" i="5" s="1"/>
  <c r="O423" i="1"/>
  <c r="O422" i="1"/>
  <c r="O424" i="1"/>
  <c r="K424" i="1"/>
  <c r="K422" i="1"/>
  <c r="K421" i="1"/>
  <c r="D1099" i="5" s="1"/>
  <c r="K423" i="1"/>
  <c r="I421" i="1"/>
  <c r="D1089" i="5" s="1"/>
  <c r="C1089" i="5" s="1"/>
  <c r="I424" i="1"/>
  <c r="I422" i="1"/>
  <c r="I423" i="1"/>
  <c r="H424" i="1"/>
  <c r="D1083" i="5" s="1"/>
  <c r="H423" i="1"/>
  <c r="D1082" i="5" s="1"/>
  <c r="H422" i="1"/>
  <c r="D1085" i="5" s="1"/>
  <c r="C1085" i="5" s="1"/>
  <c r="H421" i="1"/>
  <c r="N423" i="1"/>
  <c r="N421" i="1"/>
  <c r="D1114" i="5" s="1"/>
  <c r="N424" i="1"/>
  <c r="N422" i="1"/>
  <c r="J424" i="1"/>
  <c r="J422" i="1"/>
  <c r="J421" i="1"/>
  <c r="D1094" i="5" s="1"/>
  <c r="J423" i="1"/>
  <c r="S423" i="1"/>
  <c r="S421" i="1"/>
  <c r="D1139" i="5" s="1"/>
  <c r="S424" i="1"/>
  <c r="S422" i="1"/>
  <c r="L422" i="1"/>
  <c r="L424" i="1"/>
  <c r="L423" i="1"/>
  <c r="L421" i="1"/>
  <c r="D1104" i="5" s="1"/>
  <c r="P421" i="1"/>
  <c r="D1124" i="5" s="1"/>
  <c r="P423" i="1"/>
  <c r="P424" i="1"/>
  <c r="P422" i="1"/>
  <c r="D1084" i="5" l="1"/>
  <c r="C1084" i="5" s="1"/>
  <c r="H429" i="1"/>
  <c r="I467" i="1"/>
  <c r="D1088" i="5"/>
  <c r="Q123" i="1"/>
  <c r="M467" i="1"/>
  <c r="D1108" i="5"/>
  <c r="M466" i="1"/>
  <c r="D1107" i="5"/>
  <c r="C1107" i="5" s="1"/>
  <c r="S465" i="1"/>
  <c r="D1140" i="5"/>
  <c r="C1140" i="5" s="1"/>
  <c r="P465" i="1"/>
  <c r="D1125" i="5"/>
  <c r="C1125" i="5" s="1"/>
  <c r="I466" i="1"/>
  <c r="D1087" i="5"/>
  <c r="C1087" i="5" s="1"/>
  <c r="I465" i="1"/>
  <c r="D1090" i="5"/>
  <c r="C1090" i="5" s="1"/>
  <c r="S467" i="1"/>
  <c r="D1138" i="5"/>
  <c r="O465" i="1"/>
  <c r="D1120" i="5"/>
  <c r="C1120" i="5" s="1"/>
  <c r="J467" i="1"/>
  <c r="D1093" i="5"/>
  <c r="Q467" i="1"/>
  <c r="D1128" i="5"/>
  <c r="N467" i="1"/>
  <c r="D1113" i="5"/>
  <c r="Q466" i="1"/>
  <c r="D1127" i="5"/>
  <c r="C1127" i="5" s="1"/>
  <c r="R465" i="1"/>
  <c r="D1135" i="5"/>
  <c r="C1135" i="5" s="1"/>
  <c r="L466" i="1"/>
  <c r="D1102" i="5"/>
  <c r="C1102" i="5" s="1"/>
  <c r="L467" i="1"/>
  <c r="D1103" i="5"/>
  <c r="L465" i="1"/>
  <c r="D1105" i="5"/>
  <c r="C1105" i="5" s="1"/>
  <c r="M465" i="1"/>
  <c r="D1110" i="5"/>
  <c r="C1110" i="5" s="1"/>
  <c r="K466" i="1"/>
  <c r="D1097" i="5"/>
  <c r="C1097" i="5" s="1"/>
  <c r="K465" i="1"/>
  <c r="D1100" i="5"/>
  <c r="C1100" i="5" s="1"/>
  <c r="S466" i="1"/>
  <c r="D1137" i="5"/>
  <c r="C1137" i="5" s="1"/>
  <c r="O467" i="1"/>
  <c r="D1118" i="5"/>
  <c r="J465" i="1"/>
  <c r="D1095" i="5"/>
  <c r="C1095" i="5" s="1"/>
  <c r="N465" i="1"/>
  <c r="D1115" i="5"/>
  <c r="C1115" i="5" s="1"/>
  <c r="K467" i="1"/>
  <c r="D1098" i="5"/>
  <c r="J466" i="1"/>
  <c r="D1092" i="5"/>
  <c r="C1092" i="5" s="1"/>
  <c r="O466" i="1"/>
  <c r="D1117" i="5"/>
  <c r="C1117" i="5" s="1"/>
  <c r="Q465" i="1"/>
  <c r="D1130" i="5"/>
  <c r="C1130" i="5" s="1"/>
  <c r="N466" i="1"/>
  <c r="D1112" i="5"/>
  <c r="C1112" i="5" s="1"/>
  <c r="R467" i="1"/>
  <c r="D1133" i="5"/>
  <c r="P467" i="1"/>
  <c r="D1123" i="5"/>
  <c r="P466" i="1"/>
  <c r="D1122" i="5"/>
  <c r="C1122" i="5" s="1"/>
  <c r="R466" i="1"/>
  <c r="D1132" i="5"/>
  <c r="C1132" i="5" s="1"/>
  <c r="C1149" i="5"/>
  <c r="C1161" i="5"/>
  <c r="H465" i="1"/>
  <c r="H466" i="1"/>
  <c r="H467" i="1"/>
  <c r="C176" i="5"/>
  <c r="I275" i="1"/>
  <c r="J275" i="1"/>
  <c r="O275" i="1"/>
  <c r="N275" i="1"/>
  <c r="M275" i="1"/>
  <c r="S275" i="1"/>
  <c r="R275" i="1"/>
  <c r="K275" i="1"/>
  <c r="Q275" i="1"/>
  <c r="P275" i="1"/>
  <c r="L275" i="1"/>
  <c r="Q464" i="1"/>
  <c r="H464" i="1"/>
  <c r="H275" i="1"/>
  <c r="M464" i="1"/>
  <c r="R464" i="1"/>
  <c r="L464" i="1"/>
  <c r="K464" i="1"/>
  <c r="N464" i="1"/>
  <c r="C445" i="5"/>
  <c r="P464" i="1"/>
  <c r="I464" i="1"/>
  <c r="S464" i="1"/>
  <c r="J464" i="1"/>
  <c r="O464" i="1"/>
  <c r="Q91" i="1"/>
  <c r="Q101" i="1"/>
  <c r="P100" i="1"/>
  <c r="C173" i="5" s="1"/>
  <c r="Q121" i="1"/>
  <c r="Q117" i="1"/>
  <c r="Q119" i="1"/>
  <c r="P118" i="1"/>
  <c r="C73" i="5" s="1"/>
  <c r="Q114" i="1"/>
  <c r="C80" i="5" s="1"/>
  <c r="R115" i="1"/>
  <c r="Q113" i="1"/>
  <c r="Q112" i="1" s="1"/>
  <c r="C79" i="5" s="1"/>
  <c r="P126" i="1"/>
  <c r="C1162" i="5" s="1"/>
  <c r="Q127" i="1"/>
  <c r="Q124" i="1"/>
  <c r="C487" i="5" s="1"/>
  <c r="R125" i="1"/>
  <c r="R111" i="1"/>
  <c r="Q110" i="1"/>
  <c r="Q109" i="1"/>
  <c r="P108" i="1"/>
  <c r="C177" i="5" s="1"/>
  <c r="Q107" i="1"/>
  <c r="P106" i="1"/>
  <c r="C175" i="5" s="1"/>
  <c r="Q104" i="1"/>
  <c r="C183" i="5" s="1"/>
  <c r="R105" i="1"/>
  <c r="R103" i="1"/>
  <c r="R102" i="1" s="1"/>
  <c r="O429" i="1"/>
  <c r="N429" i="1"/>
  <c r="Q429" i="1"/>
  <c r="S429" i="1"/>
  <c r="L429" i="1"/>
  <c r="M429" i="1"/>
  <c r="J429" i="1"/>
  <c r="R429" i="1"/>
  <c r="P429" i="1"/>
  <c r="I429" i="1"/>
  <c r="K429" i="1"/>
  <c r="L255" i="1"/>
  <c r="K255" i="1"/>
  <c r="J255" i="1"/>
  <c r="I255" i="1"/>
  <c r="H255" i="1"/>
  <c r="S255" i="1"/>
  <c r="R255" i="1"/>
  <c r="Q255" i="1"/>
  <c r="P255" i="1"/>
  <c r="O255" i="1"/>
  <c r="N255" i="1"/>
  <c r="M255" i="1"/>
  <c r="S251" i="1"/>
  <c r="R251" i="1"/>
  <c r="Q251" i="1"/>
  <c r="P251" i="1"/>
  <c r="O251" i="1"/>
  <c r="N251" i="1"/>
  <c r="M251" i="1"/>
  <c r="L251" i="1"/>
  <c r="K251" i="1"/>
  <c r="J251" i="1"/>
  <c r="I251" i="1"/>
  <c r="H251" i="1"/>
  <c r="S248" i="1"/>
  <c r="R248" i="1"/>
  <c r="Q248" i="1"/>
  <c r="P248" i="1"/>
  <c r="O248" i="1"/>
  <c r="N248" i="1"/>
  <c r="M248" i="1"/>
  <c r="L248" i="1"/>
  <c r="K248" i="1"/>
  <c r="J248" i="1"/>
  <c r="I248" i="1"/>
  <c r="H248" i="1"/>
  <c r="H244" i="1"/>
  <c r="I244" i="1"/>
  <c r="J244" i="1"/>
  <c r="K244" i="1"/>
  <c r="L244" i="1"/>
  <c r="M244" i="1"/>
  <c r="N244" i="1"/>
  <c r="O244" i="1"/>
  <c r="P244" i="1"/>
  <c r="Q244" i="1"/>
  <c r="R244" i="1"/>
  <c r="S244" i="1"/>
  <c r="D1320" i="5" l="1"/>
  <c r="C1320" i="5" s="1"/>
  <c r="D1321" i="5"/>
  <c r="C1321" i="5" s="1"/>
  <c r="D1312" i="5"/>
  <c r="C1312" i="5" s="1"/>
  <c r="D1315" i="5"/>
  <c r="C1315" i="5" s="1"/>
  <c r="D1311" i="5"/>
  <c r="C1311" i="5" s="1"/>
  <c r="D1313" i="5"/>
  <c r="C1313" i="5" s="1"/>
  <c r="D1316" i="5"/>
  <c r="C1316" i="5" s="1"/>
  <c r="D1318" i="5"/>
  <c r="C1318" i="5" s="1"/>
  <c r="D1314" i="5"/>
  <c r="C1314" i="5" s="1"/>
  <c r="D1317" i="5"/>
  <c r="C1317" i="5" s="1"/>
  <c r="D1319" i="5"/>
  <c r="C1319" i="5" s="1"/>
  <c r="D670" i="5"/>
  <c r="D1329" i="5"/>
  <c r="C1329" i="5" s="1"/>
  <c r="D634" i="5"/>
  <c r="D1325" i="5"/>
  <c r="C1325" i="5" s="1"/>
  <c r="D1310" i="5"/>
  <c r="C1310" i="5" s="1"/>
  <c r="D679" i="5"/>
  <c r="D1330" i="5"/>
  <c r="C1330" i="5" s="1"/>
  <c r="D616" i="5"/>
  <c r="D1323" i="5"/>
  <c r="C1323" i="5" s="1"/>
  <c r="D1406" i="5"/>
  <c r="C1406" i="5" s="1"/>
  <c r="D1478" i="5"/>
  <c r="D1454" i="5"/>
  <c r="D1466" i="5"/>
  <c r="C1466" i="5" s="1"/>
  <c r="D706" i="5"/>
  <c r="D1333" i="5"/>
  <c r="C1333" i="5" s="1"/>
  <c r="D607" i="5"/>
  <c r="D1322" i="5"/>
  <c r="C1322" i="5" s="1"/>
  <c r="D652" i="5"/>
  <c r="D1327" i="5"/>
  <c r="C1327" i="5" s="1"/>
  <c r="D688" i="5"/>
  <c r="D1331" i="5"/>
  <c r="C1331" i="5" s="1"/>
  <c r="D1416" i="5"/>
  <c r="C1416" i="5" s="1"/>
  <c r="D1476" i="5"/>
  <c r="C1476" i="5" s="1"/>
  <c r="D1464" i="5"/>
  <c r="D1488" i="5"/>
  <c r="D1410" i="5"/>
  <c r="C1410" i="5" s="1"/>
  <c r="D1482" i="5"/>
  <c r="D1470" i="5"/>
  <c r="C1470" i="5" s="1"/>
  <c r="D1458" i="5"/>
  <c r="D1411" i="5"/>
  <c r="C1411" i="5" s="1"/>
  <c r="D1483" i="5"/>
  <c r="D1471" i="5"/>
  <c r="C1471" i="5" s="1"/>
  <c r="D1459" i="5"/>
  <c r="D1412" i="5"/>
  <c r="C1412" i="5" s="1"/>
  <c r="D1484" i="5"/>
  <c r="D1460" i="5"/>
  <c r="D1472" i="5"/>
  <c r="C1472" i="5" s="1"/>
  <c r="D1413" i="5"/>
  <c r="C1413" i="5" s="1"/>
  <c r="D1473" i="5"/>
  <c r="C1473" i="5" s="1"/>
  <c r="D1485" i="5"/>
  <c r="D1461" i="5"/>
  <c r="D625" i="5"/>
  <c r="D1324" i="5"/>
  <c r="C1324" i="5" s="1"/>
  <c r="J276" i="1"/>
  <c r="D1408" i="5"/>
  <c r="C1408" i="5" s="1"/>
  <c r="D1480" i="5"/>
  <c r="D1456" i="5"/>
  <c r="D1468" i="5"/>
  <c r="C1468" i="5" s="1"/>
  <c r="D661" i="5"/>
  <c r="D1328" i="5"/>
  <c r="C1328" i="5" s="1"/>
  <c r="D697" i="5"/>
  <c r="D1332" i="5"/>
  <c r="C1332" i="5" s="1"/>
  <c r="D1414" i="5"/>
  <c r="C1414" i="5" s="1"/>
  <c r="D1474" i="5"/>
  <c r="C1474" i="5" s="1"/>
  <c r="D1486" i="5"/>
  <c r="D1462" i="5"/>
  <c r="D1417" i="5"/>
  <c r="C1417" i="5" s="1"/>
  <c r="D1489" i="5"/>
  <c r="D1465" i="5"/>
  <c r="D1477" i="5"/>
  <c r="C1477" i="5" s="1"/>
  <c r="D1407" i="5"/>
  <c r="C1407" i="5" s="1"/>
  <c r="D1479" i="5"/>
  <c r="D1467" i="5"/>
  <c r="C1467" i="5" s="1"/>
  <c r="D1455" i="5"/>
  <c r="D643" i="5"/>
  <c r="D1326" i="5"/>
  <c r="C1326" i="5" s="1"/>
  <c r="D1415" i="5"/>
  <c r="C1415" i="5" s="1"/>
  <c r="D1475" i="5"/>
  <c r="C1475" i="5" s="1"/>
  <c r="D1487" i="5"/>
  <c r="D1463" i="5"/>
  <c r="D1409" i="5"/>
  <c r="C1409" i="5" s="1"/>
  <c r="D1481" i="5"/>
  <c r="D1469" i="5"/>
  <c r="C1469" i="5" s="1"/>
  <c r="D1457" i="5"/>
  <c r="D348" i="5"/>
  <c r="D352" i="5"/>
  <c r="D357" i="5"/>
  <c r="D361" i="5"/>
  <c r="N85" i="1"/>
  <c r="C1460" i="5" s="1"/>
  <c r="D276" i="5"/>
  <c r="D280" i="5"/>
  <c r="D294" i="5"/>
  <c r="D298" i="5"/>
  <c r="D303" i="5"/>
  <c r="D307" i="5"/>
  <c r="D366" i="5"/>
  <c r="D370" i="5"/>
  <c r="R85" i="1"/>
  <c r="K85" i="1"/>
  <c r="D321" i="5"/>
  <c r="D325" i="5"/>
  <c r="L85" i="1"/>
  <c r="C1458" i="5" s="1"/>
  <c r="D267" i="5"/>
  <c r="D271" i="5"/>
  <c r="D285" i="5"/>
  <c r="D289" i="5"/>
  <c r="J85" i="1"/>
  <c r="D330" i="5"/>
  <c r="D334" i="5"/>
  <c r="D312" i="5"/>
  <c r="D316" i="5"/>
  <c r="D339" i="5"/>
  <c r="D343" i="5"/>
  <c r="D253" i="5"/>
  <c r="D1131" i="5"/>
  <c r="D263" i="5"/>
  <c r="D1141" i="5"/>
  <c r="D238" i="5"/>
  <c r="D1116" i="5"/>
  <c r="R123" i="1"/>
  <c r="M85" i="1"/>
  <c r="O85" i="1"/>
  <c r="S85" i="1"/>
  <c r="D243" i="5"/>
  <c r="D1121" i="5"/>
  <c r="D213" i="5"/>
  <c r="D1091" i="5"/>
  <c r="D228" i="5"/>
  <c r="D1106" i="5"/>
  <c r="D223" i="5"/>
  <c r="D1101" i="5"/>
  <c r="D258" i="5"/>
  <c r="D1136" i="5"/>
  <c r="D233" i="5"/>
  <c r="D1111" i="5"/>
  <c r="I85" i="1"/>
  <c r="I276" i="1"/>
  <c r="P85" i="1"/>
  <c r="D1086" i="5"/>
  <c r="D208" i="5"/>
  <c r="Q85" i="1"/>
  <c r="C1463" i="5" s="1"/>
  <c r="D248" i="5"/>
  <c r="D1126" i="5"/>
  <c r="D218" i="5"/>
  <c r="D1096" i="5"/>
  <c r="D270" i="5"/>
  <c r="D272" i="5"/>
  <c r="D1046" i="5"/>
  <c r="C1046" i="5" s="1"/>
  <c r="D268" i="5"/>
  <c r="D266" i="5"/>
  <c r="C266" i="5" s="1"/>
  <c r="D305" i="5"/>
  <c r="C305" i="5" s="1"/>
  <c r="D304" i="5"/>
  <c r="D302" i="5"/>
  <c r="C302" i="5" s="1"/>
  <c r="D306" i="5"/>
  <c r="D1050" i="5"/>
  <c r="C1050" i="5" s="1"/>
  <c r="D308" i="5"/>
  <c r="D687" i="5"/>
  <c r="D686" i="5"/>
  <c r="C686" i="5" s="1"/>
  <c r="D685" i="5"/>
  <c r="D683" i="5"/>
  <c r="C683" i="5" s="1"/>
  <c r="D1067" i="5"/>
  <c r="C1067" i="5" s="1"/>
  <c r="D887" i="5"/>
  <c r="D689" i="5"/>
  <c r="D684" i="5"/>
  <c r="D691" i="5"/>
  <c r="D690" i="5"/>
  <c r="D284" i="5"/>
  <c r="C284" i="5" s="1"/>
  <c r="D286" i="5"/>
  <c r="D288" i="5"/>
  <c r="D290" i="5"/>
  <c r="D287" i="5"/>
  <c r="C287" i="5" s="1"/>
  <c r="D1048" i="5"/>
  <c r="C1048" i="5" s="1"/>
  <c r="D1069" i="5"/>
  <c r="C1069" i="5" s="1"/>
  <c r="D703" i="5"/>
  <c r="D702" i="5"/>
  <c r="D701" i="5"/>
  <c r="C701" i="5" s="1"/>
  <c r="D889" i="5"/>
  <c r="D709" i="5"/>
  <c r="D707" i="5"/>
  <c r="D708" i="5"/>
  <c r="D704" i="5"/>
  <c r="C704" i="5" s="1"/>
  <c r="D705" i="5"/>
  <c r="D314" i="5"/>
  <c r="C314" i="5" s="1"/>
  <c r="D313" i="5"/>
  <c r="D1051" i="5"/>
  <c r="C1051" i="5" s="1"/>
  <c r="D317" i="5"/>
  <c r="D315" i="5"/>
  <c r="D311" i="5"/>
  <c r="C311" i="5" s="1"/>
  <c r="D324" i="5"/>
  <c r="D323" i="5"/>
  <c r="C323" i="5" s="1"/>
  <c r="D320" i="5"/>
  <c r="C320" i="5" s="1"/>
  <c r="D322" i="5"/>
  <c r="D326" i="5"/>
  <c r="D1052" i="5"/>
  <c r="C1052" i="5" s="1"/>
  <c r="D1054" i="5"/>
  <c r="C1054" i="5" s="1"/>
  <c r="D344" i="5"/>
  <c r="D340" i="5"/>
  <c r="D342" i="5"/>
  <c r="D341" i="5"/>
  <c r="C341" i="5" s="1"/>
  <c r="D338" i="5"/>
  <c r="C338" i="5" s="1"/>
  <c r="D367" i="5"/>
  <c r="D1057" i="5"/>
  <c r="C1057" i="5" s="1"/>
  <c r="D365" i="5"/>
  <c r="C365" i="5" s="1"/>
  <c r="D368" i="5"/>
  <c r="C368" i="5" s="1"/>
  <c r="D371" i="5"/>
  <c r="D369" i="5"/>
  <c r="D648" i="5"/>
  <c r="D647" i="5"/>
  <c r="C647" i="5" s="1"/>
  <c r="D1063" i="5"/>
  <c r="C1063" i="5" s="1"/>
  <c r="D883" i="5"/>
  <c r="D649" i="5"/>
  <c r="D653" i="5"/>
  <c r="D651" i="5"/>
  <c r="D650" i="5"/>
  <c r="C650" i="5" s="1"/>
  <c r="D655" i="5"/>
  <c r="D654" i="5"/>
  <c r="D281" i="5"/>
  <c r="D278" i="5"/>
  <c r="C278" i="5" s="1"/>
  <c r="D279" i="5"/>
  <c r="D277" i="5"/>
  <c r="D275" i="5"/>
  <c r="C275" i="5" s="1"/>
  <c r="D1047" i="5"/>
  <c r="C1047" i="5" s="1"/>
  <c r="D888" i="5"/>
  <c r="D700" i="5"/>
  <c r="D699" i="5"/>
  <c r="D1068" i="5"/>
  <c r="C1068" i="5" s="1"/>
  <c r="D696" i="5"/>
  <c r="D695" i="5"/>
  <c r="C695" i="5" s="1"/>
  <c r="D692" i="5"/>
  <c r="C692" i="5" s="1"/>
  <c r="D698" i="5"/>
  <c r="D694" i="5"/>
  <c r="D693" i="5"/>
  <c r="D331" i="5"/>
  <c r="D329" i="5"/>
  <c r="C329" i="5" s="1"/>
  <c r="D1053" i="5"/>
  <c r="C1053" i="5" s="1"/>
  <c r="D335" i="5"/>
  <c r="D333" i="5"/>
  <c r="D332" i="5"/>
  <c r="C332" i="5" s="1"/>
  <c r="D347" i="5"/>
  <c r="C347" i="5" s="1"/>
  <c r="D1055" i="5"/>
  <c r="C1055" i="5" s="1"/>
  <c r="D351" i="5"/>
  <c r="D350" i="5"/>
  <c r="C350" i="5" s="1"/>
  <c r="D349" i="5"/>
  <c r="D353" i="5"/>
  <c r="D362" i="5"/>
  <c r="D360" i="5"/>
  <c r="D1056" i="5"/>
  <c r="C1056" i="5" s="1"/>
  <c r="D359" i="5"/>
  <c r="C359" i="5" s="1"/>
  <c r="D358" i="5"/>
  <c r="D356" i="5"/>
  <c r="C356" i="5" s="1"/>
  <c r="H85" i="1"/>
  <c r="D609" i="5"/>
  <c r="D603" i="5"/>
  <c r="D606" i="5"/>
  <c r="D608" i="5"/>
  <c r="D1058" i="5"/>
  <c r="C1058" i="5" s="1"/>
  <c r="D878" i="5"/>
  <c r="D604" i="5"/>
  <c r="D605" i="5"/>
  <c r="C605" i="5" s="1"/>
  <c r="D602" i="5"/>
  <c r="C602" i="5" s="1"/>
  <c r="D610" i="5"/>
  <c r="D621" i="5"/>
  <c r="D620" i="5"/>
  <c r="C620" i="5" s="1"/>
  <c r="D1060" i="5"/>
  <c r="C1060" i="5" s="1"/>
  <c r="D626" i="5"/>
  <c r="D627" i="5"/>
  <c r="D624" i="5"/>
  <c r="D622" i="5"/>
  <c r="D628" i="5"/>
  <c r="D623" i="5"/>
  <c r="C623" i="5" s="1"/>
  <c r="D880" i="5"/>
  <c r="D645" i="5"/>
  <c r="D644" i="5"/>
  <c r="D642" i="5"/>
  <c r="D638" i="5"/>
  <c r="C638" i="5" s="1"/>
  <c r="D641" i="5"/>
  <c r="C641" i="5" s="1"/>
  <c r="D640" i="5"/>
  <c r="D639" i="5"/>
  <c r="D1062" i="5"/>
  <c r="C1062" i="5" s="1"/>
  <c r="D882" i="5"/>
  <c r="D646" i="5"/>
  <c r="D678" i="5"/>
  <c r="D677" i="5"/>
  <c r="C677" i="5" s="1"/>
  <c r="D676" i="5"/>
  <c r="D675" i="5"/>
  <c r="D674" i="5"/>
  <c r="C674" i="5" s="1"/>
  <c r="D1066" i="5"/>
  <c r="C1066" i="5" s="1"/>
  <c r="D682" i="5"/>
  <c r="D681" i="5"/>
  <c r="D680" i="5"/>
  <c r="D886" i="5"/>
  <c r="D297" i="5"/>
  <c r="D296" i="5"/>
  <c r="C296" i="5" s="1"/>
  <c r="D299" i="5"/>
  <c r="D1049" i="5"/>
  <c r="C1049" i="5" s="1"/>
  <c r="D295" i="5"/>
  <c r="D293" i="5"/>
  <c r="C293" i="5" s="1"/>
  <c r="D618" i="5"/>
  <c r="D617" i="5"/>
  <c r="D615" i="5"/>
  <c r="D614" i="5"/>
  <c r="C614" i="5" s="1"/>
  <c r="D613" i="5"/>
  <c r="D611" i="5"/>
  <c r="C611" i="5" s="1"/>
  <c r="D612" i="5"/>
  <c r="D1059" i="5"/>
  <c r="C1059" i="5" s="1"/>
  <c r="D879" i="5"/>
  <c r="D619" i="5"/>
  <c r="D631" i="5"/>
  <c r="D1061" i="5"/>
  <c r="C1061" i="5" s="1"/>
  <c r="D630" i="5"/>
  <c r="D637" i="5"/>
  <c r="D881" i="5"/>
  <c r="D636" i="5"/>
  <c r="D635" i="5"/>
  <c r="D633" i="5"/>
  <c r="D632" i="5"/>
  <c r="C632" i="5" s="1"/>
  <c r="D629" i="5"/>
  <c r="C629" i="5" s="1"/>
  <c r="D658" i="5"/>
  <c r="D1064" i="5"/>
  <c r="C1064" i="5" s="1"/>
  <c r="D657" i="5"/>
  <c r="D656" i="5"/>
  <c r="C656" i="5" s="1"/>
  <c r="D663" i="5"/>
  <c r="D664" i="5"/>
  <c r="D662" i="5"/>
  <c r="D884" i="5"/>
  <c r="D660" i="5"/>
  <c r="D659" i="5"/>
  <c r="C659" i="5" s="1"/>
  <c r="D673" i="5"/>
  <c r="D672" i="5"/>
  <c r="D671" i="5"/>
  <c r="D885" i="5"/>
  <c r="D669" i="5"/>
  <c r="D668" i="5"/>
  <c r="C668" i="5" s="1"/>
  <c r="D667" i="5"/>
  <c r="D666" i="5"/>
  <c r="D1065" i="5"/>
  <c r="C1065" i="5" s="1"/>
  <c r="D665" i="5"/>
  <c r="C665" i="5" s="1"/>
  <c r="D273" i="5"/>
  <c r="D269" i="5"/>
  <c r="C269" i="5" s="1"/>
  <c r="D866" i="5"/>
  <c r="D274" i="5"/>
  <c r="D282" i="5"/>
  <c r="D867" i="5"/>
  <c r="D283" i="5"/>
  <c r="D327" i="5"/>
  <c r="D328" i="5"/>
  <c r="D872" i="5"/>
  <c r="D345" i="5"/>
  <c r="D346" i="5"/>
  <c r="D874" i="5"/>
  <c r="D354" i="5"/>
  <c r="D355" i="5"/>
  <c r="D875" i="5"/>
  <c r="D372" i="5"/>
  <c r="D373" i="5"/>
  <c r="D877" i="5"/>
  <c r="C185" i="5"/>
  <c r="D291" i="5"/>
  <c r="D868" i="5"/>
  <c r="D292" i="5"/>
  <c r="D300" i="5"/>
  <c r="D869" i="5"/>
  <c r="D301" i="5"/>
  <c r="D309" i="5"/>
  <c r="D870" i="5"/>
  <c r="D310" i="5"/>
  <c r="D318" i="5"/>
  <c r="D319" i="5"/>
  <c r="D871" i="5"/>
  <c r="D336" i="5"/>
  <c r="D337" i="5"/>
  <c r="D873" i="5"/>
  <c r="D363" i="5"/>
  <c r="D364" i="5"/>
  <c r="D876" i="5"/>
  <c r="I252" i="1"/>
  <c r="H276" i="1"/>
  <c r="H343" i="1" s="1"/>
  <c r="J252" i="1"/>
  <c r="L252" i="1"/>
  <c r="K276" i="1"/>
  <c r="P252" i="1"/>
  <c r="S276" i="1"/>
  <c r="R252" i="1"/>
  <c r="O276" i="1"/>
  <c r="L276" i="1"/>
  <c r="Q276" i="1"/>
  <c r="N252" i="1"/>
  <c r="O252" i="1"/>
  <c r="K252" i="1"/>
  <c r="P276" i="1"/>
  <c r="M252" i="1"/>
  <c r="R276" i="1"/>
  <c r="Q252" i="1"/>
  <c r="N276" i="1"/>
  <c r="M276" i="1"/>
  <c r="S252" i="1"/>
  <c r="H436" i="1"/>
  <c r="I436" i="1" s="1"/>
  <c r="J436" i="1" s="1"/>
  <c r="K436" i="1" s="1"/>
  <c r="L436" i="1" s="1"/>
  <c r="M436" i="1" s="1"/>
  <c r="N436" i="1" s="1"/>
  <c r="O436" i="1" s="1"/>
  <c r="P436" i="1" s="1"/>
  <c r="Q436" i="1" s="1"/>
  <c r="R436" i="1" s="1"/>
  <c r="S436" i="1" s="1"/>
  <c r="C449" i="5"/>
  <c r="C1150" i="5"/>
  <c r="R91" i="1"/>
  <c r="K471" i="1"/>
  <c r="K473" i="1"/>
  <c r="K474" i="1"/>
  <c r="K472" i="1"/>
  <c r="L471" i="1"/>
  <c r="L473" i="1"/>
  <c r="L474" i="1"/>
  <c r="L472" i="1"/>
  <c r="M471" i="1"/>
  <c r="M474" i="1"/>
  <c r="M473" i="1"/>
  <c r="M472" i="1"/>
  <c r="Q468" i="1"/>
  <c r="Q474" i="1"/>
  <c r="Q472" i="1"/>
  <c r="Q473" i="1"/>
  <c r="Q471" i="1"/>
  <c r="R468" i="1"/>
  <c r="R474" i="1"/>
  <c r="R472" i="1"/>
  <c r="R471" i="1"/>
  <c r="R473" i="1"/>
  <c r="O468" i="1"/>
  <c r="O474" i="1"/>
  <c r="O472" i="1"/>
  <c r="O473" i="1"/>
  <c r="O471" i="1"/>
  <c r="P468" i="1"/>
  <c r="P474" i="1"/>
  <c r="P472" i="1"/>
  <c r="P471" i="1"/>
  <c r="P473" i="1"/>
  <c r="S468" i="1"/>
  <c r="S474" i="1"/>
  <c r="S472" i="1"/>
  <c r="S473" i="1"/>
  <c r="S471" i="1"/>
  <c r="H474" i="1"/>
  <c r="I473" i="1"/>
  <c r="I471" i="1"/>
  <c r="I474" i="1"/>
  <c r="I472" i="1"/>
  <c r="N468" i="1"/>
  <c r="N474" i="1"/>
  <c r="N472" i="1"/>
  <c r="N471" i="1"/>
  <c r="N473" i="1"/>
  <c r="J473" i="1"/>
  <c r="J471" i="1"/>
  <c r="J474" i="1"/>
  <c r="J472" i="1"/>
  <c r="M455" i="1"/>
  <c r="M468" i="1"/>
  <c r="H473" i="1"/>
  <c r="H472" i="1"/>
  <c r="H471" i="1"/>
  <c r="H468" i="1"/>
  <c r="I455" i="1"/>
  <c r="I468" i="1"/>
  <c r="J455" i="1"/>
  <c r="J468" i="1"/>
  <c r="K455" i="1"/>
  <c r="K468" i="1"/>
  <c r="L455" i="1"/>
  <c r="L468" i="1"/>
  <c r="R101" i="1"/>
  <c r="Q100" i="1"/>
  <c r="C182" i="5" s="1"/>
  <c r="R121" i="1"/>
  <c r="R117" i="1"/>
  <c r="R119" i="1"/>
  <c r="Q118" i="1"/>
  <c r="C81" i="5" s="1"/>
  <c r="S115" i="1"/>
  <c r="S114" i="1" s="1"/>
  <c r="C96" i="5" s="1"/>
  <c r="R114" i="1"/>
  <c r="C88" i="5" s="1"/>
  <c r="R113" i="1"/>
  <c r="R112" i="1" s="1"/>
  <c r="C87" i="5" s="1"/>
  <c r="R127" i="1"/>
  <c r="Q126" i="1"/>
  <c r="C1163" i="5" s="1"/>
  <c r="R124" i="1"/>
  <c r="S125" i="1"/>
  <c r="S124" i="1" s="1"/>
  <c r="C493" i="5" s="1"/>
  <c r="S111" i="1"/>
  <c r="S110" i="1" s="1"/>
  <c r="R110" i="1"/>
  <c r="R109" i="1"/>
  <c r="Q108" i="1"/>
  <c r="C186" i="5" s="1"/>
  <c r="R107" i="1"/>
  <c r="Q106" i="1"/>
  <c r="C184" i="5" s="1"/>
  <c r="S105" i="1"/>
  <c r="S104" i="1" s="1"/>
  <c r="C201" i="5" s="1"/>
  <c r="R104" i="1"/>
  <c r="C192" i="5" s="1"/>
  <c r="S103" i="1"/>
  <c r="S102" i="1" s="1"/>
  <c r="O455" i="1"/>
  <c r="N455" i="1"/>
  <c r="H455" i="1"/>
  <c r="H457" i="1" s="1"/>
  <c r="P455" i="1"/>
  <c r="Q455" i="1"/>
  <c r="R455" i="1"/>
  <c r="S455" i="1"/>
  <c r="N446" i="1"/>
  <c r="O446" i="1"/>
  <c r="P446" i="1"/>
  <c r="S443" i="1"/>
  <c r="S446" i="1"/>
  <c r="Q443" i="1"/>
  <c r="Q446" i="1"/>
  <c r="H446" i="1"/>
  <c r="H448" i="1" s="1"/>
  <c r="R443" i="1"/>
  <c r="R446" i="1"/>
  <c r="I446" i="1"/>
  <c r="J446" i="1"/>
  <c r="K446" i="1"/>
  <c r="L446" i="1"/>
  <c r="M446" i="1"/>
  <c r="N443" i="1"/>
  <c r="K443" i="1"/>
  <c r="O443" i="1"/>
  <c r="P443" i="1"/>
  <c r="H433" i="1"/>
  <c r="I433" i="1" s="1"/>
  <c r="J433" i="1" s="1"/>
  <c r="K433" i="1" s="1"/>
  <c r="L433" i="1" s="1"/>
  <c r="M433" i="1" s="1"/>
  <c r="N433" i="1" s="1"/>
  <c r="O433" i="1" s="1"/>
  <c r="P433" i="1" s="1"/>
  <c r="Q433" i="1" s="1"/>
  <c r="R433" i="1" s="1"/>
  <c r="S433" i="1" s="1"/>
  <c r="H443" i="1"/>
  <c r="H444" i="1" s="1"/>
  <c r="I443" i="1"/>
  <c r="J443" i="1"/>
  <c r="L443" i="1"/>
  <c r="M443" i="1"/>
  <c r="I439" i="1"/>
  <c r="J439" i="1" s="1"/>
  <c r="K439" i="1" s="1"/>
  <c r="L439" i="1" s="1"/>
  <c r="M439" i="1" s="1"/>
  <c r="N439" i="1" s="1"/>
  <c r="O439" i="1" s="1"/>
  <c r="P439" i="1" s="1"/>
  <c r="Q439" i="1" s="1"/>
  <c r="R439" i="1" s="1"/>
  <c r="S439" i="1" s="1"/>
  <c r="H252" i="1"/>
  <c r="S353" i="1"/>
  <c r="S310" i="1"/>
  <c r="S346" i="1"/>
  <c r="S303" i="1"/>
  <c r="L353" i="1"/>
  <c r="L310" i="1"/>
  <c r="L346" i="1"/>
  <c r="L303" i="1"/>
  <c r="K346" i="1"/>
  <c r="K353" i="1"/>
  <c r="K310" i="1"/>
  <c r="K303" i="1"/>
  <c r="Q353" i="1"/>
  <c r="Q310" i="1"/>
  <c r="Q346" i="1"/>
  <c r="Q303" i="1"/>
  <c r="N353" i="1"/>
  <c r="N310" i="1"/>
  <c r="N346" i="1"/>
  <c r="N303" i="1"/>
  <c r="M353" i="1"/>
  <c r="M310" i="1"/>
  <c r="M346" i="1"/>
  <c r="M303" i="1"/>
  <c r="J346" i="1"/>
  <c r="J353" i="1"/>
  <c r="J310" i="1"/>
  <c r="J303" i="1"/>
  <c r="I346" i="1"/>
  <c r="I310" i="1"/>
  <c r="I353" i="1"/>
  <c r="I303" i="1"/>
  <c r="H346" i="1"/>
  <c r="H353" i="1"/>
  <c r="H310" i="1"/>
  <c r="H303" i="1"/>
  <c r="R353" i="1"/>
  <c r="R346" i="1"/>
  <c r="R310" i="1"/>
  <c r="R303" i="1"/>
  <c r="O353" i="1"/>
  <c r="O346" i="1"/>
  <c r="O310" i="1"/>
  <c r="O303" i="1"/>
  <c r="P353" i="1"/>
  <c r="P310" i="1"/>
  <c r="P346" i="1"/>
  <c r="P303" i="1"/>
  <c r="R347" i="1"/>
  <c r="R348" i="1"/>
  <c r="R351" i="1"/>
  <c r="R340" i="1"/>
  <c r="R344" i="1"/>
  <c r="R341" i="1"/>
  <c r="M351" i="1"/>
  <c r="M347" i="1"/>
  <c r="M348" i="1"/>
  <c r="M344" i="1"/>
  <c r="M340" i="1"/>
  <c r="M341" i="1"/>
  <c r="K351" i="1"/>
  <c r="K348" i="1"/>
  <c r="K347" i="1"/>
  <c r="K344" i="1"/>
  <c r="K340" i="1"/>
  <c r="K341" i="1"/>
  <c r="Q347" i="1"/>
  <c r="Q351" i="1"/>
  <c r="Q348" i="1"/>
  <c r="Q340" i="1"/>
  <c r="Q341" i="1"/>
  <c r="Q344" i="1"/>
  <c r="P347" i="1"/>
  <c r="P348" i="1"/>
  <c r="P351" i="1"/>
  <c r="P344" i="1"/>
  <c r="P340" i="1"/>
  <c r="P341" i="1"/>
  <c r="O347" i="1"/>
  <c r="O348" i="1"/>
  <c r="O351" i="1"/>
  <c r="O340" i="1"/>
  <c r="O341" i="1"/>
  <c r="O344" i="1"/>
  <c r="N351" i="1"/>
  <c r="N348" i="1"/>
  <c r="N347" i="1"/>
  <c r="N340" i="1"/>
  <c r="N341" i="1"/>
  <c r="N344" i="1"/>
  <c r="L351" i="1"/>
  <c r="L348" i="1"/>
  <c r="L347" i="1"/>
  <c r="L344" i="1"/>
  <c r="L341" i="1"/>
  <c r="L340" i="1"/>
  <c r="J348" i="1"/>
  <c r="J351" i="1"/>
  <c r="J347" i="1"/>
  <c r="J344" i="1"/>
  <c r="J340" i="1"/>
  <c r="J341" i="1"/>
  <c r="H348" i="1"/>
  <c r="H351" i="1"/>
  <c r="H347" i="1"/>
  <c r="H341" i="1"/>
  <c r="H344" i="1"/>
  <c r="H340" i="1"/>
  <c r="I348" i="1"/>
  <c r="I351" i="1"/>
  <c r="I347" i="1"/>
  <c r="I344" i="1"/>
  <c r="I340" i="1"/>
  <c r="I341" i="1"/>
  <c r="S347" i="1"/>
  <c r="S348" i="1"/>
  <c r="S351" i="1"/>
  <c r="S340" i="1"/>
  <c r="S341" i="1"/>
  <c r="S344" i="1"/>
  <c r="S307" i="1"/>
  <c r="S301" i="1"/>
  <c r="S330" i="1" s="1"/>
  <c r="S305" i="1"/>
  <c r="S308" i="1"/>
  <c r="S306" i="1"/>
  <c r="S309" i="1"/>
  <c r="S304" i="1"/>
  <c r="S298" i="1"/>
  <c r="S327" i="1" s="1"/>
  <c r="S297" i="1"/>
  <c r="S326" i="1" s="1"/>
  <c r="Q307" i="1"/>
  <c r="Q301" i="1"/>
  <c r="Q330" i="1" s="1"/>
  <c r="Q305" i="1"/>
  <c r="Q308" i="1"/>
  <c r="Q306" i="1"/>
  <c r="Q309" i="1"/>
  <c r="Q304" i="1"/>
  <c r="Q298" i="1"/>
  <c r="Q327" i="1" s="1"/>
  <c r="Q297" i="1"/>
  <c r="Q326" i="1" s="1"/>
  <c r="L309" i="1"/>
  <c r="L304" i="1"/>
  <c r="L298" i="1"/>
  <c r="L327" i="1" s="1"/>
  <c r="L307" i="1"/>
  <c r="L301" i="1"/>
  <c r="L330" i="1" s="1"/>
  <c r="L305" i="1"/>
  <c r="L306" i="1"/>
  <c r="L308" i="1"/>
  <c r="L297" i="1"/>
  <c r="L326" i="1" s="1"/>
  <c r="K306" i="1"/>
  <c r="K309" i="1"/>
  <c r="K304" i="1"/>
  <c r="K298" i="1"/>
  <c r="K327" i="1" s="1"/>
  <c r="K307" i="1"/>
  <c r="K301" i="1"/>
  <c r="K330" i="1" s="1"/>
  <c r="K305" i="1"/>
  <c r="K308" i="1"/>
  <c r="K297" i="1"/>
  <c r="K326" i="1" s="1"/>
  <c r="J306" i="1"/>
  <c r="J309" i="1"/>
  <c r="J304" i="1"/>
  <c r="J298" i="1"/>
  <c r="J327" i="1" s="1"/>
  <c r="J307" i="1"/>
  <c r="J301" i="1"/>
  <c r="J330" i="1" s="1"/>
  <c r="J308" i="1"/>
  <c r="J305" i="1"/>
  <c r="J297" i="1"/>
  <c r="J326" i="1" s="1"/>
  <c r="R307" i="1"/>
  <c r="R301" i="1"/>
  <c r="R330" i="1" s="1"/>
  <c r="R305" i="1"/>
  <c r="R308" i="1"/>
  <c r="R309" i="1"/>
  <c r="R306" i="1"/>
  <c r="R304" i="1"/>
  <c r="R298" i="1"/>
  <c r="R327" i="1" s="1"/>
  <c r="R297" i="1"/>
  <c r="R326" i="1" s="1"/>
  <c r="P307" i="1"/>
  <c r="P301" i="1"/>
  <c r="P330" i="1" s="1"/>
  <c r="P305" i="1"/>
  <c r="P308" i="1"/>
  <c r="P298" i="1"/>
  <c r="P327" i="1" s="1"/>
  <c r="P306" i="1"/>
  <c r="P309" i="1"/>
  <c r="P304" i="1"/>
  <c r="P297" i="1"/>
  <c r="P326" i="1" s="1"/>
  <c r="M309" i="1"/>
  <c r="M304" i="1"/>
  <c r="M298" i="1"/>
  <c r="M327" i="1" s="1"/>
  <c r="M307" i="1"/>
  <c r="M301" i="1"/>
  <c r="M330" i="1" s="1"/>
  <c r="M305" i="1"/>
  <c r="M306" i="1"/>
  <c r="M308" i="1"/>
  <c r="M297" i="1"/>
  <c r="M326" i="1" s="1"/>
  <c r="I306" i="1"/>
  <c r="I309" i="1"/>
  <c r="I304" i="1"/>
  <c r="I298" i="1"/>
  <c r="I327" i="1" s="1"/>
  <c r="I307" i="1"/>
  <c r="I301" i="1"/>
  <c r="I330" i="1" s="1"/>
  <c r="I308" i="1"/>
  <c r="I305" i="1"/>
  <c r="I297" i="1"/>
  <c r="I326" i="1" s="1"/>
  <c r="H306" i="1"/>
  <c r="H309" i="1"/>
  <c r="H304" i="1"/>
  <c r="H298" i="1"/>
  <c r="H327" i="1" s="1"/>
  <c r="H297" i="1"/>
  <c r="H326" i="1" s="1"/>
  <c r="H307" i="1"/>
  <c r="H301" i="1"/>
  <c r="H330" i="1" s="1"/>
  <c r="H308" i="1"/>
  <c r="H305" i="1"/>
  <c r="O309" i="1"/>
  <c r="O304" i="1"/>
  <c r="O298" i="1"/>
  <c r="O327" i="1" s="1"/>
  <c r="O307" i="1"/>
  <c r="O301" i="1"/>
  <c r="O330" i="1" s="1"/>
  <c r="O305" i="1"/>
  <c r="O308" i="1"/>
  <c r="O306" i="1"/>
  <c r="O297" i="1"/>
  <c r="O326" i="1" s="1"/>
  <c r="N309" i="1"/>
  <c r="N304" i="1"/>
  <c r="N298" i="1"/>
  <c r="N327" i="1" s="1"/>
  <c r="N307" i="1"/>
  <c r="N301" i="1"/>
  <c r="N330" i="1" s="1"/>
  <c r="N305" i="1"/>
  <c r="N306" i="1"/>
  <c r="N308" i="1"/>
  <c r="N297" i="1"/>
  <c r="N326" i="1" s="1"/>
  <c r="P249" i="1"/>
  <c r="P245" i="1"/>
  <c r="D1522" i="5" s="1"/>
  <c r="Q249" i="1"/>
  <c r="Q245" i="1"/>
  <c r="D1523" i="5" s="1"/>
  <c r="R249" i="1"/>
  <c r="R245" i="1"/>
  <c r="D1524" i="5" s="1"/>
  <c r="H249" i="1"/>
  <c r="H245" i="1"/>
  <c r="D1514" i="5" s="1"/>
  <c r="I249" i="1"/>
  <c r="I245" i="1"/>
  <c r="D1515" i="5" s="1"/>
  <c r="J249" i="1"/>
  <c r="J245" i="1"/>
  <c r="D1516" i="5" s="1"/>
  <c r="K249" i="1"/>
  <c r="K245" i="1"/>
  <c r="D1517" i="5" s="1"/>
  <c r="L249" i="1"/>
  <c r="L245" i="1"/>
  <c r="D1518" i="5" s="1"/>
  <c r="M249" i="1"/>
  <c r="M245" i="1"/>
  <c r="D1519" i="5" s="1"/>
  <c r="N249" i="1"/>
  <c r="N245" i="1"/>
  <c r="D1520" i="5" s="1"/>
  <c r="S249" i="1"/>
  <c r="S245" i="1"/>
  <c r="D1525" i="5" s="1"/>
  <c r="O249" i="1"/>
  <c r="O245" i="1"/>
  <c r="D1521" i="5" s="1"/>
  <c r="C1457" i="5" l="1"/>
  <c r="C1461" i="5"/>
  <c r="C1456" i="5"/>
  <c r="D1506" i="5"/>
  <c r="C1506" i="5" s="1"/>
  <c r="D1494" i="5"/>
  <c r="C1465" i="5"/>
  <c r="C1459" i="5"/>
  <c r="D1491" i="5"/>
  <c r="D1503" i="5"/>
  <c r="C1503" i="5" s="1"/>
  <c r="C1462" i="5"/>
  <c r="C1464" i="5"/>
  <c r="K246" i="1"/>
  <c r="K302" i="1" s="1"/>
  <c r="C1455" i="5"/>
  <c r="D1500" i="5"/>
  <c r="D1512" i="5"/>
  <c r="C1512" i="5" s="1"/>
  <c r="D1508" i="5"/>
  <c r="C1508" i="5" s="1"/>
  <c r="D1496" i="5"/>
  <c r="D1505" i="5"/>
  <c r="C1505" i="5" s="1"/>
  <c r="D1493" i="5"/>
  <c r="D1499" i="5"/>
  <c r="D1511" i="5"/>
  <c r="C1511" i="5" s="1"/>
  <c r="D1509" i="5"/>
  <c r="C1509" i="5" s="1"/>
  <c r="D1497" i="5"/>
  <c r="O246" i="1"/>
  <c r="O302" i="1" s="1"/>
  <c r="D1507" i="5"/>
  <c r="C1507" i="5" s="1"/>
  <c r="D1495" i="5"/>
  <c r="D1504" i="5"/>
  <c r="C1504" i="5" s="1"/>
  <c r="D1492" i="5"/>
  <c r="D1490" i="5"/>
  <c r="H79" i="1"/>
  <c r="D1502" i="5"/>
  <c r="C1502" i="5" s="1"/>
  <c r="D1501" i="5"/>
  <c r="D1513" i="5"/>
  <c r="C1513" i="5" s="1"/>
  <c r="D1498" i="5"/>
  <c r="D1510" i="5"/>
  <c r="C1510" i="5" s="1"/>
  <c r="C1454" i="5"/>
  <c r="H366" i="1"/>
  <c r="Q120" i="1"/>
  <c r="C963" i="5" s="1"/>
  <c r="R122" i="1"/>
  <c r="S123" i="1"/>
  <c r="S122" i="1" s="1"/>
  <c r="I120" i="1"/>
  <c r="C619" i="5" s="1"/>
  <c r="I122" i="1"/>
  <c r="J120" i="1"/>
  <c r="C628" i="5" s="1"/>
  <c r="J122" i="1"/>
  <c r="K120" i="1"/>
  <c r="K122" i="1"/>
  <c r="L120" i="1"/>
  <c r="C938" i="5" s="1"/>
  <c r="L122" i="1"/>
  <c r="M122" i="1"/>
  <c r="M120" i="1"/>
  <c r="C943" i="5" s="1"/>
  <c r="N122" i="1"/>
  <c r="N120" i="1"/>
  <c r="C948" i="5" s="1"/>
  <c r="O122" i="1"/>
  <c r="O120" i="1"/>
  <c r="C953" i="5" s="1"/>
  <c r="P120" i="1"/>
  <c r="C958" i="5" s="1"/>
  <c r="P122" i="1"/>
  <c r="R120" i="1"/>
  <c r="C700" i="5" s="1"/>
  <c r="Q122" i="1"/>
  <c r="M246" i="1"/>
  <c r="M302" i="1" s="1"/>
  <c r="L246" i="1"/>
  <c r="L302" i="1" s="1"/>
  <c r="S246" i="1"/>
  <c r="S302" i="1" s="1"/>
  <c r="N246" i="1"/>
  <c r="N302" i="1" s="1"/>
  <c r="H300" i="1"/>
  <c r="H329" i="1" s="1"/>
  <c r="H350" i="1"/>
  <c r="J246" i="1"/>
  <c r="J302" i="1" s="1"/>
  <c r="I246" i="1"/>
  <c r="I302" i="1" s="1"/>
  <c r="C194" i="5"/>
  <c r="C203" i="5"/>
  <c r="R246" i="1"/>
  <c r="R302" i="1" s="1"/>
  <c r="Q246" i="1"/>
  <c r="Q302" i="1" s="1"/>
  <c r="P246" i="1"/>
  <c r="P302" i="1" s="1"/>
  <c r="C457" i="5"/>
  <c r="C453" i="5"/>
  <c r="C490" i="5"/>
  <c r="C1151" i="5"/>
  <c r="S91" i="1"/>
  <c r="I457" i="1"/>
  <c r="J457" i="1" s="1"/>
  <c r="K457" i="1" s="1"/>
  <c r="L457" i="1" s="1"/>
  <c r="M457" i="1" s="1"/>
  <c r="N457" i="1" s="1"/>
  <c r="O457" i="1" s="1"/>
  <c r="P457" i="1" s="1"/>
  <c r="Q457" i="1" s="1"/>
  <c r="R457" i="1" s="1"/>
  <c r="S457" i="1" s="1"/>
  <c r="H122" i="1"/>
  <c r="H120" i="1"/>
  <c r="S101" i="1"/>
  <c r="S100" i="1" s="1"/>
  <c r="C200" i="5" s="1"/>
  <c r="R100" i="1"/>
  <c r="C191" i="5" s="1"/>
  <c r="S121" i="1"/>
  <c r="S120" i="1" s="1"/>
  <c r="S117" i="1"/>
  <c r="S119" i="1"/>
  <c r="S118" i="1" s="1"/>
  <c r="C97" i="5" s="1"/>
  <c r="R118" i="1"/>
  <c r="C89" i="5" s="1"/>
  <c r="S113" i="1"/>
  <c r="S112" i="1" s="1"/>
  <c r="C95" i="5" s="1"/>
  <c r="S127" i="1"/>
  <c r="S126" i="1" s="1"/>
  <c r="C1165" i="5" s="1"/>
  <c r="R126" i="1"/>
  <c r="C1164" i="5" s="1"/>
  <c r="S109" i="1"/>
  <c r="S108" i="1" s="1"/>
  <c r="C204" i="5" s="1"/>
  <c r="R108" i="1"/>
  <c r="C195" i="5" s="1"/>
  <c r="S107" i="1"/>
  <c r="S106" i="1" s="1"/>
  <c r="C202" i="5" s="1"/>
  <c r="R106" i="1"/>
  <c r="C193" i="5" s="1"/>
  <c r="L366" i="1"/>
  <c r="L79" i="1"/>
  <c r="K366" i="1"/>
  <c r="K79" i="1"/>
  <c r="M366" i="1"/>
  <c r="M79" i="1"/>
  <c r="I366" i="1"/>
  <c r="I79" i="1"/>
  <c r="P366" i="1"/>
  <c r="P79" i="1"/>
  <c r="J366" i="1"/>
  <c r="J79" i="1"/>
  <c r="O366" i="1"/>
  <c r="O79" i="1"/>
  <c r="S366" i="1"/>
  <c r="S79" i="1"/>
  <c r="N366" i="1"/>
  <c r="N79" i="1"/>
  <c r="Q366" i="1"/>
  <c r="Q79" i="1"/>
  <c r="R366" i="1"/>
  <c r="R79" i="1"/>
  <c r="I448" i="1"/>
  <c r="J448" i="1" s="1"/>
  <c r="K448" i="1" s="1"/>
  <c r="L448" i="1" s="1"/>
  <c r="M448" i="1" s="1"/>
  <c r="N448" i="1" s="1"/>
  <c r="O448" i="1" s="1"/>
  <c r="P448" i="1" s="1"/>
  <c r="Q448" i="1" s="1"/>
  <c r="R448" i="1" s="1"/>
  <c r="S448" i="1" s="1"/>
  <c r="P332" i="1"/>
  <c r="I444" i="1"/>
  <c r="J444" i="1" s="1"/>
  <c r="K444" i="1" s="1"/>
  <c r="L444" i="1" s="1"/>
  <c r="M444" i="1" s="1"/>
  <c r="N444" i="1" s="1"/>
  <c r="O444" i="1" s="1"/>
  <c r="P444" i="1" s="1"/>
  <c r="Q444" i="1" s="1"/>
  <c r="R444" i="1" s="1"/>
  <c r="S444" i="1" s="1"/>
  <c r="H442" i="1"/>
  <c r="I442" i="1" s="1"/>
  <c r="J442" i="1" s="1"/>
  <c r="K442" i="1" s="1"/>
  <c r="L442" i="1" s="1"/>
  <c r="M442" i="1" s="1"/>
  <c r="N442" i="1" s="1"/>
  <c r="O442" i="1" s="1"/>
  <c r="P442" i="1" s="1"/>
  <c r="Q442" i="1" s="1"/>
  <c r="R442" i="1" s="1"/>
  <c r="S442" i="1" s="1"/>
  <c r="H246" i="1"/>
  <c r="H302" i="1" s="1"/>
  <c r="L332" i="1"/>
  <c r="H332" i="1"/>
  <c r="Q332" i="1"/>
  <c r="J332" i="1"/>
  <c r="M332" i="1"/>
  <c r="S332" i="1"/>
  <c r="N332" i="1"/>
  <c r="I332" i="1"/>
  <c r="K332" i="1"/>
  <c r="R332" i="1"/>
  <c r="O332" i="1"/>
  <c r="C1494" i="5" l="1"/>
  <c r="C1490" i="5"/>
  <c r="C1493" i="5"/>
  <c r="C274" i="5"/>
  <c r="K352" i="1"/>
  <c r="C1497" i="5"/>
  <c r="C1498" i="5"/>
  <c r="C1491" i="5"/>
  <c r="C1495" i="5"/>
  <c r="C1499" i="5"/>
  <c r="M247" i="1"/>
  <c r="M324" i="1" s="1"/>
  <c r="M331" i="1" s="1"/>
  <c r="O247" i="1"/>
  <c r="O324" i="1" s="1"/>
  <c r="O331" i="1" s="1"/>
  <c r="C355" i="5"/>
  <c r="K247" i="1"/>
  <c r="K324" i="1" s="1"/>
  <c r="K331" i="1" s="1"/>
  <c r="C1492" i="5"/>
  <c r="C691" i="5"/>
  <c r="M345" i="1"/>
  <c r="C1501" i="5"/>
  <c r="O345" i="1"/>
  <c r="O352" i="1"/>
  <c r="C1500" i="5"/>
  <c r="K345" i="1"/>
  <c r="C1496" i="5"/>
  <c r="C346" i="5"/>
  <c r="S247" i="1"/>
  <c r="S324" i="1" s="1"/>
  <c r="S331" i="1" s="1"/>
  <c r="J247" i="1"/>
  <c r="J324" i="1" s="1"/>
  <c r="J331" i="1" s="1"/>
  <c r="S345" i="1"/>
  <c r="L352" i="1"/>
  <c r="C682" i="5"/>
  <c r="C664" i="5"/>
  <c r="C310" i="5"/>
  <c r="S352" i="1"/>
  <c r="M352" i="1"/>
  <c r="C373" i="5"/>
  <c r="C655" i="5"/>
  <c r="C364" i="5"/>
  <c r="C328" i="5"/>
  <c r="C646" i="5"/>
  <c r="C337" i="5"/>
  <c r="C673" i="5"/>
  <c r="C301" i="5"/>
  <c r="C933" i="5"/>
  <c r="C637" i="5"/>
  <c r="C292" i="5"/>
  <c r="C928" i="5"/>
  <c r="C319" i="5"/>
  <c r="L345" i="1"/>
  <c r="L247" i="1"/>
  <c r="L324" i="1" s="1"/>
  <c r="L331" i="1" s="1"/>
  <c r="I352" i="1"/>
  <c r="C283" i="5"/>
  <c r="C923" i="5"/>
  <c r="C968" i="5"/>
  <c r="C918" i="5"/>
  <c r="C610" i="5"/>
  <c r="N247" i="1"/>
  <c r="N324" i="1" s="1"/>
  <c r="N331" i="1" s="1"/>
  <c r="J345" i="1"/>
  <c r="C709" i="5"/>
  <c r="C973" i="5"/>
  <c r="N352" i="1"/>
  <c r="N345" i="1"/>
  <c r="I247" i="1"/>
  <c r="I324" i="1" s="1"/>
  <c r="I331" i="1" s="1"/>
  <c r="R352" i="1"/>
  <c r="Q345" i="1"/>
  <c r="J352" i="1"/>
  <c r="I345" i="1"/>
  <c r="R247" i="1"/>
  <c r="R324" i="1" s="1"/>
  <c r="R331" i="1" s="1"/>
  <c r="R345" i="1"/>
  <c r="Q247" i="1"/>
  <c r="Q324" i="1" s="1"/>
  <c r="Q331" i="1" s="1"/>
  <c r="P345" i="1"/>
  <c r="Q352" i="1"/>
  <c r="P352" i="1"/>
  <c r="P247" i="1"/>
  <c r="P324" i="1" s="1"/>
  <c r="P331" i="1" s="1"/>
  <c r="C1152" i="5"/>
  <c r="C1153" i="5"/>
  <c r="H352" i="1"/>
  <c r="H247" i="1"/>
  <c r="H324" i="1" s="1"/>
  <c r="H331" i="1" s="1"/>
  <c r="H345" i="1"/>
  <c r="V126" i="1" l="1"/>
  <c r="V124" i="1"/>
  <c r="U124" i="1"/>
  <c r="V120" i="1"/>
  <c r="V118" i="1"/>
  <c r="V116" i="1"/>
  <c r="U116" i="1"/>
  <c r="V114" i="1"/>
  <c r="V112" i="1"/>
  <c r="V110" i="1"/>
  <c r="U110" i="1"/>
  <c r="V108" i="1"/>
  <c r="V106" i="1"/>
  <c r="U106" i="1"/>
  <c r="V102" i="1"/>
  <c r="U102" i="1"/>
  <c r="V100" i="1"/>
  <c r="U100" i="1"/>
  <c r="S29" i="1"/>
  <c r="C1138" i="5" s="1"/>
  <c r="R29" i="1"/>
  <c r="C1133" i="5" s="1"/>
  <c r="Q29" i="1"/>
  <c r="C1128" i="5" s="1"/>
  <c r="P29" i="1"/>
  <c r="C1123" i="5" s="1"/>
  <c r="O29" i="1"/>
  <c r="C1118" i="5" s="1"/>
  <c r="N29" i="1"/>
  <c r="C1113" i="5" s="1"/>
  <c r="M29" i="1"/>
  <c r="C1108" i="5" s="1"/>
  <c r="L29" i="1"/>
  <c r="C1103" i="5" s="1"/>
  <c r="K29" i="1"/>
  <c r="C1098" i="5" s="1"/>
  <c r="J29" i="1"/>
  <c r="C1093" i="5" s="1"/>
  <c r="I29" i="1"/>
  <c r="C1088" i="5" s="1"/>
  <c r="H29" i="1"/>
  <c r="C1083" i="5" s="1"/>
  <c r="G29" i="1"/>
  <c r="F29" i="1"/>
  <c r="E29" i="1"/>
  <c r="D29" i="1"/>
  <c r="H28" i="1"/>
  <c r="C1082" i="5" s="1"/>
  <c r="G28" i="1"/>
  <c r="F28" i="1"/>
  <c r="E28" i="1"/>
  <c r="D28" i="1"/>
  <c r="G27" i="1"/>
  <c r="F27" i="1"/>
  <c r="E27" i="1"/>
  <c r="D27" i="1"/>
  <c r="S26" i="1"/>
  <c r="C1139" i="5" s="1"/>
  <c r="R26" i="1"/>
  <c r="C1134" i="5" s="1"/>
  <c r="Q26" i="1"/>
  <c r="C1129" i="5" s="1"/>
  <c r="P26" i="1"/>
  <c r="C1124" i="5" s="1"/>
  <c r="O26" i="1"/>
  <c r="C1119" i="5" s="1"/>
  <c r="N26" i="1"/>
  <c r="C1114" i="5" s="1"/>
  <c r="M26" i="1"/>
  <c r="C1109" i="5" s="1"/>
  <c r="L26" i="1"/>
  <c r="C1104" i="5" s="1"/>
  <c r="K26" i="1"/>
  <c r="C1099" i="5" s="1"/>
  <c r="J26" i="1"/>
  <c r="C1094" i="5" s="1"/>
  <c r="G26" i="1"/>
  <c r="F26" i="1"/>
  <c r="E26" i="1"/>
  <c r="D26" i="1"/>
  <c r="H92" i="1"/>
  <c r="I92" i="1" s="1"/>
  <c r="J92" i="1" s="1"/>
  <c r="K92" i="1" s="1"/>
  <c r="L92" i="1" s="1"/>
  <c r="M92" i="1" s="1"/>
  <c r="N92" i="1" s="1"/>
  <c r="O92" i="1" s="1"/>
  <c r="P92" i="1" s="1"/>
  <c r="Q92" i="1" s="1"/>
  <c r="R92" i="1" s="1"/>
  <c r="S92" i="1" s="1"/>
  <c r="D92" i="1"/>
  <c r="E92" i="1" s="1"/>
  <c r="F92" i="1" s="1"/>
  <c r="G92" i="1" s="1"/>
  <c r="G88" i="1"/>
  <c r="F88" i="1"/>
  <c r="E88" i="1"/>
  <c r="D88" i="1"/>
  <c r="S84" i="1"/>
  <c r="R84" i="1"/>
  <c r="Q84" i="1"/>
  <c r="P84" i="1"/>
  <c r="O84" i="1"/>
  <c r="N84" i="1"/>
  <c r="M84" i="1"/>
  <c r="L84" i="1"/>
  <c r="K84" i="1"/>
  <c r="J84" i="1"/>
  <c r="I84" i="1"/>
  <c r="H84" i="1"/>
  <c r="G84" i="1" s="1"/>
  <c r="S83" i="1"/>
  <c r="R83" i="1"/>
  <c r="Q83" i="1"/>
  <c r="P83" i="1"/>
  <c r="O83" i="1"/>
  <c r="N83" i="1"/>
  <c r="M83" i="1"/>
  <c r="L83" i="1"/>
  <c r="K83" i="1"/>
  <c r="J83" i="1"/>
  <c r="I83" i="1"/>
  <c r="H83" i="1"/>
  <c r="G83" i="1"/>
  <c r="F83" i="1"/>
  <c r="E83" i="1"/>
  <c r="D83" i="1"/>
  <c r="S82" i="1"/>
  <c r="R82" i="1"/>
  <c r="Q82" i="1"/>
  <c r="P82" i="1"/>
  <c r="O82" i="1"/>
  <c r="N82" i="1"/>
  <c r="M82" i="1"/>
  <c r="L82" i="1"/>
  <c r="K82" i="1"/>
  <c r="J82" i="1"/>
  <c r="I82" i="1"/>
  <c r="H82" i="1"/>
  <c r="G82" i="1"/>
  <c r="F82" i="1"/>
  <c r="E82" i="1"/>
  <c r="D82" i="1"/>
  <c r="S409" i="1"/>
  <c r="R409" i="1"/>
  <c r="Q409" i="1"/>
  <c r="P409" i="1"/>
  <c r="O409" i="1"/>
  <c r="N409" i="1"/>
  <c r="M409" i="1"/>
  <c r="L409" i="1"/>
  <c r="K409" i="1"/>
  <c r="J409" i="1"/>
  <c r="I409" i="1"/>
  <c r="G49" i="1"/>
  <c r="F49" i="1"/>
  <c r="E49" i="1"/>
  <c r="D49" i="1"/>
  <c r="G48" i="1"/>
  <c r="F48" i="1"/>
  <c r="E48" i="1"/>
  <c r="D48" i="1"/>
  <c r="G10" i="1"/>
  <c r="F10" i="1"/>
  <c r="E10" i="1"/>
  <c r="D10" i="1"/>
  <c r="G9" i="1"/>
  <c r="F9" i="1"/>
  <c r="E9" i="1"/>
  <c r="D9" i="1"/>
  <c r="G8" i="1"/>
  <c r="F8" i="1"/>
  <c r="E8" i="1"/>
  <c r="D8" i="1"/>
  <c r="I4" i="1"/>
  <c r="G3" i="1"/>
  <c r="F3" i="1"/>
  <c r="E3" i="1"/>
  <c r="D3" i="1"/>
  <c r="H411" i="1" l="1"/>
  <c r="H420" i="1"/>
  <c r="I411" i="1"/>
  <c r="I420" i="1"/>
  <c r="L411" i="1"/>
  <c r="L420" i="1"/>
  <c r="O411" i="1"/>
  <c r="O420" i="1"/>
  <c r="M411" i="1"/>
  <c r="M420" i="1"/>
  <c r="N411" i="1"/>
  <c r="N420" i="1"/>
  <c r="S411" i="1"/>
  <c r="S420" i="1"/>
  <c r="Q411" i="1"/>
  <c r="Q420" i="1"/>
  <c r="J411" i="1"/>
  <c r="J420" i="1"/>
  <c r="P411" i="1"/>
  <c r="P420" i="1"/>
  <c r="R411" i="1"/>
  <c r="R420" i="1"/>
  <c r="K411" i="1"/>
  <c r="K420" i="1"/>
  <c r="J4" i="1"/>
  <c r="J3" i="1" s="1"/>
  <c r="C464" i="5" s="1"/>
  <c r="I3" i="1"/>
  <c r="C461" i="5" s="1"/>
  <c r="C418" i="5" l="1"/>
  <c r="C414" i="5"/>
  <c r="J426" i="1"/>
  <c r="J462" i="1" s="1"/>
  <c r="D1180" i="5" s="1"/>
  <c r="J427" i="1"/>
  <c r="J463" i="1" s="1"/>
  <c r="D216" i="5" s="1"/>
  <c r="J425" i="1"/>
  <c r="S425" i="1"/>
  <c r="S426" i="1"/>
  <c r="S462" i="1" s="1"/>
  <c r="D1189" i="5" s="1"/>
  <c r="S427" i="1"/>
  <c r="S463" i="1" s="1"/>
  <c r="D261" i="5" s="1"/>
  <c r="N426" i="1"/>
  <c r="N462" i="1" s="1"/>
  <c r="D1184" i="5" s="1"/>
  <c r="N427" i="1"/>
  <c r="N463" i="1" s="1"/>
  <c r="D236" i="5" s="1"/>
  <c r="N425" i="1"/>
  <c r="M426" i="1"/>
  <c r="M462" i="1" s="1"/>
  <c r="D1183" i="5" s="1"/>
  <c r="M427" i="1"/>
  <c r="M463" i="1" s="1"/>
  <c r="D231" i="5" s="1"/>
  <c r="M425" i="1"/>
  <c r="O427" i="1"/>
  <c r="O463" i="1" s="1"/>
  <c r="D241" i="5" s="1"/>
  <c r="O426" i="1"/>
  <c r="O462" i="1" s="1"/>
  <c r="D1185" i="5" s="1"/>
  <c r="O425" i="1"/>
  <c r="P425" i="1"/>
  <c r="P426" i="1"/>
  <c r="P462" i="1" s="1"/>
  <c r="D1186" i="5" s="1"/>
  <c r="P427" i="1"/>
  <c r="P463" i="1" s="1"/>
  <c r="D246" i="5" s="1"/>
  <c r="Q426" i="1"/>
  <c r="Q462" i="1" s="1"/>
  <c r="D1187" i="5" s="1"/>
  <c r="Q427" i="1"/>
  <c r="Q463" i="1" s="1"/>
  <c r="D251" i="5" s="1"/>
  <c r="Q425" i="1"/>
  <c r="L426" i="1"/>
  <c r="L462" i="1" s="1"/>
  <c r="D1182" i="5" s="1"/>
  <c r="L425" i="1"/>
  <c r="L427" i="1"/>
  <c r="L463" i="1" s="1"/>
  <c r="D226" i="5" s="1"/>
  <c r="K427" i="1"/>
  <c r="K463" i="1" s="1"/>
  <c r="D221" i="5" s="1"/>
  <c r="K426" i="1"/>
  <c r="K462" i="1" s="1"/>
  <c r="D1181" i="5" s="1"/>
  <c r="K425" i="1"/>
  <c r="I427" i="1"/>
  <c r="I463" i="1" s="1"/>
  <c r="D211" i="5" s="1"/>
  <c r="I425" i="1"/>
  <c r="I426" i="1"/>
  <c r="I462" i="1" s="1"/>
  <c r="D1179" i="5" s="1"/>
  <c r="R426" i="1"/>
  <c r="R462" i="1" s="1"/>
  <c r="D1188" i="5" s="1"/>
  <c r="R427" i="1"/>
  <c r="R463" i="1" s="1"/>
  <c r="D256" i="5" s="1"/>
  <c r="R425" i="1"/>
  <c r="H427" i="1"/>
  <c r="H463" i="1" s="1"/>
  <c r="D206" i="5" s="1"/>
  <c r="H426" i="1"/>
  <c r="H462" i="1" s="1"/>
  <c r="D1178" i="5" s="1"/>
  <c r="H425" i="1"/>
  <c r="K4" i="1"/>
  <c r="K3" i="1" s="1"/>
  <c r="C467" i="5" s="1"/>
  <c r="N272" i="1" l="1"/>
  <c r="D1292" i="5" s="1"/>
  <c r="C1292" i="5" s="1"/>
  <c r="O272" i="1"/>
  <c r="D1293" i="5" s="1"/>
  <c r="C1293" i="5" s="1"/>
  <c r="K272" i="1"/>
  <c r="D225" i="5" s="1"/>
  <c r="D244" i="5"/>
  <c r="D1173" i="5"/>
  <c r="D245" i="5"/>
  <c r="H461" i="1"/>
  <c r="H272" i="1"/>
  <c r="D1286" i="5" s="1"/>
  <c r="C1286" i="5" s="1"/>
  <c r="P461" i="1"/>
  <c r="D1426" i="5" s="1"/>
  <c r="C1426" i="5" s="1"/>
  <c r="P272" i="1"/>
  <c r="D1294" i="5" s="1"/>
  <c r="C1294" i="5" s="1"/>
  <c r="I461" i="1"/>
  <c r="D1419" i="5" s="1"/>
  <c r="C1419" i="5" s="1"/>
  <c r="I272" i="1"/>
  <c r="D1287" i="5" s="1"/>
  <c r="C1287" i="5" s="1"/>
  <c r="R461" i="1"/>
  <c r="D1428" i="5" s="1"/>
  <c r="C1428" i="5" s="1"/>
  <c r="R272" i="1"/>
  <c r="D1296" i="5" s="1"/>
  <c r="C1296" i="5" s="1"/>
  <c r="J461" i="1"/>
  <c r="D1420" i="5" s="1"/>
  <c r="C1420" i="5" s="1"/>
  <c r="J272" i="1"/>
  <c r="D1288" i="5" s="1"/>
  <c r="C1288" i="5" s="1"/>
  <c r="M461" i="1"/>
  <c r="D1423" i="5" s="1"/>
  <c r="C1423" i="5" s="1"/>
  <c r="M272" i="1"/>
  <c r="D1291" i="5" s="1"/>
  <c r="C1291" i="5" s="1"/>
  <c r="S461" i="1"/>
  <c r="D1429" i="5" s="1"/>
  <c r="C1429" i="5" s="1"/>
  <c r="S272" i="1"/>
  <c r="D1297" i="5" s="1"/>
  <c r="C1297" i="5" s="1"/>
  <c r="L461" i="1"/>
  <c r="D1422" i="5" s="1"/>
  <c r="C1422" i="5" s="1"/>
  <c r="L272" i="1"/>
  <c r="D1290" i="5" s="1"/>
  <c r="C1290" i="5" s="1"/>
  <c r="Q461" i="1"/>
  <c r="D1427" i="5" s="1"/>
  <c r="C1427" i="5" s="1"/>
  <c r="Q272" i="1"/>
  <c r="D1295" i="5" s="1"/>
  <c r="C1295" i="5" s="1"/>
  <c r="C422" i="5"/>
  <c r="O449" i="1"/>
  <c r="O461" i="1"/>
  <c r="D1425" i="5" s="1"/>
  <c r="C1425" i="5" s="1"/>
  <c r="N449" i="1"/>
  <c r="N461" i="1"/>
  <c r="D1424" i="5" s="1"/>
  <c r="C1424" i="5" s="1"/>
  <c r="K449" i="1"/>
  <c r="K461" i="1"/>
  <c r="D1421" i="5" s="1"/>
  <c r="C1421" i="5" s="1"/>
  <c r="I428" i="1"/>
  <c r="M449" i="1"/>
  <c r="D143" i="5" s="1"/>
  <c r="R449" i="1"/>
  <c r="D188" i="5" s="1"/>
  <c r="L428" i="1"/>
  <c r="Q449" i="1"/>
  <c r="D179" i="5" s="1"/>
  <c r="P449" i="1"/>
  <c r="D170" i="5" s="1"/>
  <c r="I449" i="1"/>
  <c r="D107" i="5" s="1"/>
  <c r="S449" i="1"/>
  <c r="D197" i="5" s="1"/>
  <c r="L449" i="1"/>
  <c r="J449" i="1"/>
  <c r="D116" i="5" s="1"/>
  <c r="J428" i="1"/>
  <c r="R428" i="1"/>
  <c r="H428" i="1"/>
  <c r="H449" i="1"/>
  <c r="D98" i="5" s="1"/>
  <c r="S428" i="1"/>
  <c r="K428" i="1"/>
  <c r="P428" i="1"/>
  <c r="M428" i="1"/>
  <c r="Q428" i="1"/>
  <c r="N428" i="1"/>
  <c r="O428" i="1"/>
  <c r="L4" i="1"/>
  <c r="L3" i="1" s="1"/>
  <c r="C470" i="5" s="1"/>
  <c r="K273" i="1" l="1"/>
  <c r="K342" i="1" s="1"/>
  <c r="O273" i="1"/>
  <c r="O349" i="1" s="1"/>
  <c r="D1172" i="5"/>
  <c r="D240" i="5"/>
  <c r="D239" i="5"/>
  <c r="N88" i="1"/>
  <c r="N273" i="1"/>
  <c r="N342" i="1" s="1"/>
  <c r="O88" i="1"/>
  <c r="C1173" i="5" s="1"/>
  <c r="D1169" i="5"/>
  <c r="D224" i="5"/>
  <c r="D207" i="5"/>
  <c r="D1418" i="5"/>
  <c r="C1418" i="5" s="1"/>
  <c r="K88" i="1"/>
  <c r="D1289" i="5"/>
  <c r="C1289" i="5" s="1"/>
  <c r="L451" i="1"/>
  <c r="D134" i="5"/>
  <c r="D1166" i="5"/>
  <c r="D210" i="5"/>
  <c r="D209" i="5"/>
  <c r="D1025" i="5"/>
  <c r="C1025" i="5" s="1"/>
  <c r="D222" i="5"/>
  <c r="K90" i="1"/>
  <c r="D1022" i="5"/>
  <c r="C1022" i="5" s="1"/>
  <c r="H90" i="1"/>
  <c r="D1033" i="5"/>
  <c r="C1033" i="5" s="1"/>
  <c r="D262" i="5"/>
  <c r="S90" i="1"/>
  <c r="D1171" i="5"/>
  <c r="D234" i="5"/>
  <c r="D235" i="5"/>
  <c r="D1028" i="5"/>
  <c r="C1028" i="5" s="1"/>
  <c r="D237" i="5"/>
  <c r="N90" i="1"/>
  <c r="N451" i="1"/>
  <c r="D152" i="5"/>
  <c r="D1024" i="5"/>
  <c r="C1024" i="5" s="1"/>
  <c r="D217" i="5"/>
  <c r="J90" i="1"/>
  <c r="D259" i="5"/>
  <c r="D1176" i="5"/>
  <c r="D260" i="5"/>
  <c r="D1026" i="5"/>
  <c r="C1026" i="5" s="1"/>
  <c r="D227" i="5"/>
  <c r="L90" i="1"/>
  <c r="D1027" i="5"/>
  <c r="C1027" i="5" s="1"/>
  <c r="D232" i="5"/>
  <c r="M90" i="1"/>
  <c r="D220" i="5"/>
  <c r="D219" i="5"/>
  <c r="D1168" i="5"/>
  <c r="O451" i="1"/>
  <c r="D161" i="5"/>
  <c r="D249" i="5"/>
  <c r="D1174" i="5"/>
  <c r="D250" i="5"/>
  <c r="D1170" i="5"/>
  <c r="D230" i="5"/>
  <c r="D229" i="5"/>
  <c r="D264" i="5"/>
  <c r="D1177" i="5"/>
  <c r="D265" i="5"/>
  <c r="K451" i="1"/>
  <c r="D125" i="5"/>
  <c r="D1029" i="5"/>
  <c r="C1029" i="5" s="1"/>
  <c r="D242" i="5"/>
  <c r="O90" i="1"/>
  <c r="D257" i="5"/>
  <c r="D1032" i="5"/>
  <c r="C1032" i="5" s="1"/>
  <c r="R90" i="1"/>
  <c r="D214" i="5"/>
  <c r="D215" i="5"/>
  <c r="D1167" i="5"/>
  <c r="D212" i="5"/>
  <c r="D1023" i="5"/>
  <c r="C1023" i="5" s="1"/>
  <c r="I90" i="1"/>
  <c r="D254" i="5"/>
  <c r="D1175" i="5"/>
  <c r="D255" i="5"/>
  <c r="D252" i="5"/>
  <c r="D1031" i="5"/>
  <c r="C1031" i="5" s="1"/>
  <c r="Q90" i="1"/>
  <c r="D1030" i="5"/>
  <c r="C1030" i="5" s="1"/>
  <c r="D247" i="5"/>
  <c r="P90" i="1"/>
  <c r="J451" i="1"/>
  <c r="H273" i="1"/>
  <c r="I451" i="1"/>
  <c r="P451" i="1"/>
  <c r="Q451" i="1"/>
  <c r="M273" i="1"/>
  <c r="M88" i="1"/>
  <c r="R273" i="1"/>
  <c r="R88" i="1"/>
  <c r="J273" i="1"/>
  <c r="J88" i="1"/>
  <c r="S451" i="1"/>
  <c r="I273" i="1"/>
  <c r="I88" i="1"/>
  <c r="S273" i="1"/>
  <c r="S88" i="1"/>
  <c r="Q273" i="1"/>
  <c r="Q88" i="1"/>
  <c r="P273" i="1"/>
  <c r="P88" i="1"/>
  <c r="R451" i="1"/>
  <c r="L273" i="1"/>
  <c r="L88" i="1"/>
  <c r="C426" i="5"/>
  <c r="M451" i="1"/>
  <c r="M4" i="1"/>
  <c r="M3" i="1" s="1"/>
  <c r="C473" i="5" s="1"/>
  <c r="O299" i="1" l="1"/>
  <c r="O328" i="1" s="1"/>
  <c r="O342" i="1"/>
  <c r="N349" i="1"/>
  <c r="K299" i="1"/>
  <c r="K328" i="1" s="1"/>
  <c r="K349" i="1"/>
  <c r="C1169" i="5"/>
  <c r="N299" i="1"/>
  <c r="N328" i="1" s="1"/>
  <c r="C1172" i="5"/>
  <c r="C1170" i="5"/>
  <c r="H342" i="1"/>
  <c r="H349" i="1"/>
  <c r="C1175" i="5"/>
  <c r="C1177" i="5"/>
  <c r="C1185" i="5"/>
  <c r="C949" i="5"/>
  <c r="C1220" i="5"/>
  <c r="C669" i="5"/>
  <c r="C667" i="5"/>
  <c r="C333" i="5"/>
  <c r="C331" i="5"/>
  <c r="C1182" i="5"/>
  <c r="C1208" i="5"/>
  <c r="C934" i="5"/>
  <c r="C304" i="5"/>
  <c r="C640" i="5"/>
  <c r="C642" i="5"/>
  <c r="C306" i="5"/>
  <c r="C1188" i="5"/>
  <c r="C1232" i="5"/>
  <c r="C964" i="5"/>
  <c r="C358" i="5"/>
  <c r="C696" i="5"/>
  <c r="C694" i="5"/>
  <c r="C360" i="5"/>
  <c r="C1178" i="5"/>
  <c r="C1192" i="5"/>
  <c r="C914" i="5"/>
  <c r="C604" i="5"/>
  <c r="C606" i="5"/>
  <c r="C268" i="5"/>
  <c r="C270" i="5"/>
  <c r="C1187" i="5"/>
  <c r="C1228" i="5"/>
  <c r="C959" i="5"/>
  <c r="C351" i="5"/>
  <c r="C685" i="5"/>
  <c r="C687" i="5"/>
  <c r="C349" i="5"/>
  <c r="C1183" i="5"/>
  <c r="C1212" i="5"/>
  <c r="C939" i="5"/>
  <c r="C651" i="5"/>
  <c r="C649" i="5"/>
  <c r="C313" i="5"/>
  <c r="C315" i="5"/>
  <c r="C1189" i="5"/>
  <c r="C969" i="5"/>
  <c r="C1236" i="5"/>
  <c r="C703" i="5"/>
  <c r="C705" i="5"/>
  <c r="C367" i="5"/>
  <c r="C369" i="5"/>
  <c r="C1186" i="5"/>
  <c r="C1224" i="5"/>
  <c r="C954" i="5"/>
  <c r="C678" i="5"/>
  <c r="C676" i="5"/>
  <c r="C342" i="5"/>
  <c r="C340" i="5"/>
  <c r="C1184" i="5"/>
  <c r="C1216" i="5"/>
  <c r="C944" i="5"/>
  <c r="C660" i="5"/>
  <c r="C658" i="5"/>
  <c r="C324" i="5"/>
  <c r="C322" i="5"/>
  <c r="C1181" i="5"/>
  <c r="C929" i="5"/>
  <c r="C1204" i="5"/>
  <c r="C297" i="5"/>
  <c r="C633" i="5"/>
  <c r="C295" i="5"/>
  <c r="C631" i="5"/>
  <c r="C1180" i="5"/>
  <c r="C1200" i="5"/>
  <c r="C924" i="5"/>
  <c r="C622" i="5"/>
  <c r="C288" i="5"/>
  <c r="C286" i="5"/>
  <c r="C624" i="5"/>
  <c r="C1179" i="5"/>
  <c r="C919" i="5"/>
  <c r="C1196" i="5"/>
  <c r="C615" i="5"/>
  <c r="C613" i="5"/>
  <c r="C279" i="5"/>
  <c r="C277" i="5"/>
  <c r="C1174" i="5"/>
  <c r="C207" i="5"/>
  <c r="C212" i="5"/>
  <c r="C237" i="5"/>
  <c r="C256" i="5"/>
  <c r="C83" i="5"/>
  <c r="C82" i="5"/>
  <c r="C1167" i="5"/>
  <c r="C257" i="5"/>
  <c r="C90" i="5"/>
  <c r="C91" i="5"/>
  <c r="C261" i="5"/>
  <c r="C58" i="5"/>
  <c r="C59" i="5"/>
  <c r="C241" i="5"/>
  <c r="C34" i="5"/>
  <c r="C35" i="5"/>
  <c r="C226" i="5"/>
  <c r="C227" i="5"/>
  <c r="C222" i="5"/>
  <c r="C217" i="5"/>
  <c r="C1168" i="5"/>
  <c r="C50" i="5"/>
  <c r="C51" i="5"/>
  <c r="C236" i="5"/>
  <c r="C232" i="5"/>
  <c r="C242" i="5"/>
  <c r="C206" i="5"/>
  <c r="C3" i="5"/>
  <c r="C2" i="5"/>
  <c r="C247" i="5"/>
  <c r="C74" i="5"/>
  <c r="C75" i="5"/>
  <c r="C251" i="5"/>
  <c r="H299" i="1"/>
  <c r="H328" i="1" s="1"/>
  <c r="C252" i="5"/>
  <c r="C18" i="5"/>
  <c r="C19" i="5"/>
  <c r="C216" i="5"/>
  <c r="C211" i="5"/>
  <c r="C10" i="5"/>
  <c r="C11" i="5"/>
  <c r="C42" i="5"/>
  <c r="C43" i="5"/>
  <c r="C231" i="5"/>
  <c r="C262" i="5"/>
  <c r="C66" i="5"/>
  <c r="C67" i="5"/>
  <c r="C246" i="5"/>
  <c r="C26" i="5"/>
  <c r="C27" i="5"/>
  <c r="C221" i="5"/>
  <c r="C1176" i="5"/>
  <c r="C1171" i="5"/>
  <c r="J299" i="1"/>
  <c r="J328" i="1" s="1"/>
  <c r="J349" i="1"/>
  <c r="J342" i="1"/>
  <c r="I349" i="1"/>
  <c r="I299" i="1"/>
  <c r="I328" i="1" s="1"/>
  <c r="I342" i="1"/>
  <c r="S299" i="1"/>
  <c r="S328" i="1" s="1"/>
  <c r="S342" i="1"/>
  <c r="S349" i="1"/>
  <c r="C430" i="5"/>
  <c r="R349" i="1"/>
  <c r="R342" i="1"/>
  <c r="R299" i="1"/>
  <c r="R328" i="1" s="1"/>
  <c r="M299" i="1"/>
  <c r="M328" i="1" s="1"/>
  <c r="M349" i="1"/>
  <c r="M342" i="1"/>
  <c r="L342" i="1"/>
  <c r="L299" i="1"/>
  <c r="L328" i="1" s="1"/>
  <c r="L349" i="1"/>
  <c r="P299" i="1"/>
  <c r="P328" i="1" s="1"/>
  <c r="P349" i="1"/>
  <c r="P342" i="1"/>
  <c r="Q349" i="1"/>
  <c r="Q342" i="1"/>
  <c r="Q299" i="1"/>
  <c r="Q328" i="1" s="1"/>
  <c r="N4" i="1"/>
  <c r="N3" i="1" s="1"/>
  <c r="C476" i="5" s="1"/>
  <c r="C434" i="5" l="1"/>
  <c r="O4" i="1"/>
  <c r="O3" i="1" s="1"/>
  <c r="C479" i="5" s="1"/>
  <c r="C438" i="5" l="1"/>
  <c r="P4" i="1"/>
  <c r="P3" i="1" s="1"/>
  <c r="C482" i="5" s="1"/>
  <c r="C442" i="5" l="1"/>
  <c r="Q4" i="1"/>
  <c r="Q3" i="1" s="1"/>
  <c r="C485" i="5" s="1"/>
  <c r="C446" i="5" l="1"/>
  <c r="R4" i="1"/>
  <c r="R3" i="1" s="1"/>
  <c r="C450" i="5" l="1"/>
  <c r="C488" i="5"/>
  <c r="S4" i="1"/>
  <c r="S3" i="1" s="1"/>
  <c r="C491" i="5" s="1"/>
  <c r="H451" i="1"/>
  <c r="S116" i="1"/>
  <c r="C265" i="5" s="1"/>
  <c r="R116" i="1"/>
  <c r="C260" i="5" s="1"/>
  <c r="Q116" i="1"/>
  <c r="C255" i="5" s="1"/>
  <c r="P116" i="1"/>
  <c r="C250" i="5" s="1"/>
  <c r="O116" i="1"/>
  <c r="C245" i="5" s="1"/>
  <c r="I116" i="1"/>
  <c r="C215" i="5" s="1"/>
  <c r="N116" i="1"/>
  <c r="C240" i="5" s="1"/>
  <c r="L116" i="1"/>
  <c r="C230" i="5" s="1"/>
  <c r="J116" i="1"/>
  <c r="C220" i="5" s="1"/>
  <c r="M116" i="1"/>
  <c r="C235" i="5" s="1"/>
  <c r="H116" i="1"/>
  <c r="C210" i="5" s="1"/>
  <c r="K116" i="1"/>
  <c r="C225" i="5" s="1"/>
  <c r="H88" i="1"/>
  <c r="C1166" i="5" s="1"/>
  <c r="C454" i="5" l="1"/>
  <c r="M343" i="1"/>
  <c r="M350" i="1"/>
  <c r="M300" i="1"/>
  <c r="M329" i="1" s="1"/>
  <c r="R343" i="1"/>
  <c r="R300" i="1"/>
  <c r="R329" i="1" s="1"/>
  <c r="S300" i="1"/>
  <c r="S329" i="1" s="1"/>
  <c r="N300" i="1"/>
  <c r="N329" i="1" s="1"/>
  <c r="N350" i="1"/>
  <c r="N343" i="1"/>
  <c r="S350" i="1"/>
  <c r="S343" i="1"/>
  <c r="I300" i="1"/>
  <c r="I329" i="1" s="1"/>
  <c r="O350" i="1"/>
  <c r="O343" i="1"/>
  <c r="O300" i="1"/>
  <c r="O329" i="1" s="1"/>
  <c r="J300" i="1"/>
  <c r="J329" i="1" s="1"/>
  <c r="J350" i="1"/>
  <c r="P343" i="1"/>
  <c r="P300" i="1"/>
  <c r="P329" i="1" s="1"/>
  <c r="K350" i="1"/>
  <c r="K300" i="1"/>
  <c r="K329" i="1" s="1"/>
  <c r="Q300" i="1"/>
  <c r="Q329" i="1" s="1"/>
  <c r="Q350" i="1"/>
  <c r="Q343" i="1"/>
  <c r="L350" i="1"/>
  <c r="L300" i="1"/>
  <c r="L329" i="1" s="1"/>
  <c r="K343" i="1" l="1"/>
  <c r="I350" i="1"/>
  <c r="I343" i="1"/>
  <c r="J343" i="1"/>
  <c r="L343" i="1"/>
  <c r="P350" i="1"/>
  <c r="R350" i="1"/>
  <c r="D20" i="13" l="1"/>
  <c r="A20" i="13"/>
  <c r="D25" i="13" s="1"/>
  <c r="A19" i="13" l="1"/>
  <c r="C21" i="13"/>
  <c r="D19" i="13"/>
  <c r="F21" i="13"/>
  <c r="C25" i="13"/>
  <c r="D21" i="13" l="1"/>
  <c r="D24" i="13"/>
  <c r="A21" i="13"/>
  <c r="C16" i="13" l="1"/>
  <c r="E24" i="13"/>
  <c r="N26" i="13" l="1"/>
  <c r="C45" i="13" l="1"/>
  <c r="D43" i="13" l="1"/>
  <c r="D44" i="13"/>
  <c r="C46" i="13"/>
  <c r="D41" i="13"/>
  <c r="D42" i="13"/>
  <c r="E45" i="13" l="1"/>
  <c r="E46" i="13"/>
  <c r="S8" i="5"/>
  <c r="T8" i="5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Carlos David Serna Ramirez</author>
  </authors>
  <commentList>
    <comment ref="B90" authorId="0" shapeId="0" xr:uid="{5B872650-4BC2-43D8-87D4-980093635DEC}">
      <text>
        <r>
          <rPr>
            <sz val="9"/>
            <color indexed="81"/>
            <rFont val="Tahoma"/>
            <family val="2"/>
          </rPr>
          <t xml:space="preserve">Distribuido en: Mineral de hierro, Calamina, Yeso y Puzolana.
</t>
        </r>
      </text>
    </comment>
  </commentList>
</comments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E7A066B-D484-4F95-B2D2-6AE18B3EE582}" keepAlive="1" name="ReportesdeVentas" type="5" refreshedVersion="8" background="1">
    <dbPr connection="Provider=MSOLAP.8;Integrated Security=ClaimsToken;Persist Security Info=True;Initial Catalog=sobe_wowvirtualserver-85bd5d69-3033-4b1b-bb46-b768729a5d9a;Data Source=pbiazure://api.powerbi.com;MDX Compatibility=1;Safety Options=2;MDX Missing Member Mode=Error;Identity Provider=https://login.microsoftonline.com/common, https://analysis.windows.net/powerbi/api, 929d0ec0-7a41-4b1e-bc7c-b754a28bddcc;Update Isolation Level=2" command="Model" commandType="1"/>
    <olapPr rowDrillCount="1000"/>
  </connection>
</connections>
</file>

<file path=xl/sharedStrings.xml><?xml version="1.0" encoding="utf-8"?>
<sst xmlns="http://schemas.openxmlformats.org/spreadsheetml/2006/main" count="15604" uniqueCount="815">
  <si>
    <t>Precios</t>
  </si>
  <si>
    <t>UM</t>
  </si>
  <si>
    <t>Caliza</t>
  </si>
  <si>
    <t>Arcilla</t>
  </si>
  <si>
    <t>Ton</t>
  </si>
  <si>
    <t>Carbón Fino</t>
  </si>
  <si>
    <t>Carbón Mixto</t>
  </si>
  <si>
    <t>Carbón Bituminoso</t>
  </si>
  <si>
    <t>Sanoha</t>
  </si>
  <si>
    <t>Forero Hernandez</t>
  </si>
  <si>
    <t>Tottal Carbón</t>
  </si>
  <si>
    <t>Minas Las Margaritas</t>
  </si>
  <si>
    <t>Mixto Carbones Andino</t>
  </si>
  <si>
    <t>Mixtos Carbocoque</t>
  </si>
  <si>
    <t>Mixto Coquecol</t>
  </si>
  <si>
    <t>Flete (Boyacá - Planta)-Socha</t>
  </si>
  <si>
    <t>Flete (Boyacá - Planta)</t>
  </si>
  <si>
    <t>Flete (Antioquia - Planta)</t>
  </si>
  <si>
    <t>Flete (Cundinamarca - Planta)</t>
  </si>
  <si>
    <t>Flete (Caldas - Planta)</t>
  </si>
  <si>
    <t>Calamina</t>
  </si>
  <si>
    <t>Calamina Gerdau - Diaco</t>
  </si>
  <si>
    <t>Calamina Sidoc</t>
  </si>
  <si>
    <t>Exiros - Atlantico</t>
  </si>
  <si>
    <t>Exiro - Manizales</t>
  </si>
  <si>
    <t>Flete (Cali - Planta)</t>
  </si>
  <si>
    <t>Flete (Barranquilla - Planta)</t>
  </si>
  <si>
    <t>Flete (Cartagena - Planta)</t>
  </si>
  <si>
    <t>Flete (Tolima  - Planta)</t>
  </si>
  <si>
    <t>Flete (Manizales - Planta)</t>
  </si>
  <si>
    <t>Sacos 25 Kg</t>
  </si>
  <si>
    <t>COP/Kgr</t>
  </si>
  <si>
    <t>Sal Marina</t>
  </si>
  <si>
    <t>Diesel</t>
  </si>
  <si>
    <t>COP/Gal</t>
  </si>
  <si>
    <t>Empaque</t>
  </si>
  <si>
    <t>COP/Ton</t>
  </si>
  <si>
    <t>Cargador Carbón</t>
  </si>
  <si>
    <t>COP/Mes</t>
  </si>
  <si>
    <t>Puzolana La Dorada</t>
  </si>
  <si>
    <t>Proyección incremento Logistica Alión</t>
  </si>
  <si>
    <t>CDR</t>
  </si>
  <si>
    <t>Enfriador Horno</t>
  </si>
  <si>
    <t>Placas Horno</t>
  </si>
  <si>
    <t>Elementos Sellados Horno</t>
  </si>
  <si>
    <t>Refractario Horno</t>
  </si>
  <si>
    <t>Masas Molino Crudo</t>
  </si>
  <si>
    <t>Láminas Crudo</t>
  </si>
  <si>
    <t>Masas Molino Carbón</t>
  </si>
  <si>
    <t>Anillos/Tapas/Separadores Crudo</t>
  </si>
  <si>
    <t>Barras Trituradora</t>
  </si>
  <si>
    <t>Material Dique</t>
  </si>
  <si>
    <t>Tipo</t>
  </si>
  <si>
    <t>Prehomo</t>
  </si>
  <si>
    <t>Mineral de Hierro</t>
  </si>
  <si>
    <t>Mixtos</t>
  </si>
  <si>
    <t>Bituminoso</t>
  </si>
  <si>
    <t>Yeso</t>
  </si>
  <si>
    <t>Puzolana</t>
  </si>
  <si>
    <t>Rendimiento</t>
  </si>
  <si>
    <t>Horas Mes</t>
  </si>
  <si>
    <t>FIBROCEMENTO</t>
  </si>
  <si>
    <t>CLINKER</t>
  </si>
  <si>
    <t>Producción Horno</t>
  </si>
  <si>
    <t>Rendimiento Horno</t>
  </si>
  <si>
    <t>Producción Crudo</t>
  </si>
  <si>
    <t>Rendimiento Crudo</t>
  </si>
  <si>
    <t>Rendimiento Prehomo</t>
  </si>
  <si>
    <t>Producción Prehomo</t>
  </si>
  <si>
    <t>Rendimiento Caliza</t>
  </si>
  <si>
    <t>Producción Caliza</t>
  </si>
  <si>
    <t>Rendimiento Carbón</t>
  </si>
  <si>
    <t>Producción Carbón</t>
  </si>
  <si>
    <t>Producción Alternos</t>
  </si>
  <si>
    <t>Rendimiento Alternos</t>
  </si>
  <si>
    <t>Ton/Mes</t>
  </si>
  <si>
    <t>Ton/Hr</t>
  </si>
  <si>
    <t>Flete (Cartagena Planta)</t>
  </si>
  <si>
    <t>Flete (Maicao - Planta)</t>
  </si>
  <si>
    <t>Etex</t>
  </si>
  <si>
    <t>Impacto 4% flete internacional, valor de material cargado sobre camión</t>
  </si>
  <si>
    <t>Yesos Prada</t>
  </si>
  <si>
    <t>Yeso nacional impacto local IPC y SML</t>
  </si>
  <si>
    <t>Yeso Rey Miranda</t>
  </si>
  <si>
    <t>Mezcla Ponderado</t>
  </si>
  <si>
    <t>Martillo</t>
  </si>
  <si>
    <t>Costo Adicional Martillo</t>
  </si>
  <si>
    <t>Soluciones De Carbón Colombia</t>
  </si>
  <si>
    <t xml:space="preserve">	C I Interamerican Conmina (Fortia Minerals)</t>
  </si>
  <si>
    <t>Trancora Sas</t>
  </si>
  <si>
    <t>Cdr</t>
  </si>
  <si>
    <t>Tdf</t>
  </si>
  <si>
    <t>Briquetas</t>
  </si>
  <si>
    <t>Chips</t>
  </si>
  <si>
    <t xml:space="preserve">Cdr Focus Green Antioquia </t>
  </si>
  <si>
    <t>Cdr Sistema Verde  Cundinamarca</t>
  </si>
  <si>
    <t xml:space="preserve">Cdr Sistema Verde Antioquia </t>
  </si>
  <si>
    <t>Cdr Ecologística</t>
  </si>
  <si>
    <t>Cdr Ecopositiva</t>
  </si>
  <si>
    <t>Cdr Veolia</t>
  </si>
  <si>
    <t>Cdr Gdi-Cali</t>
  </si>
  <si>
    <t>Cdr Gdi-Zipaquirá</t>
  </si>
  <si>
    <t>Tdf Sistema Verde Cundinamarca</t>
  </si>
  <si>
    <t xml:space="preserve">Tdf Sistema Verde Antioquia </t>
  </si>
  <si>
    <t>Tdf Focus Green Cundinamarca</t>
  </si>
  <si>
    <t>Briquetas Arclad</t>
  </si>
  <si>
    <t>Biochips Biowatt</t>
  </si>
  <si>
    <t>Cdr Flete (Antioquia - Planta)</t>
  </si>
  <si>
    <t>Cdr Flete (Cundinamarca - Planta)</t>
  </si>
  <si>
    <t>Cdr Flete (Cali - Planta)</t>
  </si>
  <si>
    <t>Mineral De Hierro</t>
  </si>
  <si>
    <t>Adpr - Briceño</t>
  </si>
  <si>
    <t>Adpr - Belencito</t>
  </si>
  <si>
    <t>Tap (Payandé)</t>
  </si>
  <si>
    <t>Flete (Mesa De Los Santos A Planta)</t>
  </si>
  <si>
    <t>Sacos 50 Kg Ug</t>
  </si>
  <si>
    <t>Sacos 42,5 Kg Ug</t>
  </si>
  <si>
    <t>Sacos 42,5 Kg Art</t>
  </si>
  <si>
    <t>Sacos 50 Kg Topex</t>
  </si>
  <si>
    <t>Aditivo Cemento</t>
  </si>
  <si>
    <t>Descarge Finos (Mini)</t>
  </si>
  <si>
    <t>Descargue De Alternos</t>
  </si>
  <si>
    <t>Cargue De Alternos</t>
  </si>
  <si>
    <t>Desatasque De Carbón</t>
  </si>
  <si>
    <t>Descargue Mp'S</t>
  </si>
  <si>
    <t>Impuesto Al Carbón</t>
  </si>
  <si>
    <t>Flete (La Dorada A Planta)</t>
  </si>
  <si>
    <t>Cargue Clinker Pm(En La Tolva)</t>
  </si>
  <si>
    <t>Ductos Del Horno</t>
  </si>
  <si>
    <t>Enfriador De Parrillas/Triturad</t>
  </si>
  <si>
    <t>Placas Y Segmentos Rodillo Cemento</t>
  </si>
  <si>
    <t>% Consumo</t>
  </si>
  <si>
    <t>Recetas</t>
  </si>
  <si>
    <t>Caliza En Prehomo</t>
  </si>
  <si>
    <t>Arcilla En Prehomo</t>
  </si>
  <si>
    <t>Prehomo En Crudo</t>
  </si>
  <si>
    <t>Caliza En Crudo</t>
  </si>
  <si>
    <t>Mineral De Hierro En Crudo</t>
  </si>
  <si>
    <t>Calamina En Crudo</t>
  </si>
  <si>
    <t>Mixtos En Carbón</t>
  </si>
  <si>
    <t>Bituminoso En Carbón</t>
  </si>
  <si>
    <t>Cdr En Alternos</t>
  </si>
  <si>
    <t>Llanta En Alternos</t>
  </si>
  <si>
    <t>Briquetas En Alternos</t>
  </si>
  <si>
    <t>Chip De Madera En Alternos</t>
  </si>
  <si>
    <t>Crudo En Clinker</t>
  </si>
  <si>
    <t>Clinker En Cemento Ug</t>
  </si>
  <si>
    <t>Caliza En Cemento Ug</t>
  </si>
  <si>
    <t>Yeso En Cemento Ug</t>
  </si>
  <si>
    <t>Sal Marina En Cemento Ug</t>
  </si>
  <si>
    <t>Finos En Cemento Ug</t>
  </si>
  <si>
    <t>Puzolana En Cemento Ug</t>
  </si>
  <si>
    <t>Ric En Cemento Ug</t>
  </si>
  <si>
    <t>Aditivo De Molienda En Cemento Ug</t>
  </si>
  <si>
    <t>Clinker En Cemento Art</t>
  </si>
  <si>
    <t>Caliza En Cemento Art</t>
  </si>
  <si>
    <t>Yeso En Cemento Art</t>
  </si>
  <si>
    <t>Sal Marina En Cemento Art</t>
  </si>
  <si>
    <t>Finos En Cemento Art</t>
  </si>
  <si>
    <t>Puzolana En Cemento Art</t>
  </si>
  <si>
    <t>Ric En Cemento Art</t>
  </si>
  <si>
    <t>Aditivo De Molienda En Cemento Art</t>
  </si>
  <si>
    <t>Clinker En Cemento Fibro</t>
  </si>
  <si>
    <t>Caliza En Cemento Fibro</t>
  </si>
  <si>
    <t>Yeso En Cemento Fibro</t>
  </si>
  <si>
    <t>Sal Marina En Cemento Fibro</t>
  </si>
  <si>
    <t>Finos En Cemento Fibro</t>
  </si>
  <si>
    <t>Puzolana En Cemento Fibro</t>
  </si>
  <si>
    <t>Ric En Cemento Fibro</t>
  </si>
  <si>
    <t>Aditivo De Molienda En Cemento Fibro</t>
  </si>
  <si>
    <t>Humedades</t>
  </si>
  <si>
    <t>Ric</t>
  </si>
  <si>
    <t>Ventas</t>
  </si>
  <si>
    <t>Ug 50 Kg</t>
  </si>
  <si>
    <t>Ug 42,5 Kg</t>
  </si>
  <si>
    <t>Ug 25 Kg</t>
  </si>
  <si>
    <t>Topex Ug</t>
  </si>
  <si>
    <t>Granel Art</t>
  </si>
  <si>
    <t>Fibrocemento</t>
  </si>
  <si>
    <t>Granel Ug</t>
  </si>
  <si>
    <t>Cemento Bigbag 1.5 T</t>
  </si>
  <si>
    <t>Art 42,5 Kg</t>
  </si>
  <si>
    <t>Clinker</t>
  </si>
  <si>
    <t>Producción Cemento (Cemento Total)</t>
  </si>
  <si>
    <t>Horas De Operación Efectivas (Cemento Total)</t>
  </si>
  <si>
    <t>Rendimiento (Cemento Total)</t>
  </si>
  <si>
    <t>Producción Cemento (Ug)</t>
  </si>
  <si>
    <t>Horas De Operación Efectivas (Ug)</t>
  </si>
  <si>
    <t>Rendimiento (Ug)</t>
  </si>
  <si>
    <t>Producción Cemento (Art)</t>
  </si>
  <si>
    <t>Horas De Operación Efectivas (Art)</t>
  </si>
  <si>
    <t>Rendimiento (Art)</t>
  </si>
  <si>
    <t>Producción Cemento (Fibro)</t>
  </si>
  <si>
    <t>Horas De Operación Efectivas (Fibro)</t>
  </si>
  <si>
    <t>Rendimiento (Fibro)</t>
  </si>
  <si>
    <t>Horas De Operación Efectivas Horno</t>
  </si>
  <si>
    <t>Horas De Operación Efectivas Crudo</t>
  </si>
  <si>
    <t>Horas De Operación Efectivas Prehomo</t>
  </si>
  <si>
    <t>Horas De Operación Efectivas Caliza</t>
  </si>
  <si>
    <t>Horas De Operación Efectivas Carbón</t>
  </si>
  <si>
    <t>Horas De Operación Efectivas Alternos</t>
  </si>
  <si>
    <t>Indicadores</t>
  </si>
  <si>
    <t>Dias Paro Mayor (Programado)</t>
  </si>
  <si>
    <t>Dias Paro Cemento (Programado)</t>
  </si>
  <si>
    <t>Días Paro Trituración (Programado)</t>
  </si>
  <si>
    <t>Disponibilidad Trituración</t>
  </si>
  <si>
    <t>Disponibilidad Crudo</t>
  </si>
  <si>
    <t>Disponibilidad Carbón</t>
  </si>
  <si>
    <t>Disponibilidad Alternos</t>
  </si>
  <si>
    <t>Disponibilidad Horno</t>
  </si>
  <si>
    <t>Disponibilidad Cemento</t>
  </si>
  <si>
    <t>Paros Externos Trituración</t>
  </si>
  <si>
    <t>Paros Externos Crudo</t>
  </si>
  <si>
    <t>Paros Externos Carbón</t>
  </si>
  <si>
    <t>Paros Externos Alternos</t>
  </si>
  <si>
    <t>Paros Externos Horno</t>
  </si>
  <si>
    <t>Paros Externos Cemento</t>
  </si>
  <si>
    <t>Paros Ociosos Trituración</t>
  </si>
  <si>
    <t>Paros Ociosos Crudo</t>
  </si>
  <si>
    <t>Paros Ociosos Carbón</t>
  </si>
  <si>
    <t>Paros Ociosos Alternos</t>
  </si>
  <si>
    <t>Paros Ociosos Horno</t>
  </si>
  <si>
    <t>Paros Ociosos Cemento</t>
  </si>
  <si>
    <t>Utilización Trituración</t>
  </si>
  <si>
    <t>Utilización Crudo</t>
  </si>
  <si>
    <t>Utilización Carbón</t>
  </si>
  <si>
    <t>Utilización Alternos</t>
  </si>
  <si>
    <t>Utilización Horno</t>
  </si>
  <si>
    <t>Utilización Cemento</t>
  </si>
  <si>
    <t>Índice de Calidad</t>
  </si>
  <si>
    <t>OEE Trituración</t>
  </si>
  <si>
    <t>OEE Crudo</t>
  </si>
  <si>
    <t>OEE Carbón</t>
  </si>
  <si>
    <t>OEE Alternos</t>
  </si>
  <si>
    <t>OEE Horno</t>
  </si>
  <si>
    <t>OEE Cemento</t>
  </si>
  <si>
    <t>MRO Trituración</t>
  </si>
  <si>
    <t>MRO Crudo</t>
  </si>
  <si>
    <t>MRO Carbón</t>
  </si>
  <si>
    <t>MRO Alternos</t>
  </si>
  <si>
    <t>MRO Horno</t>
  </si>
  <si>
    <t>MRO Cemento</t>
  </si>
  <si>
    <t>Índice de Productividad Trituración</t>
  </si>
  <si>
    <t>Índice de Productividad Crudo</t>
  </si>
  <si>
    <t>Índice de Productividad Carbón</t>
  </si>
  <si>
    <t>Índice de Productividad Alternos</t>
  </si>
  <si>
    <t>Índice de Productividad Horno</t>
  </si>
  <si>
    <t>Índice de Productividad Cemento</t>
  </si>
  <si>
    <t>MTBF Mantenimiento Trituración</t>
  </si>
  <si>
    <t>MTBF Mantenimiento Crudo</t>
  </si>
  <si>
    <t>MTBF Mantenimiento Carbón</t>
  </si>
  <si>
    <t>MTBF Mantenimiento Alternos</t>
  </si>
  <si>
    <t>MTBF Mantenimiento Horno</t>
  </si>
  <si>
    <t>MTBF Mantenimiento Cemento</t>
  </si>
  <si>
    <t>Cantidad de Paros no Programados Trituración</t>
  </si>
  <si>
    <t>Cantidad de Paros no Programados Crudo</t>
  </si>
  <si>
    <t>Cantidad de Paros no Programados Carbón</t>
  </si>
  <si>
    <t>Cantidad de Paros no Programados Alternos</t>
  </si>
  <si>
    <t>Cantidad de Paros no Programados Horno</t>
  </si>
  <si>
    <t>Cantidad de Paros no Programados Cemento</t>
  </si>
  <si>
    <t>MTBF Total Trituración</t>
  </si>
  <si>
    <t>MTBF Total Crudo</t>
  </si>
  <si>
    <t>MTBF Total Carbón</t>
  </si>
  <si>
    <t>MTBF Total Alternos</t>
  </si>
  <si>
    <t>MTBF Total Horno</t>
  </si>
  <si>
    <t>MTBF Total Cemento</t>
  </si>
  <si>
    <t>%/Tipo</t>
  </si>
  <si>
    <t>Energía</t>
  </si>
  <si>
    <t>Valor Kilovatio (Contrato)</t>
  </si>
  <si>
    <t>Costos por Conexión (Restricciones y otros)</t>
  </si>
  <si>
    <t>Cargos Fijos y Consumos Admin</t>
  </si>
  <si>
    <t xml:space="preserve">Faturación Smarten </t>
  </si>
  <si>
    <t>COP/kWh</t>
  </si>
  <si>
    <t>Consumo Eléctrico Trituración</t>
  </si>
  <si>
    <t>Consumo Eléctrico Crudo</t>
  </si>
  <si>
    <t>Consumo Eléctrico Carbón</t>
  </si>
  <si>
    <t>Consumo Eléctrico Alternos</t>
  </si>
  <si>
    <t>Consumo Eléctrico Horno</t>
  </si>
  <si>
    <t>Consumo Eléctrico Cemento</t>
  </si>
  <si>
    <t>kWh/Ton</t>
  </si>
  <si>
    <t>Consumo Eléctrico Empaque</t>
  </si>
  <si>
    <t>Consumo Eléctrico Cemento UG</t>
  </si>
  <si>
    <t>Consumo Eléctrico Cemento ART</t>
  </si>
  <si>
    <t>Consumo Eléctrico Cemento FIBRO</t>
  </si>
  <si>
    <t>MTBF Total Empaque</t>
  </si>
  <si>
    <t>MTBF Mantenimiento Empaque</t>
  </si>
  <si>
    <t>Cantidad de Paros no Programados Empaque</t>
  </si>
  <si>
    <t>OEE Empaque</t>
  </si>
  <si>
    <t>Índice de Productividad Empaque</t>
  </si>
  <si>
    <t>MRO Empaque</t>
  </si>
  <si>
    <t>Utilización Empaque</t>
  </si>
  <si>
    <t>Disponibilidad Empaque</t>
  </si>
  <si>
    <t>Paros Ociosos Empaque</t>
  </si>
  <si>
    <t>Paros Externos Empaque</t>
  </si>
  <si>
    <t>Días Paro Empaque (Programado)</t>
  </si>
  <si>
    <t>Producción Empaque</t>
  </si>
  <si>
    <t>Horas De Operación Efectivas Empaque</t>
  </si>
  <si>
    <t>Rendimiento Empaque</t>
  </si>
  <si>
    <t>Combustibles</t>
  </si>
  <si>
    <t>Sanoha (PCI)</t>
  </si>
  <si>
    <t>Forero Hernandez (PCI)</t>
  </si>
  <si>
    <t>Tottal Carbón (PCI)</t>
  </si>
  <si>
    <t>Soluciones De Carbón Colombia (PCI)</t>
  </si>
  <si>
    <t>Minas Las Margaritas (PCI)</t>
  </si>
  <si>
    <t xml:space="preserve">	C I Interamerican Conmina (Fortia Minerals) (PCI)</t>
  </si>
  <si>
    <t>Trancora Sas (PCI)</t>
  </si>
  <si>
    <t>Mixto Carbones Andino (PCI)</t>
  </si>
  <si>
    <t>Mixtos Carbocoque (PCI)</t>
  </si>
  <si>
    <t>Mixto Coquecol (PCI)</t>
  </si>
  <si>
    <t>Cdr Focus Green Antioquia  (PCI)</t>
  </si>
  <si>
    <t>Cdr Sistema Verde  Cundinamarca (PCI)</t>
  </si>
  <si>
    <t>Cdr Sistema Verde Antioquia  (PCI)</t>
  </si>
  <si>
    <t>Cdr Ecologística (PCI)</t>
  </si>
  <si>
    <t>Cdr Ecopositiva (PCI)</t>
  </si>
  <si>
    <t>Cdr Veolia (PCI)</t>
  </si>
  <si>
    <t>Cdr Gdi-Cali (PCI)</t>
  </si>
  <si>
    <t>Cdr Gdi-Zipaquirá (PCI)</t>
  </si>
  <si>
    <t>Tdf Sistema Verde Cundinamarca (PCI)</t>
  </si>
  <si>
    <t>Tdf Sistema Verde Antioquia (PCI)</t>
  </si>
  <si>
    <t>Tdf Focus Green Cundinamarca (PCI)</t>
  </si>
  <si>
    <t>Briquetas Arclad (PCI)</t>
  </si>
  <si>
    <t>Biochips Biowatt (PCI)</t>
  </si>
  <si>
    <t>Kcal/Ton</t>
  </si>
  <si>
    <t>Diesel (PCI)</t>
  </si>
  <si>
    <t>Consumo Térmico</t>
  </si>
  <si>
    <t>Kcal/Tck</t>
  </si>
  <si>
    <t>Inventarios</t>
  </si>
  <si>
    <t>Ventas Cemento Ug</t>
  </si>
  <si>
    <t>Consumos Cemento Ug</t>
  </si>
  <si>
    <t>Inventario Final Cemento Ug</t>
  </si>
  <si>
    <t>Consumos Clinker</t>
  </si>
  <si>
    <t>Inventario Final Clinker</t>
  </si>
  <si>
    <t>Consumos Cemento Art</t>
  </si>
  <si>
    <t>Ventas Cemento Art</t>
  </si>
  <si>
    <t>Inventario Final Cemento Art</t>
  </si>
  <si>
    <t>Consumos Cemento Fibro</t>
  </si>
  <si>
    <t>Ventas Cemento Fibro</t>
  </si>
  <si>
    <t>Inventario Final Cemento Fibro</t>
  </si>
  <si>
    <t>Consumos Cemento Total</t>
  </si>
  <si>
    <t>Ventas Cemento Total</t>
  </si>
  <si>
    <t>Inventario Final Cemento Total</t>
  </si>
  <si>
    <t>Ventas Crudo</t>
  </si>
  <si>
    <t>Inventario Final Crudo</t>
  </si>
  <si>
    <t>Consumos Crudo en Clinker</t>
  </si>
  <si>
    <t>Consumos Crudo en Cemento</t>
  </si>
  <si>
    <t>Energía Térmica</t>
  </si>
  <si>
    <t>Carbones Finos En Carbón</t>
  </si>
  <si>
    <t>Finos de Carbón</t>
  </si>
  <si>
    <t>Energía Total horno</t>
  </si>
  <si>
    <t>Diesel Seco</t>
  </si>
  <si>
    <t>Cdr Seco</t>
  </si>
  <si>
    <t>Tdf Seco</t>
  </si>
  <si>
    <t>Briquetas Seco</t>
  </si>
  <si>
    <t>Biochips Seco</t>
  </si>
  <si>
    <t>Energía Diesel</t>
  </si>
  <si>
    <t>Energía Alternos</t>
  </si>
  <si>
    <t>Energía Carbones</t>
  </si>
  <si>
    <t>PCI Ponderado Diesel</t>
  </si>
  <si>
    <t>PCI Ponderado Cdr</t>
  </si>
  <si>
    <t>PCI Ponderado Tdf</t>
  </si>
  <si>
    <t>PCI Ponderado Briquetas</t>
  </si>
  <si>
    <t>PCI Ponderado Biochips</t>
  </si>
  <si>
    <t>PCI Ponderado Carbón Mixto</t>
  </si>
  <si>
    <t>PCI Ponderado Carbón Fino</t>
  </si>
  <si>
    <t>PCI Ponderado Carbón Bituminoso</t>
  </si>
  <si>
    <t>Toneladas Ponderado Diesel</t>
  </si>
  <si>
    <t>Toneladas Ponderado Cdr</t>
  </si>
  <si>
    <t>Toneladas Ponderado Tdf</t>
  </si>
  <si>
    <t>Toneladas Ponderado Briquetas</t>
  </si>
  <si>
    <t>Toneladas Ponderado Biochips</t>
  </si>
  <si>
    <t>Toneladas Ponderado Carbón Mixto</t>
  </si>
  <si>
    <t>Toneladas Ponderado Carbón Fino</t>
  </si>
  <si>
    <t>Toneladas Ponderado Carbón Bituminoso</t>
  </si>
  <si>
    <t>Prueba PCI (Ok)</t>
  </si>
  <si>
    <t>Consumos Carbón Molido en Horno</t>
  </si>
  <si>
    <t>Prueba sustitución Térmica (Ok)</t>
  </si>
  <si>
    <t>Carbón Mixto Seco (Masa)</t>
  </si>
  <si>
    <t>Carbón Fino Seco (Masa)</t>
  </si>
  <si>
    <t>Carbón Bituminoso Seco (Masa)</t>
  </si>
  <si>
    <t>Carbón Mixto Seco (Energía)</t>
  </si>
  <si>
    <t>Carbón Fino Seco (Energía)</t>
  </si>
  <si>
    <t>Carbón Bituminoso Seco (Energía)</t>
  </si>
  <si>
    <t>Ventas Mezcla Prehomo</t>
  </si>
  <si>
    <t>Inventario Final Mezcla Prehomo</t>
  </si>
  <si>
    <t>Consumos Mezcla Prehomo</t>
  </si>
  <si>
    <t>Ventas Carbón Molido en Horno</t>
  </si>
  <si>
    <t>Inventario Final Carbón Molido en Horno</t>
  </si>
  <si>
    <t>Consumos Caliza</t>
  </si>
  <si>
    <t>Ventas Caliza</t>
  </si>
  <si>
    <t>Inventario Final Caliza</t>
  </si>
  <si>
    <t>Arcilla Triturada</t>
  </si>
  <si>
    <t>Caliza Triturada</t>
  </si>
  <si>
    <t>Empaque y Granel</t>
  </si>
  <si>
    <t>Unitario Empaque y Granel</t>
  </si>
  <si>
    <t>Fijo + Horas Extras Empaque y Granel</t>
  </si>
  <si>
    <t>Total</t>
  </si>
  <si>
    <t>Empaque Cemento</t>
  </si>
  <si>
    <t>Requerimientos Carbón Bituminoso</t>
  </si>
  <si>
    <t>Requerimientos Carbón Mixto</t>
  </si>
  <si>
    <t>Requerimientos Carbón Fino</t>
  </si>
  <si>
    <t>Requerimientos Cdr</t>
  </si>
  <si>
    <t>Requerimientos Tdf</t>
  </si>
  <si>
    <t>Requerimientos Briquetas</t>
  </si>
  <si>
    <t>Requerimientos Biochips</t>
  </si>
  <si>
    <t>Requerimientos Yeso</t>
  </si>
  <si>
    <t>Requerimientos Mineral de Hierro</t>
  </si>
  <si>
    <t>Requerimientos Calamina</t>
  </si>
  <si>
    <t>Requerimientos Sal Marina</t>
  </si>
  <si>
    <t>Requerimientos Puzolana</t>
  </si>
  <si>
    <t>Requerimientos Ric</t>
  </si>
  <si>
    <t>Requerimientos Aditivo de Molienda</t>
  </si>
  <si>
    <t>Aditivo de Molienda</t>
  </si>
  <si>
    <t>Rotura</t>
  </si>
  <si>
    <t>Sacos</t>
  </si>
  <si>
    <t>Sacos para Ug 50 Kg</t>
  </si>
  <si>
    <t>Sacos para Ug 42,5 Kg</t>
  </si>
  <si>
    <t>Sacos para Ug 25 Kg</t>
  </si>
  <si>
    <t>Sacos para Topex Ug 50 Kg</t>
  </si>
  <si>
    <t>Sacos para Art 42,5 Kg</t>
  </si>
  <si>
    <t>Requerimientos Sacos Art 42,5 Kg</t>
  </si>
  <si>
    <t>Requerimientos Sacos Ug 50 Kg</t>
  </si>
  <si>
    <t>Requerimientos Sacos Ug 42,5 Kg</t>
  </si>
  <si>
    <t>Requerimientos Sacos Ug 25 Kg</t>
  </si>
  <si>
    <t>Requerimientos Sacos Topex 50 Kg</t>
  </si>
  <si>
    <t>Horas Alternos</t>
  </si>
  <si>
    <t>Tarifa Alternos</t>
  </si>
  <si>
    <t>Tarifa Desatasque</t>
  </si>
  <si>
    <t>(en blanco)</t>
  </si>
  <si>
    <t>Total general</t>
  </si>
  <si>
    <t>(Todas)</t>
  </si>
  <si>
    <t>Concatenado</t>
  </si>
  <si>
    <t>Clase de coste</t>
  </si>
  <si>
    <t>Denom.clase de coste</t>
  </si>
  <si>
    <t>Material</t>
  </si>
  <si>
    <t>Mat2</t>
  </si>
  <si>
    <t>Proceso</t>
  </si>
  <si>
    <t>ORD</t>
  </si>
  <si>
    <t>Tp</t>
  </si>
  <si>
    <t>CONSUMOS SEMIELBORAD</t>
  </si>
  <si>
    <t>CALTLVTRIT</t>
  </si>
  <si>
    <t>MEZCLA PREHOMO</t>
  </si>
  <si>
    <t>Trituración</t>
  </si>
  <si>
    <t>ARCTLVTRIT</t>
  </si>
  <si>
    <t>CTO. MP CALIZAS NAL</t>
  </si>
  <si>
    <t>CALIZATRI</t>
  </si>
  <si>
    <t>HARINA CRUDA</t>
  </si>
  <si>
    <t>Molienda de  Crudo</t>
  </si>
  <si>
    <t>MEZCPREHO</t>
  </si>
  <si>
    <t>MP CORRECT HIERO NAL</t>
  </si>
  <si>
    <t>CORRHIERR</t>
  </si>
  <si>
    <t>CTO COMBUS SOL NAC</t>
  </si>
  <si>
    <t>CARBITUMI</t>
  </si>
  <si>
    <t>CARBON MOLIDO</t>
  </si>
  <si>
    <t>Molienda de Carbón</t>
  </si>
  <si>
    <t>Carbón</t>
  </si>
  <si>
    <t>CARBONMOL</t>
  </si>
  <si>
    <t>Clinkerización</t>
  </si>
  <si>
    <t>Carbón Molido</t>
  </si>
  <si>
    <t>HARINACRUD</t>
  </si>
  <si>
    <t>Crudo</t>
  </si>
  <si>
    <t>CTO COMBUS GAS NAC</t>
  </si>
  <si>
    <t>Gasoil</t>
  </si>
  <si>
    <t>CTO COMBUS LIQ NAC</t>
  </si>
  <si>
    <t>CLINKER001</t>
  </si>
  <si>
    <t>CEMENTO UG</t>
  </si>
  <si>
    <t>Cemento UG</t>
  </si>
  <si>
    <t>CTO. MP YES/ESCA NAL</t>
  </si>
  <si>
    <t>YESO00001</t>
  </si>
  <si>
    <t>CEMENTO ART</t>
  </si>
  <si>
    <t>Cemento ART</t>
  </si>
  <si>
    <t>CALIZA PARA ADICIONES</t>
  </si>
  <si>
    <t>Adiciones</t>
  </si>
  <si>
    <t>CEMENTOART</t>
  </si>
  <si>
    <t>CEMENTO ART 42,5 KG</t>
  </si>
  <si>
    <t>CTO BOLSAS IMP</t>
  </si>
  <si>
    <t>22000000005</t>
  </si>
  <si>
    <t>CEMENTOUG1</t>
  </si>
  <si>
    <t>CEMENTO UG 50 KG</t>
  </si>
  <si>
    <t>22000000008</t>
  </si>
  <si>
    <t>CEMENTO A GRANEL ART</t>
  </si>
  <si>
    <t>CEMENTO ART 50 KG</t>
  </si>
  <si>
    <t>CEMENTO UG 42,5 KG</t>
  </si>
  <si>
    <t>22000000004</t>
  </si>
  <si>
    <t>CEMENTO UG 25 KG</t>
  </si>
  <si>
    <t>22000000006</t>
  </si>
  <si>
    <t>Regalías</t>
  </si>
  <si>
    <t>CEMENTO UG TP</t>
  </si>
  <si>
    <t>CEMENTO TOPEX 50 KG</t>
  </si>
  <si>
    <t>Cemento UG TP</t>
  </si>
  <si>
    <t>22000000041</t>
  </si>
  <si>
    <t>RTOS VARIA IMPO</t>
  </si>
  <si>
    <t>Cuerpos Moledores</t>
  </si>
  <si>
    <t>Láminas</t>
  </si>
  <si>
    <t>Anillos, Tapas y Separadores</t>
  </si>
  <si>
    <t>Cuerpos Moledores y Láminas</t>
  </si>
  <si>
    <t>FINOS DE CARBON</t>
  </si>
  <si>
    <t>Descargue Finos Carbón</t>
  </si>
  <si>
    <t>Ductos</t>
  </si>
  <si>
    <t>Enfriador</t>
  </si>
  <si>
    <t>Sellado</t>
  </si>
  <si>
    <t>Cargue Clinker</t>
  </si>
  <si>
    <t>Cargue Ck Tolva</t>
  </si>
  <si>
    <t>Placas</t>
  </si>
  <si>
    <t>Refractarios</t>
  </si>
  <si>
    <t>Placas y Segmentos</t>
  </si>
  <si>
    <t>Dosificador de Sal</t>
  </si>
  <si>
    <t>OTROS SERVICIOS</t>
  </si>
  <si>
    <t>Cargue</t>
  </si>
  <si>
    <t>CONSUMOS P.TERM MANU</t>
  </si>
  <si>
    <t>10000000002</t>
  </si>
  <si>
    <t>CEMARTB42</t>
  </si>
  <si>
    <t>CEMENTO ALION EMPACADO ART 42,5 KG</t>
  </si>
  <si>
    <t>CEMCUGB25</t>
  </si>
  <si>
    <t>CEMENTO ALION EMPACADO UG 25 KG</t>
  </si>
  <si>
    <t>CEMCUGB42</t>
  </si>
  <si>
    <t>CEMENTO ALION EMPACADO UG 42,5 KG</t>
  </si>
  <si>
    <t>CEMCUGB50</t>
  </si>
  <si>
    <t>CEMENTO ALION USO GENERAL 50KG</t>
  </si>
  <si>
    <t>SERVICIOS DE EXPLOTA</t>
  </si>
  <si>
    <t>SALMAR</t>
  </si>
  <si>
    <t>Barras y Placas</t>
  </si>
  <si>
    <t>CEMENTO BIG BAG 1,5 TONELADAS</t>
  </si>
  <si>
    <t>CALAMINA1</t>
  </si>
  <si>
    <t>CARMIXTO</t>
  </si>
  <si>
    <t>FINOSCARB</t>
  </si>
  <si>
    <t>Combustibles Alternos</t>
  </si>
  <si>
    <t>COMBUSTIBLES ALTERNOS</t>
  </si>
  <si>
    <t>MP ADICIO ACTIVA NAL</t>
  </si>
  <si>
    <t>BIOBRIQPAP</t>
  </si>
  <si>
    <t>BIOCHIPMAD</t>
  </si>
  <si>
    <t>Chip de Madera</t>
  </si>
  <si>
    <t>CTO. COMBUSTIBLES</t>
  </si>
  <si>
    <t>COMBURESID</t>
  </si>
  <si>
    <t>LLANTAPICA</t>
  </si>
  <si>
    <t>Llanta Picada</t>
  </si>
  <si>
    <t>CTO.MP COMPUESTO NAL</t>
  </si>
  <si>
    <t>ADIMOLIEN</t>
  </si>
  <si>
    <t>Aditivo Molienda</t>
  </si>
  <si>
    <t>PUZOLANA</t>
  </si>
  <si>
    <t>CRUDO</t>
  </si>
  <si>
    <t>Finos Filtro</t>
  </si>
  <si>
    <t>DESATASQUE DE CARBÓN</t>
  </si>
  <si>
    <t>Orden</t>
  </si>
  <si>
    <t>Valor/mon.inf.</t>
  </si>
  <si>
    <t>Cantidad total reg.</t>
  </si>
  <si>
    <t>Ud. cantidad contab.</t>
  </si>
  <si>
    <t>Clase cta. de contrapartida</t>
  </si>
  <si>
    <t>Cta.contrapartida</t>
  </si>
  <si>
    <t>Denominacion cuenta contrapartida</t>
  </si>
  <si>
    <t>Centro</t>
  </si>
  <si>
    <t>Período</t>
  </si>
  <si>
    <t>Texto breve de material</t>
  </si>
  <si>
    <t>Fe.contabilización</t>
  </si>
  <si>
    <t>Fecha de documento</t>
  </si>
  <si>
    <t>CN</t>
  </si>
  <si>
    <t>Arrastre</t>
  </si>
  <si>
    <t>T</t>
  </si>
  <si>
    <t>M</t>
  </si>
  <si>
    <t>1405040101</t>
  </si>
  <si>
    <t>IN CORRECT HIERO NAL</t>
  </si>
  <si>
    <t>EC01</t>
  </si>
  <si>
    <t>CORRECTOR DE HIERRO</t>
  </si>
  <si>
    <t>CALAMINA</t>
  </si>
  <si>
    <t>1405330101</t>
  </si>
  <si>
    <t>INV.  CALIZAS NAL</t>
  </si>
  <si>
    <t>CALIZA TRITURADA</t>
  </si>
  <si>
    <t>TRASLADO DE COSTOS</t>
  </si>
  <si>
    <t>1410900101</t>
  </si>
  <si>
    <t>INV. SEMIELABORADO</t>
  </si>
  <si>
    <t xml:space="preserve"> CTO CONFORMADO</t>
  </si>
  <si>
    <t>1455050105</t>
  </si>
  <si>
    <t>INV COMBUST LIQ NAC</t>
  </si>
  <si>
    <t>1455050103</t>
  </si>
  <si>
    <t>INV COMBUST SOL NAC</t>
  </si>
  <si>
    <t>CARBON BITUMINOSO</t>
  </si>
  <si>
    <t>MIXTOS CARBON</t>
  </si>
  <si>
    <t>SAL MARINA</t>
  </si>
  <si>
    <t>1405450101</t>
  </si>
  <si>
    <t>INV.  YES/ESCA NAL</t>
  </si>
  <si>
    <t>YESO</t>
  </si>
  <si>
    <t>ADITIVO DE MOLIENDA</t>
  </si>
  <si>
    <t>UN</t>
  </si>
  <si>
    <t>1460050302</t>
  </si>
  <si>
    <t>INV BOLSAS IMP</t>
  </si>
  <si>
    <t>BOLSA DE CEMENTO EMPAQUE DE 42.5 KG UG</t>
  </si>
  <si>
    <t>1430050101</t>
  </si>
  <si>
    <t>INV. PTO MANUFACTURA</t>
  </si>
  <si>
    <t>IA01</t>
  </si>
  <si>
    <t>CALIZA EN TOLVA TRITURADORA</t>
  </si>
  <si>
    <t>ARCILLA EN TOLVA TRITURADORA</t>
  </si>
  <si>
    <t>1430100001</t>
  </si>
  <si>
    <t>PTO EXTRAID/PROCESA</t>
  </si>
  <si>
    <t>BOLSA DE CEMENTO EMPAQUE DE 42.5 KG ART</t>
  </si>
  <si>
    <t>BOLSA DE CEMENTO EMPAQUE DE 25 KG UG</t>
  </si>
  <si>
    <t>BOLSA DE CEMENTO EMPAQUE DE 50 KG UG</t>
  </si>
  <si>
    <t>CEMENTOFCE</t>
  </si>
  <si>
    <t>BOLSA CEMENTO EMPAQUE TOPEX 50 KG UG</t>
  </si>
  <si>
    <t>CEMTUGB50</t>
  </si>
  <si>
    <t>CEMENTO TOPEX USO GENERAL 50KG</t>
  </si>
  <si>
    <t>BIG BAG 1,5 TONELADAS</t>
  </si>
  <si>
    <t>CEMENTO EMPACADO EN BIG BAG 1,5 TONELADAS</t>
  </si>
  <si>
    <t>CEMARTBB</t>
  </si>
  <si>
    <t>CEMENTO BIGBAG ART</t>
  </si>
  <si>
    <t>1405240101</t>
  </si>
  <si>
    <t>IN ADICIO ACTIVA NAL</t>
  </si>
  <si>
    <t>BIOMASA BRIQUETAS DE PAPEL</t>
  </si>
  <si>
    <t>1455050101</t>
  </si>
  <si>
    <t>INV. COMBUSTIBLES</t>
  </si>
  <si>
    <t>COMBUSTIBLE DERIVADO RESIDUOS</t>
  </si>
  <si>
    <t>COMBUSTIBLE LLANTAS PICADAS</t>
  </si>
  <si>
    <t>COMBALTER</t>
  </si>
  <si>
    <t>Producción</t>
  </si>
  <si>
    <t xml:space="preserve"> Cantidad</t>
  </si>
  <si>
    <t>Valor</t>
  </si>
  <si>
    <t>Suma de Costo</t>
  </si>
  <si>
    <t>PPTO 2026</t>
  </si>
  <si>
    <t>REAL 2025 (Estim. Último trim. con 100% bitumi) F25</t>
  </si>
  <si>
    <t>VARIACIONES</t>
  </si>
  <si>
    <t>Var Mtto + Refract</t>
  </si>
  <si>
    <t>ORD 1</t>
  </si>
  <si>
    <t xml:space="preserve"> Consumo</t>
  </si>
  <si>
    <t xml:space="preserve"> Costo</t>
  </si>
  <si>
    <t>VP</t>
  </si>
  <si>
    <t>VC</t>
  </si>
  <si>
    <t>P</t>
  </si>
  <si>
    <t>Desmantelamiento</t>
  </si>
  <si>
    <t>Total Trituración</t>
  </si>
  <si>
    <t>TN</t>
  </si>
  <si>
    <t>ORD 2</t>
  </si>
  <si>
    <t>Total Adiciones</t>
  </si>
  <si>
    <t>ORD 3</t>
  </si>
  <si>
    <t>Sílice</t>
  </si>
  <si>
    <t>Total Molienda de  Crudo</t>
  </si>
  <si>
    <t>}</t>
  </si>
  <si>
    <t>ORD 4</t>
  </si>
  <si>
    <t>Total Molienda de Carbón</t>
  </si>
  <si>
    <t>ORD 20</t>
  </si>
  <si>
    <t>Mezcla</t>
  </si>
  <si>
    <t>Descargue</t>
  </si>
  <si>
    <t>Variables</t>
  </si>
  <si>
    <t>Total Combustibles Alternos</t>
  </si>
  <si>
    <t>ORD 5</t>
  </si>
  <si>
    <t>Alternos</t>
  </si>
  <si>
    <t>Total Clinkerización</t>
  </si>
  <si>
    <t>ORD 6</t>
  </si>
  <si>
    <t>Total Cemento UG</t>
  </si>
  <si>
    <t>ART</t>
  </si>
  <si>
    <t>CV POND CEM P2026</t>
  </si>
  <si>
    <t>CV POND CEM R2025</t>
  </si>
  <si>
    <t>Total Cemento ART</t>
  </si>
  <si>
    <t>P2026 vs P2025</t>
  </si>
  <si>
    <t>P2026 vs R2025</t>
  </si>
  <si>
    <t>Cemento UG 50 KG</t>
  </si>
  <si>
    <t>Cemento a Granel</t>
  </si>
  <si>
    <t>Total Cemento UG 50 KG</t>
  </si>
  <si>
    <t>Cemento UG 42,5 KG</t>
  </si>
  <si>
    <t>Total Cemento UG 42,5 KG</t>
  </si>
  <si>
    <t>Cemento UG 25 KG</t>
  </si>
  <si>
    <t>Total Cemento UG 25 KG</t>
  </si>
  <si>
    <t>Cemento ART 42,5 KG</t>
  </si>
  <si>
    <t>Total Cemento ART 42,5 KG</t>
  </si>
  <si>
    <t>Total Fibrocemento</t>
  </si>
  <si>
    <t>CEMENTO GRANEL ART</t>
  </si>
  <si>
    <t>Total Cemento Granel ART</t>
  </si>
  <si>
    <t>CEMENTO GRANEL UG</t>
  </si>
  <si>
    <t>Total Cemento Granel UG</t>
  </si>
  <si>
    <t>Total Cemento Granel FIBRO</t>
  </si>
  <si>
    <t>PCN CEMENTO TTAL</t>
  </si>
  <si>
    <t>Empaque y Cargue</t>
  </si>
  <si>
    <t>Cemento</t>
  </si>
  <si>
    <t>UG</t>
  </si>
  <si>
    <t>FIBRO</t>
  </si>
  <si>
    <t>Energía Elécrica</t>
  </si>
  <si>
    <t>Caliza Explotada</t>
  </si>
  <si>
    <t>Arcilla Explotada</t>
  </si>
  <si>
    <t>Caliza + Martillo</t>
  </si>
  <si>
    <t>Caliza Comprada a Externos</t>
  </si>
  <si>
    <t>Clasif</t>
  </si>
  <si>
    <t>Gal</t>
  </si>
  <si>
    <t>Requerimientos Diesel</t>
  </si>
  <si>
    <t>Cargue clinker a Tolva</t>
  </si>
  <si>
    <t>Cargue Clinker Venta</t>
  </si>
  <si>
    <t>CARBONES FINOS</t>
  </si>
  <si>
    <t>Dosificacion Sal</t>
  </si>
  <si>
    <t>Harina Cruda</t>
  </si>
  <si>
    <t>Chip De Madera</t>
  </si>
  <si>
    <t>CV POND CEM P2025</t>
  </si>
  <si>
    <t>Finos de Crudo</t>
  </si>
  <si>
    <t>SS ENERGIA ELECTRICA</t>
  </si>
  <si>
    <t>Precio Regalías Caliza</t>
  </si>
  <si>
    <t>Precio Regalías Arcilla</t>
  </si>
  <si>
    <t>Cargue Alternos</t>
  </si>
  <si>
    <t>Descargue Alternos</t>
  </si>
  <si>
    <t>EMPAQUE Y GRANEL</t>
  </si>
  <si>
    <t>Cementos</t>
  </si>
  <si>
    <t>CEMENTOS</t>
  </si>
  <si>
    <t>PRESUPUESTO</t>
  </si>
  <si>
    <t>REAL</t>
  </si>
  <si>
    <t>Real</t>
  </si>
  <si>
    <t>Bridge</t>
  </si>
  <si>
    <t>Cargue Ck</t>
  </si>
  <si>
    <t>Var Mtto</t>
  </si>
  <si>
    <t>Pcc</t>
  </si>
  <si>
    <t>Aditivo Molienta</t>
  </si>
  <si>
    <t>Variables Mtto</t>
  </si>
  <si>
    <t>Dosificador Sal</t>
  </si>
  <si>
    <t>CEMENTO FIBROCEMENTO</t>
  </si>
  <si>
    <t>Arcillas en Ck</t>
  </si>
  <si>
    <t>Arcillas</t>
  </si>
  <si>
    <t>Arcillas en Cem</t>
  </si>
  <si>
    <t>Calizas en Ck</t>
  </si>
  <si>
    <t>Calizas para Clinker</t>
  </si>
  <si>
    <t>Calizas Totales hasta Cem</t>
  </si>
  <si>
    <t>Calizas solo cem</t>
  </si>
  <si>
    <t>Calizas para Cemento</t>
  </si>
  <si>
    <t>VARIACIONES CLINKER</t>
  </si>
  <si>
    <t>Real 2025</t>
  </si>
  <si>
    <r>
      <t xml:space="preserve">Materias Primas: </t>
    </r>
    <r>
      <rPr>
        <sz val="10"/>
        <rFont val="Arial"/>
        <family val="2"/>
      </rPr>
      <t>Incremento en los precios de la caliza, la arcilla y el mineral de hierro</t>
    </r>
    <r>
      <rPr>
        <b/>
        <sz val="10"/>
        <rFont val="Arial"/>
        <family val="2"/>
      </rPr>
      <t xml:space="preserve">, </t>
    </r>
    <r>
      <rPr>
        <sz val="10"/>
        <rFont val="Arial"/>
        <family val="2"/>
      </rPr>
      <t>este crecimiento</t>
    </r>
  </si>
  <si>
    <t>Presupuesto</t>
  </si>
  <si>
    <t>Materias Primas</t>
  </si>
  <si>
    <t>representa un 6,3%.</t>
  </si>
  <si>
    <r>
      <t xml:space="preserve">Desmantelamiento: </t>
    </r>
    <r>
      <rPr>
        <sz val="10"/>
        <rFont val="Arial"/>
        <family val="2"/>
      </rPr>
      <t>Muy en linea con 2024.</t>
    </r>
  </si>
  <si>
    <r>
      <rPr>
        <b/>
        <sz val="10"/>
        <rFont val="Arial"/>
        <family val="2"/>
      </rPr>
      <t>Energía:</t>
    </r>
    <r>
      <rPr>
        <sz val="10"/>
        <rFont val="Arial"/>
        <family val="2"/>
      </rPr>
      <t xml:space="preserve"> Incremento, principalmente por mayor precio del kWh/ton, en general, los consumos  se encuentran </t>
    </r>
  </si>
  <si>
    <t>Variable Mtto</t>
  </si>
  <si>
    <r>
      <rPr>
        <b/>
        <sz val="10"/>
        <rFont val="Arial"/>
        <family val="2"/>
      </rPr>
      <t>Carbón:</t>
    </r>
    <r>
      <rPr>
        <sz val="10"/>
        <rFont val="Arial"/>
        <family val="2"/>
      </rPr>
      <t xml:space="preserve"> Incremento en los precios del carbón y cambio de la mezcla para P2025(70% Bituminoso - 30% Mixto),</t>
    </r>
  </si>
  <si>
    <r>
      <t xml:space="preserve">Regalías: </t>
    </r>
    <r>
      <rPr>
        <sz val="10"/>
        <rFont val="Arial"/>
        <family val="2"/>
      </rPr>
      <t>Muy en linea con 2024.</t>
    </r>
  </si>
  <si>
    <t>muy en linea con las cifras del 2024.</t>
  </si>
  <si>
    <t>Otros</t>
  </si>
  <si>
    <t>Presupuesto 2026</t>
  </si>
  <si>
    <t>los consumos de carbón disminuyen ya que incrementa la sustitución térmica de los combustibles alternos.</t>
  </si>
  <si>
    <t>Cto en Ck P26</t>
  </si>
  <si>
    <t>Cons. Hor P26</t>
  </si>
  <si>
    <t>Puesto en Planta P26</t>
  </si>
  <si>
    <t>Cto en Ck Q4F25</t>
  </si>
  <si>
    <t>Cons. Hor F25</t>
  </si>
  <si>
    <t>Puesto en Planta F25</t>
  </si>
  <si>
    <r>
      <t xml:space="preserve">Alternos: </t>
    </r>
    <r>
      <rPr>
        <sz val="10"/>
        <rFont val="Arial"/>
        <family val="2"/>
      </rPr>
      <t>Incremento por mayor costo del material de alternos y mayor sustitución térmica para P2025.</t>
    </r>
  </si>
  <si>
    <t>Bitumi</t>
  </si>
  <si>
    <t>Mixto</t>
  </si>
  <si>
    <r>
      <t xml:space="preserve">Cargue Ck: </t>
    </r>
    <r>
      <rPr>
        <sz val="10"/>
        <rFont val="Arial"/>
        <family val="2"/>
      </rPr>
      <t>Solo se contempló en P2025, cargue de ck para la venta y no por bajo stock del domo.</t>
    </r>
  </si>
  <si>
    <r>
      <t xml:space="preserve">Gasoil: </t>
    </r>
    <r>
      <rPr>
        <sz val="10"/>
        <rFont val="Arial"/>
        <family val="2"/>
      </rPr>
      <t>Costo superior del Diesel en P2025 vs R2024.</t>
    </r>
  </si>
  <si>
    <r>
      <rPr>
        <b/>
        <sz val="10"/>
        <rFont val="Arial"/>
        <family val="2"/>
      </rPr>
      <t>Variables Mtto:</t>
    </r>
    <r>
      <rPr>
        <sz val="10"/>
        <rFont val="Arial"/>
        <family val="2"/>
      </rPr>
      <t xml:space="preserve"> Mayor costo, principalmente por mayor precio de materiales.</t>
    </r>
  </si>
  <si>
    <t>PPTO</t>
  </si>
  <si>
    <t>VARIACIONES CEMENTO UG</t>
  </si>
  <si>
    <r>
      <rPr>
        <b/>
        <sz val="10"/>
        <rFont val="Arial"/>
        <family val="2"/>
      </rPr>
      <t>Clinker:</t>
    </r>
    <r>
      <rPr>
        <sz val="10"/>
        <rFont val="Arial"/>
        <family val="2"/>
      </rPr>
      <t xml:space="preserve"> Mayores precios en ck que compensan en parte con menor factor clinker estimado para 2025.</t>
    </r>
  </si>
  <si>
    <t>Precio Clinker</t>
  </si>
  <si>
    <r>
      <rPr>
        <b/>
        <sz val="10"/>
        <rFont val="Arial"/>
        <family val="2"/>
      </rPr>
      <t>Caliza:</t>
    </r>
    <r>
      <rPr>
        <sz val="10"/>
        <rFont val="Arial"/>
        <family val="2"/>
      </rPr>
      <t xml:space="preserve"> Muy alineado con 2024.</t>
    </r>
  </si>
  <si>
    <t>Factor Clinker</t>
  </si>
  <si>
    <r>
      <rPr>
        <b/>
        <sz val="10"/>
        <rFont val="Arial"/>
        <family val="2"/>
      </rPr>
      <t>Aditivo Molienda:</t>
    </r>
    <r>
      <rPr>
        <sz val="10"/>
        <rFont val="Arial"/>
        <family val="2"/>
      </rPr>
      <t xml:space="preserve"> Muy alineado con 2024.</t>
    </r>
  </si>
  <si>
    <r>
      <rPr>
        <b/>
        <sz val="11"/>
        <color theme="1"/>
        <rFont val="Aptos Narrow"/>
        <family val="2"/>
        <scheme val="minor"/>
      </rPr>
      <t xml:space="preserve">Puzolana: </t>
    </r>
    <r>
      <rPr>
        <sz val="11"/>
        <color theme="1"/>
        <rFont val="Aptos Narrow"/>
        <family val="2"/>
        <scheme val="minor"/>
      </rPr>
      <t>Consumo nuevo de esta MP, para sustituir puntos de ck.</t>
    </r>
  </si>
  <si>
    <t>Finos</t>
  </si>
  <si>
    <r>
      <rPr>
        <b/>
        <sz val="11"/>
        <color theme="1"/>
        <rFont val="Aptos Narrow"/>
        <family val="2"/>
        <scheme val="minor"/>
      </rPr>
      <t xml:space="preserve">Finos: </t>
    </r>
    <r>
      <rPr>
        <sz val="11"/>
        <color theme="1"/>
        <rFont val="Aptos Narrow"/>
        <family val="2"/>
        <scheme val="minor"/>
      </rPr>
      <t>Mayor consumo y mayor precio para P2025</t>
    </r>
  </si>
  <si>
    <t>Dosificación Sal</t>
  </si>
  <si>
    <r>
      <rPr>
        <b/>
        <sz val="10"/>
        <rFont val="Arial"/>
        <family val="2"/>
      </rPr>
      <t>Yeso</t>
    </r>
    <r>
      <rPr>
        <sz val="10"/>
        <rFont val="Arial"/>
        <family val="2"/>
      </rPr>
      <t>: Mayor precio vs R2024 principalmente.</t>
    </r>
  </si>
  <si>
    <r>
      <rPr>
        <b/>
        <sz val="10"/>
        <rFont val="Arial"/>
        <family val="2"/>
      </rPr>
      <t>Sal Marina</t>
    </r>
    <r>
      <rPr>
        <sz val="10"/>
        <rFont val="Arial"/>
        <family val="2"/>
      </rPr>
      <t>: No se contempla consumo de sal marina en 2025.</t>
    </r>
  </si>
  <si>
    <r>
      <rPr>
        <b/>
        <sz val="10"/>
        <rFont val="Arial"/>
        <family val="2"/>
      </rPr>
      <t>Gasoil:</t>
    </r>
    <r>
      <rPr>
        <sz val="10"/>
        <rFont val="Arial"/>
        <family val="2"/>
      </rPr>
      <t xml:space="preserve"> No contemplado en P2025.</t>
    </r>
  </si>
  <si>
    <t>VARIACIONES CEMENTO ART</t>
  </si>
  <si>
    <r>
      <rPr>
        <b/>
        <sz val="10"/>
        <rFont val="Arial"/>
        <family val="2"/>
      </rPr>
      <t>Yeso</t>
    </r>
    <r>
      <rPr>
        <sz val="10"/>
        <rFont val="Arial"/>
        <family val="2"/>
      </rPr>
      <t>: Mayor precio y mayor consumo vs R2024 principalmente.</t>
    </r>
  </si>
  <si>
    <t>VARIACIONES CEMENTO FIBROCEMENTO</t>
  </si>
  <si>
    <r>
      <rPr>
        <b/>
        <sz val="10"/>
        <rFont val="Arial"/>
        <family val="2"/>
      </rPr>
      <t>Variables Mtto:</t>
    </r>
    <r>
      <rPr>
        <sz val="10"/>
        <rFont val="Arial"/>
        <family val="2"/>
      </rPr>
      <t xml:space="preserve"> Muy alineado con 2024.</t>
    </r>
  </si>
  <si>
    <t>Precio Carbón</t>
  </si>
  <si>
    <t>Consumo Carbón</t>
  </si>
  <si>
    <t>Factor Clínker</t>
  </si>
  <si>
    <t>Empaque y Sacos</t>
  </si>
  <si>
    <t>C</t>
  </si>
  <si>
    <t>Clínker</t>
  </si>
  <si>
    <t>KWh/Ton</t>
  </si>
  <si>
    <t>Indice</t>
  </si>
  <si>
    <t>Total KWh</t>
  </si>
  <si>
    <t>Proceso Clínker</t>
  </si>
  <si>
    <t>Combustible</t>
  </si>
  <si>
    <t>Uso general</t>
  </si>
  <si>
    <t>Concreteras</t>
  </si>
  <si>
    <t>En sacos</t>
  </si>
  <si>
    <t>Proceso de molienda</t>
  </si>
  <si>
    <t>Granel</t>
  </si>
  <si>
    <t>Variables de Mtto</t>
  </si>
  <si>
    <t>Costo Arrastrado por tipo de Cemento</t>
  </si>
  <si>
    <t>Costo Resumido hasta Clinker</t>
  </si>
  <si>
    <t>Arcillas y Calizas</t>
  </si>
  <si>
    <t>Ponderados</t>
  </si>
  <si>
    <t>TOTALES</t>
  </si>
  <si>
    <t>Horas</t>
  </si>
  <si>
    <t>REGALIAS</t>
  </si>
  <si>
    <t>ANILLOS, TAPAS Y SEPARADORES</t>
  </si>
  <si>
    <t>BARRAS Y PLACAS</t>
  </si>
  <si>
    <t>CARGADOR CARBON</t>
  </si>
  <si>
    <t>CARGUE ALTERNOS</t>
  </si>
  <si>
    <t>CARGUE CK TOLVA</t>
  </si>
  <si>
    <t>CARGUE CLINKER</t>
  </si>
  <si>
    <t>CUERPOS MOLEDORES</t>
  </si>
  <si>
    <t>CUERPOS MOLEDORES Y LAMINAS</t>
  </si>
  <si>
    <t>DESATASQUE DE CARBON</t>
  </si>
  <si>
    <t>DESCARGUE ALTERNOS</t>
  </si>
  <si>
    <t>DESCARGUE FINOS CARBON</t>
  </si>
  <si>
    <t>DOSIFICADOR DE SAL</t>
  </si>
  <si>
    <t>DUCTOS</t>
  </si>
  <si>
    <t>ENERGIA</t>
  </si>
  <si>
    <t>ENFRIADOR</t>
  </si>
  <si>
    <t>LAMINAS</t>
  </si>
  <si>
    <t>MATERIAL DIQUE</t>
  </si>
  <si>
    <t>PLACAS</t>
  </si>
  <si>
    <t>PLACAS Y SEGMENTOS</t>
  </si>
  <si>
    <t>REFRACTARIOS</t>
  </si>
  <si>
    <t>SELLADO</t>
  </si>
  <si>
    <t>$</t>
  </si>
  <si>
    <t>%</t>
  </si>
  <si>
    <t>%/Producto</t>
  </si>
  <si>
    <t>Días</t>
  </si>
  <si>
    <t>Q</t>
  </si>
  <si>
    <t>COP/Saco</t>
  </si>
  <si>
    <t>Kcal Ttal</t>
  </si>
  <si>
    <t>CARGUE</t>
  </si>
  <si>
    <t>GASOIL</t>
  </si>
  <si>
    <t>PRODUCCION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</si>
</sst>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1">
    <numFmt numFmtId="42" formatCode="_-&quot;$&quot;\ * #,##0_-;\-&quot;$&quot;\ * #,##0_-;_-&quot;$&quot;\ * &quot;-&quot;_-;_-@_-"/>
    <numFmt numFmtId="41" formatCode="_-* #,##0_-;\-* #,##0_-;_-* &quot;-&quot;_-;_-@_-"/>
    <numFmt numFmtId="43" formatCode="_-* #,##0.00_-;\-* #,##0.00_-;_-* &quot;-&quot;??_-;_-@_-"/>
    <numFmt numFmtId="164" formatCode="_-* #,##0_-;\-* #,##0_-;_-* &quot;-&quot;??_-;_-@_-"/>
    <numFmt numFmtId="165" formatCode="_-* #,##0.0_-;\-* #,##0.0_-;_-* &quot;-&quot;??_-;_-@_-"/>
    <numFmt numFmtId="166" formatCode="0.0"/>
    <numFmt numFmtId="167" formatCode="0.0%"/>
    <numFmt numFmtId="168" formatCode="_-* #,##0.0_-;\-* #,##0.0_-;_-* &quot;-&quot;?_-;_-@_-"/>
    <numFmt numFmtId="169" formatCode="_-* #,##0.00_-;\-* #,##0.00_-;_-* &quot;-&quot;_-;_-@_-"/>
    <numFmt numFmtId="170" formatCode="#,##0.000"/>
    <numFmt numFmtId="171" formatCode="_-* #,##0.000_-;\-* #,##0.000_-;_-* &quot;-&quot;_-;_-@_-"/>
    <numFmt numFmtId="172" formatCode="_-* #,##0.0_-;\-* #,##0.0_-;_-* &quot;-&quot;_-;_-@_-"/>
    <numFmt numFmtId="173" formatCode="_-* #,##0.000_-;\-* #,##0.000_-;_-* &quot;-&quot;???_-;_-@_-"/>
    <numFmt numFmtId="174" formatCode="_-* #,##0.0000_-;\-* #,##0.0000_-;_-* &quot;-&quot;_-;_-@_-"/>
    <numFmt numFmtId="175" formatCode="_-* #,##0.000_-;\-* #,##0.000_-;_-* &quot;-&quot;??_-;_-@_-"/>
    <numFmt numFmtId="176" formatCode="_-* #,##0.00000_-;\-* #,##0.00000_-;_-* &quot;-&quot;_-;_-@_-"/>
    <numFmt numFmtId="177" formatCode="_-* #,##0.000000_-;\-* #,##0.000000_-;_-* &quot;-&quot;_-;_-@_-"/>
    <numFmt numFmtId="178" formatCode="0.000"/>
    <numFmt numFmtId="179" formatCode="_-* #,##0.0000_-;\-* #,##0.0000_-;_-* &quot;-&quot;??_-;_-@_-"/>
    <numFmt numFmtId="180" formatCode="_-* #,##0.0000_-;\-* #,##0.0000_-;_-* &quot;-&quot;????_-;_-@_-"/>
    <numFmt numFmtId="181" formatCode="0.0000"/>
  </numFmts>
  <fonts count="2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theme="1"/>
      <name val="Segoe UI"/>
      <family val="2"/>
    </font>
    <font>
      <b/>
      <sz val="10"/>
      <color theme="0"/>
      <name val="Segoe UI"/>
      <family val="2"/>
    </font>
    <font>
      <sz val="9"/>
      <color indexed="81"/>
      <name val="Tahoma"/>
      <family val="2"/>
    </font>
    <font>
      <b/>
      <u/>
      <sz val="11"/>
      <color theme="1"/>
      <name val="Aptos Narrow"/>
      <family val="2"/>
      <scheme val="minor"/>
    </font>
    <font>
      <u/>
      <sz val="11"/>
      <color theme="1"/>
      <name val="Aptos Narrow"/>
      <family val="2"/>
      <scheme val="minor"/>
    </font>
    <font>
      <sz val="10"/>
      <name val="Arial"/>
      <family val="2"/>
    </font>
    <font>
      <sz val="11"/>
      <color theme="0"/>
      <name val="Aptos Narrow"/>
      <family val="2"/>
      <scheme val="minor"/>
    </font>
    <font>
      <sz val="18"/>
      <color theme="1"/>
      <name val="Aptos Narrow"/>
      <family val="2"/>
      <scheme val="minor"/>
    </font>
    <font>
      <b/>
      <sz val="18"/>
      <color theme="1"/>
      <name val="Aptos Narrow"/>
      <family val="2"/>
      <scheme val="minor"/>
    </font>
    <font>
      <sz val="18"/>
      <color theme="0"/>
      <name val="Aptos Narrow"/>
      <family val="2"/>
      <scheme val="minor"/>
    </font>
    <font>
      <sz val="18"/>
      <color theme="4"/>
      <name val="Aptos Narrow"/>
      <family val="2"/>
      <scheme val="minor"/>
    </font>
    <font>
      <b/>
      <sz val="18"/>
      <color theme="2" tint="-9.9978637043366805E-2"/>
      <name val="Aptos Narrow"/>
      <family val="2"/>
      <scheme val="minor"/>
    </font>
    <font>
      <sz val="18"/>
      <color theme="8"/>
      <name val="Aptos Narrow"/>
      <family val="2"/>
      <scheme val="minor"/>
    </font>
    <font>
      <sz val="18"/>
      <color theme="1"/>
      <name val="Arial"/>
      <family val="2"/>
    </font>
    <font>
      <sz val="18"/>
      <name val="Arial"/>
      <family val="2"/>
    </font>
    <font>
      <b/>
      <sz val="10"/>
      <name val="Arial"/>
      <family val="2"/>
    </font>
    <font>
      <sz val="10"/>
      <color theme="0"/>
      <name val="Arial"/>
      <family val="2"/>
    </font>
    <font>
      <b/>
      <sz val="11"/>
      <color theme="2" tint="-9.9978637043366805E-2"/>
      <name val="Aptos Narrow"/>
      <family val="2"/>
      <scheme val="minor"/>
    </font>
    <font>
      <b/>
      <sz val="11"/>
      <name val="Aptos Narrow"/>
      <family val="2"/>
      <scheme val="minor"/>
    </font>
    <font>
      <sz val="11"/>
      <name val="Aptos Narrow"/>
      <family val="2"/>
      <scheme val="minor"/>
    </font>
  </fonts>
  <fills count="19">
    <fill>
      <patternFill patternType="none"/>
    </fill>
    <fill>
      <patternFill patternType="gray125"/>
    </fill>
    <fill>
      <patternFill patternType="solid">
        <fgColor rgb="FF009CB6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9"/>
        <bgColor indexed="64"/>
      </patternFill>
    </fill>
    <fill>
      <patternFill patternType="solid">
        <fgColor theme="4" tint="-0.249977111117893"/>
        <bgColor theme="4" tint="-0.249977111117893"/>
      </patternFill>
    </fill>
    <fill>
      <patternFill patternType="solid">
        <fgColor theme="4" tint="0.39997558519241921"/>
        <bgColor theme="4" tint="0.39997558519241921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theme="0"/>
        <bgColor theme="0" tint="-0.14999847407452621"/>
      </patternFill>
    </fill>
    <fill>
      <patternFill patternType="solid">
        <fgColor rgb="FFFFC000"/>
        <bgColor indexed="64"/>
      </patternFill>
    </fill>
  </fills>
  <borders count="5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theme="4" tint="0.3999755851924192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theme="4" tint="0.79998168889431442"/>
      </bottom>
      <diagonal/>
    </border>
    <border>
      <left/>
      <right/>
      <top/>
      <bottom style="thin">
        <color theme="4" tint="0.59999389629810485"/>
      </bottom>
      <diagonal/>
    </border>
    <border>
      <left/>
      <right/>
      <top style="thin">
        <color theme="4" tint="0.79998168889431442"/>
      </top>
      <bottom style="thin">
        <color theme="4" tint="0.39997558519241921"/>
      </bottom>
      <diagonal/>
    </border>
    <border>
      <left/>
      <right/>
      <top style="thin">
        <color theme="4" tint="0.79998168889431442"/>
      </top>
      <bottom style="thin">
        <color theme="4" tint="0.79998168889431442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79998168889431442"/>
      </top>
      <bottom/>
      <diagonal/>
    </border>
    <border>
      <left/>
      <right/>
      <top style="thin">
        <color theme="4" tint="0.79998168889431442"/>
      </top>
      <bottom style="thin">
        <color theme="4"/>
      </bottom>
      <diagonal/>
    </border>
    <border>
      <left/>
      <right/>
      <top style="thin">
        <color theme="4" tint="0.39997558519241921"/>
      </top>
      <bottom style="thin">
        <color theme="4" tint="0.79998168889431442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5">
    <xf numFmtId="0" fontId="0" fillId="0" borderId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8" fillId="0" borderId="0"/>
    <xf numFmtId="0" fontId="1" fillId="0" borderId="0"/>
    <xf numFmtId="9" fontId="8" fillId="0" borderId="0" applyFont="0" applyFill="0" applyBorder="0" applyAlignment="0" applyProtection="0"/>
    <xf numFmtId="42" fontId="1" fillId="0" borderId="0" applyFont="0" applyFill="0" applyBorder="0" applyAlignment="0" applyProtection="0"/>
    <xf numFmtId="0" fontId="1" fillId="0" borderId="0"/>
    <xf numFmtId="41" fontId="1" fillId="0" borderId="0" applyFont="0" applyFill="0" applyBorder="0" applyAlignment="0" applyProtection="0"/>
    <xf numFmtId="0" fontId="8" fillId="0" borderId="0"/>
    <xf numFmtId="41" fontId="8" fillId="0" borderId="0" applyFont="0" applyFill="0" applyBorder="0" applyAlignment="0" applyProtection="0"/>
  </cellStyleXfs>
  <cellXfs count="384">
    <xf numFmtId="0" fontId="0" fillId="0" borderId="0" xfId="0"/>
    <xf numFmtId="17" fontId="4" fillId="2" borderId="0" xfId="4" applyNumberFormat="1" applyFont="1" applyFill="1" applyAlignment="1">
      <alignment horizontal="center"/>
    </xf>
    <xf numFmtId="3" fontId="3" fillId="0" borderId="0" xfId="0" applyNumberFormat="1" applyFont="1"/>
    <xf numFmtId="0" fontId="3" fillId="0" borderId="0" xfId="0" applyFont="1"/>
    <xf numFmtId="3" fontId="3" fillId="4" borderId="0" xfId="0" applyNumberFormat="1" applyFont="1" applyFill="1"/>
    <xf numFmtId="0" fontId="0" fillId="4" borderId="0" xfId="0" applyFill="1"/>
    <xf numFmtId="0" fontId="3" fillId="4" borderId="0" xfId="0" applyFont="1" applyFill="1"/>
    <xf numFmtId="0" fontId="0" fillId="3" borderId="0" xfId="0" applyFill="1"/>
    <xf numFmtId="3" fontId="3" fillId="3" borderId="0" xfId="0" applyNumberFormat="1" applyFont="1" applyFill="1"/>
    <xf numFmtId="0" fontId="3" fillId="3" borderId="0" xfId="0" applyFont="1" applyFill="1"/>
    <xf numFmtId="164" fontId="0" fillId="0" borderId="0" xfId="1" applyNumberFormat="1" applyFont="1" applyFill="1" applyBorder="1"/>
    <xf numFmtId="17" fontId="4" fillId="0" borderId="0" xfId="4" applyNumberFormat="1" applyFont="1" applyAlignment="1">
      <alignment horizontal="center"/>
    </xf>
    <xf numFmtId="0" fontId="6" fillId="8" borderId="0" xfId="0" applyFont="1" applyFill="1"/>
    <xf numFmtId="164" fontId="0" fillId="0" borderId="0" xfId="1" applyNumberFormat="1" applyFont="1" applyFill="1"/>
    <xf numFmtId="0" fontId="7" fillId="0" borderId="0" xfId="0" applyFont="1"/>
    <xf numFmtId="164" fontId="0" fillId="0" borderId="0" xfId="0" applyNumberFormat="1"/>
    <xf numFmtId="164" fontId="0" fillId="4" borderId="0" xfId="0" applyNumberFormat="1" applyFill="1"/>
    <xf numFmtId="41" fontId="0" fillId="0" borderId="0" xfId="0" applyNumberFormat="1"/>
    <xf numFmtId="41" fontId="0" fillId="4" borderId="0" xfId="0" applyNumberFormat="1" applyFill="1"/>
    <xf numFmtId="43" fontId="0" fillId="0" borderId="0" xfId="1" applyFont="1"/>
    <xf numFmtId="165" fontId="0" fillId="0" borderId="0" xfId="1" applyNumberFormat="1" applyFont="1"/>
    <xf numFmtId="166" fontId="0" fillId="0" borderId="0" xfId="0" applyNumberFormat="1"/>
    <xf numFmtId="167" fontId="0" fillId="0" borderId="0" xfId="3" applyNumberFormat="1" applyFont="1"/>
    <xf numFmtId="167" fontId="3" fillId="0" borderId="0" xfId="3" applyNumberFormat="1" applyFont="1" applyFill="1" applyBorder="1"/>
    <xf numFmtId="165" fontId="0" fillId="4" borderId="0" xfId="1" applyNumberFormat="1" applyFont="1" applyFill="1"/>
    <xf numFmtId="167" fontId="0" fillId="4" borderId="0" xfId="3" applyNumberFormat="1" applyFont="1" applyFill="1"/>
    <xf numFmtId="10" fontId="0" fillId="4" borderId="0" xfId="3" applyNumberFormat="1" applyFont="1" applyFill="1"/>
    <xf numFmtId="0" fontId="0" fillId="6" borderId="0" xfId="0" applyFill="1"/>
    <xf numFmtId="165" fontId="0" fillId="6" borderId="0" xfId="1" applyNumberFormat="1" applyFont="1" applyFill="1"/>
    <xf numFmtId="167" fontId="0" fillId="0" borderId="0" xfId="3" applyNumberFormat="1" applyFont="1" applyFill="1"/>
    <xf numFmtId="9" fontId="0" fillId="0" borderId="0" xfId="0" applyNumberFormat="1"/>
    <xf numFmtId="164" fontId="0" fillId="4" borderId="0" xfId="1" applyNumberFormat="1" applyFont="1" applyFill="1"/>
    <xf numFmtId="168" fontId="0" fillId="4" borderId="0" xfId="0" applyNumberFormat="1" applyFill="1"/>
    <xf numFmtId="165" fontId="0" fillId="4" borderId="0" xfId="0" applyNumberFormat="1" applyFill="1"/>
    <xf numFmtId="3" fontId="0" fillId="4" borderId="0" xfId="0" applyNumberFormat="1" applyFill="1"/>
    <xf numFmtId="0" fontId="2" fillId="0" borderId="0" xfId="0" applyFont="1"/>
    <xf numFmtId="3" fontId="3" fillId="9" borderId="0" xfId="0" applyNumberFormat="1" applyFont="1" applyFill="1"/>
    <xf numFmtId="0" fontId="0" fillId="0" borderId="0" xfId="0" pivotButton="1"/>
    <xf numFmtId="0" fontId="1" fillId="10" borderId="1" xfId="6" applyFill="1" applyBorder="1" applyAlignment="1">
      <alignment vertical="top"/>
    </xf>
    <xf numFmtId="0" fontId="1" fillId="10" borderId="2" xfId="6" applyFill="1" applyBorder="1" applyAlignment="1">
      <alignment vertical="top"/>
    </xf>
    <xf numFmtId="0" fontId="1" fillId="0" borderId="0" xfId="6"/>
    <xf numFmtId="0" fontId="1" fillId="0" borderId="0" xfId="6" applyAlignment="1">
      <alignment vertical="top"/>
    </xf>
    <xf numFmtId="0" fontId="8" fillId="0" borderId="0" xfId="7" applyAlignment="1">
      <alignment vertical="top"/>
    </xf>
    <xf numFmtId="0" fontId="0" fillId="0" borderId="0" xfId="0" applyAlignment="1">
      <alignment vertical="top"/>
    </xf>
    <xf numFmtId="0" fontId="0" fillId="0" borderId="0" xfId="6" applyFont="1"/>
    <xf numFmtId="0" fontId="8" fillId="10" borderId="1" xfId="7" applyFill="1" applyBorder="1" applyAlignment="1">
      <alignment vertical="top"/>
    </xf>
    <xf numFmtId="0" fontId="0" fillId="10" borderId="1" xfId="0" applyFill="1" applyBorder="1" applyAlignment="1">
      <alignment vertical="top"/>
    </xf>
    <xf numFmtId="0" fontId="0" fillId="10" borderId="1" xfId="0" applyFill="1" applyBorder="1" applyAlignment="1">
      <alignment vertical="top" wrapText="1"/>
    </xf>
    <xf numFmtId="0" fontId="0" fillId="7" borderId="2" xfId="0" applyFill="1" applyBorder="1" applyAlignment="1">
      <alignment vertical="top"/>
    </xf>
    <xf numFmtId="3" fontId="0" fillId="0" borderId="0" xfId="0" applyNumberFormat="1" applyAlignment="1">
      <alignment horizontal="right" vertical="top"/>
    </xf>
    <xf numFmtId="41" fontId="0" fillId="0" borderId="0" xfId="2" applyFont="1" applyAlignment="1">
      <alignment horizontal="right" vertical="top"/>
    </xf>
    <xf numFmtId="14" fontId="0" fillId="0" borderId="0" xfId="0" applyNumberFormat="1" applyAlignment="1">
      <alignment horizontal="right" vertical="top"/>
    </xf>
    <xf numFmtId="41" fontId="0" fillId="0" borderId="0" xfId="2" applyFont="1" applyFill="1" applyAlignment="1">
      <alignment horizontal="right" vertical="top"/>
    </xf>
    <xf numFmtId="14" fontId="0" fillId="0" borderId="0" xfId="0" applyNumberFormat="1" applyAlignment="1">
      <alignment vertical="top"/>
    </xf>
    <xf numFmtId="169" fontId="0" fillId="0" borderId="0" xfId="2" applyNumberFormat="1" applyFont="1" applyAlignment="1">
      <alignment horizontal="right" vertical="top"/>
    </xf>
    <xf numFmtId="170" fontId="0" fillId="0" borderId="0" xfId="0" applyNumberFormat="1" applyAlignment="1">
      <alignment vertical="top"/>
    </xf>
    <xf numFmtId="164" fontId="0" fillId="0" borderId="0" xfId="1" applyNumberFormat="1" applyFont="1" applyAlignment="1">
      <alignment horizontal="right" vertical="top"/>
    </xf>
    <xf numFmtId="41" fontId="0" fillId="0" borderId="0" xfId="2" applyFont="1" applyFill="1" applyAlignment="1">
      <alignment vertical="top"/>
    </xf>
    <xf numFmtId="41" fontId="0" fillId="0" borderId="0" xfId="0" applyNumberFormat="1" applyAlignment="1">
      <alignment vertical="top"/>
    </xf>
    <xf numFmtId="41" fontId="0" fillId="0" borderId="0" xfId="2" applyFont="1" applyAlignment="1">
      <alignment vertical="top"/>
    </xf>
    <xf numFmtId="169" fontId="1" fillId="0" borderId="0" xfId="6" applyNumberFormat="1"/>
    <xf numFmtId="0" fontId="1" fillId="0" borderId="0" xfId="8"/>
    <xf numFmtId="41" fontId="1" fillId="0" borderId="0" xfId="6" applyNumberFormat="1"/>
    <xf numFmtId="3" fontId="1" fillId="0" borderId="0" xfId="6" applyNumberFormat="1"/>
    <xf numFmtId="9" fontId="1" fillId="0" borderId="0" xfId="9" applyFont="1"/>
    <xf numFmtId="10" fontId="1" fillId="0" borderId="0" xfId="3" applyNumberFormat="1"/>
    <xf numFmtId="171" fontId="1" fillId="0" borderId="0" xfId="6" applyNumberFormat="1"/>
    <xf numFmtId="0" fontId="10" fillId="0" borderId="0" xfId="6" applyFont="1"/>
    <xf numFmtId="172" fontId="10" fillId="0" borderId="0" xfId="6" applyNumberFormat="1" applyFont="1"/>
    <xf numFmtId="41" fontId="10" fillId="0" borderId="0" xfId="6" applyNumberFormat="1" applyFont="1"/>
    <xf numFmtId="43" fontId="10" fillId="0" borderId="0" xfId="1" applyFont="1"/>
    <xf numFmtId="164" fontId="10" fillId="0" borderId="0" xfId="1" applyNumberFormat="1" applyFont="1"/>
    <xf numFmtId="3" fontId="10" fillId="0" borderId="0" xfId="6" applyNumberFormat="1" applyFont="1"/>
    <xf numFmtId="43" fontId="10" fillId="0" borderId="0" xfId="6" applyNumberFormat="1" applyFont="1"/>
    <xf numFmtId="164" fontId="10" fillId="0" borderId="0" xfId="6" applyNumberFormat="1" applyFont="1"/>
    <xf numFmtId="167" fontId="10" fillId="0" borderId="0" xfId="3" applyNumberFormat="1" applyFont="1"/>
    <xf numFmtId="0" fontId="12" fillId="13" borderId="7" xfId="6" applyFont="1" applyFill="1" applyBorder="1" applyAlignment="1">
      <alignment horizontal="center"/>
    </xf>
    <xf numFmtId="0" fontId="12" fillId="13" borderId="8" xfId="6" applyFont="1" applyFill="1" applyBorder="1" applyAlignment="1">
      <alignment horizontal="center"/>
    </xf>
    <xf numFmtId="41" fontId="12" fillId="14" borderId="9" xfId="6" applyNumberFormat="1" applyFont="1" applyFill="1" applyBorder="1"/>
    <xf numFmtId="0" fontId="10" fillId="11" borderId="10" xfId="6" applyFont="1" applyFill="1" applyBorder="1"/>
    <xf numFmtId="0" fontId="10" fillId="0" borderId="10" xfId="6" applyFont="1" applyBorder="1"/>
    <xf numFmtId="171" fontId="10" fillId="0" borderId="10" xfId="6" applyNumberFormat="1" applyFont="1" applyBorder="1"/>
    <xf numFmtId="41" fontId="10" fillId="0" borderId="10" xfId="6" applyNumberFormat="1" applyFont="1" applyBorder="1"/>
    <xf numFmtId="0" fontId="12" fillId="14" borderId="11" xfId="6" applyFont="1" applyFill="1" applyBorder="1"/>
    <xf numFmtId="0" fontId="10" fillId="6" borderId="0" xfId="6" applyFont="1" applyFill="1"/>
    <xf numFmtId="169" fontId="10" fillId="0" borderId="10" xfId="6" applyNumberFormat="1" applyFont="1" applyBorder="1"/>
    <xf numFmtId="41" fontId="10" fillId="15" borderId="10" xfId="6" applyNumberFormat="1" applyFont="1" applyFill="1" applyBorder="1"/>
    <xf numFmtId="169" fontId="13" fillId="7" borderId="10" xfId="6" applyNumberFormat="1" applyFont="1" applyFill="1" applyBorder="1"/>
    <xf numFmtId="41" fontId="13" fillId="0" borderId="10" xfId="6" applyNumberFormat="1" applyFont="1" applyBorder="1"/>
    <xf numFmtId="173" fontId="10" fillId="0" borderId="0" xfId="6" applyNumberFormat="1" applyFont="1"/>
    <xf numFmtId="0" fontId="10" fillId="11" borderId="12" xfId="6" applyFont="1" applyFill="1" applyBorder="1"/>
    <xf numFmtId="41" fontId="10" fillId="6" borderId="10" xfId="6" applyNumberFormat="1" applyFont="1" applyFill="1" applyBorder="1"/>
    <xf numFmtId="0" fontId="10" fillId="11" borderId="13" xfId="6" applyFont="1" applyFill="1" applyBorder="1"/>
    <xf numFmtId="41" fontId="10" fillId="0" borderId="0" xfId="2" applyFont="1"/>
    <xf numFmtId="0" fontId="12" fillId="14" borderId="14" xfId="6" applyFont="1" applyFill="1" applyBorder="1"/>
    <xf numFmtId="0" fontId="11" fillId="16" borderId="10" xfId="6" applyFont="1" applyFill="1" applyBorder="1"/>
    <xf numFmtId="169" fontId="14" fillId="16" borderId="10" xfId="6" applyNumberFormat="1" applyFont="1" applyFill="1" applyBorder="1"/>
    <xf numFmtId="41" fontId="11" fillId="16" borderId="10" xfId="6" applyNumberFormat="1" applyFont="1" applyFill="1" applyBorder="1"/>
    <xf numFmtId="0" fontId="12" fillId="14" borderId="0" xfId="6" applyFont="1" applyFill="1"/>
    <xf numFmtId="0" fontId="11" fillId="16" borderId="0" xfId="6" applyFont="1" applyFill="1"/>
    <xf numFmtId="169" fontId="14" fillId="16" borderId="0" xfId="6" applyNumberFormat="1" applyFont="1" applyFill="1"/>
    <xf numFmtId="41" fontId="11" fillId="16" borderId="0" xfId="6" applyNumberFormat="1" applyFont="1" applyFill="1"/>
    <xf numFmtId="41" fontId="12" fillId="14" borderId="3" xfId="6" applyNumberFormat="1" applyFont="1" applyFill="1" applyBorder="1"/>
    <xf numFmtId="41" fontId="13" fillId="7" borderId="10" xfId="6" applyNumberFormat="1" applyFont="1" applyFill="1" applyBorder="1"/>
    <xf numFmtId="174" fontId="10" fillId="0" borderId="0" xfId="6" applyNumberFormat="1" applyFont="1"/>
    <xf numFmtId="171" fontId="10" fillId="0" borderId="0" xfId="6" applyNumberFormat="1" applyFont="1"/>
    <xf numFmtId="164" fontId="13" fillId="0" borderId="10" xfId="1" applyNumberFormat="1" applyFont="1" applyBorder="1"/>
    <xf numFmtId="171" fontId="13" fillId="0" borderId="10" xfId="6" applyNumberFormat="1" applyFont="1" applyBorder="1"/>
    <xf numFmtId="164" fontId="10" fillId="11" borderId="10" xfId="1" applyNumberFormat="1" applyFont="1" applyFill="1" applyBorder="1"/>
    <xf numFmtId="41" fontId="10" fillId="7" borderId="10" xfId="6" applyNumberFormat="1" applyFont="1" applyFill="1" applyBorder="1"/>
    <xf numFmtId="164" fontId="10" fillId="11" borderId="12" xfId="1" applyNumberFormat="1" applyFont="1" applyFill="1" applyBorder="1"/>
    <xf numFmtId="172" fontId="10" fillId="7" borderId="10" xfId="6" applyNumberFormat="1" applyFont="1" applyFill="1" applyBorder="1"/>
    <xf numFmtId="174" fontId="10" fillId="0" borderId="10" xfId="6" applyNumberFormat="1" applyFont="1" applyBorder="1"/>
    <xf numFmtId="171" fontId="13" fillId="7" borderId="10" xfId="6" applyNumberFormat="1" applyFont="1" applyFill="1" applyBorder="1"/>
    <xf numFmtId="41" fontId="15" fillId="7" borderId="10" xfId="6" applyNumberFormat="1" applyFont="1" applyFill="1" applyBorder="1"/>
    <xf numFmtId="169" fontId="10" fillId="0" borderId="0" xfId="6" applyNumberFormat="1" applyFont="1"/>
    <xf numFmtId="175" fontId="10" fillId="0" borderId="0" xfId="6" applyNumberFormat="1" applyFont="1"/>
    <xf numFmtId="175" fontId="10" fillId="0" borderId="0" xfId="1" applyNumberFormat="1" applyFont="1"/>
    <xf numFmtId="41" fontId="10" fillId="0" borderId="10" xfId="6" applyNumberFormat="1" applyFont="1" applyBorder="1" applyAlignment="1">
      <alignment horizontal="center"/>
    </xf>
    <xf numFmtId="41" fontId="13" fillId="0" borderId="10" xfId="6" applyNumberFormat="1" applyFont="1" applyBorder="1" applyAlignment="1">
      <alignment horizontal="center"/>
    </xf>
    <xf numFmtId="171" fontId="10" fillId="15" borderId="10" xfId="6" applyNumberFormat="1" applyFont="1" applyFill="1" applyBorder="1"/>
    <xf numFmtId="172" fontId="13" fillId="0" borderId="10" xfId="6" applyNumberFormat="1" applyFont="1" applyBorder="1"/>
    <xf numFmtId="172" fontId="10" fillId="0" borderId="10" xfId="6" applyNumberFormat="1" applyFont="1" applyBorder="1"/>
    <xf numFmtId="176" fontId="10" fillId="0" borderId="0" xfId="6" applyNumberFormat="1" applyFont="1"/>
    <xf numFmtId="177" fontId="10" fillId="0" borderId="0" xfId="6" applyNumberFormat="1" applyFont="1"/>
    <xf numFmtId="43" fontId="10" fillId="0" borderId="10" xfId="1" applyFont="1" applyFill="1" applyBorder="1"/>
    <xf numFmtId="174" fontId="13" fillId="0" borderId="10" xfId="6" applyNumberFormat="1" applyFont="1" applyBorder="1"/>
    <xf numFmtId="10" fontId="10" fillId="0" borderId="0" xfId="3" applyNumberFormat="1" applyFont="1"/>
    <xf numFmtId="172" fontId="13" fillId="7" borderId="10" xfId="6" applyNumberFormat="1" applyFont="1" applyFill="1" applyBorder="1"/>
    <xf numFmtId="169" fontId="13" fillId="0" borderId="10" xfId="6" applyNumberFormat="1" applyFont="1" applyBorder="1"/>
    <xf numFmtId="10" fontId="10" fillId="0" borderId="0" xfId="9" applyNumberFormat="1" applyFont="1"/>
    <xf numFmtId="171" fontId="15" fillId="0" borderId="10" xfId="6" applyNumberFormat="1" applyFont="1" applyBorder="1"/>
    <xf numFmtId="174" fontId="15" fillId="0" borderId="10" xfId="6" applyNumberFormat="1" applyFont="1" applyBorder="1"/>
    <xf numFmtId="9" fontId="10" fillId="0" borderId="0" xfId="3" applyFont="1"/>
    <xf numFmtId="179" fontId="10" fillId="0" borderId="10" xfId="1" applyNumberFormat="1" applyFont="1" applyBorder="1"/>
    <xf numFmtId="179" fontId="15" fillId="0" borderId="10" xfId="1" applyNumberFormat="1" applyFont="1" applyBorder="1"/>
    <xf numFmtId="180" fontId="10" fillId="0" borderId="0" xfId="6" applyNumberFormat="1" applyFont="1"/>
    <xf numFmtId="9" fontId="10" fillId="0" borderId="0" xfId="6" applyNumberFormat="1" applyFont="1"/>
    <xf numFmtId="172" fontId="15" fillId="7" borderId="10" xfId="6" applyNumberFormat="1" applyFont="1" applyFill="1" applyBorder="1"/>
    <xf numFmtId="41" fontId="12" fillId="14" borderId="9" xfId="0" applyNumberFormat="1" applyFont="1" applyFill="1" applyBorder="1"/>
    <xf numFmtId="0" fontId="10" fillId="11" borderId="10" xfId="0" applyFont="1" applyFill="1" applyBorder="1"/>
    <xf numFmtId="0" fontId="10" fillId="0" borderId="10" xfId="0" applyFont="1" applyBorder="1"/>
    <xf numFmtId="41" fontId="10" fillId="0" borderId="10" xfId="0" applyNumberFormat="1" applyFont="1" applyBorder="1"/>
    <xf numFmtId="41" fontId="13" fillId="0" borderId="10" xfId="0" applyNumberFormat="1" applyFont="1" applyBorder="1"/>
    <xf numFmtId="0" fontId="12" fillId="14" borderId="11" xfId="0" applyFont="1" applyFill="1" applyBorder="1"/>
    <xf numFmtId="0" fontId="10" fillId="11" borderId="13" xfId="0" applyFont="1" applyFill="1" applyBorder="1"/>
    <xf numFmtId="0" fontId="12" fillId="14" borderId="14" xfId="0" applyFont="1" applyFill="1" applyBorder="1"/>
    <xf numFmtId="0" fontId="11" fillId="16" borderId="10" xfId="0" applyFont="1" applyFill="1" applyBorder="1"/>
    <xf numFmtId="0" fontId="12" fillId="14" borderId="0" xfId="0" applyFont="1" applyFill="1"/>
    <xf numFmtId="0" fontId="11" fillId="16" borderId="0" xfId="0" applyFont="1" applyFill="1"/>
    <xf numFmtId="169" fontId="10" fillId="0" borderId="10" xfId="0" applyNumberFormat="1" applyFont="1" applyBorder="1"/>
    <xf numFmtId="41" fontId="16" fillId="0" borderId="10" xfId="0" applyNumberFormat="1" applyFont="1" applyBorder="1"/>
    <xf numFmtId="0" fontId="17" fillId="11" borderId="10" xfId="0" applyFont="1" applyFill="1" applyBorder="1"/>
    <xf numFmtId="0" fontId="10" fillId="11" borderId="12" xfId="0" applyFont="1" applyFill="1" applyBorder="1"/>
    <xf numFmtId="0" fontId="17" fillId="0" borderId="10" xfId="0" applyFont="1" applyBorder="1"/>
    <xf numFmtId="172" fontId="16" fillId="0" borderId="10" xfId="0" applyNumberFormat="1" applyFont="1" applyBorder="1"/>
    <xf numFmtId="181" fontId="10" fillId="0" borderId="0" xfId="6" applyNumberFormat="1" applyFont="1"/>
    <xf numFmtId="164" fontId="10" fillId="6" borderId="0" xfId="1" applyNumberFormat="1" applyFont="1" applyFill="1"/>
    <xf numFmtId="167" fontId="10" fillId="6" borderId="0" xfId="3" applyNumberFormat="1" applyFont="1" applyFill="1"/>
    <xf numFmtId="0" fontId="11" fillId="0" borderId="1" xfId="6" applyFont="1" applyBorder="1"/>
    <xf numFmtId="41" fontId="11" fillId="0" borderId="1" xfId="6" applyNumberFormat="1" applyFont="1" applyBorder="1"/>
    <xf numFmtId="41" fontId="11" fillId="0" borderId="10" xfId="6" applyNumberFormat="1" applyFont="1" applyBorder="1"/>
    <xf numFmtId="164" fontId="10" fillId="0" borderId="0" xfId="1" applyNumberFormat="1" applyFont="1" applyFill="1"/>
    <xf numFmtId="172" fontId="0" fillId="0" borderId="0" xfId="0" applyNumberFormat="1"/>
    <xf numFmtId="164" fontId="0" fillId="0" borderId="0" xfId="1" applyNumberFormat="1" applyFont="1"/>
    <xf numFmtId="164" fontId="0" fillId="10" borderId="1" xfId="1" applyNumberFormat="1" applyFont="1" applyFill="1" applyBorder="1" applyAlignment="1">
      <alignment vertical="top" wrapText="1"/>
    </xf>
    <xf numFmtId="164" fontId="0" fillId="0" borderId="0" xfId="1" applyNumberFormat="1" applyFont="1" applyFill="1" applyAlignment="1">
      <alignment horizontal="right" vertical="top"/>
    </xf>
    <xf numFmtId="9" fontId="0" fillId="0" borderId="0" xfId="1" applyNumberFormat="1" applyFont="1"/>
    <xf numFmtId="43" fontId="10" fillId="0" borderId="0" xfId="1" applyFont="1" applyFill="1"/>
    <xf numFmtId="41" fontId="10" fillId="0" borderId="0" xfId="2" applyFont="1" applyFill="1"/>
    <xf numFmtId="167" fontId="10" fillId="0" borderId="0" xfId="3" applyNumberFormat="1" applyFont="1" applyFill="1"/>
    <xf numFmtId="41" fontId="10" fillId="0" borderId="0" xfId="9" applyNumberFormat="1" applyFont="1" applyFill="1"/>
    <xf numFmtId="165" fontId="10" fillId="0" borderId="0" xfId="1" applyNumberFormat="1" applyFont="1" applyFill="1"/>
    <xf numFmtId="175" fontId="10" fillId="0" borderId="0" xfId="1" applyNumberFormat="1" applyFont="1" applyFill="1"/>
    <xf numFmtId="172" fontId="10" fillId="0" borderId="10" xfId="0" applyNumberFormat="1" applyFont="1" applyBorder="1"/>
    <xf numFmtId="169" fontId="11" fillId="0" borderId="10" xfId="6" applyNumberFormat="1" applyFont="1" applyBorder="1"/>
    <xf numFmtId="0" fontId="8" fillId="0" borderId="0" xfId="13" applyAlignment="1">
      <alignment vertical="top"/>
    </xf>
    <xf numFmtId="41" fontId="8" fillId="0" borderId="0" xfId="13" applyNumberFormat="1" applyAlignment="1">
      <alignment vertical="top"/>
    </xf>
    <xf numFmtId="0" fontId="18" fillId="0" borderId="0" xfId="13" applyFont="1" applyAlignment="1">
      <alignment vertical="top"/>
    </xf>
    <xf numFmtId="0" fontId="18" fillId="0" borderId="0" xfId="13" applyFont="1" applyAlignment="1">
      <alignment horizontal="center" vertical="top"/>
    </xf>
    <xf numFmtId="0" fontId="9" fillId="13" borderId="7" xfId="8" applyFont="1" applyFill="1" applyBorder="1" applyAlignment="1">
      <alignment horizontal="center"/>
    </xf>
    <xf numFmtId="0" fontId="9" fillId="13" borderId="8" xfId="8" applyFont="1" applyFill="1" applyBorder="1" applyAlignment="1">
      <alignment horizontal="center"/>
    </xf>
    <xf numFmtId="0" fontId="9" fillId="0" borderId="0" xfId="8" applyFont="1" applyAlignment="1">
      <alignment horizontal="center"/>
    </xf>
    <xf numFmtId="0" fontId="19" fillId="15" borderId="0" xfId="13" applyFont="1" applyFill="1" applyAlignment="1">
      <alignment vertical="top"/>
    </xf>
    <xf numFmtId="0" fontId="9" fillId="13" borderId="8" xfId="6" applyFont="1" applyFill="1" applyBorder="1" applyAlignment="1">
      <alignment horizontal="center"/>
    </xf>
    <xf numFmtId="164" fontId="8" fillId="0" borderId="0" xfId="13" applyNumberFormat="1" applyAlignment="1">
      <alignment vertical="top"/>
    </xf>
    <xf numFmtId="169" fontId="8" fillId="0" borderId="0" xfId="13" applyNumberFormat="1" applyAlignment="1">
      <alignment vertical="top"/>
    </xf>
    <xf numFmtId="169" fontId="0" fillId="0" borderId="0" xfId="14" applyNumberFormat="1" applyFont="1" applyAlignment="1">
      <alignment vertical="top"/>
    </xf>
    <xf numFmtId="164" fontId="18" fillId="0" borderId="0" xfId="13" applyNumberFormat="1" applyFont="1" applyAlignment="1">
      <alignment vertical="top"/>
    </xf>
    <xf numFmtId="43" fontId="8" fillId="0" borderId="0" xfId="1" applyFont="1" applyFill="1" applyAlignment="1">
      <alignment vertical="top"/>
    </xf>
    <xf numFmtId="167" fontId="8" fillId="0" borderId="0" xfId="3" applyNumberFormat="1" applyFont="1" applyFill="1" applyAlignment="1">
      <alignment vertical="top"/>
    </xf>
    <xf numFmtId="168" fontId="19" fillId="15" borderId="0" xfId="13" applyNumberFormat="1" applyFont="1" applyFill="1" applyAlignment="1">
      <alignment vertical="top"/>
    </xf>
    <xf numFmtId="41" fontId="1" fillId="0" borderId="10" xfId="6" applyNumberFormat="1" applyBorder="1"/>
    <xf numFmtId="41" fontId="2" fillId="0" borderId="10" xfId="6" applyNumberFormat="1" applyFont="1" applyBorder="1"/>
    <xf numFmtId="169" fontId="8" fillId="0" borderId="0" xfId="14" applyNumberFormat="1" applyAlignment="1">
      <alignment vertical="top"/>
    </xf>
    <xf numFmtId="43" fontId="8" fillId="0" borderId="0" xfId="13" applyNumberFormat="1" applyAlignment="1">
      <alignment vertical="top"/>
    </xf>
    <xf numFmtId="41" fontId="8" fillId="0" borderId="0" xfId="14" applyAlignment="1">
      <alignment vertical="top"/>
    </xf>
    <xf numFmtId="171" fontId="0" fillId="0" borderId="0" xfId="14" applyNumberFormat="1" applyFont="1" applyAlignment="1">
      <alignment vertical="top"/>
    </xf>
    <xf numFmtId="9" fontId="8" fillId="0" borderId="0" xfId="9" applyFont="1" applyAlignment="1">
      <alignment vertical="top"/>
    </xf>
    <xf numFmtId="10" fontId="8" fillId="0" borderId="0" xfId="9" applyNumberFormat="1" applyFont="1" applyAlignment="1">
      <alignment vertical="top"/>
    </xf>
    <xf numFmtId="0" fontId="2" fillId="16" borderId="10" xfId="6" applyFont="1" applyFill="1" applyBorder="1"/>
    <xf numFmtId="169" fontId="20" fillId="16" borderId="10" xfId="6" applyNumberFormat="1" applyFont="1" applyFill="1" applyBorder="1"/>
    <xf numFmtId="41" fontId="2" fillId="16" borderId="10" xfId="6" applyNumberFormat="1" applyFont="1" applyFill="1" applyBorder="1"/>
    <xf numFmtId="41" fontId="2" fillId="0" borderId="0" xfId="6" applyNumberFormat="1" applyFont="1"/>
    <xf numFmtId="41" fontId="2" fillId="16" borderId="10" xfId="14" applyFont="1" applyFill="1" applyBorder="1"/>
    <xf numFmtId="10" fontId="0" fillId="0" borderId="0" xfId="9" applyNumberFormat="1" applyFont="1" applyAlignment="1">
      <alignment vertical="top"/>
    </xf>
    <xf numFmtId="41" fontId="0" fillId="0" borderId="0" xfId="14" applyFont="1" applyAlignment="1">
      <alignment vertical="top"/>
    </xf>
    <xf numFmtId="41" fontId="0" fillId="0" borderId="0" xfId="14" applyFont="1" applyFill="1" applyAlignment="1">
      <alignment vertical="top"/>
    </xf>
    <xf numFmtId="169" fontId="0" fillId="0" borderId="0" xfId="14" applyNumberFormat="1" applyFont="1" applyFill="1" applyAlignment="1">
      <alignment vertical="top"/>
    </xf>
    <xf numFmtId="0" fontId="2" fillId="17" borderId="0" xfId="6" applyFont="1" applyFill="1"/>
    <xf numFmtId="169" fontId="20" fillId="17" borderId="0" xfId="6" applyNumberFormat="1" applyFont="1" applyFill="1"/>
    <xf numFmtId="41" fontId="2" fillId="17" borderId="0" xfId="6" applyNumberFormat="1" applyFont="1" applyFill="1"/>
    <xf numFmtId="10" fontId="0" fillId="15" borderId="0" xfId="9" applyNumberFormat="1" applyFont="1" applyFill="1" applyAlignment="1">
      <alignment vertical="top"/>
    </xf>
    <xf numFmtId="0" fontId="8" fillId="15" borderId="0" xfId="13" applyFill="1" applyAlignment="1">
      <alignment vertical="top"/>
    </xf>
    <xf numFmtId="41" fontId="19" fillId="15" borderId="0" xfId="14" applyFont="1" applyFill="1" applyAlignment="1">
      <alignment vertical="top"/>
    </xf>
    <xf numFmtId="0" fontId="1" fillId="0" borderId="10" xfId="6" applyBorder="1"/>
    <xf numFmtId="41" fontId="18" fillId="0" borderId="0" xfId="13" applyNumberFormat="1" applyFont="1" applyAlignment="1">
      <alignment vertical="top"/>
    </xf>
    <xf numFmtId="43" fontId="18" fillId="0" borderId="0" xfId="13" applyNumberFormat="1" applyFont="1" applyAlignment="1">
      <alignment vertical="top"/>
    </xf>
    <xf numFmtId="176" fontId="8" fillId="0" borderId="0" xfId="14" applyNumberFormat="1" applyFont="1" applyAlignment="1">
      <alignment vertical="top"/>
    </xf>
    <xf numFmtId="176" fontId="8" fillId="0" borderId="0" xfId="14" applyNumberFormat="1" applyFont="1" applyFill="1" applyAlignment="1">
      <alignment vertical="top"/>
    </xf>
    <xf numFmtId="0" fontId="0" fillId="15" borderId="0" xfId="0" applyFill="1" applyAlignment="1">
      <alignment vertical="top"/>
    </xf>
    <xf numFmtId="42" fontId="0" fillId="15" borderId="0" xfId="0" applyNumberFormat="1" applyFill="1" applyAlignment="1">
      <alignment vertical="top"/>
    </xf>
    <xf numFmtId="0" fontId="18" fillId="15" borderId="0" xfId="0" applyFont="1" applyFill="1" applyAlignment="1">
      <alignment vertical="top"/>
    </xf>
    <xf numFmtId="0" fontId="0" fillId="15" borderId="17" xfId="0" applyFill="1" applyBorder="1" applyAlignment="1">
      <alignment vertical="top"/>
    </xf>
    <xf numFmtId="42" fontId="2" fillId="15" borderId="0" xfId="10" applyFont="1" applyFill="1" applyAlignment="1">
      <alignment vertical="top"/>
    </xf>
    <xf numFmtId="0" fontId="18" fillId="15" borderId="18" xfId="0" applyFont="1" applyFill="1" applyBorder="1" applyAlignment="1">
      <alignment vertical="top"/>
    </xf>
    <xf numFmtId="0" fontId="0" fillId="15" borderId="19" xfId="0" applyFill="1" applyBorder="1" applyAlignment="1">
      <alignment vertical="top"/>
    </xf>
    <xf numFmtId="41" fontId="0" fillId="15" borderId="0" xfId="14" applyFont="1" applyFill="1" applyAlignment="1">
      <alignment vertical="top"/>
    </xf>
    <xf numFmtId="41" fontId="0" fillId="15" borderId="0" xfId="0" applyNumberFormat="1" applyFill="1" applyAlignment="1">
      <alignment vertical="top"/>
    </xf>
    <xf numFmtId="0" fontId="8" fillId="15" borderId="18" xfId="0" applyFont="1" applyFill="1" applyBorder="1" applyAlignment="1">
      <alignment vertical="top"/>
    </xf>
    <xf numFmtId="42" fontId="0" fillId="15" borderId="0" xfId="10" applyFont="1" applyFill="1" applyAlignment="1">
      <alignment vertical="top"/>
    </xf>
    <xf numFmtId="167" fontId="0" fillId="15" borderId="0" xfId="3" applyNumberFormat="1" applyFont="1" applyFill="1" applyAlignment="1">
      <alignment vertical="top"/>
    </xf>
    <xf numFmtId="164" fontId="0" fillId="15" borderId="0" xfId="1" applyNumberFormat="1" applyFont="1" applyFill="1" applyAlignment="1">
      <alignment vertical="top"/>
    </xf>
    <xf numFmtId="164" fontId="0" fillId="15" borderId="0" xfId="0" applyNumberFormat="1" applyFill="1" applyAlignment="1">
      <alignment vertical="top"/>
    </xf>
    <xf numFmtId="10" fontId="0" fillId="15" borderId="0" xfId="0" applyNumberFormat="1" applyFill="1" applyAlignment="1">
      <alignment vertical="top"/>
    </xf>
    <xf numFmtId="3" fontId="0" fillId="15" borderId="0" xfId="0" applyNumberFormat="1" applyFill="1" applyAlignment="1">
      <alignment vertical="top"/>
    </xf>
    <xf numFmtId="164" fontId="0" fillId="15" borderId="27" xfId="1" applyNumberFormat="1" applyFont="1" applyFill="1" applyBorder="1" applyAlignment="1">
      <alignment vertical="top"/>
    </xf>
    <xf numFmtId="164" fontId="0" fillId="15" borderId="28" xfId="1" applyNumberFormat="1" applyFont="1" applyFill="1" applyBorder="1" applyAlignment="1">
      <alignment vertical="top"/>
    </xf>
    <xf numFmtId="10" fontId="0" fillId="15" borderId="28" xfId="0" applyNumberFormat="1" applyFill="1" applyBorder="1" applyAlignment="1">
      <alignment vertical="top"/>
    </xf>
    <xf numFmtId="3" fontId="0" fillId="15" borderId="28" xfId="0" applyNumberFormat="1" applyFill="1" applyBorder="1" applyAlignment="1">
      <alignment vertical="top"/>
    </xf>
    <xf numFmtId="164" fontId="0" fillId="15" borderId="29" xfId="1" applyNumberFormat="1" applyFont="1" applyFill="1" applyBorder="1" applyAlignment="1">
      <alignment vertical="top"/>
    </xf>
    <xf numFmtId="41" fontId="0" fillId="15" borderId="28" xfId="0" applyNumberFormat="1" applyFill="1" applyBorder="1" applyAlignment="1">
      <alignment vertical="top"/>
    </xf>
    <xf numFmtId="0" fontId="0" fillId="15" borderId="28" xfId="0" applyFill="1" applyBorder="1" applyAlignment="1">
      <alignment vertical="top"/>
    </xf>
    <xf numFmtId="164" fontId="2" fillId="15" borderId="0" xfId="0" applyNumberFormat="1" applyFont="1" applyFill="1" applyAlignment="1">
      <alignment vertical="top"/>
    </xf>
    <xf numFmtId="167" fontId="2" fillId="15" borderId="0" xfId="3" applyNumberFormat="1" applyFont="1" applyFill="1" applyAlignment="1">
      <alignment vertical="top"/>
    </xf>
    <xf numFmtId="164" fontId="2" fillId="15" borderId="0" xfId="1" applyNumberFormat="1" applyFont="1" applyFill="1" applyAlignment="1">
      <alignment vertical="top"/>
    </xf>
    <xf numFmtId="164" fontId="2" fillId="15" borderId="27" xfId="0" applyNumberFormat="1" applyFont="1" applyFill="1" applyBorder="1" applyAlignment="1">
      <alignment vertical="top"/>
    </xf>
    <xf numFmtId="0" fontId="2" fillId="15" borderId="0" xfId="0" applyFont="1" applyFill="1" applyAlignment="1">
      <alignment vertical="top"/>
    </xf>
    <xf numFmtId="0" fontId="0" fillId="15" borderId="27" xfId="0" applyFill="1" applyBorder="1" applyAlignment="1">
      <alignment vertical="top"/>
    </xf>
    <xf numFmtId="43" fontId="0" fillId="15" borderId="0" xfId="0" applyNumberFormat="1" applyFill="1" applyAlignment="1">
      <alignment vertical="top"/>
    </xf>
    <xf numFmtId="43" fontId="0" fillId="15" borderId="27" xfId="0" applyNumberFormat="1" applyFill="1" applyBorder="1" applyAlignment="1">
      <alignment vertical="top"/>
    </xf>
    <xf numFmtId="0" fontId="0" fillId="15" borderId="18" xfId="0" applyFill="1" applyBorder="1" applyAlignment="1">
      <alignment vertical="top"/>
    </xf>
    <xf numFmtId="42" fontId="0" fillId="15" borderId="18" xfId="0" applyNumberFormat="1" applyFill="1" applyBorder="1" applyAlignment="1">
      <alignment vertical="top"/>
    </xf>
    <xf numFmtId="0" fontId="8" fillId="15" borderId="0" xfId="0" applyFont="1" applyFill="1" applyAlignment="1">
      <alignment vertical="top"/>
    </xf>
    <xf numFmtId="178" fontId="0" fillId="15" borderId="0" xfId="0" applyNumberFormat="1" applyFill="1" applyAlignment="1">
      <alignment vertical="top"/>
    </xf>
    <xf numFmtId="42" fontId="0" fillId="15" borderId="20" xfId="0" applyNumberFormat="1" applyFill="1" applyBorder="1" applyAlignment="1">
      <alignment vertical="top"/>
    </xf>
    <xf numFmtId="0" fontId="8" fillId="15" borderId="21" xfId="0" applyFont="1" applyFill="1" applyBorder="1" applyAlignment="1">
      <alignment vertical="top"/>
    </xf>
    <xf numFmtId="0" fontId="0" fillId="15" borderId="21" xfId="0" applyFill="1" applyBorder="1" applyAlignment="1">
      <alignment vertical="top"/>
    </xf>
    <xf numFmtId="0" fontId="0" fillId="15" borderId="22" xfId="0" applyFill="1" applyBorder="1" applyAlignment="1">
      <alignment vertical="top"/>
    </xf>
    <xf numFmtId="2" fontId="0" fillId="15" borderId="0" xfId="0" applyNumberFormat="1" applyFill="1" applyAlignment="1">
      <alignment vertical="top"/>
    </xf>
    <xf numFmtId="1" fontId="0" fillId="15" borderId="0" xfId="0" applyNumberFormat="1" applyFill="1" applyAlignment="1">
      <alignment vertical="top"/>
    </xf>
    <xf numFmtId="0" fontId="21" fillId="15" borderId="1" xfId="13" applyFont="1" applyFill="1" applyBorder="1" applyAlignment="1">
      <alignment vertical="center"/>
    </xf>
    <xf numFmtId="0" fontId="21" fillId="15" borderId="1" xfId="13" applyFont="1" applyFill="1" applyBorder="1" applyAlignment="1">
      <alignment horizontal="center" vertical="center"/>
    </xf>
    <xf numFmtId="0" fontId="22" fillId="15" borderId="1" xfId="13" applyFont="1" applyFill="1" applyBorder="1" applyAlignment="1">
      <alignment horizontal="left" vertical="center" indent="2"/>
    </xf>
    <xf numFmtId="4" fontId="22" fillId="15" borderId="1" xfId="13" applyNumberFormat="1" applyFont="1" applyFill="1" applyBorder="1" applyAlignment="1">
      <alignment vertical="center"/>
    </xf>
    <xf numFmtId="166" fontId="21" fillId="15" borderId="1" xfId="13" applyNumberFormat="1" applyFont="1" applyFill="1" applyBorder="1" applyAlignment="1">
      <alignment vertical="center"/>
    </xf>
    <xf numFmtId="2" fontId="21" fillId="0" borderId="1" xfId="13" applyNumberFormat="1" applyFont="1" applyBorder="1" applyAlignment="1">
      <alignment vertical="center"/>
    </xf>
    <xf numFmtId="0" fontId="22" fillId="15" borderId="30" xfId="13" applyFont="1" applyFill="1" applyBorder="1" applyAlignment="1">
      <alignment vertical="center"/>
    </xf>
    <xf numFmtId="0" fontId="22" fillId="15" borderId="31" xfId="13" applyFont="1" applyFill="1" applyBorder="1" applyAlignment="1">
      <alignment vertical="center"/>
    </xf>
    <xf numFmtId="2" fontId="21" fillId="15" borderId="1" xfId="13" applyNumberFormat="1" applyFont="1" applyFill="1" applyBorder="1" applyAlignment="1">
      <alignment vertical="center"/>
    </xf>
    <xf numFmtId="0" fontId="2" fillId="0" borderId="6" xfId="0" applyFont="1" applyBorder="1"/>
    <xf numFmtId="0" fontId="2" fillId="0" borderId="4" xfId="0" applyFont="1" applyBorder="1"/>
    <xf numFmtId="0" fontId="2" fillId="0" borderId="1" xfId="0" applyFont="1" applyBorder="1"/>
    <xf numFmtId="0" fontId="2" fillId="0" borderId="40" xfId="0" applyFont="1" applyBorder="1"/>
    <xf numFmtId="0" fontId="22" fillId="0" borderId="1" xfId="13" applyFont="1" applyBorder="1" applyAlignment="1">
      <alignment vertical="center"/>
    </xf>
    <xf numFmtId="167" fontId="22" fillId="0" borderId="1" xfId="9" applyNumberFormat="1" applyFont="1" applyFill="1" applyBorder="1" applyAlignment="1">
      <alignment vertical="center"/>
    </xf>
    <xf numFmtId="167" fontId="22" fillId="0" borderId="38" xfId="9" applyNumberFormat="1" applyFont="1" applyFill="1" applyBorder="1" applyAlignment="1">
      <alignment vertical="center"/>
    </xf>
    <xf numFmtId="167" fontId="22" fillId="0" borderId="41" xfId="9" applyNumberFormat="1" applyFont="1" applyFill="1" applyBorder="1" applyAlignment="1">
      <alignment vertical="center"/>
    </xf>
    <xf numFmtId="0" fontId="21" fillId="0" borderId="26" xfId="13" applyFont="1" applyBorder="1" applyAlignment="1">
      <alignment vertical="center"/>
    </xf>
    <xf numFmtId="0" fontId="0" fillId="0" borderId="40" xfId="0" applyBorder="1"/>
    <xf numFmtId="172" fontId="22" fillId="0" borderId="1" xfId="12" applyNumberFormat="1" applyFont="1" applyFill="1" applyBorder="1" applyAlignment="1">
      <alignment vertical="center"/>
    </xf>
    <xf numFmtId="4" fontId="22" fillId="0" borderId="1" xfId="13" applyNumberFormat="1" applyFont="1" applyBorder="1" applyAlignment="1">
      <alignment vertical="center"/>
    </xf>
    <xf numFmtId="4" fontId="22" fillId="0" borderId="4" xfId="13" applyNumberFormat="1" applyFont="1" applyBorder="1" applyAlignment="1">
      <alignment vertical="center"/>
    </xf>
    <xf numFmtId="169" fontId="22" fillId="0" borderId="26" xfId="12" applyNumberFormat="1" applyFont="1" applyFill="1" applyBorder="1" applyAlignment="1">
      <alignment vertical="center"/>
    </xf>
    <xf numFmtId="169" fontId="22" fillId="0" borderId="38" xfId="12" applyNumberFormat="1" applyFont="1" applyFill="1" applyBorder="1" applyAlignment="1">
      <alignment vertical="center"/>
    </xf>
    <xf numFmtId="169" fontId="22" fillId="0" borderId="42" xfId="12" applyNumberFormat="1" applyFont="1" applyFill="1" applyBorder="1" applyAlignment="1">
      <alignment vertical="center"/>
    </xf>
    <xf numFmtId="0" fontId="22" fillId="0" borderId="4" xfId="13" applyFont="1" applyBorder="1" applyAlignment="1">
      <alignment vertical="center"/>
    </xf>
    <xf numFmtId="169" fontId="22" fillId="0" borderId="1" xfId="12" applyNumberFormat="1" applyFont="1" applyFill="1" applyBorder="1" applyAlignment="1">
      <alignment vertical="center"/>
    </xf>
    <xf numFmtId="169" fontId="22" fillId="0" borderId="40" xfId="12" applyNumberFormat="1" applyFont="1" applyFill="1" applyBorder="1" applyAlignment="1">
      <alignment vertical="center"/>
    </xf>
    <xf numFmtId="170" fontId="21" fillId="15" borderId="1" xfId="13" applyNumberFormat="1" applyFont="1" applyFill="1" applyBorder="1" applyAlignment="1">
      <alignment vertical="center"/>
    </xf>
    <xf numFmtId="167" fontId="22" fillId="0" borderId="4" xfId="9" applyNumberFormat="1" applyFont="1" applyFill="1" applyBorder="1" applyAlignment="1">
      <alignment vertical="center"/>
    </xf>
    <xf numFmtId="0" fontId="22" fillId="0" borderId="43" xfId="13" applyFont="1" applyBorder="1" applyAlignment="1">
      <alignment vertical="center"/>
    </xf>
    <xf numFmtId="169" fontId="22" fillId="0" borderId="44" xfId="12" applyNumberFormat="1" applyFont="1" applyFill="1" applyBorder="1" applyAlignment="1">
      <alignment vertical="center"/>
    </xf>
    <xf numFmtId="0" fontId="22" fillId="15" borderId="0" xfId="13" applyFont="1" applyFill="1" applyAlignment="1">
      <alignment vertical="center"/>
    </xf>
    <xf numFmtId="9" fontId="0" fillId="0" borderId="0" xfId="3" applyFont="1"/>
    <xf numFmtId="172" fontId="2" fillId="0" borderId="0" xfId="0" applyNumberFormat="1" applyFont="1"/>
    <xf numFmtId="41" fontId="10" fillId="18" borderId="10" xfId="6" applyNumberFormat="1" applyFont="1" applyFill="1" applyBorder="1"/>
    <xf numFmtId="41" fontId="13" fillId="18" borderId="10" xfId="6" applyNumberFormat="1" applyFont="1" applyFill="1" applyBorder="1"/>
    <xf numFmtId="41" fontId="8" fillId="0" borderId="28" xfId="14" applyBorder="1" applyAlignment="1">
      <alignment vertical="top"/>
    </xf>
    <xf numFmtId="41" fontId="8" fillId="0" borderId="27" xfId="14" applyBorder="1" applyAlignment="1">
      <alignment vertical="top"/>
    </xf>
    <xf numFmtId="41" fontId="8" fillId="0" borderId="29" xfId="14" applyBorder="1" applyAlignment="1">
      <alignment vertical="top"/>
    </xf>
    <xf numFmtId="0" fontId="8" fillId="0" borderId="1" xfId="13" applyBorder="1" applyAlignment="1">
      <alignment vertical="top"/>
    </xf>
    <xf numFmtId="164" fontId="8" fillId="0" borderId="1" xfId="13" applyNumberFormat="1" applyBorder="1" applyAlignment="1">
      <alignment vertical="top"/>
    </xf>
    <xf numFmtId="41" fontId="8" fillId="0" borderId="43" xfId="14" applyBorder="1" applyAlignment="1">
      <alignment vertical="top"/>
    </xf>
    <xf numFmtId="41" fontId="8" fillId="0" borderId="30" xfId="14" applyBorder="1" applyAlignment="1">
      <alignment vertical="top"/>
    </xf>
    <xf numFmtId="41" fontId="8" fillId="0" borderId="31" xfId="14" applyBorder="1" applyAlignment="1">
      <alignment vertical="top"/>
    </xf>
    <xf numFmtId="41" fontId="8" fillId="0" borderId="0" xfId="14" applyBorder="1" applyAlignment="1">
      <alignment vertical="top"/>
    </xf>
    <xf numFmtId="41" fontId="8" fillId="0" borderId="45" xfId="14" applyBorder="1" applyAlignment="1">
      <alignment vertical="top"/>
    </xf>
    <xf numFmtId="41" fontId="8" fillId="0" borderId="48" xfId="14" applyBorder="1" applyAlignment="1">
      <alignment vertical="top"/>
    </xf>
    <xf numFmtId="0" fontId="18" fillId="8" borderId="1" xfId="13" applyFont="1" applyFill="1" applyBorder="1" applyAlignment="1">
      <alignment vertical="top"/>
    </xf>
    <xf numFmtId="0" fontId="18" fillId="18" borderId="1" xfId="13" applyFont="1" applyFill="1" applyBorder="1" applyAlignment="1">
      <alignment vertical="top"/>
    </xf>
    <xf numFmtId="0" fontId="9" fillId="13" borderId="1" xfId="8" applyFont="1" applyFill="1" applyBorder="1" applyAlignment="1">
      <alignment horizontal="center"/>
    </xf>
    <xf numFmtId="0" fontId="8" fillId="0" borderId="32" xfId="13" applyBorder="1" applyAlignment="1">
      <alignment vertical="top"/>
    </xf>
    <xf numFmtId="0" fontId="8" fillId="0" borderId="2" xfId="13" applyBorder="1" applyAlignment="1">
      <alignment vertical="top"/>
    </xf>
    <xf numFmtId="0" fontId="8" fillId="0" borderId="38" xfId="13" applyBorder="1" applyAlignment="1">
      <alignment vertical="top"/>
    </xf>
    <xf numFmtId="0" fontId="8" fillId="0" borderId="43" xfId="13" applyBorder="1" applyAlignment="1">
      <alignment vertical="top"/>
    </xf>
    <xf numFmtId="0" fontId="8" fillId="0" borderId="30" xfId="13" applyBorder="1" applyAlignment="1">
      <alignment vertical="top"/>
    </xf>
    <xf numFmtId="0" fontId="8" fillId="0" borderId="31" xfId="13" applyBorder="1" applyAlignment="1">
      <alignment vertical="top"/>
    </xf>
    <xf numFmtId="0" fontId="18" fillId="0" borderId="27" xfId="13" applyFont="1" applyBorder="1" applyAlignment="1">
      <alignment vertical="top"/>
    </xf>
    <xf numFmtId="164" fontId="18" fillId="0" borderId="0" xfId="1" applyNumberFormat="1" applyFont="1" applyBorder="1" applyAlignment="1">
      <alignment vertical="top"/>
    </xf>
    <xf numFmtId="0" fontId="8" fillId="0" borderId="45" xfId="13" applyBorder="1" applyAlignment="1">
      <alignment vertical="top"/>
    </xf>
    <xf numFmtId="0" fontId="8" fillId="0" borderId="27" xfId="13" applyBorder="1" applyAlignment="1">
      <alignment vertical="top"/>
    </xf>
    <xf numFmtId="164" fontId="8" fillId="0" borderId="0" xfId="1" applyNumberFormat="1" applyFont="1" applyBorder="1" applyAlignment="1">
      <alignment vertical="top"/>
    </xf>
    <xf numFmtId="0" fontId="0" fillId="0" borderId="45" xfId="0" applyBorder="1"/>
    <xf numFmtId="41" fontId="8" fillId="0" borderId="0" xfId="1" applyNumberFormat="1" applyFont="1" applyBorder="1" applyAlignment="1">
      <alignment vertical="top"/>
    </xf>
    <xf numFmtId="41" fontId="18" fillId="0" borderId="0" xfId="1" applyNumberFormat="1" applyFont="1" applyBorder="1" applyAlignment="1">
      <alignment vertical="top"/>
    </xf>
    <xf numFmtId="0" fontId="18" fillId="0" borderId="41" xfId="13" applyFont="1" applyBorder="1" applyAlignment="1">
      <alignment vertical="top"/>
    </xf>
    <xf numFmtId="41" fontId="18" fillId="0" borderId="46" xfId="1" applyNumberFormat="1" applyFont="1" applyBorder="1" applyAlignment="1">
      <alignment vertical="top"/>
    </xf>
    <xf numFmtId="0" fontId="8" fillId="0" borderId="47" xfId="13" applyBorder="1" applyAlignment="1">
      <alignment vertical="top"/>
    </xf>
    <xf numFmtId="0" fontId="10" fillId="0" borderId="1" xfId="6" applyFont="1" applyBorder="1"/>
    <xf numFmtId="164" fontId="10" fillId="0" borderId="1" xfId="1" applyNumberFormat="1" applyFont="1" applyBorder="1"/>
    <xf numFmtId="164" fontId="10" fillId="0" borderId="1" xfId="6" applyNumberFormat="1" applyFont="1" applyBorder="1"/>
    <xf numFmtId="172" fontId="21" fillId="7" borderId="49" xfId="13" applyNumberFormat="1" applyFont="1" applyFill="1" applyBorder="1" applyAlignment="1">
      <alignment vertical="center"/>
    </xf>
    <xf numFmtId="169" fontId="22" fillId="0" borderId="36" xfId="12" applyNumberFormat="1" applyFont="1" applyFill="1" applyBorder="1" applyAlignment="1">
      <alignment vertical="center"/>
    </xf>
    <xf numFmtId="169" fontId="22" fillId="0" borderId="32" xfId="12" applyNumberFormat="1" applyFont="1" applyFill="1" applyBorder="1" applyAlignment="1">
      <alignment vertical="center"/>
    </xf>
    <xf numFmtId="174" fontId="10" fillId="0" borderId="0" xfId="1" applyNumberFormat="1" applyFont="1"/>
    <xf numFmtId="171" fontId="10" fillId="0" borderId="0" xfId="1" applyNumberFormat="1" applyFont="1"/>
    <xf numFmtId="179" fontId="10" fillId="0" borderId="0" xfId="1" applyNumberFormat="1" applyFont="1"/>
    <xf numFmtId="171" fontId="10" fillId="0" borderId="0" xfId="1" applyNumberFormat="1" applyFont="1" applyFill="1"/>
    <xf numFmtId="164" fontId="10" fillId="6" borderId="0" xfId="6" applyNumberFormat="1" applyFont="1" applyFill="1"/>
    <xf numFmtId="0" fontId="1" fillId="10" borderId="1" xfId="6" applyFill="1" applyBorder="1" applyAlignment="1">
      <alignment horizontal="left" vertical="top"/>
    </xf>
    <xf numFmtId="0" fontId="1" fillId="0" borderId="0" xfId="6" applyAlignment="1">
      <alignment horizontal="left" vertical="top"/>
    </xf>
    <xf numFmtId="0" fontId="8" fillId="0" borderId="0" xfId="7" applyAlignment="1">
      <alignment horizontal="left" vertical="top"/>
    </xf>
    <xf numFmtId="0" fontId="1" fillId="0" borderId="0" xfId="6" applyAlignment="1">
      <alignment horizontal="left"/>
    </xf>
    <xf numFmtId="0" fontId="0" fillId="0" borderId="0" xfId="0" applyAlignment="1">
      <alignment horizontal="left" vertical="top"/>
    </xf>
    <xf numFmtId="0" fontId="0" fillId="0" borderId="0" xfId="6" applyFont="1" applyAlignment="1">
      <alignment horizontal="left"/>
    </xf>
    <xf numFmtId="0" fontId="0" fillId="0" borderId="0" xfId="0" applyAlignment="1">
      <alignment horizontal="left"/>
    </xf>
    <xf numFmtId="0" fontId="0" fillId="7" borderId="0" xfId="0" applyFill="1"/>
    <xf numFmtId="0" fontId="11" fillId="5" borderId="4" xfId="6" applyFont="1" applyFill="1" applyBorder="1" applyAlignment="1">
      <alignment horizontal="center"/>
    </xf>
    <xf numFmtId="0" fontId="11" fillId="5" borderId="5" xfId="6" applyFont="1" applyFill="1" applyBorder="1" applyAlignment="1">
      <alignment horizontal="center"/>
    </xf>
    <xf numFmtId="0" fontId="11" fillId="5" borderId="6" xfId="6" applyFont="1" applyFill="1" applyBorder="1" applyAlignment="1">
      <alignment horizontal="center"/>
    </xf>
    <xf numFmtId="0" fontId="11" fillId="12" borderId="1" xfId="6" applyFont="1" applyFill="1" applyBorder="1" applyAlignment="1">
      <alignment horizontal="center"/>
    </xf>
    <xf numFmtId="0" fontId="11" fillId="0" borderId="1" xfId="6" applyFont="1" applyBorder="1" applyAlignment="1">
      <alignment horizontal="center"/>
    </xf>
    <xf numFmtId="167" fontId="10" fillId="0" borderId="0" xfId="3" applyNumberFormat="1" applyFont="1" applyAlignment="1">
      <alignment horizontal="center" vertical="center"/>
    </xf>
    <xf numFmtId="0" fontId="10" fillId="0" borderId="1" xfId="6" applyFont="1" applyBorder="1" applyAlignment="1">
      <alignment horizontal="center"/>
    </xf>
    <xf numFmtId="0" fontId="18" fillId="0" borderId="0" xfId="13" applyFont="1" applyAlignment="1">
      <alignment horizontal="center" vertical="top"/>
    </xf>
    <xf numFmtId="0" fontId="8" fillId="5" borderId="41" xfId="13" applyFill="1" applyBorder="1" applyAlignment="1">
      <alignment horizontal="center" vertical="top"/>
    </xf>
    <xf numFmtId="0" fontId="8" fillId="5" borderId="46" xfId="13" applyFill="1" applyBorder="1" applyAlignment="1">
      <alignment horizontal="center" vertical="top"/>
    </xf>
    <xf numFmtId="0" fontId="8" fillId="5" borderId="47" xfId="13" applyFill="1" applyBorder="1" applyAlignment="1">
      <alignment horizontal="center" vertical="top"/>
    </xf>
    <xf numFmtId="0" fontId="8" fillId="0" borderId="4" xfId="13" applyBorder="1" applyAlignment="1">
      <alignment horizontal="center" vertical="top"/>
    </xf>
    <xf numFmtId="0" fontId="8" fillId="0" borderId="5" xfId="13" applyBorder="1" applyAlignment="1">
      <alignment horizontal="center" vertical="top"/>
    </xf>
    <xf numFmtId="0" fontId="8" fillId="0" borderId="6" xfId="13" applyBorder="1" applyAlignment="1">
      <alignment horizontal="center" vertical="top"/>
    </xf>
    <xf numFmtId="0" fontId="18" fillId="0" borderId="4" xfId="13" applyFont="1" applyBorder="1" applyAlignment="1">
      <alignment horizontal="center" vertical="top"/>
    </xf>
    <xf numFmtId="0" fontId="18" fillId="0" borderId="6" xfId="13" applyFont="1" applyBorder="1" applyAlignment="1">
      <alignment horizontal="center" vertical="top"/>
    </xf>
    <xf numFmtId="41" fontId="18" fillId="0" borderId="4" xfId="13" applyNumberFormat="1" applyFont="1" applyBorder="1" applyAlignment="1">
      <alignment horizontal="center" vertical="top"/>
    </xf>
    <xf numFmtId="41" fontId="18" fillId="0" borderId="5" xfId="13" applyNumberFormat="1" applyFont="1" applyBorder="1" applyAlignment="1">
      <alignment horizontal="center" vertical="top"/>
    </xf>
    <xf numFmtId="41" fontId="18" fillId="0" borderId="6" xfId="13" applyNumberFormat="1" applyFont="1" applyBorder="1" applyAlignment="1">
      <alignment horizontal="center" vertical="top"/>
    </xf>
    <xf numFmtId="0" fontId="21" fillId="7" borderId="23" xfId="13" applyFont="1" applyFill="1" applyBorder="1" applyAlignment="1">
      <alignment horizontal="center" vertical="center"/>
    </xf>
    <xf numFmtId="0" fontId="21" fillId="7" borderId="24" xfId="13" applyFont="1" applyFill="1" applyBorder="1" applyAlignment="1">
      <alignment horizontal="center" vertical="center"/>
    </xf>
    <xf numFmtId="0" fontId="21" fillId="7" borderId="25" xfId="13" applyFont="1" applyFill="1" applyBorder="1" applyAlignment="1">
      <alignment horizontal="center" vertical="center"/>
    </xf>
    <xf numFmtId="0" fontId="21" fillId="15" borderId="1" xfId="13" applyFont="1" applyFill="1" applyBorder="1" applyAlignment="1">
      <alignment horizontal="center" vertical="center"/>
    </xf>
    <xf numFmtId="0" fontId="21" fillId="15" borderId="32" xfId="13" applyFont="1" applyFill="1" applyBorder="1" applyAlignment="1">
      <alignment horizontal="center" vertical="center"/>
    </xf>
    <xf numFmtId="0" fontId="21" fillId="15" borderId="2" xfId="13" applyFont="1" applyFill="1" applyBorder="1" applyAlignment="1">
      <alignment horizontal="center" vertical="center"/>
    </xf>
    <xf numFmtId="0" fontId="21" fillId="15" borderId="38" xfId="13" applyFont="1" applyFill="1" applyBorder="1" applyAlignment="1">
      <alignment horizontal="center" vertical="center"/>
    </xf>
    <xf numFmtId="0" fontId="21" fillId="15" borderId="4" xfId="13" applyFont="1" applyFill="1" applyBorder="1" applyAlignment="1">
      <alignment horizontal="center" vertical="center"/>
    </xf>
    <xf numFmtId="0" fontId="21" fillId="15" borderId="33" xfId="13" applyFont="1" applyFill="1" applyBorder="1" applyAlignment="1">
      <alignment horizontal="center" vertical="center"/>
    </xf>
    <xf numFmtId="0" fontId="21" fillId="15" borderId="34" xfId="13" applyFont="1" applyFill="1" applyBorder="1" applyAlignment="1">
      <alignment horizontal="center" vertical="center"/>
    </xf>
    <xf numFmtId="0" fontId="21" fillId="15" borderId="35" xfId="13" applyFont="1" applyFill="1" applyBorder="1" applyAlignment="1">
      <alignment horizontal="center" vertical="center"/>
    </xf>
    <xf numFmtId="0" fontId="21" fillId="15" borderId="6" xfId="13" applyFont="1" applyFill="1" applyBorder="1" applyAlignment="1">
      <alignment horizontal="center" vertical="center"/>
    </xf>
    <xf numFmtId="0" fontId="21" fillId="15" borderId="36" xfId="13" applyFont="1" applyFill="1" applyBorder="1" applyAlignment="1">
      <alignment horizontal="center" vertical="center"/>
    </xf>
    <xf numFmtId="0" fontId="21" fillId="15" borderId="39" xfId="13" applyFont="1" applyFill="1" applyBorder="1" applyAlignment="1">
      <alignment horizontal="center" vertical="center"/>
    </xf>
    <xf numFmtId="0" fontId="21" fillId="15" borderId="37" xfId="13" applyFont="1" applyFill="1" applyBorder="1" applyAlignment="1">
      <alignment horizontal="center" vertical="center"/>
    </xf>
    <xf numFmtId="0" fontId="18" fillId="15" borderId="15" xfId="0" applyFont="1" applyFill="1" applyBorder="1" applyAlignment="1">
      <alignment horizontal="center" vertical="top"/>
    </xf>
    <xf numFmtId="0" fontId="18" fillId="15" borderId="16" xfId="0" applyFont="1" applyFill="1" applyBorder="1" applyAlignment="1">
      <alignment horizontal="center" vertical="top"/>
    </xf>
  </cellXfs>
  <cellStyles count="15">
    <cellStyle name="Millares" xfId="1" builtinId="3"/>
    <cellStyle name="Millares [0]" xfId="2" builtinId="6"/>
    <cellStyle name="Millares [0] 2" xfId="12" xr:uid="{23929CE6-F8D2-4E88-9A94-3FE5ACD4C57A}"/>
    <cellStyle name="Millares [0] 4" xfId="14" xr:uid="{E48BBD10-2440-41EE-9A67-2C0DAFC994BE}"/>
    <cellStyle name="Moneda [0]" xfId="10" builtinId="7"/>
    <cellStyle name="Normal" xfId="0" builtinId="0"/>
    <cellStyle name="Normal - Style1 2" xfId="13" xr:uid="{9CE357EB-A014-4E26-AFCA-14C911C7795A}"/>
    <cellStyle name="Normal 13" xfId="4" xr:uid="{49D26C0A-E311-4E7B-BE6B-5A7E028EDBCD}"/>
    <cellStyle name="Normal 2" xfId="7" xr:uid="{4211EF7E-CB4A-4D01-92E9-4BF70A6DD30D}"/>
    <cellStyle name="Normal 2 13" xfId="6" xr:uid="{F122449A-E036-4641-9C07-6AC1C192F65A}"/>
    <cellStyle name="Normal 2 2" xfId="8" xr:uid="{B5B4C6C8-6FBA-43C0-8170-2C981B022DE6}"/>
    <cellStyle name="Normal 4" xfId="5" xr:uid="{799BBEE5-19DE-4FD2-8590-44E472C17758}"/>
    <cellStyle name="Normal 9" xfId="11" xr:uid="{A59F3D8F-F353-4A5F-A0B3-03944E95FD10}"/>
    <cellStyle name="Porcentaje" xfId="3" builtinId="5"/>
    <cellStyle name="Porcentaje 2" xfId="9" xr:uid="{F945CC4B-CD8C-45C3-A399-ED3C41ED1ACE}"/>
  </cellStyles>
  <dxfs count="2">
    <dxf>
      <numFmt numFmtId="33" formatCode="_-* #,##0_-;\-* #,##0_-;_-* &quot;-&quot;_-;_-@_-"/>
    </dxf>
    <dxf>
      <numFmt numFmtId="33" formatCode="_-* #,##0_-;\-* #,##0_-;_-* &quot;-&quot;_-;_-@_-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1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1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20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onnections" Target="connections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Ex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Ex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Ex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Ex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Ex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_xlchart.v5.6</cx:f>
      </cx:strDim>
      <cx:numDim type="val">
        <cx:f>_xlchart.v5.7</cx:f>
      </cx:numDim>
    </cx:data>
  </cx:chartData>
  <cx:chart>
    <cx:title pos="t" align="ctr" overlay="0">
      <cx:tx>
        <cx:txData>
          <cx:v>CLINKER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>
              <a:latin typeface="72 Black" panose="020B0A04030603020204" pitchFamily="34" charset="0"/>
              <a:ea typeface="72 Black" panose="020B0A04030603020204" pitchFamily="34" charset="0"/>
              <a:cs typeface="72 Black" panose="020B0A04030603020204" pitchFamily="34" charset="0"/>
            </a:defRPr>
          </a:pPr>
          <a:r>
            <a:rPr lang="es-ES" sz="1800" b="1" i="0" u="none" strike="noStrike" baseline="0" dirty="0">
              <a:solidFill>
                <a:sysClr val="windowText" lastClr="000000">
                  <a:lumMod val="75000"/>
                  <a:lumOff val="25000"/>
                </a:sysClr>
              </a:solidFill>
              <a:latin typeface="72 Black" panose="020B0A04030603020204" pitchFamily="34" charset="0"/>
              <a:cs typeface="72 Black" panose="020B0A04030603020204" pitchFamily="34" charset="0"/>
            </a:rPr>
            <a:t>CLINKER</a:t>
          </a:r>
        </a:p>
      </cx:txPr>
    </cx:title>
    <cx:plotArea>
      <cx:plotAreaRegion>
        <cx:series layoutId="waterfall" uniqueId="{F014A9A6-D8A1-4FD4-8071-C7DDB4240AB2}">
          <cx:dataPt idx="0">
            <cx:spPr>
              <a:solidFill>
                <a:srgbClr val="4472C4"/>
              </a:solidFill>
            </cx:spPr>
          </cx:dataPt>
          <cx:dataPt idx="12">
            <cx:spPr>
              <a:solidFill>
                <a:srgbClr val="ED7D31"/>
              </a:solidFill>
            </cx:spPr>
          </cx:dataPt>
          <cx:dataLabels pos="outEnd">
            <cx:visibility seriesName="0" categoryName="0" value="1"/>
          </cx:dataLabels>
          <cx:dataId val="0"/>
          <cx:layoutPr>
            <cx:visibility connectorLines="0"/>
            <cx:subtotals>
              <cx:idx val="12"/>
            </cx:subtotals>
          </cx:layoutPr>
        </cx:series>
      </cx:plotAreaRegion>
      <cx:axis id="0">
        <cx:catScaling gapWidth="0.5"/>
        <cx:tickLabels/>
      </cx:axis>
      <cx:axis id="1">
        <cx:valScaling min="50000"/>
        <cx:majorGridlines/>
        <cx:tickLabels/>
      </cx:axis>
    </cx:plotArea>
    <cx:legend pos="t" align="ctr" overlay="0"/>
  </cx:chart>
  <cx:fmtOvrs>
    <cx:fmtOvr idx="0">
      <cx:spPr>
        <a:solidFill>
          <a:srgbClr val="FF0000"/>
        </a:solidFill>
      </cx:spPr>
    </cx:fmtOvr>
    <cx:fmtOvr idx="1">
      <cx:spPr>
        <a:solidFill>
          <a:srgbClr val="00B050"/>
        </a:solidFill>
      </cx:spPr>
    </cx:fmtOvr>
  </cx:fmtOvrs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_xlchart.v5.0</cx:f>
      </cx:strDim>
      <cx:numDim type="val">
        <cx:f>_xlchart.v5.1</cx:f>
      </cx:numDim>
    </cx:data>
  </cx:chartData>
  <cx:chart>
    <cx:title pos="t" align="ctr" overlay="0">
      <cx:tx>
        <cx:txData>
          <cx:v>CEMENTO UG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>
              <a:latin typeface="72 Black" panose="020B0A04030603020204" pitchFamily="34" charset="0"/>
              <a:ea typeface="72 Black" panose="020B0A04030603020204" pitchFamily="34" charset="0"/>
              <a:cs typeface="72 Black" panose="020B0A04030603020204" pitchFamily="34" charset="0"/>
            </a:defRPr>
          </a:pPr>
          <a:r>
            <a:rPr lang="es-ES" sz="1800" b="1" i="0" u="none" strike="noStrike" baseline="0" dirty="0">
              <a:solidFill>
                <a:sysClr val="windowText" lastClr="000000">
                  <a:lumMod val="75000"/>
                  <a:lumOff val="25000"/>
                </a:sysClr>
              </a:solidFill>
              <a:latin typeface="72 Black" panose="020B0A04030603020204" pitchFamily="34" charset="0"/>
              <a:cs typeface="72 Black" panose="020B0A04030603020204" pitchFamily="34" charset="0"/>
            </a:rPr>
            <a:t>CEMENTO UG</a:t>
          </a:r>
        </a:p>
      </cx:txPr>
    </cx:title>
    <cx:plotArea>
      <cx:plotAreaRegion>
        <cx:series layoutId="waterfall" uniqueId="{741CABC2-9EA6-4A63-B13E-A4A815D120DC}">
          <cx:dataPt idx="0">
            <cx:spPr>
              <a:solidFill>
                <a:srgbClr val="4472C4"/>
              </a:solidFill>
            </cx:spPr>
          </cx:dataPt>
          <cx:dataPt idx="13">
            <cx:spPr>
              <a:solidFill>
                <a:srgbClr val="ED7D31"/>
              </a:solidFill>
            </cx:spPr>
          </cx:dataPt>
          <cx:dataLabels>
            <cx:txPr>
              <a:bodyPr spcFirstLastPara="1" vertOverflow="ellipsis" horzOverflow="overflow" wrap="square" lIns="0" tIns="0" rIns="0" bIns="0" anchor="ctr" anchorCtr="1"/>
              <a:lstStyle/>
              <a:p>
                <a:pPr algn="ctr" rtl="0">
                  <a:defRPr b="1"/>
                </a:pPr>
                <a:endParaRPr lang="es-ES" sz="900" b="1" i="0" u="none" strike="noStrike" baseline="0">
                  <a:solidFill>
                    <a:sysClr val="windowText" lastClr="000000"/>
                  </a:solidFill>
                  <a:latin typeface="Calibri" panose="020F0502020204030204"/>
                </a:endParaRPr>
              </a:p>
            </cx:txPr>
            <cx:visibility seriesName="0" categoryName="0" value="1"/>
          </cx:dataLabels>
          <cx:dataId val="0"/>
          <cx:layoutPr>
            <cx:subtotals>
              <cx:idx val="13"/>
            </cx:subtotals>
          </cx:layoutPr>
        </cx:series>
      </cx:plotAreaRegion>
      <cx:axis id="0">
        <cx:catScaling gapWidth="0.25"/>
        <cx:tickLabels/>
      </cx:axis>
      <cx:axis id="1" hidden="1">
        <cx:valScaling min="50000"/>
        <cx:majorGridlines/>
        <cx:tickLabels/>
      </cx:axis>
    </cx:plotArea>
  </cx:chart>
  <cx:fmtOvrs>
    <cx:fmtOvr idx="0">
      <cx:spPr>
        <a:solidFill>
          <a:srgbClr val="FF0000"/>
        </a:solidFill>
      </cx:spPr>
    </cx:fmtOvr>
    <cx:fmtOvr idx="1">
      <cx:spPr>
        <a:solidFill>
          <a:srgbClr val="00B050"/>
        </a:solidFill>
      </cx:spPr>
    </cx:fmtOvr>
  </cx:fmtOvrs>
</cx:chartSpace>
</file>

<file path=xl/charts/chartEx3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_xlchart.v5.2</cx:f>
      </cx:strDim>
      <cx:numDim type="val">
        <cx:f>_xlchart.v5.3</cx:f>
      </cx:numDim>
    </cx:data>
  </cx:chartData>
  <cx:chart>
    <cx:title pos="t" align="ctr" overlay="0">
      <cx:tx>
        <cx:txData>
          <cx:v>CEMENTO ART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>
              <a:latin typeface="72 Black" panose="020B0A04030603020204" pitchFamily="34" charset="0"/>
              <a:ea typeface="72 Black" panose="020B0A04030603020204" pitchFamily="34" charset="0"/>
              <a:cs typeface="72 Black" panose="020B0A04030603020204" pitchFamily="34" charset="0"/>
            </a:defRPr>
          </a:pPr>
          <a:r>
            <a:rPr lang="es-ES" sz="1800" b="1" i="0" u="none" strike="noStrike" baseline="0" dirty="0">
              <a:solidFill>
                <a:sysClr val="windowText" lastClr="000000">
                  <a:lumMod val="75000"/>
                  <a:lumOff val="25000"/>
                </a:sysClr>
              </a:solidFill>
              <a:latin typeface="72 Black" panose="020B0A04030603020204" pitchFamily="34" charset="0"/>
              <a:cs typeface="72 Black" panose="020B0A04030603020204" pitchFamily="34" charset="0"/>
            </a:rPr>
            <a:t>CEMENTO ART</a:t>
          </a:r>
        </a:p>
      </cx:txPr>
    </cx:title>
    <cx:plotArea>
      <cx:plotAreaRegion>
        <cx:series layoutId="waterfall" uniqueId="{741CABC2-9EA6-4A63-B13E-A4A815D120DC}">
          <cx:dataPt idx="0">
            <cx:spPr>
              <a:solidFill>
                <a:srgbClr val="4472C4"/>
              </a:solidFill>
            </cx:spPr>
          </cx:dataPt>
          <cx:dataPt idx="13">
            <cx:spPr>
              <a:solidFill>
                <a:srgbClr val="ED7D31"/>
              </a:solidFill>
            </cx:spPr>
          </cx:dataPt>
          <cx:dataPt idx="14">
            <cx:spPr>
              <a:solidFill>
                <a:srgbClr val="ED7D31"/>
              </a:solidFill>
            </cx:spPr>
          </cx:dataPt>
          <cx:dataLabels>
            <cx:txPr>
              <a:bodyPr spcFirstLastPara="1" vertOverflow="ellipsis" horzOverflow="overflow" wrap="square" lIns="0" tIns="0" rIns="0" bIns="0" anchor="ctr" anchorCtr="1"/>
              <a:lstStyle/>
              <a:p>
                <a:pPr algn="ctr" rtl="0">
                  <a:defRPr b="1"/>
                </a:pPr>
                <a:endParaRPr lang="es-ES" sz="900" b="1" i="0" u="none" strike="noStrike" baseline="0">
                  <a:solidFill>
                    <a:sysClr val="windowText" lastClr="000000"/>
                  </a:solidFill>
                  <a:latin typeface="Calibri" panose="020F0502020204030204"/>
                </a:endParaRPr>
              </a:p>
            </cx:txPr>
            <cx:visibility seriesName="0" categoryName="0" value="1"/>
          </cx:dataLabels>
          <cx:dataId val="0"/>
          <cx:layoutPr>
            <cx:visibility connectorLines="0"/>
            <cx:subtotals>
              <cx:idx val="13"/>
              <cx:idx val="14"/>
            </cx:subtotals>
          </cx:layoutPr>
        </cx:series>
      </cx:plotAreaRegion>
      <cx:axis id="0">
        <cx:catScaling gapWidth="0.25"/>
        <cx:tickLabels/>
      </cx:axis>
      <cx:axis id="1" hidden="1">
        <cx:valScaling min="50000"/>
        <cx:majorGridlines/>
        <cx:tickLabels/>
      </cx:axis>
    </cx:plotArea>
  </cx:chart>
  <cx:fmtOvrs>
    <cx:fmtOvr idx="0">
      <cx:spPr>
        <a:solidFill>
          <a:srgbClr val="FF0000"/>
        </a:solidFill>
      </cx:spPr>
    </cx:fmtOvr>
    <cx:fmtOvr idx="1">
      <cx:spPr>
        <a:solidFill>
          <a:srgbClr val="00B050"/>
        </a:solidFill>
      </cx:spPr>
    </cx:fmtOvr>
  </cx:fmtOvrs>
</cx:chartSpace>
</file>

<file path=xl/charts/chartEx4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_xlchart.v5.4</cx:f>
      </cx:strDim>
      <cx:numDim type="val">
        <cx:f>_xlchart.v5.5</cx:f>
      </cx:numDim>
    </cx:data>
  </cx:chartData>
  <cx:chart>
    <cx:title pos="t" align="ctr" overlay="0">
      <cx:tx>
        <cx:txData>
          <cx:v>CEMENTO FIBRO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>
              <a:latin typeface="72 Black" panose="020B0A04030603020204" pitchFamily="34" charset="0"/>
              <a:ea typeface="72 Black" panose="020B0A04030603020204" pitchFamily="34" charset="0"/>
              <a:cs typeface="72 Black" panose="020B0A04030603020204" pitchFamily="34" charset="0"/>
            </a:defRPr>
          </a:pPr>
          <a:r>
            <a:rPr lang="es-ES" sz="1800" b="1" i="0" u="none" strike="noStrike" baseline="0" dirty="0">
              <a:solidFill>
                <a:sysClr val="windowText" lastClr="000000">
                  <a:lumMod val="75000"/>
                  <a:lumOff val="25000"/>
                </a:sysClr>
              </a:solidFill>
              <a:latin typeface="72 Black" panose="020B0A04030603020204" pitchFamily="34" charset="0"/>
              <a:cs typeface="72 Black" panose="020B0A04030603020204" pitchFamily="34" charset="0"/>
            </a:rPr>
            <a:t>CEMENTO FIBRO</a:t>
          </a:r>
        </a:p>
      </cx:txPr>
    </cx:title>
    <cx:plotArea>
      <cx:plotAreaRegion>
        <cx:series layoutId="waterfall" uniqueId="{741CABC2-9EA6-4A63-B13E-A4A815D120DC}">
          <cx:dataPt idx="0">
            <cx:spPr>
              <a:solidFill>
                <a:srgbClr val="4472C4"/>
              </a:solidFill>
            </cx:spPr>
          </cx:dataPt>
          <cx:dataPt idx="10">
            <cx:spPr>
              <a:solidFill>
                <a:srgbClr val="ED7D31"/>
              </a:solidFill>
            </cx:spPr>
          </cx:dataPt>
          <cx:dataPt idx="11">
            <cx:spPr>
              <a:solidFill>
                <a:srgbClr val="ED7D31"/>
              </a:solidFill>
            </cx:spPr>
          </cx:dataPt>
          <cx:dataPt idx="12">
            <cx:spPr>
              <a:solidFill>
                <a:srgbClr val="ED7D31"/>
              </a:solidFill>
            </cx:spPr>
          </cx:dataPt>
          <cx:dataLabels>
            <cx:txPr>
              <a:bodyPr spcFirstLastPara="1" vertOverflow="ellipsis" horzOverflow="overflow" wrap="square" lIns="0" tIns="0" rIns="0" bIns="0" anchor="ctr" anchorCtr="1"/>
              <a:lstStyle/>
              <a:p>
                <a:pPr algn="ctr" rtl="0">
                  <a:defRPr b="1"/>
                </a:pPr>
                <a:endParaRPr lang="es-ES" sz="900" b="1" i="0" u="none" strike="noStrike" baseline="0">
                  <a:solidFill>
                    <a:sysClr val="windowText" lastClr="000000"/>
                  </a:solidFill>
                  <a:latin typeface="Calibri" panose="020F0502020204030204"/>
                </a:endParaRPr>
              </a:p>
            </cx:txPr>
            <cx:visibility seriesName="0" categoryName="0" value="1"/>
          </cx:dataLabels>
          <cx:dataId val="0"/>
          <cx:layoutPr>
            <cx:visibility connectorLines="0"/>
            <cx:subtotals>
              <cx:idx val="10"/>
              <cx:idx val="11"/>
              <cx:idx val="12"/>
            </cx:subtotals>
          </cx:layoutPr>
        </cx:series>
      </cx:plotAreaRegion>
      <cx:axis id="0">
        <cx:catScaling gapWidth="0.25"/>
        <cx:tickLabels/>
      </cx:axis>
      <cx:axis id="1" hidden="1">
        <cx:valScaling min="50000"/>
        <cx:majorGridlines/>
        <cx:tickLabels/>
      </cx:axis>
    </cx:plotArea>
  </cx:chart>
  <cx:fmtOvrs>
    <cx:fmtOvr idx="0">
      <cx:spPr>
        <a:solidFill>
          <a:srgbClr val="FF0000"/>
        </a:solidFill>
      </cx:spPr>
    </cx:fmtOvr>
    <cx:fmtOvr idx="1">
      <cx:spPr>
        <a:solidFill>
          <a:srgbClr val="00B050"/>
        </a:solidFill>
      </cx:spPr>
    </cx:fmtOvr>
  </cx:fmtOvrs>
</cx:chartSpace>
</file>

<file path=xl/charts/chartEx5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_xlchart.v5.8</cx:f>
      </cx:strDim>
      <cx:numDim type="val">
        <cx:f>_xlchart.v5.9</cx:f>
      </cx:numDim>
    </cx:data>
  </cx:chartData>
  <cx:chart>
    <cx:title pos="t" align="ctr" overlay="0">
      <cx:tx>
        <cx:txData>
          <cx:v>CLINKER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>
              <a:latin typeface="72 Black" panose="020B0A04030603020204" pitchFamily="34" charset="0"/>
              <a:ea typeface="72 Black" panose="020B0A04030603020204" pitchFamily="34" charset="0"/>
              <a:cs typeface="72 Black" panose="020B0A04030603020204" pitchFamily="34" charset="0"/>
            </a:defRPr>
          </a:pPr>
          <a:r>
            <a:rPr lang="es-ES" sz="1800" b="1" i="0" u="none" strike="noStrike" baseline="0" dirty="0">
              <a:solidFill>
                <a:sysClr val="windowText" lastClr="000000">
                  <a:lumMod val="75000"/>
                  <a:lumOff val="25000"/>
                </a:sysClr>
              </a:solidFill>
              <a:latin typeface="72 Black" panose="020B0A04030603020204" pitchFamily="34" charset="0"/>
              <a:cs typeface="72 Black" panose="020B0A04030603020204" pitchFamily="34" charset="0"/>
            </a:rPr>
            <a:t>CLINKER</a:t>
          </a:r>
        </a:p>
      </cx:txPr>
    </cx:title>
    <cx:plotArea>
      <cx:plotAreaRegion>
        <cx:plotSurface>
          <cx:spPr>
            <a:ln>
              <a:noFill/>
            </a:ln>
          </cx:spPr>
        </cx:plotSurface>
        <cx:series layoutId="waterfall" uniqueId="{F014A9A6-D8A1-4FD4-8071-C7DDB4240AB2}">
          <cx:spPr>
            <a:ln>
              <a:noFill/>
            </a:ln>
          </cx:spPr>
          <cx:dataPt idx="0">
            <cx:spPr>
              <a:solidFill>
                <a:srgbClr val="2096BE"/>
              </a:solidFill>
            </cx:spPr>
          </cx:dataPt>
          <cx:dataPt idx="9">
            <cx:spPr>
              <a:solidFill>
                <a:srgbClr val="2096BE"/>
              </a:solidFill>
            </cx:spPr>
          </cx:dataPt>
          <cx:dataLabels pos="outEnd">
            <cx:txPr>
              <a:bodyPr spcFirstLastPara="1" vertOverflow="ellipsis" horzOverflow="overflow" wrap="square" lIns="0" tIns="0" rIns="0" bIns="0" anchor="ctr" anchorCtr="1"/>
              <a:lstStyle/>
              <a:p>
                <a:pPr algn="ctr" rtl="0">
                  <a:defRPr sz="1100" b="1"/>
                </a:pPr>
                <a:endParaRPr lang="es-ES" sz="1100" b="1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Calibri" panose="020F0502020204030204"/>
                </a:endParaRPr>
              </a:p>
            </cx:txPr>
            <cx:visibility seriesName="0" categoryName="0" value="1"/>
          </cx:dataLabels>
          <cx:dataId val="0"/>
          <cx:layoutPr>
            <cx:visibility connectorLines="0"/>
            <cx:subtotals>
              <cx:idx val="9"/>
            </cx:subtotals>
          </cx:layoutPr>
        </cx:series>
      </cx:plotAreaRegion>
      <cx:axis id="0">
        <cx:catScaling gapWidth="0.5"/>
        <cx:tickLabels/>
        <cx:txPr>
          <a:bodyPr spcFirstLastPara="1" vertOverflow="ellipsis" horzOverflow="overflow" wrap="square" lIns="0" tIns="0" rIns="0" bIns="0" anchor="ctr" anchorCtr="1"/>
          <a:lstStyle/>
          <a:p>
            <a:pPr algn="ctr" rtl="0">
              <a:defRPr b="1"/>
            </a:pPr>
            <a:endParaRPr lang="es-ES" sz="900" b="1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endParaRPr>
          </a:p>
        </cx:txPr>
      </cx:axis>
      <cx:axis id="1" hidden="1">
        <cx:valScaling min="50000"/>
        <cx:majorGridlines>
          <cx:spPr>
            <a:ln>
              <a:noFill/>
            </a:ln>
          </cx:spPr>
        </cx:majorGridlines>
        <cx:tickLabels/>
        <cx:txPr>
          <a:bodyPr spcFirstLastPara="1" vertOverflow="ellipsis" horzOverflow="overflow" wrap="square" lIns="0" tIns="0" rIns="0" bIns="0" anchor="ctr" anchorCtr="1"/>
          <a:lstStyle/>
          <a:p>
            <a:pPr algn="ctr" rtl="0">
              <a:defRPr b="1"/>
            </a:pPr>
            <a:endParaRPr lang="es-ES" sz="900" b="1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endParaRPr>
          </a:p>
        </cx:txPr>
      </cx:axis>
    </cx:plotArea>
    <cx:legend pos="b" align="ctr" overlay="0">
      <cx:txPr>
        <a:bodyPr spcFirstLastPara="1" vertOverflow="ellipsis" horzOverflow="overflow" wrap="square" lIns="0" tIns="0" rIns="0" bIns="0" anchor="ctr" anchorCtr="1"/>
        <a:lstStyle/>
        <a:p>
          <a:pPr algn="ctr" rtl="0">
            <a:defRPr b="1"/>
          </a:pPr>
          <a:endParaRPr lang="es-ES" sz="900" b="1" i="0" u="none" strike="noStrike" baseline="0">
            <a:solidFill>
              <a:sysClr val="windowText" lastClr="000000">
                <a:lumMod val="65000"/>
                <a:lumOff val="35000"/>
              </a:sysClr>
            </a:solidFill>
            <a:latin typeface="Calibri" panose="020F0502020204030204"/>
          </a:endParaRPr>
        </a:p>
      </cx:txPr>
    </cx:legend>
  </cx:chart>
  <cx:spPr>
    <a:ln>
      <a:noFill/>
    </a:ln>
  </cx:spPr>
  <cx:fmtOvrs>
    <cx:fmtOvr idx="0">
      <cx:spPr>
        <a:solidFill>
          <a:srgbClr val="FF0000"/>
        </a:solidFill>
      </cx:spPr>
    </cx:fmtOvr>
    <cx:fmtOvr idx="1">
      <cx:spPr>
        <a:solidFill>
          <a:srgbClr val="00B050"/>
        </a:solidFill>
      </cx:spPr>
    </cx:fmtOvr>
  </cx:fmtOvrs>
</cx:chartSpace>
</file>

<file path=xl/charts/chartEx6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>
    <cx:title pos="t" align="ctr" overlay="0">
      <cx:tx>
        <cx:txData>
          <cx:v>CEMENTO UG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>
              <a:latin typeface="72 Black" panose="020B0A04030603020204" pitchFamily="34" charset="0"/>
              <a:ea typeface="72 Black" panose="020B0A04030603020204" pitchFamily="34" charset="0"/>
              <a:cs typeface="72 Black" panose="020B0A04030603020204" pitchFamily="34" charset="0"/>
            </a:defRPr>
          </a:pPr>
          <a:r>
            <a:rPr lang="es-ES" sz="1800" b="1" i="0" u="none" strike="noStrike" baseline="0" dirty="0">
              <a:solidFill>
                <a:sysClr val="windowText" lastClr="000000">
                  <a:lumMod val="75000"/>
                  <a:lumOff val="25000"/>
                </a:sysClr>
              </a:solidFill>
              <a:latin typeface="72 Black" panose="020B0A04030603020204" pitchFamily="34" charset="0"/>
              <a:cs typeface="72 Black" panose="020B0A04030603020204" pitchFamily="34" charset="0"/>
            </a:rPr>
            <a:t>CEMENTO UG</a:t>
          </a:r>
        </a:p>
      </cx:txPr>
    </cx:title>
    <cx:plotArea>
      <cx:plotAreaRegion/>
    </cx:plotArea>
  </cx:chart>
  <cx:fmtOvrs>
    <cx:fmtOvr idx="0">
      <cx:spPr>
        <a:solidFill>
          <a:srgbClr val="FF0000"/>
        </a:solidFill>
      </cx:spPr>
    </cx:fmtOvr>
    <cx:fmtOvr idx="1">
      <cx:spPr>
        <a:solidFill>
          <a:srgbClr val="00B050"/>
        </a:solidFill>
      </cx:spPr>
    </cx:fmtOvr>
  </cx:fmtOvrs>
</cx:chartSpace>
</file>

<file path=xl/charts/chartEx7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_xlchart.v5.10</cx:f>
      </cx:strDim>
      <cx:numDim type="val">
        <cx:f>_xlchart.v5.11</cx:f>
      </cx:numDim>
    </cx:data>
  </cx:chartData>
  <cx:chart>
    <cx:title pos="t" align="ctr" overlay="0">
      <cx:tx>
        <cx:txData>
          <cx:v>CEMENTO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>
              <a:latin typeface="72 Black" panose="020B0A04030603020204" pitchFamily="34" charset="0"/>
              <a:ea typeface="72 Black" panose="020B0A04030603020204" pitchFamily="34" charset="0"/>
              <a:cs typeface="72 Black" panose="020B0A04030603020204" pitchFamily="34" charset="0"/>
            </a:defRPr>
          </a:pPr>
          <a:r>
            <a:rPr lang="es-ES" sz="1800" b="1" i="0" u="none" strike="noStrike" baseline="0" dirty="0">
              <a:solidFill>
                <a:sysClr val="windowText" lastClr="000000">
                  <a:lumMod val="75000"/>
                  <a:lumOff val="25000"/>
                </a:sysClr>
              </a:solidFill>
              <a:latin typeface="72 Black" panose="020B0A04030603020204" pitchFamily="34" charset="0"/>
              <a:cs typeface="72 Black" panose="020B0A04030603020204" pitchFamily="34" charset="0"/>
            </a:rPr>
            <a:t>CEMENTO</a:t>
          </a:r>
        </a:p>
      </cx:txPr>
    </cx:title>
    <cx:plotArea>
      <cx:plotAreaRegion>
        <cx:series layoutId="waterfall" uniqueId="{EA677C32-E102-4071-BE94-7F17755F35F2}">
          <cx:spPr>
            <a:ln>
              <a:noFill/>
            </a:ln>
          </cx:spPr>
          <cx:dataPt idx="0">
            <cx:spPr>
              <a:solidFill>
                <a:srgbClr val="2096BE"/>
              </a:solidFill>
            </cx:spPr>
          </cx:dataPt>
          <cx:dataPt idx="10">
            <cx:spPr>
              <a:solidFill>
                <a:srgbClr val="2096BE"/>
              </a:solidFill>
            </cx:spPr>
          </cx:dataPt>
          <cx:dataLabels>
            <cx:txPr>
              <a:bodyPr spcFirstLastPara="1" vertOverflow="ellipsis" horzOverflow="overflow" wrap="square" lIns="0" tIns="0" rIns="0" bIns="0" anchor="ctr" anchorCtr="1"/>
              <a:lstStyle/>
              <a:p>
                <a:pPr algn="ctr" rtl="0">
                  <a:defRPr sz="1100" b="1"/>
                </a:pPr>
                <a:endParaRPr lang="es-ES" sz="1100" b="1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Calibri" panose="020F0502020204030204"/>
                </a:endParaRPr>
              </a:p>
            </cx:txPr>
            <cx:visibility seriesName="0" categoryName="0" value="1"/>
          </cx:dataLabels>
          <cx:dataId val="0"/>
          <cx:layoutPr>
            <cx:subtotals>
              <cx:idx val="10"/>
            </cx:subtotals>
          </cx:layoutPr>
        </cx:series>
      </cx:plotAreaRegion>
      <cx:axis id="0">
        <cx:catScaling gapWidth="0.5"/>
        <cx:tickLabels/>
        <cx:txPr>
          <a:bodyPr spcFirstLastPara="1" vertOverflow="ellipsis" horzOverflow="overflow" wrap="square" lIns="0" tIns="0" rIns="0" bIns="0" anchor="ctr" anchorCtr="1"/>
          <a:lstStyle/>
          <a:p>
            <a:pPr algn="ctr" rtl="0">
              <a:defRPr b="1"/>
            </a:pPr>
            <a:endParaRPr lang="es-ES" sz="900" b="1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endParaRPr>
          </a:p>
        </cx:txPr>
      </cx:axis>
      <cx:axis id="1" hidden="1">
        <cx:valScaling max="150000" min="50000"/>
        <cx:majorGridlines>
          <cx:spPr>
            <a:ln>
              <a:noFill/>
            </a:ln>
          </cx:spPr>
        </cx:majorGridlines>
        <cx:tickLabels/>
        <cx:txPr>
          <a:bodyPr spcFirstLastPara="1" vertOverflow="ellipsis" horzOverflow="overflow" wrap="square" lIns="0" tIns="0" rIns="0" bIns="0" anchor="ctr" anchorCtr="1"/>
          <a:lstStyle/>
          <a:p>
            <a:pPr algn="ctr" rtl="0">
              <a:defRPr b="1"/>
            </a:pPr>
            <a:endParaRPr lang="es-ES" sz="900" b="1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endParaRPr>
          </a:p>
        </cx:txPr>
      </cx:axis>
    </cx:plotArea>
    <cx:legend pos="b" align="ctr" overlay="0">
      <cx:txPr>
        <a:bodyPr spcFirstLastPara="1" vertOverflow="ellipsis" horzOverflow="overflow" wrap="square" lIns="0" tIns="0" rIns="0" bIns="0" anchor="ctr" anchorCtr="1"/>
        <a:lstStyle/>
        <a:p>
          <a:pPr algn="ctr" rtl="0">
            <a:defRPr b="1"/>
          </a:pPr>
          <a:endParaRPr lang="es-ES" sz="900" b="1" i="0" u="none" strike="noStrike" baseline="0">
            <a:solidFill>
              <a:sysClr val="windowText" lastClr="000000">
                <a:lumMod val="65000"/>
                <a:lumOff val="35000"/>
              </a:sysClr>
            </a:solidFill>
            <a:latin typeface="Calibri" panose="020F0502020204030204"/>
          </a:endParaRPr>
        </a:p>
      </cx:txPr>
    </cx:legend>
  </cx:chart>
  <cx:fmtOvrs>
    <cx:fmtOvr idx="0">
      <cx:spPr>
        <a:solidFill>
          <a:srgbClr val="FF0000"/>
        </a:solidFill>
      </cx:spPr>
    </cx:fmtOvr>
    <cx:fmtOvr idx="1">
      <cx:spPr>
        <a:solidFill>
          <a:srgbClr val="00B050"/>
        </a:solidFill>
      </cx:spPr>
    </cx:fmtOvr>
  </cx:fmtOvrs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9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97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/>
  </cs:chartArea>
  <cs:dataLabel>
    <cs:lnRef idx="0"/>
    <cs:fillRef idx="0"/>
    <cs:effectRef idx="0"/>
    <cs:fontRef idx="minor">
      <a:schemeClr val="dk1"/>
    </cs:fontRef>
    <cs:defRPr sz="90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75000"/>
            <a:lumOff val="2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  <a:lumOff val="10000"/>
              </a:schemeClr>
            </a:gs>
            <a:gs pos="0">
              <a:schemeClr val="lt1">
                <a:lumMod val="75000"/>
                <a:alpha val="36000"/>
                <a:lumOff val="10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dk1"/>
    </cs:fontRef>
    <cs:spPr>
      <a:ln w="9525" cap="flat">
        <a:solidFill>
          <a:schemeClr val="bg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/>
  </cs:title>
  <cs:trendline>
    <cs:lnRef idx="0"/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defRPr sz="9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397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/>
  </cs:chartArea>
  <cs:dataLabel>
    <cs:lnRef idx="0"/>
    <cs:fillRef idx="0"/>
    <cs:effectRef idx="0"/>
    <cs:fontRef idx="minor">
      <a:schemeClr val="dk1"/>
    </cs:fontRef>
    <cs:defRPr sz="90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75000"/>
            <a:lumOff val="2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  <a:lumOff val="10000"/>
              </a:schemeClr>
            </a:gs>
            <a:gs pos="0">
              <a:schemeClr val="lt1">
                <a:lumMod val="75000"/>
                <a:alpha val="36000"/>
                <a:lumOff val="10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dk1"/>
    </cs:fontRef>
    <cs:spPr>
      <a:ln w="9525" cap="flat">
        <a:solidFill>
          <a:schemeClr val="bg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/>
  </cs:title>
  <cs:trendline>
    <cs:lnRef idx="0"/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defRPr sz="9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397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/>
  </cs:chartArea>
  <cs:dataLabel>
    <cs:lnRef idx="0"/>
    <cs:fillRef idx="0"/>
    <cs:effectRef idx="0"/>
    <cs:fontRef idx="minor">
      <a:schemeClr val="dk1"/>
    </cs:fontRef>
    <cs:defRPr sz="90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75000"/>
            <a:lumOff val="2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  <a:lumOff val="10000"/>
              </a:schemeClr>
            </a:gs>
            <a:gs pos="0">
              <a:schemeClr val="lt1">
                <a:lumMod val="75000"/>
                <a:alpha val="36000"/>
                <a:lumOff val="10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dk1"/>
    </cs:fontRef>
    <cs:spPr>
      <a:ln w="9525" cap="flat">
        <a:solidFill>
          <a:schemeClr val="bg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/>
  </cs:title>
  <cs:trendline>
    <cs:lnRef idx="0"/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defRPr sz="900"/>
  </cs:valueAxis>
  <cs:wall>
    <cs:lnRef idx="0"/>
    <cs:fillRef idx="0"/>
    <cs:effectRef idx="0"/>
    <cs:fontRef idx="minor">
      <a:schemeClr val="dk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39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397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/>
  </cs:chartArea>
  <cs:dataLabel>
    <cs:lnRef idx="0"/>
    <cs:fillRef idx="0"/>
    <cs:effectRef idx="0"/>
    <cs:fontRef idx="minor">
      <a:schemeClr val="dk1"/>
    </cs:fontRef>
    <cs:defRPr sz="90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75000"/>
            <a:lumOff val="2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  <a:lumOff val="10000"/>
              </a:schemeClr>
            </a:gs>
            <a:gs pos="0">
              <a:schemeClr val="lt1">
                <a:lumMod val="75000"/>
                <a:alpha val="36000"/>
                <a:lumOff val="10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dk1"/>
    </cs:fontRef>
    <cs:spPr>
      <a:ln w="9525" cap="flat">
        <a:solidFill>
          <a:schemeClr val="bg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/>
  </cs:title>
  <cs:trendline>
    <cs:lnRef idx="0"/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defRPr sz="900"/>
  </cs:valueAxis>
  <cs:wall>
    <cs:lnRef idx="0"/>
    <cs:fillRef idx="0"/>
    <cs:effectRef idx="0"/>
    <cs:fontRef idx="minor">
      <a:schemeClr val="dk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39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microsoft.com/office/2014/relationships/chartEx" Target="../charts/chartEx3.xml"/><Relationship Id="rId2" Type="http://schemas.microsoft.com/office/2014/relationships/chartEx" Target="../charts/chartEx2.xml"/><Relationship Id="rId1" Type="http://schemas.microsoft.com/office/2014/relationships/chartEx" Target="../charts/chartEx1.xml"/><Relationship Id="rId4" Type="http://schemas.microsoft.com/office/2014/relationships/chartEx" Target="../charts/chartEx4.xml"/></Relationships>
</file>

<file path=xl/drawings/_rels/drawing2.xml.rels><?xml version="1.0" encoding="UTF-8" standalone="yes"?>
<Relationships xmlns="http://schemas.openxmlformats.org/package/2006/relationships"><Relationship Id="rId3" Type="http://schemas.microsoft.com/office/2014/relationships/chartEx" Target="../charts/chartEx7.xml"/><Relationship Id="rId2" Type="http://schemas.microsoft.com/office/2014/relationships/chartEx" Target="../charts/chartEx6.xml"/><Relationship Id="rId1" Type="http://schemas.microsoft.com/office/2014/relationships/chartEx" Target="../charts/chartEx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643543</xdr:colOff>
      <xdr:row>1</xdr:row>
      <xdr:rowOff>2770</xdr:rowOff>
    </xdr:from>
    <xdr:to>
      <xdr:col>12</xdr:col>
      <xdr:colOff>87283</xdr:colOff>
      <xdr:row>23</xdr:row>
      <xdr:rowOff>152399</xdr:rowOff>
    </xdr:to>
    <mc:AlternateContent xmlns:mc="http://schemas.openxmlformats.org/markup-compatibility/2006">
      <mc:Choice xmlns:cx4="http://schemas.microsoft.com/office/drawing/2016/5/10/chartex" Requires="cx4">
        <xdr:graphicFrame macro="">
          <xdr:nvGraphicFramePr>
            <xdr:cNvPr id="2" name="Gráfico 1">
              <a:extLst>
                <a:ext uri="{FF2B5EF4-FFF2-40B4-BE49-F238E27FC236}">
                  <a16:creationId xmlns:a16="http://schemas.microsoft.com/office/drawing/2014/main" id="{C7593CC1-6032-4299-8E1C-688D2112B5D8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241963" y="193270"/>
              <a:ext cx="6027420" cy="4172989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CO" sz="1100"/>
                <a:t>Este gráfico no está disponible en su versión de Excel.
Si edita esta forma o guarda el libro en un formato de archivo diferente, el gráfico no se podrá utilizar.</a:t>
              </a:r>
            </a:p>
          </xdr:txBody>
        </xdr:sp>
      </mc:Fallback>
    </mc:AlternateContent>
    <xdr:clientData/>
  </xdr:twoCellAnchor>
  <xdr:twoCellAnchor>
    <xdr:from>
      <xdr:col>3</xdr:col>
      <xdr:colOff>601980</xdr:colOff>
      <xdr:row>25</xdr:row>
      <xdr:rowOff>167640</xdr:rowOff>
    </xdr:from>
    <xdr:to>
      <xdr:col>12</xdr:col>
      <xdr:colOff>45720</xdr:colOff>
      <xdr:row>47</xdr:row>
      <xdr:rowOff>121920</xdr:rowOff>
    </xdr:to>
    <mc:AlternateContent xmlns:mc="http://schemas.openxmlformats.org/markup-compatibility/2006">
      <mc:Choice xmlns:cx4="http://schemas.microsoft.com/office/drawing/2016/5/10/chartex" Requires="cx4">
        <xdr:graphicFrame macro="">
          <xdr:nvGraphicFramePr>
            <xdr:cNvPr id="5" name="Gráfico 4">
              <a:extLst>
                <a:ext uri="{FF2B5EF4-FFF2-40B4-BE49-F238E27FC236}">
                  <a16:creationId xmlns:a16="http://schemas.microsoft.com/office/drawing/2014/main" id="{A8B1E12F-1B62-4EC2-8A12-318DA7F9880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200400" y="4747260"/>
              <a:ext cx="6027420" cy="399288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CO" sz="1100"/>
                <a:t>Este gráfico no está disponible en su versión de Excel.
Si edita esta forma o guarda el libro en un formato de archivo diferente, el gráfico no se podrá utilizar.</a:t>
              </a:r>
            </a:p>
          </xdr:txBody>
        </xdr:sp>
      </mc:Fallback>
    </mc:AlternateContent>
    <xdr:clientData/>
  </xdr:twoCellAnchor>
  <xdr:twoCellAnchor>
    <xdr:from>
      <xdr:col>3</xdr:col>
      <xdr:colOff>396240</xdr:colOff>
      <xdr:row>51</xdr:row>
      <xdr:rowOff>30480</xdr:rowOff>
    </xdr:from>
    <xdr:to>
      <xdr:col>11</xdr:col>
      <xdr:colOff>83820</xdr:colOff>
      <xdr:row>73</xdr:row>
      <xdr:rowOff>167640</xdr:rowOff>
    </xdr:to>
    <mc:AlternateContent xmlns:mc="http://schemas.openxmlformats.org/markup-compatibility/2006">
      <mc:Choice xmlns:cx4="http://schemas.microsoft.com/office/drawing/2016/5/10/chartex" Requires="cx4">
        <xdr:graphicFrame macro="">
          <xdr:nvGraphicFramePr>
            <xdr:cNvPr id="6" name="Gráfico 5">
              <a:extLst>
                <a:ext uri="{FF2B5EF4-FFF2-40B4-BE49-F238E27FC236}">
                  <a16:creationId xmlns:a16="http://schemas.microsoft.com/office/drawing/2014/main" id="{CA60BB53-4D13-4FA9-96D4-A3A2E899F88F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3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994660" y="9380220"/>
              <a:ext cx="6035040" cy="417576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CO" sz="1100"/>
                <a:t>Este gráfico no está disponible en su versión de Excel.
Si edita esta forma o guarda el libro en un formato de archivo diferente, el gráfico no se podrá utilizar.</a:t>
              </a:r>
            </a:p>
          </xdr:txBody>
        </xdr:sp>
      </mc:Fallback>
    </mc:AlternateContent>
    <xdr:clientData/>
  </xdr:twoCellAnchor>
  <xdr:twoCellAnchor>
    <xdr:from>
      <xdr:col>3</xdr:col>
      <xdr:colOff>434340</xdr:colOff>
      <xdr:row>75</xdr:row>
      <xdr:rowOff>30480</xdr:rowOff>
    </xdr:from>
    <xdr:to>
      <xdr:col>11</xdr:col>
      <xdr:colOff>121920</xdr:colOff>
      <xdr:row>97</xdr:row>
      <xdr:rowOff>160020</xdr:rowOff>
    </xdr:to>
    <mc:AlternateContent xmlns:mc="http://schemas.openxmlformats.org/markup-compatibility/2006">
      <mc:Choice xmlns:cx4="http://schemas.microsoft.com/office/drawing/2016/5/10/chartex" Requires="cx4">
        <xdr:graphicFrame macro="">
          <xdr:nvGraphicFramePr>
            <xdr:cNvPr id="7" name="Gráfico 6">
              <a:extLst>
                <a:ext uri="{FF2B5EF4-FFF2-40B4-BE49-F238E27FC236}">
                  <a16:creationId xmlns:a16="http://schemas.microsoft.com/office/drawing/2014/main" id="{F36E7FDB-0AA9-4F31-8A7F-43153FB47E0F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4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032760" y="13784580"/>
              <a:ext cx="6035040" cy="416814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CO" sz="1100"/>
                <a:t>Este gráfico no está disponible en su versión de Excel.
Si edita esta forma o guarda el libro en un formato de archivo diferente, el gráfico no se podrá utilizar.</a:t>
              </a:r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129540</xdr:colOff>
      <xdr:row>0</xdr:row>
      <xdr:rowOff>129540</xdr:rowOff>
    </xdr:from>
    <xdr:to>
      <xdr:col>16</xdr:col>
      <xdr:colOff>636616</xdr:colOff>
      <xdr:row>25</xdr:row>
      <xdr:rowOff>100444</xdr:rowOff>
    </xdr:to>
    <mc:AlternateContent xmlns:mc="http://schemas.openxmlformats.org/markup-compatibility/2006">
      <mc:Choice xmlns:cx4="http://schemas.microsoft.com/office/drawing/2016/5/10/chartex" Requires="cx4">
        <xdr:graphicFrame macro="">
          <xdr:nvGraphicFramePr>
            <xdr:cNvPr id="2" name="Gráfico 1">
              <a:extLst>
                <a:ext uri="{FF2B5EF4-FFF2-40B4-BE49-F238E27FC236}">
                  <a16:creationId xmlns:a16="http://schemas.microsoft.com/office/drawing/2014/main" id="{2BFA65CC-D6CC-4623-8F26-2A19911F32A2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935980" y="129540"/>
              <a:ext cx="6397336" cy="3834244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CO" sz="1100"/>
                <a:t>Este gráfico no está disponible en su versión de Excel.
Si edita esta forma o guarda el libro en un formato de archivo diferente, el gráfico no se podrá utilizar.</a:t>
              </a:r>
            </a:p>
          </xdr:txBody>
        </xdr:sp>
      </mc:Fallback>
    </mc:AlternateContent>
    <xdr:clientData/>
  </xdr:twoCellAnchor>
  <xdr:twoCellAnchor>
    <xdr:from>
      <xdr:col>3</xdr:col>
      <xdr:colOff>601980</xdr:colOff>
      <xdr:row>26</xdr:row>
      <xdr:rowOff>167640</xdr:rowOff>
    </xdr:from>
    <xdr:to>
      <xdr:col>12</xdr:col>
      <xdr:colOff>45720</xdr:colOff>
      <xdr:row>27</xdr:row>
      <xdr:rowOff>0</xdr:rowOff>
    </xdr:to>
    <mc:AlternateContent xmlns:mc="http://schemas.openxmlformats.org/markup-compatibility/2006">
      <mc:Choice xmlns:cx4="http://schemas.microsoft.com/office/drawing/2016/5/10/chartex" Requires="cx4">
        <xdr:graphicFrame macro="">
          <xdr:nvGraphicFramePr>
            <xdr:cNvPr id="5" name="Gráfico 4">
              <a:extLst>
                <a:ext uri="{FF2B5EF4-FFF2-40B4-BE49-F238E27FC236}">
                  <a16:creationId xmlns:a16="http://schemas.microsoft.com/office/drawing/2014/main" id="{D0C213D8-CB72-43E0-A7E2-C62E938B46D2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200400" y="4213860"/>
              <a:ext cx="6027420" cy="2286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CO" sz="1100"/>
                <a:t>Este gráfico no está disponible en su versión de Excel.
Si edita esta forma o guarda el libro en un formato de archivo diferente, el gráfico no se podrá utilizar.</a:t>
              </a:r>
            </a:p>
          </xdr:txBody>
        </xdr:sp>
      </mc:Fallback>
    </mc:AlternateContent>
    <xdr:clientData/>
  </xdr:twoCellAnchor>
  <xdr:twoCellAnchor>
    <xdr:from>
      <xdr:col>5</xdr:col>
      <xdr:colOff>68580</xdr:colOff>
      <xdr:row>27</xdr:row>
      <xdr:rowOff>137160</xdr:rowOff>
    </xdr:from>
    <xdr:to>
      <xdr:col>15</xdr:col>
      <xdr:colOff>373380</xdr:colOff>
      <xdr:row>53</xdr:row>
      <xdr:rowOff>38100</xdr:rowOff>
    </xdr:to>
    <mc:AlternateContent xmlns:mc="http://schemas.openxmlformats.org/markup-compatibility/2006">
      <mc:Choice xmlns:cx4="http://schemas.microsoft.com/office/drawing/2016/5/10/chartex" Requires="cx4">
        <xdr:graphicFrame macro="">
          <xdr:nvGraphicFramePr>
            <xdr:cNvPr id="9" name="Gráfico 8">
              <a:extLst>
                <a:ext uri="{FF2B5EF4-FFF2-40B4-BE49-F238E27FC236}">
                  <a16:creationId xmlns:a16="http://schemas.microsoft.com/office/drawing/2014/main" id="{67E70342-577D-4A24-8358-022CCBACD127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3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274820" y="4373880"/>
              <a:ext cx="7010400" cy="39243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CO" sz="1100"/>
                <a:t>Este gráfico no está disponible en su versión de Excel.
Si edita esta forma o guarda el libro en un formato de archivo diferente, el gráfico no se podrá utilizar.</a:t>
              </a:r>
            </a:p>
          </xdr:txBody>
        </xdr:sp>
      </mc:Fallback>
    </mc:AlternateContent>
    <xdr:clientData/>
  </xdr:twoCellAnchor>
  <xdr:twoCellAnchor>
    <xdr:from>
      <xdr:col>8</xdr:col>
      <xdr:colOff>228600</xdr:colOff>
      <xdr:row>3</xdr:row>
      <xdr:rowOff>76200</xdr:rowOff>
    </xdr:from>
    <xdr:to>
      <xdr:col>16</xdr:col>
      <xdr:colOff>304800</xdr:colOff>
      <xdr:row>4</xdr:row>
      <xdr:rowOff>144780</xdr:rowOff>
    </xdr:to>
    <xdr:sp macro="" textlink="">
      <xdr:nvSpPr>
        <xdr:cNvPr id="10" name="Abrir llave 9">
          <a:extLst>
            <a:ext uri="{FF2B5EF4-FFF2-40B4-BE49-F238E27FC236}">
              <a16:creationId xmlns:a16="http://schemas.microsoft.com/office/drawing/2014/main" id="{A39DFCB0-376B-41DF-82C4-318750C8F273}"/>
            </a:ext>
          </a:extLst>
        </xdr:cNvPr>
        <xdr:cNvSpPr/>
      </xdr:nvSpPr>
      <xdr:spPr>
        <a:xfrm rot="5400000">
          <a:off x="9284970" y="-1832610"/>
          <a:ext cx="251460" cy="5181600"/>
        </a:xfrm>
        <a:prstGeom prst="leftBrace">
          <a:avLst/>
        </a:prstGeom>
        <a:ln w="12700">
          <a:solidFill>
            <a:srgbClr val="00B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13</xdr:col>
      <xdr:colOff>144780</xdr:colOff>
      <xdr:row>2</xdr:row>
      <xdr:rowOff>114300</xdr:rowOff>
    </xdr:from>
    <xdr:to>
      <xdr:col>14</xdr:col>
      <xdr:colOff>525780</xdr:colOff>
      <xdr:row>3</xdr:row>
      <xdr:rowOff>175260</xdr:rowOff>
    </xdr:to>
    <xdr:sp macro="" textlink="">
      <xdr:nvSpPr>
        <xdr:cNvPr id="11" name="CuadroTexto 10">
          <a:extLst>
            <a:ext uri="{FF2B5EF4-FFF2-40B4-BE49-F238E27FC236}">
              <a16:creationId xmlns:a16="http://schemas.microsoft.com/office/drawing/2014/main" id="{28A6665C-A83E-424F-B465-47BC503F485E}"/>
            </a:ext>
          </a:extLst>
        </xdr:cNvPr>
        <xdr:cNvSpPr txBox="1"/>
      </xdr:nvSpPr>
      <xdr:spPr>
        <a:xfrm>
          <a:off x="9486900" y="487680"/>
          <a:ext cx="1165860" cy="243840"/>
        </a:xfrm>
        <a:prstGeom prst="rect">
          <a:avLst/>
        </a:prstGeom>
        <a:solidFill>
          <a:schemeClr val="lt1"/>
        </a:solidFill>
        <a:ln w="9525" cmpd="sng">
          <a:solidFill>
            <a:schemeClr val="bg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CO" sz="1200" b="1">
              <a:solidFill>
                <a:srgbClr val="00B050"/>
              </a:solidFill>
            </a:rPr>
            <a:t>$8.350 (7,4%)</a:t>
          </a:r>
        </a:p>
      </xdr:txBody>
    </xdr:sp>
    <xdr:clientData/>
  </xdr:twoCellAnchor>
  <xdr:twoCellAnchor>
    <xdr:from>
      <xdr:col>6</xdr:col>
      <xdr:colOff>106680</xdr:colOff>
      <xdr:row>30</xdr:row>
      <xdr:rowOff>15240</xdr:rowOff>
    </xdr:from>
    <xdr:to>
      <xdr:col>15</xdr:col>
      <xdr:colOff>68580</xdr:colOff>
      <xdr:row>31</xdr:row>
      <xdr:rowOff>83820</xdr:rowOff>
    </xdr:to>
    <xdr:sp macro="" textlink="">
      <xdr:nvSpPr>
        <xdr:cNvPr id="12" name="Abrir llave 11">
          <a:extLst>
            <a:ext uri="{FF2B5EF4-FFF2-40B4-BE49-F238E27FC236}">
              <a16:creationId xmlns:a16="http://schemas.microsoft.com/office/drawing/2014/main" id="{2FB132A4-9529-4166-A672-9511ED7E266A}"/>
            </a:ext>
          </a:extLst>
        </xdr:cNvPr>
        <xdr:cNvSpPr/>
      </xdr:nvSpPr>
      <xdr:spPr>
        <a:xfrm rot="5400000">
          <a:off x="7913370" y="21416010"/>
          <a:ext cx="251460" cy="5882640"/>
        </a:xfrm>
        <a:prstGeom prst="leftBrace">
          <a:avLst/>
        </a:prstGeom>
        <a:ln w="12700">
          <a:solidFill>
            <a:srgbClr val="00B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9</xdr:col>
      <xdr:colOff>678180</xdr:colOff>
      <xdr:row>29</xdr:row>
      <xdr:rowOff>76200</xdr:rowOff>
    </xdr:from>
    <xdr:to>
      <xdr:col>12</xdr:col>
      <xdr:colOff>76200</xdr:colOff>
      <xdr:row>30</xdr:row>
      <xdr:rowOff>114300</xdr:rowOff>
    </xdr:to>
    <xdr:sp macro="" textlink="">
      <xdr:nvSpPr>
        <xdr:cNvPr id="13" name="CuadroTexto 12">
          <a:extLst>
            <a:ext uri="{FF2B5EF4-FFF2-40B4-BE49-F238E27FC236}">
              <a16:creationId xmlns:a16="http://schemas.microsoft.com/office/drawing/2014/main" id="{B9D4B8E3-606E-45CE-952F-20797872CF88}"/>
            </a:ext>
          </a:extLst>
        </xdr:cNvPr>
        <xdr:cNvSpPr txBox="1"/>
      </xdr:nvSpPr>
      <xdr:spPr>
        <a:xfrm>
          <a:off x="8054340" y="24109680"/>
          <a:ext cx="1203960" cy="220980"/>
        </a:xfrm>
        <a:prstGeom prst="rect">
          <a:avLst/>
        </a:prstGeom>
        <a:solidFill>
          <a:schemeClr val="lt1"/>
        </a:solidFill>
        <a:ln w="9525" cmpd="sng">
          <a:solidFill>
            <a:schemeClr val="bg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CO" sz="1200" b="1">
              <a:solidFill>
                <a:srgbClr val="00B050"/>
              </a:solidFill>
            </a:rPr>
            <a:t>$6.819 (5,3%)</a:t>
          </a:r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arlos David Serna Ramirez" refreshedDate="46140.342260069447" createdVersion="8" refreshedVersion="8" minRefreshableVersion="3" recordCount="1525" xr:uid="{BD76BB62-F535-46BA-9100-947FD1373A9A}">
  <cacheSource type="worksheet">
    <worksheetSource ref="A1:U1048576" sheet="Base"/>
  </cacheSource>
  <cacheFields count="22">
    <cacheField name="Clase de coste" numFmtId="0">
      <sharedItems containsString="0" containsBlank="1" containsNumber="1" containsInteger="1" minValue="7105040101" maxValue="7999999995"/>
    </cacheField>
    <cacheField name="Denom.clase de coste" numFmtId="0">
      <sharedItems containsBlank="1"/>
    </cacheField>
    <cacheField name="Valor/mon.inf." numFmtId="0">
      <sharedItems containsString="0" containsBlank="1" containsNumber="1" minValue="0" maxValue="3370700327.3812213"/>
    </cacheField>
    <cacheField name="Cantidad total reg." numFmtId="0">
      <sharedItems containsString="0" containsBlank="1" containsNumber="1" minValue="-1356568.8323794804" maxValue="2840261.6666666591"/>
    </cacheField>
    <cacheField name="Ud. cantidad contab." numFmtId="0">
      <sharedItems containsBlank="1"/>
    </cacheField>
    <cacheField name="Clase cta. de contrapartida" numFmtId="0">
      <sharedItems containsBlank="1"/>
    </cacheField>
    <cacheField name="Cta.contrapartida" numFmtId="0">
      <sharedItems containsBlank="1"/>
    </cacheField>
    <cacheField name="Denominacion cuenta contrapartida" numFmtId="0">
      <sharedItems containsBlank="1"/>
    </cacheField>
    <cacheField name="Centro" numFmtId="0">
      <sharedItems containsBlank="1"/>
    </cacheField>
    <cacheField name="Material" numFmtId="0">
      <sharedItems containsBlank="1" containsMixedTypes="1" containsNumber="1" containsInteger="1" minValue="22000000001" maxValue="70000000000"/>
    </cacheField>
    <cacheField name="Orden" numFmtId="0">
      <sharedItems containsString="0" containsBlank="1" containsNumber="1" containsInteger="1" minValue="700000" maxValue="700120"/>
    </cacheField>
    <cacheField name="Período" numFmtId="0">
      <sharedItems containsString="0" containsBlank="1" containsNumber="1" containsInteger="1" minValue="1" maxValue="12" count="13">
        <n v="1"/>
        <n v="2"/>
        <n v="3"/>
        <n v="4"/>
        <n v="5"/>
        <n v="6"/>
        <n v="7"/>
        <n v="8"/>
        <n v="9"/>
        <n v="10"/>
        <n v="11"/>
        <n v="12"/>
        <m/>
      </sharedItems>
    </cacheField>
    <cacheField name="Texto breve de material" numFmtId="0">
      <sharedItems containsBlank="1"/>
    </cacheField>
    <cacheField name="Fe.contabilización" numFmtId="0">
      <sharedItems containsNonDate="0" containsString="0" containsBlank="1"/>
    </cacheField>
    <cacheField name="Fecha de documento" numFmtId="0">
      <sharedItems containsNonDate="0" containsString="0" containsBlank="1"/>
    </cacheField>
    <cacheField name="Mat2" numFmtId="0">
      <sharedItems containsBlank="1"/>
    </cacheField>
    <cacheField name="Proceso" numFmtId="0">
      <sharedItems containsBlank="1" count="19">
        <s v="Molienda de  Crudo"/>
        <s v="Clinkerización"/>
        <s v="Molienda de Carbón"/>
        <s v="COMBUSTIBLES ALTERNOS"/>
        <s v="Cemento UG"/>
        <s v="CEMENTO UG 42,5 KG"/>
        <s v="Trituración"/>
        <s v="Adiciones"/>
        <s v="CEMENTO ART 42,5 KG"/>
        <s v="CEMENTO UG 25 KG"/>
        <s v="CEMENTO UG 50 KG"/>
        <s v="Cemento ART"/>
        <s v="Cemento UG TP"/>
        <s v="Fibrocemento"/>
        <s v="CEMENTO TOPEX 50 KG"/>
        <s v="CEMENTO BIG BAG 1,5 TONELADAS"/>
        <s v="CEMENTOS"/>
        <m/>
        <e v="#N/A" u="1"/>
      </sharedItems>
    </cacheField>
    <cacheField name="ORD" numFmtId="0">
      <sharedItems containsString="0" containsBlank="1" containsNumber="1" containsInteger="1" minValue="0" maxValue="21" count="19">
        <n v="3"/>
        <n v="5"/>
        <n v="4"/>
        <n v="20"/>
        <n v="6"/>
        <n v="9"/>
        <n v="1"/>
        <n v="2"/>
        <n v="11"/>
        <n v="10"/>
        <n v="8"/>
        <n v="7"/>
        <n v="15"/>
        <n v="16"/>
        <n v="14"/>
        <n v="19"/>
        <n v="21"/>
        <m/>
        <n v="0" u="1"/>
      </sharedItems>
    </cacheField>
    <cacheField name="CN" numFmtId="0">
      <sharedItems containsBlank="1"/>
    </cacheField>
    <cacheField name="Tipo" numFmtId="0">
      <sharedItems containsBlank="1" count="49">
        <s v="Mineral de Hierro"/>
        <s v="Caliza"/>
        <s v="Prehomo"/>
        <s v="Producción"/>
        <s v="Cuerpos Moledores"/>
        <s v="Láminas"/>
        <s v="Anillos, Tapas y Separadores"/>
        <s v="Carbón Molido"/>
        <s v="Crudo"/>
        <s v="Ductos"/>
        <s v="Enfriador"/>
        <s v="Placas"/>
        <s v="Refractarios"/>
        <s v="Sellado"/>
        <s v="Gasoil"/>
        <s v="Carbón"/>
        <s v="Combustibles Alternos"/>
        <s v="Cuerpos Moledores y Láminas"/>
        <s v="Sal Marina"/>
        <s v="Caliza Triturada"/>
        <s v="Yeso"/>
        <s v="Aditivo Molienda"/>
        <s v="Puzolana"/>
        <s v="Finos Filtro"/>
        <s v="Clinker"/>
        <s v="Placas y Segmentos"/>
        <s v="Cemento UG"/>
        <s v="Sacos"/>
        <s v="Arcilla"/>
        <s v="Barras y Placas"/>
        <s v="Cemento ART"/>
        <s v="Cemento UG TP"/>
        <s v="Descargue Finos Carbón"/>
        <s v="Cargue Clinker"/>
        <s v="Dosificador de Sal"/>
        <s v="Cargue Ck Tolva"/>
        <s v="Briquetas"/>
        <s v="Chip de Madera"/>
        <s v="CDR"/>
        <s v="Llanta Picada"/>
        <s v="Material Dique"/>
        <s v="Desatasque De Carbón"/>
        <s v="Energía"/>
        <s v="Cargador Carbón"/>
        <s v="Regalías"/>
        <s v="Cargue Alternos"/>
        <s v="Descargue Alternos"/>
        <s v="Empaque y Granel"/>
        <m/>
      </sharedItems>
    </cacheField>
    <cacheField name="Arrastre" numFmtId="0">
      <sharedItems containsBlank="1" count="2">
        <s v="Clinker"/>
        <m/>
      </sharedItems>
    </cacheField>
    <cacheField name="Costo" numFmtId="0" formula="'Valor/mon.inf.'/'Cantidad total reg.'" databaseField="0"/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25">
  <r>
    <n v="7105040101"/>
    <s v="MP CORRECT HIERO NAL"/>
    <n v="881790930.50437665"/>
    <n v="2931.2249999999999"/>
    <s v="T"/>
    <s v="M"/>
    <s v="1405040101"/>
    <s v="IN CORRECT HIERO NAL"/>
    <s v="EC01"/>
    <s v="CORRHIERR"/>
    <n v="700000"/>
    <x v="0"/>
    <s v="CORRECTOR DE HIERRO"/>
    <m/>
    <m/>
    <s v="HARINA CRUDA"/>
    <x v="0"/>
    <x v="0"/>
    <s v="7105040101CORRHIERRMolienda de  Crudo"/>
    <x v="0"/>
    <x v="0"/>
  </r>
  <r>
    <n v="7105040101"/>
    <s v="MP CORRECT HIERO NAL"/>
    <n v="85178560.95960474"/>
    <n v="499.87574999999998"/>
    <s v="T"/>
    <s v="M"/>
    <s v="1405040101"/>
    <s v="IN CORRECT HIERO NAL"/>
    <s v="EC01"/>
    <s v="CALAMINA1"/>
    <n v="700000"/>
    <x v="0"/>
    <s v="CALAMINA"/>
    <m/>
    <m/>
    <s v="HARINA CRUDA"/>
    <x v="0"/>
    <x v="0"/>
    <s v="7105040101CALAMINA1Molienda de  Crudo"/>
    <x v="0"/>
    <x v="0"/>
  </r>
  <r>
    <n v="7105330101"/>
    <s v="CTO. MP CALIZAS NAL"/>
    <m/>
    <n v="24130.920000000002"/>
    <s v="T"/>
    <s v="M"/>
    <s v="1405330101"/>
    <s v="INV.  CALIZAS NAL"/>
    <s v="EC01"/>
    <s v="CALIZATRI"/>
    <n v="700000"/>
    <x v="0"/>
    <s v="CALIZA TRITURADA"/>
    <m/>
    <m/>
    <s v="HARINA CRUDA"/>
    <x v="0"/>
    <x v="0"/>
    <s v="7105330101CALIZATRIMolienda de  Crudo"/>
    <x v="1"/>
    <x v="0"/>
  </r>
  <r>
    <n v="7105330101"/>
    <s v="CTO. MP CALIZAS NAL"/>
    <m/>
    <n v="109733.16178217823"/>
    <s v="T"/>
    <s v="M"/>
    <s v="1405330101"/>
    <s v="INV.  CALIZAS NAL"/>
    <s v="EC01"/>
    <s v="MEZCPREHO"/>
    <n v="700000"/>
    <x v="0"/>
    <s v="MEZCLA PREHOMO"/>
    <m/>
    <m/>
    <s v="HARINA CRUDA"/>
    <x v="0"/>
    <x v="0"/>
    <s v="7105330101MEZCPREHOMolienda de  Crudo"/>
    <x v="2"/>
    <x v="0"/>
  </r>
  <r>
    <n v="7999999995"/>
    <s v="TRASLADO DE COSTOS"/>
    <m/>
    <n v="-132000"/>
    <s v="T"/>
    <s v="M"/>
    <s v="1410900101"/>
    <s v="INV. SEMIELABORADO"/>
    <s v="EC01"/>
    <s v="HARINACRUD"/>
    <n v="700000"/>
    <x v="0"/>
    <s v="HARINA CRUDA"/>
    <m/>
    <m/>
    <s v="HARINA CRUDA"/>
    <x v="0"/>
    <x v="0"/>
    <s v="7999999995HARINACRUDMolienda de  Crudo"/>
    <x v="3"/>
    <x v="0"/>
  </r>
  <r>
    <n v="7355250320"/>
    <s v="RTOS VARIA IMPO"/>
    <n v="22058455.411316119"/>
    <n v="132000"/>
    <m/>
    <m/>
    <m/>
    <m/>
    <s v="EC01"/>
    <s v="CUERPOS MOLEDORES"/>
    <n v="700000"/>
    <x v="0"/>
    <s v="HARINA CRUDA"/>
    <m/>
    <m/>
    <s v="HARINA CRUDA"/>
    <x v="0"/>
    <x v="0"/>
    <s v="7355250320CUERPOS MOLEDORESMolienda de  Crudo"/>
    <x v="4"/>
    <x v="0"/>
  </r>
  <r>
    <n v="7355250321"/>
    <s v="RTOS VARIA IMPO"/>
    <n v="15824544.099422434"/>
    <n v="132000"/>
    <m/>
    <m/>
    <m/>
    <m/>
    <s v="EC01"/>
    <s v="LAMINAS"/>
    <n v="700000"/>
    <x v="0"/>
    <s v="HARINA CRUDA"/>
    <m/>
    <m/>
    <s v="HARINA CRUDA"/>
    <x v="0"/>
    <x v="0"/>
    <s v="7355250321LAMINASMolienda de  Crudo"/>
    <x v="5"/>
    <x v="0"/>
  </r>
  <r>
    <n v="7355250322"/>
    <s v="RTOS VARIA IMPO"/>
    <n v="65828937.712182"/>
    <n v="132000"/>
    <m/>
    <m/>
    <m/>
    <m/>
    <s v="EC01"/>
    <s v="ANILLOS, TAPAS Y SEPARADORES"/>
    <n v="700000"/>
    <x v="0"/>
    <s v="HARINA CRUDA"/>
    <m/>
    <m/>
    <s v="HARINA CRUDA"/>
    <x v="0"/>
    <x v="0"/>
    <s v="7355250322ANILLOS, TAPAS Y SEPARADORESMolienda de  Crudo"/>
    <x v="6"/>
    <x v="0"/>
  </r>
  <r>
    <n v="7105040101"/>
    <s v="MP CORRECT HIERO NAL"/>
    <n v="890057674.26950729"/>
    <n v="2958.9828124999999"/>
    <s v="T"/>
    <s v="M"/>
    <s v="1405040101"/>
    <s v="IN CORRECT HIERO NAL"/>
    <s v="EC01"/>
    <s v="CORRHIERR"/>
    <n v="700000"/>
    <x v="1"/>
    <s v="CORRECTOR DE HIERRO"/>
    <m/>
    <m/>
    <s v="HARINA CRUDA"/>
    <x v="0"/>
    <x v="0"/>
    <s v="7105040101CORRHIERRMolienda de  Crudo"/>
    <x v="0"/>
    <x v="0"/>
  </r>
  <r>
    <n v="7105040101"/>
    <s v="MP CORRECT HIERO NAL"/>
    <n v="85970928.088170588"/>
    <n v="504.60942187499995"/>
    <s v="T"/>
    <s v="M"/>
    <s v="1405040101"/>
    <s v="IN CORRECT HIERO NAL"/>
    <s v="EC01"/>
    <s v="CALAMINA1"/>
    <n v="700000"/>
    <x v="1"/>
    <s v="CALAMINA"/>
    <m/>
    <m/>
    <s v="HARINA CRUDA"/>
    <x v="0"/>
    <x v="0"/>
    <s v="7105040101CALAMINA1Molienda de  Crudo"/>
    <x v="0"/>
    <x v="0"/>
  </r>
  <r>
    <n v="7105330101"/>
    <s v="CTO. MP CALIZAS NAL"/>
    <m/>
    <n v="24359.432499999999"/>
    <s v="T"/>
    <s v="M"/>
    <s v="1405330101"/>
    <s v="INV.  CALIZAS NAL"/>
    <s v="EC01"/>
    <s v="CALIZATRI"/>
    <n v="700000"/>
    <x v="1"/>
    <s v="CALIZA TRITURADA"/>
    <m/>
    <m/>
    <s v="HARINA CRUDA"/>
    <x v="0"/>
    <x v="0"/>
    <s v="7105330101CALIZATRIMolienda de  Crudo"/>
    <x v="1"/>
    <x v="0"/>
  </r>
  <r>
    <n v="7105330101"/>
    <s v="CTO. MP CALIZAS NAL"/>
    <m/>
    <n v="110772.30157178218"/>
    <s v="T"/>
    <s v="M"/>
    <s v="1405330101"/>
    <s v="INV.  CALIZAS NAL"/>
    <s v="EC01"/>
    <s v="MEZCPREHO"/>
    <n v="700000"/>
    <x v="1"/>
    <s v="MEZCLA PREHOMO"/>
    <m/>
    <m/>
    <s v="HARINA CRUDA"/>
    <x v="0"/>
    <x v="0"/>
    <s v="7105330101MEZCPREHOMolienda de  Crudo"/>
    <x v="2"/>
    <x v="0"/>
  </r>
  <r>
    <n v="7999999995"/>
    <s v="TRASLADO DE COSTOS"/>
    <m/>
    <n v="-133250"/>
    <s v="T"/>
    <s v="M"/>
    <s v="1410900101"/>
    <s v="INV. SEMIELABORADO"/>
    <s v="EC01"/>
    <s v="HARINACRUD"/>
    <n v="700000"/>
    <x v="1"/>
    <s v="HARINA CRUDA"/>
    <m/>
    <m/>
    <s v="HARINA CRUDA"/>
    <x v="0"/>
    <x v="0"/>
    <s v="7999999995HARINACRUDMolienda de  Crudo"/>
    <x v="3"/>
    <x v="0"/>
  </r>
  <r>
    <n v="7355250320"/>
    <s v="RTOS VARIA IMPO"/>
    <n v="22267342.299680855"/>
    <n v="133250"/>
    <m/>
    <m/>
    <m/>
    <m/>
    <s v="EC01"/>
    <s v="CUERPOS MOLEDORES"/>
    <n v="700000"/>
    <x v="1"/>
    <s v="HARINA CRUDA"/>
    <m/>
    <m/>
    <s v="HARINA CRUDA"/>
    <x v="0"/>
    <x v="0"/>
    <s v="7355250320CUERPOS MOLEDORESMolienda de  Crudo"/>
    <x v="4"/>
    <x v="0"/>
  </r>
  <r>
    <n v="7355250321"/>
    <s v="RTOS VARIA IMPO"/>
    <n v="15974397.736727571"/>
    <n v="133250"/>
    <m/>
    <m/>
    <m/>
    <m/>
    <s v="EC01"/>
    <s v="LAMINAS"/>
    <n v="700000"/>
    <x v="1"/>
    <s v="HARINA CRUDA"/>
    <m/>
    <m/>
    <s v="HARINA CRUDA"/>
    <x v="0"/>
    <x v="0"/>
    <s v="7355250321LAMINASMolienda de  Crudo"/>
    <x v="5"/>
    <x v="0"/>
  </r>
  <r>
    <n v="7355250322"/>
    <s v="RTOS VARIA IMPO"/>
    <n v="66452317.80415342"/>
    <n v="133250"/>
    <m/>
    <m/>
    <m/>
    <m/>
    <s v="EC01"/>
    <s v="ANILLOS, TAPAS Y SEPARADORES"/>
    <n v="700000"/>
    <x v="1"/>
    <s v="HARINA CRUDA"/>
    <m/>
    <m/>
    <s v="HARINA CRUDA"/>
    <x v="0"/>
    <x v="0"/>
    <s v="7355250322ANILLOS, TAPAS Y SEPARADORESMolienda de  Crudo"/>
    <x v="6"/>
    <x v="0"/>
  </r>
  <r>
    <n v="7105040101"/>
    <s v="MP CORRECT HIERO NAL"/>
    <n v="634923941.45199394"/>
    <n v="2109.59375"/>
    <s v="T"/>
    <s v="M"/>
    <s v="1405040101"/>
    <s v="IN CORRECT HIERO NAL"/>
    <s v="EC01"/>
    <s v="CORRHIERR"/>
    <n v="700000"/>
    <x v="2"/>
    <s v="CORRECTOR DE HIERRO"/>
    <m/>
    <m/>
    <s v="HARINA CRUDA"/>
    <x v="0"/>
    <x v="0"/>
    <s v="7105040101CORRHIERRMolienda de  Crudo"/>
    <x v="0"/>
    <x v="0"/>
  </r>
  <r>
    <n v="7105040101"/>
    <s v="MP CORRECT HIERO NAL"/>
    <n v="61354199.278933033"/>
    <n v="359.75906249999997"/>
    <s v="T"/>
    <s v="M"/>
    <s v="1405040101"/>
    <s v="IN CORRECT HIERO NAL"/>
    <s v="EC01"/>
    <s v="CALAMINA1"/>
    <n v="700000"/>
    <x v="2"/>
    <s v="CALAMINA"/>
    <m/>
    <m/>
    <s v="HARINA CRUDA"/>
    <x v="0"/>
    <x v="0"/>
    <s v="7105040101CALAMINA1Molienda de  Crudo"/>
    <x v="0"/>
    <x v="0"/>
  </r>
  <r>
    <n v="7105330101"/>
    <s v="CTO. MP CALIZAS NAL"/>
    <m/>
    <n v="17366.95"/>
    <s v="T"/>
    <s v="M"/>
    <s v="1405330101"/>
    <s v="INV.  CALIZAS NAL"/>
    <s v="EC01"/>
    <s v="CALIZATRI"/>
    <n v="700000"/>
    <x v="2"/>
    <s v="CALIZA TRITURADA"/>
    <m/>
    <m/>
    <s v="HARINA CRUDA"/>
    <x v="0"/>
    <x v="0"/>
    <s v="7105330101CALIZATRIMolienda de  Crudo"/>
    <x v="1"/>
    <x v="0"/>
  </r>
  <r>
    <n v="7105330101"/>
    <s v="CTO. MP CALIZAS NAL"/>
    <m/>
    <n v="78974.624009900988"/>
    <s v="T"/>
    <s v="M"/>
    <s v="1405330101"/>
    <s v="INV.  CALIZAS NAL"/>
    <s v="EC01"/>
    <s v="MEZCPREHO"/>
    <n v="700000"/>
    <x v="2"/>
    <s v="MEZCLA PREHOMO"/>
    <m/>
    <m/>
    <s v="HARINA CRUDA"/>
    <x v="0"/>
    <x v="0"/>
    <s v="7105330101MEZCPREHOMolienda de  Crudo"/>
    <x v="2"/>
    <x v="0"/>
  </r>
  <r>
    <n v="7999999995"/>
    <s v="TRASLADO DE COSTOS"/>
    <m/>
    <n v="-95000"/>
    <s v="T"/>
    <s v="M"/>
    <s v="1410900101"/>
    <s v="INV. SEMIELABORADO"/>
    <s v="EC01"/>
    <s v="HARINACRUD"/>
    <n v="700000"/>
    <x v="2"/>
    <s v="HARINA CRUDA"/>
    <m/>
    <m/>
    <s v="HARINA CRUDA"/>
    <x v="0"/>
    <x v="0"/>
    <s v="7999999995HARINACRUDMolienda de  Crudo"/>
    <x v="3"/>
    <x v="0"/>
  </r>
  <r>
    <n v="7355250320"/>
    <s v="RTOS VARIA IMPO"/>
    <n v="15875403.515719935"/>
    <n v="95000"/>
    <m/>
    <m/>
    <m/>
    <m/>
    <s v="EC01"/>
    <s v="CUERPOS MOLEDORES"/>
    <n v="700000"/>
    <x v="2"/>
    <s v="HARINA CRUDA"/>
    <m/>
    <m/>
    <s v="HARINA CRUDA"/>
    <x v="0"/>
    <x v="0"/>
    <s v="7355250320CUERPOS MOLEDORESMolienda de  Crudo"/>
    <x v="4"/>
    <x v="0"/>
  </r>
  <r>
    <n v="7355250321"/>
    <s v="RTOS VARIA IMPO"/>
    <n v="11388876.435190389"/>
    <n v="95000"/>
    <m/>
    <m/>
    <m/>
    <m/>
    <s v="EC01"/>
    <s v="LAMINAS"/>
    <n v="700000"/>
    <x v="2"/>
    <s v="HARINA CRUDA"/>
    <m/>
    <m/>
    <s v="HARINA CRUDA"/>
    <x v="0"/>
    <x v="0"/>
    <s v="7355250321LAMINASMolienda de  Crudo"/>
    <x v="5"/>
    <x v="0"/>
  </r>
  <r>
    <n v="7355250322"/>
    <s v="RTOS VARIA IMPO"/>
    <n v="47376886.989827953"/>
    <n v="95000"/>
    <m/>
    <m/>
    <m/>
    <m/>
    <s v="EC01"/>
    <s v="ANILLOS, TAPAS Y SEPARADORES"/>
    <n v="700000"/>
    <x v="2"/>
    <s v="HARINA CRUDA"/>
    <m/>
    <m/>
    <s v="HARINA CRUDA"/>
    <x v="0"/>
    <x v="0"/>
    <s v="7355250322ANILLOS, TAPAS Y SEPARADORESMolienda de  Crudo"/>
    <x v="6"/>
    <x v="0"/>
  </r>
  <r>
    <n v="7105040101"/>
    <s v="MP CORRECT HIERO NAL"/>
    <n v="651648111.96986008"/>
    <n v="2165.109375"/>
    <s v="T"/>
    <s v="M"/>
    <s v="1405040101"/>
    <s v="IN CORRECT HIERO NAL"/>
    <s v="EC01"/>
    <s v="CORRHIERR"/>
    <n v="700000"/>
    <x v="3"/>
    <s v="CORRECTOR DE HIERRO"/>
    <m/>
    <m/>
    <s v="HARINA CRUDA"/>
    <x v="0"/>
    <x v="0"/>
    <s v="7105040101CORRHIERRMolienda de  Crudo"/>
    <x v="0"/>
    <x v="0"/>
  </r>
  <r>
    <n v="7105040101"/>
    <s v="MP CORRECT HIERO NAL"/>
    <n v="62971451.61346963"/>
    <n v="369.22640624999997"/>
    <s v="T"/>
    <s v="M"/>
    <s v="1405040101"/>
    <s v="IN CORRECT HIERO NAL"/>
    <s v="EC01"/>
    <s v="CALAMINA1"/>
    <n v="700000"/>
    <x v="3"/>
    <s v="CALAMINA"/>
    <m/>
    <m/>
    <s v="HARINA CRUDA"/>
    <x v="0"/>
    <x v="0"/>
    <s v="7105040101CALAMINA1Molienda de  Crudo"/>
    <x v="0"/>
    <x v="0"/>
  </r>
  <r>
    <n v="7105330101"/>
    <s v="CTO. MP CALIZAS NAL"/>
    <m/>
    <n v="17823.974999999999"/>
    <s v="T"/>
    <s v="M"/>
    <s v="1405330101"/>
    <s v="INV.  CALIZAS NAL"/>
    <s v="EC01"/>
    <s v="CALIZATRI"/>
    <n v="700000"/>
    <x v="3"/>
    <s v="CALIZA TRITURADA"/>
    <m/>
    <m/>
    <s v="HARINA CRUDA"/>
    <x v="0"/>
    <x v="0"/>
    <s v="7105330101CALIZATRIMolienda de  Crudo"/>
    <x v="1"/>
    <x v="0"/>
  </r>
  <r>
    <n v="7105330101"/>
    <s v="CTO. MP CALIZAS NAL"/>
    <m/>
    <n v="81052.903589108915"/>
    <s v="T"/>
    <s v="M"/>
    <s v="1405330101"/>
    <s v="INV.  CALIZAS NAL"/>
    <s v="EC01"/>
    <s v="MEZCPREHO"/>
    <n v="700000"/>
    <x v="3"/>
    <s v="MEZCLA PREHOMO"/>
    <m/>
    <m/>
    <s v="HARINA CRUDA"/>
    <x v="0"/>
    <x v="0"/>
    <s v="7105330101MEZCPREHOMolienda de  Crudo"/>
    <x v="2"/>
    <x v="0"/>
  </r>
  <r>
    <n v="7999999995"/>
    <s v="TRASLADO DE COSTOS"/>
    <m/>
    <n v="-97500"/>
    <s v="T"/>
    <s v="M"/>
    <s v="1410900101"/>
    <s v="INV. SEMIELABORADO"/>
    <s v="EC01"/>
    <s v="HARINACRUD"/>
    <n v="700000"/>
    <x v="3"/>
    <s v="HARINA CRUDA"/>
    <m/>
    <m/>
    <s v="HARINA CRUDA"/>
    <x v="0"/>
    <x v="0"/>
    <s v="7999999995HARINACRUDMolienda de  Crudo"/>
    <x v="3"/>
    <x v="0"/>
  </r>
  <r>
    <n v="7355250320"/>
    <s v="RTOS VARIA IMPO"/>
    <n v="16293177.292449407"/>
    <n v="97500"/>
    <m/>
    <m/>
    <m/>
    <m/>
    <s v="EC01"/>
    <s v="CUERPOS MOLEDORES"/>
    <n v="700000"/>
    <x v="3"/>
    <s v="HARINA CRUDA"/>
    <m/>
    <m/>
    <s v="HARINA CRUDA"/>
    <x v="0"/>
    <x v="0"/>
    <s v="7355250320CUERPOS MOLEDORESMolienda de  Crudo"/>
    <x v="4"/>
    <x v="0"/>
  </r>
  <r>
    <n v="7355250321"/>
    <s v="RTOS VARIA IMPO"/>
    <n v="11688583.709800662"/>
    <n v="97500"/>
    <m/>
    <m/>
    <m/>
    <m/>
    <s v="EC01"/>
    <s v="LAMINAS"/>
    <n v="700000"/>
    <x v="3"/>
    <s v="HARINA CRUDA"/>
    <m/>
    <m/>
    <s v="HARINA CRUDA"/>
    <x v="0"/>
    <x v="0"/>
    <s v="7355250321LAMINASMolienda de  Crudo"/>
    <x v="5"/>
    <x v="0"/>
  </r>
  <r>
    <n v="7355250322"/>
    <s v="RTOS VARIA IMPO"/>
    <n v="48623647.173770793"/>
    <n v="97500"/>
    <m/>
    <m/>
    <m/>
    <m/>
    <s v="EC01"/>
    <s v="ANILLOS, TAPAS Y SEPARADORES"/>
    <n v="700000"/>
    <x v="3"/>
    <s v="HARINA CRUDA"/>
    <m/>
    <m/>
    <s v="HARINA CRUDA"/>
    <x v="0"/>
    <x v="0"/>
    <s v="7355250322ANILLOS, TAPAS Y SEPARADORESMolienda de  Crudo"/>
    <x v="6"/>
    <x v="0"/>
  </r>
  <r>
    <n v="7105040101"/>
    <s v="MP CORRECT HIERO NAL"/>
    <n v="985090763.04326546"/>
    <n v="3275.4218749999995"/>
    <s v="T"/>
    <s v="M"/>
    <s v="1405040101"/>
    <s v="IN CORRECT HIERO NAL"/>
    <s v="EC01"/>
    <s v="CORRHIERR"/>
    <n v="700000"/>
    <x v="4"/>
    <s v="CORRECTOR DE HIERRO"/>
    <m/>
    <m/>
    <s v="HARINA CRUDA"/>
    <x v="0"/>
    <x v="0"/>
    <s v="7105040101CORRHIERRMolienda de  Crudo"/>
    <x v="0"/>
    <x v="0"/>
  </r>
  <r>
    <n v="7105040101"/>
    <s v="MP CORRECT HIERO NAL"/>
    <n v="95139012.670168489"/>
    <n v="558.57328124999992"/>
    <s v="T"/>
    <s v="M"/>
    <s v="1405040101"/>
    <s v="IN CORRECT HIERO NAL"/>
    <s v="EC01"/>
    <s v="CALAMINA1"/>
    <n v="700000"/>
    <x v="4"/>
    <s v="CALAMINA"/>
    <m/>
    <m/>
    <s v="HARINA CRUDA"/>
    <x v="0"/>
    <x v="0"/>
    <s v="7105040101CALAMINA1Molienda de  Crudo"/>
    <x v="0"/>
    <x v="0"/>
  </r>
  <r>
    <n v="7105330101"/>
    <s v="CTO. MP CALIZAS NAL"/>
    <m/>
    <n v="26964.474999999999"/>
    <s v="T"/>
    <s v="M"/>
    <s v="1405330101"/>
    <s v="INV.  CALIZAS NAL"/>
    <s v="EC01"/>
    <s v="CALIZATRI"/>
    <n v="700000"/>
    <x v="4"/>
    <s v="CALIZA TRITURADA"/>
    <m/>
    <m/>
    <s v="HARINA CRUDA"/>
    <x v="0"/>
    <x v="0"/>
    <s v="7105330101CALIZATRIMolienda de  Crudo"/>
    <x v="1"/>
    <x v="0"/>
  </r>
  <r>
    <n v="7105330101"/>
    <s v="CTO. MP CALIZAS NAL"/>
    <m/>
    <n v="122618.49517326734"/>
    <s v="T"/>
    <s v="M"/>
    <s v="1405330101"/>
    <s v="INV.  CALIZAS NAL"/>
    <s v="EC01"/>
    <s v="MEZCPREHO"/>
    <n v="700000"/>
    <x v="4"/>
    <s v="MEZCLA PREHOMO"/>
    <m/>
    <m/>
    <s v="HARINA CRUDA"/>
    <x v="0"/>
    <x v="0"/>
    <s v="7105330101MEZCPREHOMolienda de  Crudo"/>
    <x v="2"/>
    <x v="0"/>
  </r>
  <r>
    <n v="7999999995"/>
    <s v="TRASLADO DE COSTOS"/>
    <m/>
    <n v="-147500"/>
    <s v="T"/>
    <s v="M"/>
    <s v="1410900101"/>
    <s v="INV. SEMIELABORADO"/>
    <s v="EC01"/>
    <s v="HARINACRUD"/>
    <n v="700000"/>
    <x v="4"/>
    <s v="HARINA CRUDA"/>
    <m/>
    <m/>
    <s v="HARINA CRUDA"/>
    <x v="0"/>
    <x v="0"/>
    <s v="7999999995HARINACRUDMolienda de  Crudo"/>
    <x v="3"/>
    <x v="0"/>
  </r>
  <r>
    <n v="7355250320"/>
    <s v="RTOS VARIA IMPO"/>
    <n v="24648652.827038847"/>
    <n v="147500"/>
    <m/>
    <m/>
    <m/>
    <m/>
    <s v="EC01"/>
    <s v="CUERPOS MOLEDORES"/>
    <n v="700000"/>
    <x v="4"/>
    <s v="HARINA CRUDA"/>
    <m/>
    <m/>
    <s v="HARINA CRUDA"/>
    <x v="0"/>
    <x v="0"/>
    <s v="7355250320CUERPOS MOLEDORESMolienda de  Crudo"/>
    <x v="4"/>
    <x v="0"/>
  </r>
  <r>
    <n v="7355250321"/>
    <s v="RTOS VARIA IMPO"/>
    <n v="17682729.202006128"/>
    <n v="147500"/>
    <m/>
    <m/>
    <m/>
    <m/>
    <s v="EC01"/>
    <s v="LAMINAS"/>
    <n v="700000"/>
    <x v="4"/>
    <s v="HARINA CRUDA"/>
    <m/>
    <m/>
    <s v="HARINA CRUDA"/>
    <x v="0"/>
    <x v="0"/>
    <s v="7355250321LAMINASMolienda de  Crudo"/>
    <x v="5"/>
    <x v="0"/>
  </r>
  <r>
    <n v="7355250322"/>
    <s v="RTOS VARIA IMPO"/>
    <n v="73558850.852627605"/>
    <n v="147500"/>
    <m/>
    <m/>
    <m/>
    <m/>
    <s v="EC01"/>
    <s v="ANILLOS, TAPAS Y SEPARADORES"/>
    <n v="700000"/>
    <x v="4"/>
    <s v="HARINA CRUDA"/>
    <m/>
    <m/>
    <s v="HARINA CRUDA"/>
    <x v="0"/>
    <x v="0"/>
    <s v="7355250322ANILLOS, TAPAS Y SEPARADORESMolienda de  Crudo"/>
    <x v="6"/>
    <x v="0"/>
  </r>
  <r>
    <n v="7105040101"/>
    <s v="MP CORRECT HIERO NAL"/>
    <n v="434825925.11673665"/>
    <n v="1443.4062499999998"/>
    <s v="T"/>
    <s v="M"/>
    <s v="1405040101"/>
    <s v="IN CORRECT HIERO NAL"/>
    <s v="EC01"/>
    <s v="CORRHIERR"/>
    <n v="700000"/>
    <x v="5"/>
    <s v="CORRECTOR DE HIERRO"/>
    <m/>
    <m/>
    <s v="HARINA CRUDA"/>
    <x v="0"/>
    <x v="0"/>
    <s v="7105040101CORRHIERRMolienda de  Crudo"/>
    <x v="0"/>
    <x v="0"/>
  </r>
  <r>
    <n v="7105040101"/>
    <s v="MP CORRECT HIERO NAL"/>
    <n v="42048132.937465541"/>
    <n v="246.1509375"/>
    <s v="T"/>
    <s v="M"/>
    <s v="1405040101"/>
    <s v="IN CORRECT HIERO NAL"/>
    <s v="EC01"/>
    <s v="CALAMINA1"/>
    <n v="700000"/>
    <x v="5"/>
    <s v="CALAMINA"/>
    <m/>
    <m/>
    <s v="HARINA CRUDA"/>
    <x v="0"/>
    <x v="0"/>
    <s v="7105040101CALAMINA1Molienda de  Crudo"/>
    <x v="0"/>
    <x v="0"/>
  </r>
  <r>
    <n v="7105330101"/>
    <s v="CTO. MP CALIZAS NAL"/>
    <m/>
    <n v="11882.65"/>
    <s v="T"/>
    <s v="M"/>
    <s v="1405330101"/>
    <s v="INV.  CALIZAS NAL"/>
    <s v="EC01"/>
    <s v="CALIZATRI"/>
    <n v="700000"/>
    <x v="5"/>
    <s v="CALIZA TRITURADA"/>
    <m/>
    <m/>
    <s v="HARINA CRUDA"/>
    <x v="0"/>
    <x v="0"/>
    <s v="7105330101CALIZATRIMolienda de  Crudo"/>
    <x v="1"/>
    <x v="0"/>
  </r>
  <r>
    <n v="7105330101"/>
    <s v="CTO. MP CALIZAS NAL"/>
    <m/>
    <n v="54035.269059405946"/>
    <s v="T"/>
    <s v="M"/>
    <s v="1405330101"/>
    <s v="INV.  CALIZAS NAL"/>
    <s v="EC01"/>
    <s v="MEZCPREHO"/>
    <n v="700000"/>
    <x v="5"/>
    <s v="MEZCLA PREHOMO"/>
    <m/>
    <m/>
    <s v="HARINA CRUDA"/>
    <x v="0"/>
    <x v="0"/>
    <s v="7105330101MEZCPREHOMolienda de  Crudo"/>
    <x v="2"/>
    <x v="0"/>
  </r>
  <r>
    <n v="7999999995"/>
    <s v="TRASLADO DE COSTOS"/>
    <m/>
    <n v="-65000"/>
    <s v="T"/>
    <s v="M"/>
    <s v="1410900101"/>
    <s v="INV. SEMIELABORADO"/>
    <s v="EC01"/>
    <s v="HARINACRUD"/>
    <n v="700000"/>
    <x v="5"/>
    <s v="HARINA CRUDA"/>
    <m/>
    <m/>
    <s v="HARINA CRUDA"/>
    <x v="0"/>
    <x v="0"/>
    <s v="7999999995HARINACRUDMolienda de  Crudo"/>
    <x v="3"/>
    <x v="0"/>
  </r>
  <r>
    <n v="7355250320"/>
    <s v="RTOS VARIA IMPO"/>
    <n v="10862118.194966272"/>
    <n v="65000"/>
    <m/>
    <m/>
    <m/>
    <m/>
    <s v="EC01"/>
    <s v="CUERPOS MOLEDORES"/>
    <n v="700000"/>
    <x v="5"/>
    <s v="HARINA CRUDA"/>
    <m/>
    <m/>
    <s v="HARINA CRUDA"/>
    <x v="0"/>
    <x v="0"/>
    <s v="7355250320CUERPOS MOLEDORESMolienda de  Crudo"/>
    <x v="4"/>
    <x v="0"/>
  </r>
  <r>
    <n v="7355250321"/>
    <s v="RTOS VARIA IMPO"/>
    <n v="7792389.1398671074"/>
    <n v="65000"/>
    <m/>
    <m/>
    <m/>
    <m/>
    <s v="EC01"/>
    <s v="LAMINAS"/>
    <n v="700000"/>
    <x v="5"/>
    <s v="HARINA CRUDA"/>
    <m/>
    <m/>
    <s v="HARINA CRUDA"/>
    <x v="0"/>
    <x v="0"/>
    <s v="7355250321LAMINASMolienda de  Crudo"/>
    <x v="5"/>
    <x v="0"/>
  </r>
  <r>
    <n v="7355250322"/>
    <s v="RTOS VARIA IMPO"/>
    <n v="32415764.782513861"/>
    <n v="65000"/>
    <m/>
    <m/>
    <m/>
    <m/>
    <s v="EC01"/>
    <s v="ANILLOS, TAPAS Y SEPARADORES"/>
    <n v="700000"/>
    <x v="5"/>
    <s v="HARINA CRUDA"/>
    <m/>
    <m/>
    <s v="HARINA CRUDA"/>
    <x v="0"/>
    <x v="0"/>
    <s v="7355250322ANILLOS, TAPAS Y SEPARADORESMolienda de  Crudo"/>
    <x v="6"/>
    <x v="0"/>
  </r>
  <r>
    <n v="7105040101"/>
    <s v="MP CORRECT HIERO NAL"/>
    <n v="818278995.53846622"/>
    <n v="2720.2656249999995"/>
    <s v="T"/>
    <s v="M"/>
    <s v="1405040101"/>
    <s v="IN CORRECT HIERO NAL"/>
    <s v="EC01"/>
    <s v="CORRHIERR"/>
    <n v="700000"/>
    <x v="6"/>
    <s v="CORRECTOR DE HIERRO"/>
    <m/>
    <m/>
    <s v="HARINA CRUDA"/>
    <x v="0"/>
    <x v="0"/>
    <s v="7105040101CORRHIERRMolienda de  Crudo"/>
    <x v="0"/>
    <x v="0"/>
  </r>
  <r>
    <n v="7105040101"/>
    <s v="MP CORRECT HIERO NAL"/>
    <n v="79039808.642553866"/>
    <n v="463.89984375"/>
    <s v="T"/>
    <s v="M"/>
    <s v="1405040101"/>
    <s v="IN CORRECT HIERO NAL"/>
    <s v="EC01"/>
    <s v="CALAMINA1"/>
    <n v="700000"/>
    <x v="6"/>
    <s v="CALAMINA"/>
    <m/>
    <m/>
    <s v="HARINA CRUDA"/>
    <x v="0"/>
    <x v="0"/>
    <s v="7105040101CALAMINA1Molienda de  Crudo"/>
    <x v="0"/>
    <x v="0"/>
  </r>
  <r>
    <n v="7105330101"/>
    <s v="CTO. MP CALIZAS NAL"/>
    <m/>
    <n v="22394.224999999999"/>
    <s v="T"/>
    <s v="M"/>
    <s v="1405330101"/>
    <s v="INV.  CALIZAS NAL"/>
    <s v="EC01"/>
    <s v="CALIZATRI"/>
    <n v="700000"/>
    <x v="6"/>
    <s v="CALIZA TRITURADA"/>
    <m/>
    <m/>
    <s v="HARINA CRUDA"/>
    <x v="0"/>
    <x v="0"/>
    <s v="7105330101CALIZATRIMolienda de  Crudo"/>
    <x v="1"/>
    <x v="0"/>
  </r>
  <r>
    <n v="7105330101"/>
    <s v="CTO. MP CALIZAS NAL"/>
    <m/>
    <n v="101835.69938118813"/>
    <s v="T"/>
    <s v="M"/>
    <s v="1405330101"/>
    <s v="INV.  CALIZAS NAL"/>
    <s v="EC01"/>
    <s v="MEZCPREHO"/>
    <n v="700000"/>
    <x v="6"/>
    <s v="MEZCLA PREHOMO"/>
    <m/>
    <m/>
    <s v="HARINA CRUDA"/>
    <x v="0"/>
    <x v="0"/>
    <s v="7105330101MEZCPREHOMolienda de  Crudo"/>
    <x v="2"/>
    <x v="0"/>
  </r>
  <r>
    <n v="7999999995"/>
    <s v="TRASLADO DE COSTOS"/>
    <m/>
    <n v="-122500"/>
    <s v="T"/>
    <s v="M"/>
    <s v="1410900101"/>
    <s v="INV. SEMIELABORADO"/>
    <s v="EC01"/>
    <s v="HARINACRUD"/>
    <n v="700000"/>
    <x v="6"/>
    <s v="HARINA CRUDA"/>
    <m/>
    <m/>
    <s v="HARINA CRUDA"/>
    <x v="0"/>
    <x v="0"/>
    <s v="7999999995HARINACRUDMolienda de  Crudo"/>
    <x v="3"/>
    <x v="0"/>
  </r>
  <r>
    <n v="7355250320"/>
    <s v="RTOS VARIA IMPO"/>
    <n v="20470915.059744127"/>
    <n v="122500"/>
    <m/>
    <m/>
    <m/>
    <m/>
    <s v="EC01"/>
    <s v="CUERPOS MOLEDORES"/>
    <n v="700000"/>
    <x v="6"/>
    <s v="HARINA CRUDA"/>
    <m/>
    <m/>
    <s v="HARINA CRUDA"/>
    <x v="0"/>
    <x v="0"/>
    <s v="7355250320CUERPOS MOLEDORESMolienda de  Crudo"/>
    <x v="4"/>
    <x v="0"/>
  </r>
  <r>
    <n v="7355250321"/>
    <s v="RTOS VARIA IMPO"/>
    <n v="14685656.455903396"/>
    <n v="122500"/>
    <m/>
    <m/>
    <m/>
    <m/>
    <s v="EC01"/>
    <s v="LAMINAS"/>
    <n v="700000"/>
    <x v="6"/>
    <s v="HARINA CRUDA"/>
    <m/>
    <m/>
    <s v="HARINA CRUDA"/>
    <x v="0"/>
    <x v="0"/>
    <s v="7355250321LAMINASMolienda de  Crudo"/>
    <x v="5"/>
    <x v="0"/>
  </r>
  <r>
    <n v="7355250322"/>
    <s v="RTOS VARIA IMPO"/>
    <n v="61091249.013199203"/>
    <n v="122500"/>
    <m/>
    <m/>
    <m/>
    <m/>
    <s v="EC01"/>
    <s v="ANILLOS, TAPAS Y SEPARADORES"/>
    <n v="700000"/>
    <x v="6"/>
    <s v="HARINA CRUDA"/>
    <m/>
    <m/>
    <s v="HARINA CRUDA"/>
    <x v="0"/>
    <x v="0"/>
    <s v="7355250322ANILLOS, TAPAS Y SEPARADORESMolienda de  Crudo"/>
    <x v="6"/>
    <x v="0"/>
  </r>
  <r>
    <n v="7105040101"/>
    <s v="MP CORRECT HIERO NAL"/>
    <n v="978365607.75643694"/>
    <n v="3253.2156249999998"/>
    <s v="T"/>
    <s v="M"/>
    <s v="1405040101"/>
    <s v="IN CORRECT HIERO NAL"/>
    <s v="EC01"/>
    <s v="CORRHIERR"/>
    <n v="700000"/>
    <x v="7"/>
    <s v="CORRECTOR DE HIERRO"/>
    <m/>
    <m/>
    <s v="HARINA CRUDA"/>
    <x v="0"/>
    <x v="0"/>
    <s v="7105040101CORRHIERRMolienda de  Crudo"/>
    <x v="0"/>
    <x v="0"/>
  </r>
  <r>
    <n v="7105040101"/>
    <s v="MP CORRECT HIERO NAL"/>
    <n v="94486059.955759957"/>
    <n v="554.78634375000001"/>
    <s v="T"/>
    <s v="M"/>
    <s v="1405040101"/>
    <s v="IN CORRECT HIERO NAL"/>
    <s v="EC01"/>
    <s v="CALAMINA1"/>
    <n v="700000"/>
    <x v="7"/>
    <s v="CALAMINA"/>
    <m/>
    <m/>
    <s v="HARINA CRUDA"/>
    <x v="0"/>
    <x v="0"/>
    <s v="7105040101CALAMINA1Molienda de  Crudo"/>
    <x v="0"/>
    <x v="0"/>
  </r>
  <r>
    <n v="7105330101"/>
    <s v="CTO. MP CALIZAS NAL"/>
    <m/>
    <n v="26781.665000000001"/>
    <s v="T"/>
    <s v="M"/>
    <s v="1405330101"/>
    <s v="INV.  CALIZAS NAL"/>
    <s v="EC01"/>
    <s v="CALIZATRI"/>
    <n v="700000"/>
    <x v="7"/>
    <s v="CALIZA TRITURADA"/>
    <m/>
    <m/>
    <s v="HARINA CRUDA"/>
    <x v="0"/>
    <x v="0"/>
    <s v="7105330101CALIZATRIMolienda de  Crudo"/>
    <x v="1"/>
    <x v="0"/>
  </r>
  <r>
    <n v="7105330101"/>
    <s v="CTO. MP CALIZAS NAL"/>
    <m/>
    <n v="121787.18334158417"/>
    <s v="T"/>
    <s v="M"/>
    <s v="1405330101"/>
    <s v="INV.  CALIZAS NAL"/>
    <s v="EC01"/>
    <s v="MEZCPREHO"/>
    <n v="700000"/>
    <x v="7"/>
    <s v="MEZCLA PREHOMO"/>
    <m/>
    <m/>
    <s v="HARINA CRUDA"/>
    <x v="0"/>
    <x v="0"/>
    <s v="7105330101MEZCPREHOMolienda de  Crudo"/>
    <x v="2"/>
    <x v="0"/>
  </r>
  <r>
    <n v="7999999995"/>
    <s v="TRASLADO DE COSTOS"/>
    <m/>
    <n v="-146500"/>
    <s v="T"/>
    <s v="M"/>
    <s v="1410900101"/>
    <s v="INV. SEMIELABORADO"/>
    <s v="EC01"/>
    <s v="HARINACRUD"/>
    <n v="700000"/>
    <x v="7"/>
    <s v="HARINA CRUDA"/>
    <m/>
    <m/>
    <s v="HARINA CRUDA"/>
    <x v="0"/>
    <x v="0"/>
    <s v="7999999995HARINACRUDMolienda de  Crudo"/>
    <x v="3"/>
    <x v="0"/>
  </r>
  <r>
    <n v="7355250320"/>
    <s v="RTOS VARIA IMPO"/>
    <n v="24481543.316347055"/>
    <n v="146500"/>
    <m/>
    <m/>
    <m/>
    <m/>
    <s v="EC01"/>
    <s v="CUERPOS MOLEDORES"/>
    <n v="700000"/>
    <x v="7"/>
    <s v="HARINA CRUDA"/>
    <m/>
    <m/>
    <s v="HARINA CRUDA"/>
    <x v="0"/>
    <x v="0"/>
    <s v="7355250320CUERPOS MOLEDORESMolienda de  Crudo"/>
    <x v="4"/>
    <x v="0"/>
  </r>
  <r>
    <n v="7355250321"/>
    <s v="RTOS VARIA IMPO"/>
    <n v="17562846.29216202"/>
    <n v="146500"/>
    <m/>
    <m/>
    <m/>
    <m/>
    <s v="EC01"/>
    <s v="LAMINAS"/>
    <n v="700000"/>
    <x v="7"/>
    <s v="HARINA CRUDA"/>
    <m/>
    <m/>
    <s v="HARINA CRUDA"/>
    <x v="0"/>
    <x v="0"/>
    <s v="7355250321LAMINASMolienda de  Crudo"/>
    <x v="5"/>
    <x v="0"/>
  </r>
  <r>
    <n v="7355250322"/>
    <s v="RTOS VARIA IMPO"/>
    <n v="73060146.779050469"/>
    <n v="146500"/>
    <m/>
    <m/>
    <m/>
    <m/>
    <s v="EC01"/>
    <s v="ANILLOS, TAPAS Y SEPARADORES"/>
    <n v="700000"/>
    <x v="7"/>
    <s v="HARINA CRUDA"/>
    <m/>
    <m/>
    <s v="HARINA CRUDA"/>
    <x v="0"/>
    <x v="0"/>
    <s v="7355250322ANILLOS, TAPAS Y SEPARADORESMolienda de  Crudo"/>
    <x v="6"/>
    <x v="0"/>
  </r>
  <r>
    <n v="7105040101"/>
    <s v="MP CORRECT HIERO NAL"/>
    <n v="759960554.44940579"/>
    <n v="2525.9609374999995"/>
    <s v="T"/>
    <s v="M"/>
    <s v="1405040101"/>
    <s v="IN CORRECT HIERO NAL"/>
    <s v="EC01"/>
    <s v="CORRHIERR"/>
    <n v="700000"/>
    <x v="8"/>
    <s v="CORRECTOR DE HIERRO"/>
    <m/>
    <m/>
    <s v="HARINA CRUDA"/>
    <x v="0"/>
    <x v="0"/>
    <s v="7105040101CORRHIERRMolienda de  Crudo"/>
    <x v="0"/>
    <x v="0"/>
  </r>
  <r>
    <n v="7105040101"/>
    <s v="MP CORRECT HIERO NAL"/>
    <n v="73416287.535961866"/>
    <n v="430.76414062499998"/>
    <s v="T"/>
    <s v="M"/>
    <s v="1405040101"/>
    <s v="IN CORRECT HIERO NAL"/>
    <s v="EC01"/>
    <s v="CALAMINA1"/>
    <n v="700000"/>
    <x v="8"/>
    <s v="CALAMINA"/>
    <m/>
    <m/>
    <s v="HARINA CRUDA"/>
    <x v="0"/>
    <x v="0"/>
    <s v="7105040101CALAMINA1Molienda de  Crudo"/>
    <x v="0"/>
    <x v="0"/>
  </r>
  <r>
    <n v="7105330101"/>
    <s v="CTO. MP CALIZAS NAL"/>
    <m/>
    <n v="20794.637500000001"/>
    <s v="T"/>
    <s v="M"/>
    <s v="1405330101"/>
    <s v="INV.  CALIZAS NAL"/>
    <s v="EC01"/>
    <s v="CALIZATRI"/>
    <n v="700000"/>
    <x v="8"/>
    <s v="CALIZA TRITURADA"/>
    <m/>
    <m/>
    <s v="HARINA CRUDA"/>
    <x v="0"/>
    <x v="0"/>
    <s v="7105330101CALIZATRIMolienda de  Crudo"/>
    <x v="1"/>
    <x v="0"/>
  </r>
  <r>
    <n v="7105330101"/>
    <s v="CTO. MP CALIZAS NAL"/>
    <m/>
    <n v="94561.720853960403"/>
    <s v="T"/>
    <s v="M"/>
    <s v="1405330101"/>
    <s v="INV.  CALIZAS NAL"/>
    <s v="EC01"/>
    <s v="MEZCPREHO"/>
    <n v="700000"/>
    <x v="8"/>
    <s v="MEZCLA PREHOMO"/>
    <m/>
    <m/>
    <s v="HARINA CRUDA"/>
    <x v="0"/>
    <x v="0"/>
    <s v="7105330101MEZCPREHOMolienda de  Crudo"/>
    <x v="2"/>
    <x v="0"/>
  </r>
  <r>
    <n v="7999999995"/>
    <s v="TRASLADO DE COSTOS"/>
    <m/>
    <n v="-113750"/>
    <s v="T"/>
    <s v="M"/>
    <s v="1410900101"/>
    <s v="INV. SEMIELABORADO"/>
    <s v="EC01"/>
    <s v="HARINACRUD"/>
    <n v="700000"/>
    <x v="8"/>
    <s v="HARINA CRUDA"/>
    <m/>
    <m/>
    <s v="HARINA CRUDA"/>
    <x v="0"/>
    <x v="0"/>
    <s v="7999999995HARINACRUDMolienda de  Crudo"/>
    <x v="3"/>
    <x v="0"/>
  </r>
  <r>
    <n v="7355250320"/>
    <s v="RTOS VARIA IMPO"/>
    <n v="19008706.841190975"/>
    <n v="113750"/>
    <m/>
    <m/>
    <m/>
    <m/>
    <s v="EC01"/>
    <s v="CUERPOS MOLEDORES"/>
    <n v="700000"/>
    <x v="8"/>
    <s v="HARINA CRUDA"/>
    <m/>
    <m/>
    <s v="HARINA CRUDA"/>
    <x v="0"/>
    <x v="0"/>
    <s v="7355250320CUERPOS MOLEDORESMolienda de  Crudo"/>
    <x v="4"/>
    <x v="0"/>
  </r>
  <r>
    <n v="7355250321"/>
    <s v="RTOS VARIA IMPO"/>
    <n v="13636680.994767439"/>
    <n v="113750"/>
    <m/>
    <m/>
    <m/>
    <m/>
    <s v="EC01"/>
    <s v="LAMINAS"/>
    <n v="700000"/>
    <x v="8"/>
    <s v="HARINA CRUDA"/>
    <m/>
    <m/>
    <s v="HARINA CRUDA"/>
    <x v="0"/>
    <x v="0"/>
    <s v="7355250321LAMINASMolienda de  Crudo"/>
    <x v="5"/>
    <x v="0"/>
  </r>
  <r>
    <n v="7355250322"/>
    <s v="RTOS VARIA IMPO"/>
    <n v="56727588.369399257"/>
    <n v="113750"/>
    <m/>
    <m/>
    <m/>
    <m/>
    <s v="EC01"/>
    <s v="ANILLOS, TAPAS Y SEPARADORES"/>
    <n v="700000"/>
    <x v="8"/>
    <s v="HARINA CRUDA"/>
    <m/>
    <m/>
    <s v="HARINA CRUDA"/>
    <x v="0"/>
    <x v="0"/>
    <s v="7355250322ANILLOS, TAPAS Y SEPARADORESMolienda de  Crudo"/>
    <x v="6"/>
    <x v="0"/>
  </r>
  <r>
    <n v="7105040101"/>
    <s v="MP CORRECT HIERO NAL"/>
    <n v="598193715.64753723"/>
    <n v="1987.4593749999999"/>
    <s v="T"/>
    <s v="M"/>
    <s v="1405040101"/>
    <s v="IN CORRECT HIERO NAL"/>
    <s v="EC01"/>
    <s v="CORRHIERR"/>
    <n v="700000"/>
    <x v="9"/>
    <s v="CORRECTOR DE HIERRO"/>
    <m/>
    <m/>
    <s v="HARINA CRUDA"/>
    <x v="0"/>
    <x v="0"/>
    <s v="7105040101CORRHIERRMolienda de  Crudo"/>
    <x v="0"/>
    <x v="0"/>
  </r>
  <r>
    <n v="7105040101"/>
    <s v="MP CORRECT HIERO NAL"/>
    <n v="57806979.192622773"/>
    <n v="338.93090624999996"/>
    <s v="T"/>
    <s v="M"/>
    <s v="1405040101"/>
    <s v="IN CORRECT HIERO NAL"/>
    <s v="EC01"/>
    <s v="CALAMINA1"/>
    <n v="700000"/>
    <x v="9"/>
    <s v="CALAMINA"/>
    <m/>
    <m/>
    <s v="HARINA CRUDA"/>
    <x v="0"/>
    <x v="0"/>
    <s v="7105040101CALAMINA1Molienda de  Crudo"/>
    <x v="0"/>
    <x v="0"/>
  </r>
  <r>
    <n v="7105330101"/>
    <s v="CTO. MP CALIZAS NAL"/>
    <m/>
    <n v="16361.495000000001"/>
    <s v="T"/>
    <s v="M"/>
    <s v="1405330101"/>
    <s v="INV.  CALIZAS NAL"/>
    <s v="EC01"/>
    <s v="CALIZATRI"/>
    <n v="700000"/>
    <x v="9"/>
    <s v="CALIZA TRITURADA"/>
    <m/>
    <m/>
    <s v="HARINA CRUDA"/>
    <x v="0"/>
    <x v="0"/>
    <s v="7105330101CALIZATRIMolienda de  Crudo"/>
    <x v="1"/>
    <x v="0"/>
  </r>
  <r>
    <n v="7105330101"/>
    <s v="CTO. MP CALIZAS NAL"/>
    <m/>
    <n v="74402.408935643572"/>
    <s v="T"/>
    <s v="M"/>
    <s v="1405330101"/>
    <s v="INV.  CALIZAS NAL"/>
    <s v="EC01"/>
    <s v="MEZCPREHO"/>
    <n v="700000"/>
    <x v="9"/>
    <s v="MEZCLA PREHOMO"/>
    <m/>
    <m/>
    <s v="HARINA CRUDA"/>
    <x v="0"/>
    <x v="0"/>
    <s v="7105330101MEZCPREHOMolienda de  Crudo"/>
    <x v="2"/>
    <x v="0"/>
  </r>
  <r>
    <n v="7999999995"/>
    <s v="TRASLADO DE COSTOS"/>
    <m/>
    <n v="-89500"/>
    <s v="T"/>
    <s v="M"/>
    <s v="1410900101"/>
    <s v="INV. SEMIELABORADO"/>
    <s v="EC01"/>
    <s v="HARINACRUD"/>
    <n v="700000"/>
    <x v="9"/>
    <s v="HARINA CRUDA"/>
    <m/>
    <m/>
    <s v="HARINA CRUDA"/>
    <x v="0"/>
    <x v="0"/>
    <s v="7999999995HARINACRUDMolienda de  Crudo"/>
    <x v="3"/>
    <x v="0"/>
  </r>
  <r>
    <n v="7355250320"/>
    <s v="RTOS VARIA IMPO"/>
    <n v="14956301.206915095"/>
    <n v="89500"/>
    <m/>
    <m/>
    <m/>
    <m/>
    <s v="EC01"/>
    <s v="CUERPOS MOLEDORES"/>
    <n v="700000"/>
    <x v="9"/>
    <s v="HARINA CRUDA"/>
    <m/>
    <m/>
    <s v="HARINA CRUDA"/>
    <x v="0"/>
    <x v="0"/>
    <s v="7355250320CUERPOS MOLEDORESMolienda de  Crudo"/>
    <x v="4"/>
    <x v="0"/>
  </r>
  <r>
    <n v="7355250321"/>
    <s v="RTOS VARIA IMPO"/>
    <n v="10729520.431047786"/>
    <n v="89500"/>
    <m/>
    <m/>
    <m/>
    <m/>
    <s v="EC01"/>
    <s v="LAMINAS"/>
    <n v="700000"/>
    <x v="9"/>
    <s v="HARINA CRUDA"/>
    <m/>
    <m/>
    <s v="HARINA CRUDA"/>
    <x v="0"/>
    <x v="0"/>
    <s v="7355250321LAMINASMolienda de  Crudo"/>
    <x v="5"/>
    <x v="0"/>
  </r>
  <r>
    <n v="7355250322"/>
    <s v="RTOS VARIA IMPO"/>
    <n v="44634014.585153699"/>
    <n v="89500"/>
    <m/>
    <m/>
    <m/>
    <m/>
    <s v="EC01"/>
    <s v="ANILLOS, TAPAS Y SEPARADORES"/>
    <n v="700000"/>
    <x v="9"/>
    <s v="HARINA CRUDA"/>
    <m/>
    <m/>
    <s v="HARINA CRUDA"/>
    <x v="0"/>
    <x v="0"/>
    <s v="7355250322ANILLOS, TAPAS Y SEPARADORESMolienda de  Crudo"/>
    <x v="6"/>
    <x v="0"/>
  </r>
  <r>
    <n v="7105040101"/>
    <s v="MP CORRECT HIERO NAL"/>
    <n v="951705920.22384059"/>
    <n v="3164.3906249999995"/>
    <s v="T"/>
    <s v="M"/>
    <s v="1405040101"/>
    <s v="IN CORRECT HIERO NAL"/>
    <s v="EC01"/>
    <s v="CORRHIERR"/>
    <n v="700000"/>
    <x v="10"/>
    <s v="CORRECTOR DE HIERRO"/>
    <m/>
    <m/>
    <s v="HARINA CRUDA"/>
    <x v="0"/>
    <x v="0"/>
    <s v="7105040101CORRHIERRMolienda de  Crudo"/>
    <x v="0"/>
    <x v="0"/>
  </r>
  <r>
    <n v="7105040101"/>
    <s v="MP CORRECT HIERO NAL"/>
    <n v="91915336.654133007"/>
    <n v="539.63859374999993"/>
    <s v="T"/>
    <s v="M"/>
    <s v="1405040101"/>
    <s v="IN CORRECT HIERO NAL"/>
    <s v="EC01"/>
    <s v="CALAMINA1"/>
    <n v="700000"/>
    <x v="10"/>
    <s v="CALAMINA"/>
    <m/>
    <m/>
    <s v="HARINA CRUDA"/>
    <x v="0"/>
    <x v="0"/>
    <s v="7105040101CALAMINA1Molienda de  Crudo"/>
    <x v="0"/>
    <x v="0"/>
  </r>
  <r>
    <n v="7105330101"/>
    <s v="CTO. MP CALIZAS NAL"/>
    <m/>
    <n v="26050.424999999999"/>
    <s v="T"/>
    <s v="M"/>
    <s v="1405330101"/>
    <s v="INV.  CALIZAS NAL"/>
    <s v="EC01"/>
    <s v="CALIZATRI"/>
    <n v="700000"/>
    <x v="10"/>
    <s v="CALIZA TRITURADA"/>
    <m/>
    <m/>
    <s v="HARINA CRUDA"/>
    <x v="0"/>
    <x v="0"/>
    <s v="7105330101CALIZATRIMolienda de  Crudo"/>
    <x v="1"/>
    <x v="0"/>
  </r>
  <r>
    <n v="7105330101"/>
    <s v="CTO. MP CALIZAS NAL"/>
    <m/>
    <n v="118461.93601485148"/>
    <s v="T"/>
    <s v="M"/>
    <s v="1405330101"/>
    <s v="INV.  CALIZAS NAL"/>
    <s v="EC01"/>
    <s v="MEZCPREHO"/>
    <n v="700000"/>
    <x v="10"/>
    <s v="MEZCLA PREHOMO"/>
    <m/>
    <m/>
    <s v="HARINA CRUDA"/>
    <x v="0"/>
    <x v="0"/>
    <s v="7105330101MEZCPREHOMolienda de  Crudo"/>
    <x v="2"/>
    <x v="0"/>
  </r>
  <r>
    <n v="7999999995"/>
    <s v="TRASLADO DE COSTOS"/>
    <m/>
    <n v="-142500"/>
    <s v="T"/>
    <s v="M"/>
    <s v="1410900101"/>
    <s v="INV. SEMIELABORADO"/>
    <s v="EC01"/>
    <s v="HARINACRUD"/>
    <n v="700000"/>
    <x v="10"/>
    <s v="HARINA CRUDA"/>
    <m/>
    <m/>
    <s v="HARINA CRUDA"/>
    <x v="0"/>
    <x v="0"/>
    <s v="7999999995HARINACRUDMolienda de  Crudo"/>
    <x v="3"/>
    <x v="0"/>
  </r>
  <r>
    <n v="7355250320"/>
    <s v="RTOS VARIA IMPO"/>
    <n v="23813105.273579903"/>
    <n v="142500"/>
    <m/>
    <m/>
    <m/>
    <m/>
    <s v="EC01"/>
    <s v="CUERPOS MOLEDORES"/>
    <n v="700000"/>
    <x v="10"/>
    <s v="HARINA CRUDA"/>
    <m/>
    <m/>
    <s v="HARINA CRUDA"/>
    <x v="0"/>
    <x v="0"/>
    <s v="7355250320CUERPOS MOLEDORESMolienda de  Crudo"/>
    <x v="4"/>
    <x v="0"/>
  </r>
  <r>
    <n v="7355250321"/>
    <s v="RTOS VARIA IMPO"/>
    <n v="17083314.652785581"/>
    <n v="142500"/>
    <m/>
    <m/>
    <m/>
    <m/>
    <s v="EC01"/>
    <s v="LAMINAS"/>
    <n v="700000"/>
    <x v="10"/>
    <s v="HARINA CRUDA"/>
    <m/>
    <m/>
    <s v="HARINA CRUDA"/>
    <x v="0"/>
    <x v="0"/>
    <s v="7355250321LAMINASMolienda de  Crudo"/>
    <x v="5"/>
    <x v="0"/>
  </r>
  <r>
    <n v="7355250322"/>
    <s v="RTOS VARIA IMPO"/>
    <n v="71065330.484741926"/>
    <n v="142500"/>
    <m/>
    <m/>
    <m/>
    <m/>
    <s v="EC01"/>
    <s v="ANILLOS, TAPAS Y SEPARADORES"/>
    <n v="700000"/>
    <x v="10"/>
    <s v="HARINA CRUDA"/>
    <m/>
    <m/>
    <s v="HARINA CRUDA"/>
    <x v="0"/>
    <x v="0"/>
    <s v="7355250322ANILLOS, TAPAS Y SEPARADORESMolienda de  Crudo"/>
    <x v="6"/>
    <x v="0"/>
  </r>
  <r>
    <n v="7105040101"/>
    <s v="MP CORRECT HIERO NAL"/>
    <n v="610551968.82534039"/>
    <n v="2028.3847929084577"/>
    <s v="T"/>
    <s v="M"/>
    <s v="1405040101"/>
    <s v="IN CORRECT HIERO NAL"/>
    <s v="EC01"/>
    <s v="CORRHIERR"/>
    <n v="700000"/>
    <x v="11"/>
    <s v="CORRECTOR DE HIERRO"/>
    <m/>
    <m/>
    <s v="HARINA CRUDA"/>
    <x v="0"/>
    <x v="0"/>
    <s v="7105040101CORRHIERRMolienda de  Crudo"/>
    <x v="0"/>
    <x v="0"/>
  </r>
  <r>
    <n v="7105040101"/>
    <s v="MP CORRECT HIERO NAL"/>
    <n v="59004211.908402108"/>
    <n v="345.91011254465627"/>
    <s v="T"/>
    <s v="M"/>
    <s v="1405040101"/>
    <s v="IN CORRECT HIERO NAL"/>
    <s v="EC01"/>
    <s v="CALAMINA1"/>
    <n v="700000"/>
    <x v="11"/>
    <s v="CALAMINA"/>
    <m/>
    <m/>
    <s v="HARINA CRUDA"/>
    <x v="0"/>
    <x v="0"/>
    <s v="7105040101CALAMINA1Molienda de  Crudo"/>
    <x v="0"/>
    <x v="0"/>
  </r>
  <r>
    <n v="7105330101"/>
    <s v="CTO. MP CALIZAS NAL"/>
    <m/>
    <n v="16698.408060415204"/>
    <s v="T"/>
    <s v="M"/>
    <s v="1405330101"/>
    <s v="INV.  CALIZAS NAL"/>
    <s v="EC01"/>
    <s v="CALIZATRI"/>
    <n v="700000"/>
    <x v="11"/>
    <s v="CALIZA TRITURADA"/>
    <m/>
    <m/>
    <s v="HARINA CRUDA"/>
    <x v="0"/>
    <x v="0"/>
    <s v="7105330101CALIZATRIMolienda de  Crudo"/>
    <x v="1"/>
    <x v="0"/>
  </r>
  <r>
    <n v="7105330101"/>
    <s v="CTO. MP CALIZAS NAL"/>
    <m/>
    <n v="75934.490404774071"/>
    <s v="T"/>
    <s v="M"/>
    <s v="1405330101"/>
    <s v="INV.  CALIZAS NAL"/>
    <s v="EC01"/>
    <s v="MEZCPREHO"/>
    <n v="700000"/>
    <x v="11"/>
    <s v="MEZCLA PREHOMO"/>
    <m/>
    <m/>
    <s v="HARINA CRUDA"/>
    <x v="0"/>
    <x v="0"/>
    <s v="7105330101MEZCPREHOMolienda de  Crudo"/>
    <x v="2"/>
    <x v="0"/>
  </r>
  <r>
    <n v="7999999995"/>
    <s v="TRASLADO DE COSTOS"/>
    <m/>
    <n v="-91342.968439446457"/>
    <s v="T"/>
    <s v="M"/>
    <s v="1410900101"/>
    <s v="INV. SEMIELABORADO"/>
    <s v="EC01"/>
    <s v="HARINACRUD"/>
    <n v="700000"/>
    <x v="11"/>
    <s v="HARINA CRUDA"/>
    <m/>
    <m/>
    <s v="HARINA CRUDA"/>
    <x v="0"/>
    <x v="0"/>
    <s v="7999999995HARINACRUDMolienda de  Crudo"/>
    <x v="3"/>
    <x v="0"/>
  </r>
  <r>
    <n v="7355250320"/>
    <s v="RTOS VARIA IMPO"/>
    <n v="15264278.761051403"/>
    <n v="91342.968439446457"/>
    <m/>
    <m/>
    <m/>
    <m/>
    <s v="EC01"/>
    <s v="CUERPOS MOLEDORES"/>
    <n v="700000"/>
    <x v="11"/>
    <s v="HARINA CRUDA"/>
    <m/>
    <m/>
    <s v="HARINA CRUDA"/>
    <x v="0"/>
    <x v="0"/>
    <s v="7355250320CUERPOS MOLEDORESMolienda de  Crudo"/>
    <x v="4"/>
    <x v="0"/>
  </r>
  <r>
    <n v="7355250321"/>
    <s v="RTOS VARIA IMPO"/>
    <n v="10950460.850319486"/>
    <n v="91342.968439446457"/>
    <m/>
    <m/>
    <m/>
    <m/>
    <s v="EC01"/>
    <s v="LAMINAS"/>
    <n v="700000"/>
    <x v="11"/>
    <s v="HARINA CRUDA"/>
    <m/>
    <m/>
    <s v="HARINA CRUDA"/>
    <x v="0"/>
    <x v="0"/>
    <s v="7355250321LAMINASMolienda de  Crudo"/>
    <x v="5"/>
    <x v="0"/>
  </r>
  <r>
    <n v="7355250322"/>
    <s v="RTOS VARIA IMPO"/>
    <n v="45553110.45337975"/>
    <n v="91342.968439446457"/>
    <m/>
    <m/>
    <m/>
    <m/>
    <s v="EC01"/>
    <s v="ANILLOS, TAPAS Y SEPARADORES"/>
    <n v="700000"/>
    <x v="11"/>
    <s v="HARINA CRUDA"/>
    <m/>
    <m/>
    <s v="HARINA CRUDA"/>
    <x v="0"/>
    <x v="0"/>
    <s v="7355250322ANILLOS, TAPAS Y SEPARADORESMolienda de  Crudo"/>
    <x v="6"/>
    <x v="0"/>
  </r>
  <r>
    <n v="7199990001"/>
    <s v="CONSUMOS SEMIELBORAD"/>
    <m/>
    <n v="9193.1270585948077"/>
    <s v="T"/>
    <s v="M"/>
    <s v="1410900101"/>
    <s v="INV. SEMIELABORADO"/>
    <s v="EC01"/>
    <s v="CARBONMOL"/>
    <n v="700001"/>
    <x v="0"/>
    <s v="CARBON MOLIDO"/>
    <m/>
    <m/>
    <s v="CLINKER"/>
    <x v="1"/>
    <x v="1"/>
    <s v="7199990001CARBONMOLClinkerización"/>
    <x v="7"/>
    <x v="0"/>
  </r>
  <r>
    <n v="7199990001"/>
    <s v="CONSUMOS SEMIELBORAD"/>
    <m/>
    <n v="128465.99999999967"/>
    <s v="T"/>
    <s v="M"/>
    <s v="1410900101"/>
    <s v="INV. SEMIELABORADO"/>
    <s v="EC01"/>
    <s v="HARINACRUD"/>
    <n v="700001"/>
    <x v="0"/>
    <s v="HARINA CRUDA"/>
    <m/>
    <m/>
    <s v="CLINKER"/>
    <x v="1"/>
    <x v="1"/>
    <s v="7199990001HARINACRUDClinkerización"/>
    <x v="8"/>
    <x v="0"/>
  </r>
  <r>
    <n v="7999999995"/>
    <s v="TRASLADO DE COSTOS"/>
    <m/>
    <n v="-82349.999999999782"/>
    <s v="T"/>
    <s v="M"/>
    <s v="1410900101"/>
    <s v="INV. SEMIELABORADO"/>
    <s v="EC01"/>
    <s v="CLINKER001"/>
    <n v="700001"/>
    <x v="0"/>
    <s v="CLINKER"/>
    <m/>
    <m/>
    <s v="CLINKER"/>
    <x v="1"/>
    <x v="1"/>
    <s v="7999999995CLINKER001Clinkerización"/>
    <x v="3"/>
    <x v="0"/>
  </r>
  <r>
    <n v="7355250320"/>
    <s v="RTOS VARIA IMPO"/>
    <n v="0"/>
    <n v="82349.999999999782"/>
    <m/>
    <m/>
    <m/>
    <m/>
    <s v="EC01"/>
    <s v="DUCTOS"/>
    <n v="700001"/>
    <x v="0"/>
    <s v="CLINKER"/>
    <m/>
    <m/>
    <s v="CLINKER"/>
    <x v="1"/>
    <x v="1"/>
    <s v="7355250320DUCTOSClinkerización"/>
    <x v="9"/>
    <x v="0"/>
  </r>
  <r>
    <n v="7355250321"/>
    <s v="RTOS VARIA IMPO"/>
    <n v="15190195.529597098"/>
    <n v="82349.999999999782"/>
    <m/>
    <m/>
    <m/>
    <m/>
    <s v="EC01"/>
    <s v="ENFRIADOR"/>
    <n v="700001"/>
    <x v="0"/>
    <s v="CLINKER"/>
    <m/>
    <m/>
    <s v="CLINKER"/>
    <x v="1"/>
    <x v="1"/>
    <s v="7355250321ENFRIADORClinkerización"/>
    <x v="10"/>
    <x v="0"/>
  </r>
  <r>
    <n v="7355250322"/>
    <s v="RTOS VARIA IMPO"/>
    <n v="104033717.70964222"/>
    <n v="82349.999999999782"/>
    <m/>
    <m/>
    <m/>
    <m/>
    <s v="EC01"/>
    <s v="PLACAS"/>
    <n v="700001"/>
    <x v="0"/>
    <s v="CLINKER"/>
    <m/>
    <m/>
    <s v="CLINKER"/>
    <x v="1"/>
    <x v="1"/>
    <s v="7355250322PLACASClinkerización"/>
    <x v="11"/>
    <x v="0"/>
  </r>
  <r>
    <n v="7355300105"/>
    <s v=" CTO CONFORMADO"/>
    <n v="296509866.0625183"/>
    <n v="82349.999999999782"/>
    <m/>
    <m/>
    <m/>
    <m/>
    <s v="EC01"/>
    <s v="REFRACTARIOS"/>
    <n v="700001"/>
    <x v="0"/>
    <s v="CLINKER"/>
    <m/>
    <m/>
    <s v="CLINKER"/>
    <x v="1"/>
    <x v="1"/>
    <s v="7355300105REFRACTARIOSClinkerización"/>
    <x v="12"/>
    <x v="0"/>
  </r>
  <r>
    <n v="7355250323"/>
    <s v="RTOS VARIA IMPO"/>
    <n v="0"/>
    <n v="82349.999999999782"/>
    <m/>
    <m/>
    <m/>
    <m/>
    <s v="EC01"/>
    <s v="SELLADO"/>
    <n v="700001"/>
    <x v="0"/>
    <s v="CLINKER"/>
    <m/>
    <m/>
    <s v="CLINKER"/>
    <x v="1"/>
    <x v="1"/>
    <s v="7355250323SELLADOClinkerización"/>
    <x v="13"/>
    <x v="0"/>
  </r>
  <r>
    <n v="7355050105"/>
    <s v="CTO COMBUS LIQ NAC"/>
    <n v="24000000"/>
    <n v="2000"/>
    <m/>
    <s v="M"/>
    <s v="1455050105"/>
    <s v="INV COMBUST LIQ NAC"/>
    <s v="EC01"/>
    <n v="70000000000"/>
    <n v="700001"/>
    <x v="0"/>
    <s v="CLINKER"/>
    <m/>
    <m/>
    <s v="CLINKER"/>
    <x v="1"/>
    <x v="1"/>
    <s v="735505010570000000000Clinkerización"/>
    <x v="14"/>
    <x v="0"/>
  </r>
  <r>
    <n v="7199990001"/>
    <s v="CONSUMOS SEMIELBORAD"/>
    <m/>
    <n v="9306.729420387499"/>
    <s v="T"/>
    <s v="M"/>
    <s v="1410900101"/>
    <s v="INV. SEMIELABORADO"/>
    <s v="EC01"/>
    <s v="CARBONMOL"/>
    <n v="700001"/>
    <x v="1"/>
    <s v="CARBON MOLIDO"/>
    <m/>
    <m/>
    <s v="CLINKER"/>
    <x v="1"/>
    <x v="1"/>
    <s v="7199990001CARBONMOLClinkerización"/>
    <x v="7"/>
    <x v="0"/>
  </r>
  <r>
    <n v="7199990001"/>
    <s v="CONSUMOS SEMIELBORAD"/>
    <m/>
    <n v="130051.99999999967"/>
    <s v="T"/>
    <s v="M"/>
    <s v="1410900101"/>
    <s v="INV. SEMIELABORADO"/>
    <s v="EC01"/>
    <s v="HARINACRUD"/>
    <n v="700001"/>
    <x v="1"/>
    <s v="HARINA CRUDA"/>
    <m/>
    <m/>
    <s v="CLINKER"/>
    <x v="1"/>
    <x v="1"/>
    <s v="7199990001HARINACRUDClinkerización"/>
    <x v="8"/>
    <x v="0"/>
  </r>
  <r>
    <n v="7999999995"/>
    <s v="TRASLADO DE COSTOS"/>
    <m/>
    <n v="-83366.666666666453"/>
    <s v="T"/>
    <s v="M"/>
    <s v="1410900101"/>
    <s v="INV. SEMIELABORADO"/>
    <s v="EC01"/>
    <s v="CLINKER001"/>
    <n v="700001"/>
    <x v="1"/>
    <s v="CLINKER"/>
    <m/>
    <m/>
    <s v="CLINKER"/>
    <x v="1"/>
    <x v="1"/>
    <s v="7999999995CLINKER001Clinkerización"/>
    <x v="3"/>
    <x v="0"/>
  </r>
  <r>
    <n v="7355250320"/>
    <s v="RTOS VARIA IMPO"/>
    <n v="0"/>
    <n v="83366.666666666453"/>
    <m/>
    <m/>
    <m/>
    <m/>
    <s v="EC01"/>
    <s v="DUCTOS"/>
    <n v="700001"/>
    <x v="1"/>
    <s v="CLINKER"/>
    <m/>
    <m/>
    <s v="CLINKER"/>
    <x v="1"/>
    <x v="1"/>
    <s v="7355250320DUCTOSClinkerización"/>
    <x v="9"/>
    <x v="0"/>
  </r>
  <r>
    <n v="7355250321"/>
    <s v="RTOS VARIA IMPO"/>
    <n v="15377728.807740273"/>
    <n v="83366.666666666453"/>
    <m/>
    <m/>
    <m/>
    <m/>
    <s v="EC01"/>
    <s v="ENFRIADOR"/>
    <n v="700001"/>
    <x v="1"/>
    <s v="CLINKER"/>
    <m/>
    <m/>
    <s v="CLINKER"/>
    <x v="1"/>
    <x v="1"/>
    <s v="7355250321ENFRIADORClinkerización"/>
    <x v="10"/>
    <x v="0"/>
  </r>
  <r>
    <n v="7355250322"/>
    <s v="RTOS VARIA IMPO"/>
    <n v="105318084.59494646"/>
    <n v="83366.666666666453"/>
    <m/>
    <m/>
    <m/>
    <m/>
    <s v="EC01"/>
    <s v="PLACAS"/>
    <n v="700001"/>
    <x v="1"/>
    <s v="CLINKER"/>
    <m/>
    <m/>
    <s v="CLINKER"/>
    <x v="1"/>
    <x v="1"/>
    <s v="7355250322PLACASClinkerización"/>
    <x v="11"/>
    <x v="0"/>
  </r>
  <r>
    <n v="7355300105"/>
    <s v=" CTO CONFORMADO"/>
    <n v="300170481.69291979"/>
    <n v="83366.666666666453"/>
    <m/>
    <m/>
    <m/>
    <m/>
    <s v="EC01"/>
    <s v="REFRACTARIOS"/>
    <n v="700001"/>
    <x v="1"/>
    <s v="CLINKER"/>
    <m/>
    <m/>
    <s v="CLINKER"/>
    <x v="1"/>
    <x v="1"/>
    <s v="7355300105REFRACTARIOSClinkerización"/>
    <x v="12"/>
    <x v="0"/>
  </r>
  <r>
    <n v="7355250323"/>
    <s v="RTOS VARIA IMPO"/>
    <n v="0"/>
    <n v="83366.666666666453"/>
    <m/>
    <m/>
    <m/>
    <m/>
    <s v="EC01"/>
    <s v="SELLADO"/>
    <n v="700001"/>
    <x v="1"/>
    <s v="CLINKER"/>
    <m/>
    <m/>
    <s v="CLINKER"/>
    <x v="1"/>
    <x v="1"/>
    <s v="7355250323SELLADOClinkerización"/>
    <x v="13"/>
    <x v="0"/>
  </r>
  <r>
    <n v="7355050105"/>
    <s v="CTO COMBUS LIQ NAC"/>
    <n v="24000000"/>
    <n v="2000"/>
    <m/>
    <s v="M"/>
    <s v="1455050105"/>
    <s v="INV COMBUST LIQ NAC"/>
    <s v="EC01"/>
    <n v="70000000000"/>
    <n v="700001"/>
    <x v="1"/>
    <s v="CLINKER"/>
    <m/>
    <m/>
    <s v="CLINKER"/>
    <x v="1"/>
    <x v="1"/>
    <s v="735505010570000000000Clinkerización"/>
    <x v="14"/>
    <x v="0"/>
  </r>
  <r>
    <n v="7199990001"/>
    <s v="CONSUMOS SEMIELBORAD"/>
    <m/>
    <n v="6466.6703755702074"/>
    <s v="T"/>
    <s v="M"/>
    <s v="1410900101"/>
    <s v="INV. SEMIELABORADO"/>
    <s v="EC01"/>
    <s v="CARBONMOL"/>
    <n v="700001"/>
    <x v="2"/>
    <s v="CARBON MOLIDO"/>
    <m/>
    <m/>
    <s v="CLINKER"/>
    <x v="1"/>
    <x v="1"/>
    <s v="7199990001CARBONMOLClinkerización"/>
    <x v="7"/>
    <x v="0"/>
  </r>
  <r>
    <n v="7199990001"/>
    <s v="CONSUMOS SEMIELBORAD"/>
    <m/>
    <n v="90401.999999999767"/>
    <s v="T"/>
    <s v="M"/>
    <s v="1410900101"/>
    <s v="INV. SEMIELABORADO"/>
    <s v="EC01"/>
    <s v="HARINACRUD"/>
    <n v="700001"/>
    <x v="2"/>
    <s v="HARINA CRUDA"/>
    <m/>
    <m/>
    <s v="CLINKER"/>
    <x v="1"/>
    <x v="1"/>
    <s v="7199990001HARINACRUDClinkerización"/>
    <x v="8"/>
    <x v="0"/>
  </r>
  <r>
    <n v="7999999995"/>
    <s v="TRASLADO DE COSTOS"/>
    <m/>
    <n v="-57949.999999999847"/>
    <s v="T"/>
    <s v="M"/>
    <s v="1410900101"/>
    <s v="INV. SEMIELABORADO"/>
    <s v="EC01"/>
    <s v="CLINKER001"/>
    <n v="700001"/>
    <x v="2"/>
    <s v="CLINKER"/>
    <m/>
    <m/>
    <s v="CLINKER"/>
    <x v="1"/>
    <x v="1"/>
    <s v="7999999995CLINKER001Clinkerización"/>
    <x v="3"/>
    <x v="0"/>
  </r>
  <r>
    <n v="7355250320"/>
    <s v="RTOS VARIA IMPO"/>
    <n v="0"/>
    <n v="57949.999999999847"/>
    <m/>
    <m/>
    <m/>
    <m/>
    <s v="EC01"/>
    <s v="DUCTOS"/>
    <n v="700001"/>
    <x v="2"/>
    <s v="CLINKER"/>
    <m/>
    <m/>
    <s v="CLINKER"/>
    <x v="1"/>
    <x v="1"/>
    <s v="7355250320DUCTOSClinkerización"/>
    <x v="9"/>
    <x v="0"/>
  </r>
  <r>
    <n v="7355250321"/>
    <s v="RTOS VARIA IMPO"/>
    <n v="10689396.854160922"/>
    <n v="57949.999999999847"/>
    <m/>
    <m/>
    <m/>
    <m/>
    <s v="EC01"/>
    <s v="ENFRIADOR"/>
    <n v="700001"/>
    <x v="2"/>
    <s v="CLINKER"/>
    <m/>
    <m/>
    <s v="CLINKER"/>
    <x v="1"/>
    <x v="1"/>
    <s v="7355250321ENFRIADORClinkerización"/>
    <x v="10"/>
    <x v="0"/>
  </r>
  <r>
    <n v="7355250322"/>
    <s v="RTOS VARIA IMPO"/>
    <n v="73208912.462340817"/>
    <n v="57949.999999999847"/>
    <m/>
    <m/>
    <m/>
    <m/>
    <s v="EC01"/>
    <s v="PLACAS"/>
    <n v="700001"/>
    <x v="2"/>
    <s v="CLINKER"/>
    <m/>
    <m/>
    <s v="CLINKER"/>
    <x v="1"/>
    <x v="1"/>
    <s v="7355250322PLACASClinkerización"/>
    <x v="11"/>
    <x v="0"/>
  </r>
  <r>
    <n v="7355300105"/>
    <s v=" CTO CONFORMADO"/>
    <n v="208655090.93288326"/>
    <n v="57949.999999999847"/>
    <m/>
    <m/>
    <m/>
    <m/>
    <s v="EC01"/>
    <s v="REFRACTARIOS"/>
    <n v="700001"/>
    <x v="2"/>
    <s v="CLINKER"/>
    <m/>
    <m/>
    <s v="CLINKER"/>
    <x v="1"/>
    <x v="1"/>
    <s v="7355300105REFRACTARIOSClinkerización"/>
    <x v="12"/>
    <x v="0"/>
  </r>
  <r>
    <n v="7355250323"/>
    <s v="RTOS VARIA IMPO"/>
    <n v="0"/>
    <n v="57949.999999999847"/>
    <m/>
    <m/>
    <m/>
    <m/>
    <s v="EC01"/>
    <s v="SELLADO"/>
    <n v="700001"/>
    <x v="2"/>
    <s v="CLINKER"/>
    <m/>
    <m/>
    <s v="CLINKER"/>
    <x v="1"/>
    <x v="1"/>
    <s v="7355250323SELLADOClinkerización"/>
    <x v="13"/>
    <x v="0"/>
  </r>
  <r>
    <n v="7355050105"/>
    <s v="CTO COMBUS LIQ NAC"/>
    <n v="24000000"/>
    <n v="2000"/>
    <m/>
    <s v="M"/>
    <s v="1455050105"/>
    <s v="INV COMBUST LIQ NAC"/>
    <s v="EC01"/>
    <n v="70000000000"/>
    <n v="700001"/>
    <x v="2"/>
    <s v="CLINKER"/>
    <m/>
    <m/>
    <s v="CLINKER"/>
    <x v="1"/>
    <x v="1"/>
    <s v="735505010570000000000Clinkerización"/>
    <x v="14"/>
    <x v="0"/>
  </r>
  <r>
    <n v="7199990001"/>
    <s v="CONSUMOS SEMIELBORAD"/>
    <m/>
    <n v="6764.1562278822057"/>
    <s v="T"/>
    <s v="M"/>
    <s v="1410900101"/>
    <s v="INV. SEMIELABORADO"/>
    <s v="EC01"/>
    <s v="CARBONMOL"/>
    <n v="700001"/>
    <x v="3"/>
    <s v="CARBON MOLIDO"/>
    <m/>
    <m/>
    <s v="CLINKER"/>
    <x v="1"/>
    <x v="1"/>
    <s v="7199990001CARBONMOLClinkerización"/>
    <x v="7"/>
    <x v="0"/>
  </r>
  <r>
    <n v="7199990001"/>
    <s v="CONSUMOS SEMIELBORAD"/>
    <m/>
    <n v="95159.999999999753"/>
    <s v="T"/>
    <s v="M"/>
    <s v="1410900101"/>
    <s v="INV. SEMIELABORADO"/>
    <s v="EC01"/>
    <s v="HARINACRUD"/>
    <n v="700001"/>
    <x v="3"/>
    <s v="HARINA CRUDA"/>
    <m/>
    <m/>
    <s v="CLINKER"/>
    <x v="1"/>
    <x v="1"/>
    <s v="7199990001HARINACRUDClinkerización"/>
    <x v="8"/>
    <x v="0"/>
  </r>
  <r>
    <n v="7999999995"/>
    <s v="TRASLADO DE COSTOS"/>
    <m/>
    <n v="-60999.99999999984"/>
    <s v="T"/>
    <s v="M"/>
    <s v="1410900101"/>
    <s v="INV. SEMIELABORADO"/>
    <s v="EC01"/>
    <s v="CLINKER001"/>
    <n v="700001"/>
    <x v="3"/>
    <s v="CLINKER"/>
    <m/>
    <m/>
    <s v="CLINKER"/>
    <x v="1"/>
    <x v="1"/>
    <s v="7999999995CLINKER001Clinkerización"/>
    <x v="3"/>
    <x v="0"/>
  </r>
  <r>
    <n v="7355250320"/>
    <s v="RTOS VARIA IMPO"/>
    <n v="0"/>
    <n v="60999.99999999984"/>
    <m/>
    <m/>
    <m/>
    <m/>
    <s v="EC01"/>
    <s v="DUCTOS"/>
    <n v="700001"/>
    <x v="3"/>
    <s v="CLINKER"/>
    <m/>
    <m/>
    <s v="CLINKER"/>
    <x v="1"/>
    <x v="1"/>
    <s v="7355250320DUCTOSClinkerización"/>
    <x v="9"/>
    <x v="0"/>
  </r>
  <r>
    <n v="7355250321"/>
    <s v="RTOS VARIA IMPO"/>
    <n v="11251996.688590443"/>
    <n v="60999.99999999984"/>
    <m/>
    <m/>
    <m/>
    <m/>
    <s v="EC01"/>
    <s v="ENFRIADOR"/>
    <n v="700001"/>
    <x v="3"/>
    <s v="CLINKER"/>
    <m/>
    <m/>
    <s v="CLINKER"/>
    <x v="1"/>
    <x v="1"/>
    <s v="7355250321ENFRIADORClinkerización"/>
    <x v="10"/>
    <x v="0"/>
  </r>
  <r>
    <n v="7355250322"/>
    <s v="RTOS VARIA IMPO"/>
    <n v="77062013.118253499"/>
    <n v="60999.99999999984"/>
    <m/>
    <m/>
    <m/>
    <m/>
    <s v="EC01"/>
    <s v="PLACAS"/>
    <n v="700001"/>
    <x v="3"/>
    <s v="CLINKER"/>
    <m/>
    <m/>
    <s v="CLINKER"/>
    <x v="1"/>
    <x v="1"/>
    <s v="7355250322PLACASClinkerización"/>
    <x v="11"/>
    <x v="0"/>
  </r>
  <r>
    <n v="7355300105"/>
    <s v=" CTO CONFORMADO"/>
    <n v="219636937.82408765"/>
    <n v="60999.99999999984"/>
    <m/>
    <m/>
    <m/>
    <m/>
    <s v="EC01"/>
    <s v="REFRACTARIOS"/>
    <n v="700001"/>
    <x v="3"/>
    <s v="CLINKER"/>
    <m/>
    <m/>
    <s v="CLINKER"/>
    <x v="1"/>
    <x v="1"/>
    <s v="7355300105REFRACTARIOSClinkerización"/>
    <x v="12"/>
    <x v="0"/>
  </r>
  <r>
    <n v="7355250323"/>
    <s v="RTOS VARIA IMPO"/>
    <n v="0"/>
    <n v="60999.99999999984"/>
    <m/>
    <m/>
    <m/>
    <m/>
    <s v="EC01"/>
    <s v="SELLADO"/>
    <n v="700001"/>
    <x v="3"/>
    <s v="CLINKER"/>
    <m/>
    <m/>
    <s v="CLINKER"/>
    <x v="1"/>
    <x v="1"/>
    <s v="7355250323SELLADOClinkerización"/>
    <x v="13"/>
    <x v="0"/>
  </r>
  <r>
    <n v="7355050105"/>
    <s v="CTO COMBUS LIQ NAC"/>
    <n v="144000000"/>
    <n v="12000"/>
    <m/>
    <s v="M"/>
    <s v="1455050105"/>
    <s v="INV COMBUST LIQ NAC"/>
    <s v="EC01"/>
    <n v="70000000000"/>
    <n v="700001"/>
    <x v="3"/>
    <s v="CLINKER"/>
    <m/>
    <m/>
    <s v="CLINKER"/>
    <x v="1"/>
    <x v="1"/>
    <s v="735505010570000000000Clinkerización"/>
    <x v="14"/>
    <x v="0"/>
  </r>
  <r>
    <n v="7199990001"/>
    <s v="CONSUMOS SEMIELBORAD"/>
    <m/>
    <n v="10329.150676521722"/>
    <s v="T"/>
    <s v="M"/>
    <s v="1410900101"/>
    <s v="INV. SEMIELABORADO"/>
    <s v="EC01"/>
    <s v="CARBONMOL"/>
    <n v="700001"/>
    <x v="4"/>
    <s v="CARBON MOLIDO"/>
    <m/>
    <m/>
    <s v="CLINKER"/>
    <x v="1"/>
    <x v="1"/>
    <s v="7199990001CARBONMOLClinkerización"/>
    <x v="7"/>
    <x v="0"/>
  </r>
  <r>
    <n v="7199990001"/>
    <s v="CONSUMOS SEMIELBORAD"/>
    <m/>
    <n v="144325.99999999962"/>
    <s v="T"/>
    <s v="M"/>
    <s v="1410900101"/>
    <s v="INV. SEMIELABORADO"/>
    <s v="EC01"/>
    <s v="HARINACRUD"/>
    <n v="700001"/>
    <x v="4"/>
    <s v="HARINA CRUDA"/>
    <m/>
    <m/>
    <s v="CLINKER"/>
    <x v="1"/>
    <x v="1"/>
    <s v="7199990001HARINACRUDClinkerización"/>
    <x v="8"/>
    <x v="0"/>
  </r>
  <r>
    <n v="7999999995"/>
    <s v="TRASLADO DE COSTOS"/>
    <m/>
    <n v="-92516.666666666424"/>
    <s v="T"/>
    <s v="M"/>
    <s v="1410900101"/>
    <s v="INV. SEMIELABORADO"/>
    <s v="EC01"/>
    <s v="CLINKER001"/>
    <n v="700001"/>
    <x v="4"/>
    <s v="CLINKER"/>
    <m/>
    <m/>
    <s v="CLINKER"/>
    <x v="1"/>
    <x v="1"/>
    <s v="7999999995CLINKER001Clinkerización"/>
    <x v="3"/>
    <x v="0"/>
  </r>
  <r>
    <n v="7355250320"/>
    <s v="RTOS VARIA IMPO"/>
    <n v="0"/>
    <n v="92516.666666666424"/>
    <m/>
    <m/>
    <m/>
    <m/>
    <s v="EC01"/>
    <s v="DUCTOS"/>
    <n v="700001"/>
    <x v="4"/>
    <s v="CLINKER"/>
    <m/>
    <m/>
    <s v="CLINKER"/>
    <x v="1"/>
    <x v="1"/>
    <s v="7355250320DUCTOSClinkerización"/>
    <x v="9"/>
    <x v="0"/>
  </r>
  <r>
    <n v="7355250321"/>
    <s v="RTOS VARIA IMPO"/>
    <n v="17065528.311028838"/>
    <n v="92516.666666666424"/>
    <m/>
    <m/>
    <m/>
    <m/>
    <s v="EC01"/>
    <s v="ENFRIADOR"/>
    <n v="700001"/>
    <x v="4"/>
    <s v="CLINKER"/>
    <m/>
    <m/>
    <s v="CLINKER"/>
    <x v="1"/>
    <x v="1"/>
    <s v="7355250321ENFRIADORClinkerización"/>
    <x v="10"/>
    <x v="0"/>
  </r>
  <r>
    <n v="7355250322"/>
    <s v="RTOS VARIA IMPO"/>
    <n v="116877386.56268448"/>
    <n v="92516.666666666424"/>
    <m/>
    <m/>
    <m/>
    <m/>
    <s v="EC01"/>
    <s v="PLACAS"/>
    <n v="700001"/>
    <x v="4"/>
    <s v="CLINKER"/>
    <m/>
    <m/>
    <s v="CLINKER"/>
    <x v="1"/>
    <x v="1"/>
    <s v="7355250322PLACASClinkerización"/>
    <x v="11"/>
    <x v="0"/>
  </r>
  <r>
    <n v="7355300105"/>
    <s v=" CTO CONFORMADO"/>
    <n v="333116022.36653292"/>
    <n v="92516.666666666424"/>
    <m/>
    <m/>
    <m/>
    <m/>
    <s v="EC01"/>
    <s v="REFRACTARIOS"/>
    <n v="700001"/>
    <x v="4"/>
    <s v="CLINKER"/>
    <m/>
    <m/>
    <s v="CLINKER"/>
    <x v="1"/>
    <x v="1"/>
    <s v="7355300105REFRACTARIOSClinkerización"/>
    <x v="12"/>
    <x v="0"/>
  </r>
  <r>
    <n v="7355250323"/>
    <s v="RTOS VARIA IMPO"/>
    <n v="0"/>
    <n v="92516.666666666424"/>
    <m/>
    <m/>
    <m/>
    <m/>
    <s v="EC01"/>
    <s v="SELLADO"/>
    <n v="700001"/>
    <x v="4"/>
    <s v="CLINKER"/>
    <m/>
    <m/>
    <s v="CLINKER"/>
    <x v="1"/>
    <x v="1"/>
    <s v="7355250323SELLADOClinkerización"/>
    <x v="13"/>
    <x v="0"/>
  </r>
  <r>
    <n v="7355050105"/>
    <s v="CTO COMBUS LIQ NAC"/>
    <n v="24000000"/>
    <n v="2000"/>
    <m/>
    <s v="M"/>
    <s v="1455050105"/>
    <s v="INV COMBUST LIQ NAC"/>
    <s v="EC01"/>
    <n v="70000000000"/>
    <n v="700001"/>
    <x v="4"/>
    <s v="CLINKER"/>
    <m/>
    <m/>
    <s v="CLINKER"/>
    <x v="1"/>
    <x v="1"/>
    <s v="735505010570000000000Clinkerización"/>
    <x v="14"/>
    <x v="0"/>
  </r>
  <r>
    <n v="7199990001"/>
    <s v="CONSUMOS SEMIELBORAD"/>
    <m/>
    <n v="4421.827863301759"/>
    <s v="T"/>
    <s v="M"/>
    <s v="1410900101"/>
    <s v="INV. SEMIELABORADO"/>
    <s v="EC01"/>
    <s v="CARBONMOL"/>
    <n v="700001"/>
    <x v="5"/>
    <s v="CARBON MOLIDO"/>
    <m/>
    <m/>
    <s v="CLINKER"/>
    <x v="1"/>
    <x v="1"/>
    <s v="7199990001CARBONMOLClinkerización"/>
    <x v="7"/>
    <x v="0"/>
  </r>
  <r>
    <n v="7199990001"/>
    <s v="CONSUMOS SEMIELBORAD"/>
    <m/>
    <n v="61853.99999999984"/>
    <s v="T"/>
    <s v="M"/>
    <s v="1410900101"/>
    <s v="INV. SEMIELABORADO"/>
    <s v="EC01"/>
    <s v="HARINACRUD"/>
    <n v="700001"/>
    <x v="5"/>
    <s v="HARINA CRUDA"/>
    <m/>
    <m/>
    <s v="CLINKER"/>
    <x v="1"/>
    <x v="1"/>
    <s v="7199990001HARINACRUDClinkerización"/>
    <x v="8"/>
    <x v="0"/>
  </r>
  <r>
    <n v="7999999995"/>
    <s v="TRASLADO DE COSTOS"/>
    <m/>
    <n v="-39649.999999999898"/>
    <s v="T"/>
    <s v="M"/>
    <s v="1410900101"/>
    <s v="INV. SEMIELABORADO"/>
    <s v="EC01"/>
    <s v="CLINKER001"/>
    <n v="700001"/>
    <x v="5"/>
    <s v="CLINKER"/>
    <m/>
    <m/>
    <s v="CLINKER"/>
    <x v="1"/>
    <x v="1"/>
    <s v="7999999995CLINKER001Clinkerización"/>
    <x v="3"/>
    <x v="0"/>
  </r>
  <r>
    <n v="7355250320"/>
    <s v="RTOS VARIA IMPO"/>
    <n v="0"/>
    <n v="39649.999999999898"/>
    <m/>
    <m/>
    <m/>
    <m/>
    <s v="EC01"/>
    <s v="DUCTOS"/>
    <n v="700001"/>
    <x v="5"/>
    <s v="CLINKER"/>
    <m/>
    <m/>
    <s v="CLINKER"/>
    <x v="1"/>
    <x v="1"/>
    <s v="7355250320DUCTOSClinkerización"/>
    <x v="9"/>
    <x v="0"/>
  </r>
  <r>
    <n v="7355250321"/>
    <s v="RTOS VARIA IMPO"/>
    <n v="7313797.8475837884"/>
    <n v="39649.999999999898"/>
    <m/>
    <m/>
    <m/>
    <m/>
    <s v="EC01"/>
    <s v="ENFRIADOR"/>
    <n v="700001"/>
    <x v="5"/>
    <s v="CLINKER"/>
    <m/>
    <m/>
    <s v="CLINKER"/>
    <x v="1"/>
    <x v="1"/>
    <s v="7355250321ENFRIADORClinkerización"/>
    <x v="10"/>
    <x v="0"/>
  </r>
  <r>
    <n v="7355250322"/>
    <s v="RTOS VARIA IMPO"/>
    <n v="50090308.526864775"/>
    <n v="39649.999999999898"/>
    <m/>
    <m/>
    <m/>
    <m/>
    <s v="EC01"/>
    <s v="PLACAS"/>
    <n v="700001"/>
    <x v="5"/>
    <s v="CLINKER"/>
    <m/>
    <m/>
    <s v="CLINKER"/>
    <x v="1"/>
    <x v="1"/>
    <s v="7355250322PLACASClinkerización"/>
    <x v="11"/>
    <x v="0"/>
  </r>
  <r>
    <n v="7355300105"/>
    <s v=" CTO CONFORMADO"/>
    <n v="142764009.58565697"/>
    <n v="39649.999999999898"/>
    <m/>
    <m/>
    <m/>
    <m/>
    <s v="EC01"/>
    <s v="REFRACTARIOS"/>
    <n v="700001"/>
    <x v="5"/>
    <s v="CLINKER"/>
    <m/>
    <m/>
    <s v="CLINKER"/>
    <x v="1"/>
    <x v="1"/>
    <s v="7355300105REFRACTARIOSClinkerización"/>
    <x v="12"/>
    <x v="0"/>
  </r>
  <r>
    <n v="7355250323"/>
    <s v="RTOS VARIA IMPO"/>
    <n v="0"/>
    <n v="39649.999999999898"/>
    <m/>
    <m/>
    <m/>
    <m/>
    <s v="EC01"/>
    <s v="SELLADO"/>
    <n v="700001"/>
    <x v="5"/>
    <s v="CLINKER"/>
    <m/>
    <m/>
    <s v="CLINKER"/>
    <x v="1"/>
    <x v="1"/>
    <s v="7355250323SELLADOClinkerización"/>
    <x v="13"/>
    <x v="0"/>
  </r>
  <r>
    <n v="7355050105"/>
    <s v="CTO COMBUS LIQ NAC"/>
    <n v="24000000"/>
    <n v="2000"/>
    <m/>
    <s v="M"/>
    <s v="1455050105"/>
    <s v="INV COMBUST LIQ NAC"/>
    <s v="EC01"/>
    <n v="70000000000"/>
    <n v="700001"/>
    <x v="5"/>
    <s v="CLINKER"/>
    <m/>
    <m/>
    <s v="CLINKER"/>
    <x v="1"/>
    <x v="1"/>
    <s v="735505010570000000000Clinkerización"/>
    <x v="14"/>
    <x v="0"/>
  </r>
  <r>
    <n v="7199990001"/>
    <s v="CONSUMOS SEMIELBORAD"/>
    <m/>
    <n v="8468.1916547725796"/>
    <s v="T"/>
    <s v="M"/>
    <s v="1410900101"/>
    <s v="INV. SEMIELABORADO"/>
    <s v="EC01"/>
    <s v="CARBONMOL"/>
    <n v="700001"/>
    <x v="6"/>
    <s v="CARBON MOLIDO"/>
    <m/>
    <m/>
    <s v="CLINKER"/>
    <x v="1"/>
    <x v="1"/>
    <s v="7199990001CARBONMOLClinkerización"/>
    <x v="7"/>
    <x v="0"/>
  </r>
  <r>
    <n v="7199990001"/>
    <s v="CONSUMOS SEMIELBORAD"/>
    <m/>
    <n v="118949.99999999968"/>
    <s v="T"/>
    <s v="M"/>
    <s v="1410900101"/>
    <s v="INV. SEMIELABORADO"/>
    <s v="EC01"/>
    <s v="HARINACRUD"/>
    <n v="700001"/>
    <x v="6"/>
    <s v="HARINA CRUDA"/>
    <m/>
    <m/>
    <s v="CLINKER"/>
    <x v="1"/>
    <x v="1"/>
    <s v="7199990001HARINACRUDClinkerización"/>
    <x v="8"/>
    <x v="0"/>
  </r>
  <r>
    <n v="7999999995"/>
    <s v="TRASLADO DE COSTOS"/>
    <m/>
    <n v="-76249.999999999796"/>
    <s v="T"/>
    <s v="M"/>
    <s v="1410900101"/>
    <s v="INV. SEMIELABORADO"/>
    <s v="EC01"/>
    <s v="CLINKER001"/>
    <n v="700001"/>
    <x v="6"/>
    <s v="CLINKER"/>
    <m/>
    <m/>
    <s v="CLINKER"/>
    <x v="1"/>
    <x v="1"/>
    <s v="7999999995CLINKER001Clinkerización"/>
    <x v="3"/>
    <x v="0"/>
  </r>
  <r>
    <n v="7355250320"/>
    <s v="RTOS VARIA IMPO"/>
    <n v="0"/>
    <n v="76249.999999999796"/>
    <m/>
    <m/>
    <m/>
    <m/>
    <s v="EC01"/>
    <s v="DUCTOS"/>
    <n v="700001"/>
    <x v="6"/>
    <s v="CLINKER"/>
    <m/>
    <m/>
    <s v="CLINKER"/>
    <x v="1"/>
    <x v="1"/>
    <s v="7355250320DUCTOSClinkerización"/>
    <x v="9"/>
    <x v="0"/>
  </r>
  <r>
    <n v="7355250321"/>
    <s v="RTOS VARIA IMPO"/>
    <n v="14064995.860738054"/>
    <n v="76249.999999999796"/>
    <m/>
    <m/>
    <m/>
    <m/>
    <s v="EC01"/>
    <s v="ENFRIADOR"/>
    <n v="700001"/>
    <x v="6"/>
    <s v="CLINKER"/>
    <m/>
    <m/>
    <s v="CLINKER"/>
    <x v="1"/>
    <x v="1"/>
    <s v="7355250321ENFRIADORClinkerización"/>
    <x v="10"/>
    <x v="0"/>
  </r>
  <r>
    <n v="7355250322"/>
    <s v="RTOS VARIA IMPO"/>
    <n v="96327516.397816867"/>
    <n v="76249.999999999796"/>
    <m/>
    <m/>
    <m/>
    <m/>
    <s v="EC01"/>
    <s v="PLACAS"/>
    <n v="700001"/>
    <x v="6"/>
    <s v="CLINKER"/>
    <m/>
    <m/>
    <s v="CLINKER"/>
    <x v="1"/>
    <x v="1"/>
    <s v="7355250322PLACASClinkerización"/>
    <x v="11"/>
    <x v="0"/>
  </r>
  <r>
    <n v="7355300105"/>
    <s v=" CTO CONFORMADO"/>
    <n v="274546172.28010952"/>
    <n v="76249.999999999796"/>
    <m/>
    <m/>
    <m/>
    <m/>
    <s v="EC01"/>
    <s v="REFRACTARIOS"/>
    <n v="700001"/>
    <x v="6"/>
    <s v="CLINKER"/>
    <m/>
    <m/>
    <s v="CLINKER"/>
    <x v="1"/>
    <x v="1"/>
    <s v="7355300105REFRACTARIOSClinkerización"/>
    <x v="12"/>
    <x v="0"/>
  </r>
  <r>
    <n v="7355250323"/>
    <s v="RTOS VARIA IMPO"/>
    <n v="0"/>
    <n v="76249.999999999796"/>
    <m/>
    <m/>
    <m/>
    <m/>
    <s v="EC01"/>
    <s v="SELLADO"/>
    <n v="700001"/>
    <x v="6"/>
    <s v="CLINKER"/>
    <m/>
    <m/>
    <s v="CLINKER"/>
    <x v="1"/>
    <x v="1"/>
    <s v="7355250323SELLADOClinkerización"/>
    <x v="13"/>
    <x v="0"/>
  </r>
  <r>
    <n v="7355050105"/>
    <s v="CTO COMBUS LIQ NAC"/>
    <n v="144000000"/>
    <n v="12000"/>
    <m/>
    <s v="M"/>
    <s v="1455050105"/>
    <s v="INV COMBUST LIQ NAC"/>
    <s v="EC01"/>
    <n v="70000000000"/>
    <n v="700001"/>
    <x v="6"/>
    <s v="CLINKER"/>
    <m/>
    <m/>
    <s v="CLINKER"/>
    <x v="1"/>
    <x v="1"/>
    <s v="735505010570000000000Clinkerización"/>
    <x v="14"/>
    <x v="0"/>
  </r>
  <r>
    <n v="7199990001"/>
    <s v="CONSUMOS SEMIELBORAD"/>
    <m/>
    <n v="10329.150676521722"/>
    <s v="T"/>
    <s v="M"/>
    <s v="1410900101"/>
    <s v="INV. SEMIELABORADO"/>
    <s v="EC01"/>
    <s v="CARBONMOL"/>
    <n v="700001"/>
    <x v="7"/>
    <s v="CARBON MOLIDO"/>
    <m/>
    <m/>
    <s v="CLINKER"/>
    <x v="1"/>
    <x v="1"/>
    <s v="7199990001CARBONMOLClinkerización"/>
    <x v="7"/>
    <x v="0"/>
  </r>
  <r>
    <n v="7199990001"/>
    <s v="CONSUMOS SEMIELBORAD"/>
    <m/>
    <n v="144325.99999999962"/>
    <s v="T"/>
    <s v="M"/>
    <s v="1410900101"/>
    <s v="INV. SEMIELABORADO"/>
    <s v="EC01"/>
    <s v="HARINACRUD"/>
    <n v="700001"/>
    <x v="7"/>
    <s v="HARINA CRUDA"/>
    <m/>
    <m/>
    <s v="CLINKER"/>
    <x v="1"/>
    <x v="1"/>
    <s v="7199990001HARINACRUDClinkerización"/>
    <x v="8"/>
    <x v="0"/>
  </r>
  <r>
    <n v="7999999995"/>
    <s v="TRASLADO DE COSTOS"/>
    <m/>
    <n v="-92516.666666666424"/>
    <s v="T"/>
    <s v="M"/>
    <s v="1410900101"/>
    <s v="INV. SEMIELABORADO"/>
    <s v="EC01"/>
    <s v="CLINKER001"/>
    <n v="700001"/>
    <x v="7"/>
    <s v="CLINKER"/>
    <m/>
    <m/>
    <s v="CLINKER"/>
    <x v="1"/>
    <x v="1"/>
    <s v="7999999995CLINKER001Clinkerización"/>
    <x v="3"/>
    <x v="0"/>
  </r>
  <r>
    <n v="7355250320"/>
    <s v="RTOS VARIA IMPO"/>
    <n v="0"/>
    <n v="92516.666666666424"/>
    <m/>
    <m/>
    <m/>
    <m/>
    <s v="EC01"/>
    <s v="DUCTOS"/>
    <n v="700001"/>
    <x v="7"/>
    <s v="CLINKER"/>
    <m/>
    <m/>
    <s v="CLINKER"/>
    <x v="1"/>
    <x v="1"/>
    <s v="7355250320DUCTOSClinkerización"/>
    <x v="9"/>
    <x v="0"/>
  </r>
  <r>
    <n v="7355250321"/>
    <s v="RTOS VARIA IMPO"/>
    <n v="17065528.311028838"/>
    <n v="92516.666666666424"/>
    <m/>
    <m/>
    <m/>
    <m/>
    <s v="EC01"/>
    <s v="ENFRIADOR"/>
    <n v="700001"/>
    <x v="7"/>
    <s v="CLINKER"/>
    <m/>
    <m/>
    <s v="CLINKER"/>
    <x v="1"/>
    <x v="1"/>
    <s v="7355250321ENFRIADORClinkerización"/>
    <x v="10"/>
    <x v="0"/>
  </r>
  <r>
    <n v="7355250322"/>
    <s v="RTOS VARIA IMPO"/>
    <n v="116877386.56268448"/>
    <n v="92516.666666666424"/>
    <m/>
    <m/>
    <m/>
    <m/>
    <s v="EC01"/>
    <s v="PLACAS"/>
    <n v="700001"/>
    <x v="7"/>
    <s v="CLINKER"/>
    <m/>
    <m/>
    <s v="CLINKER"/>
    <x v="1"/>
    <x v="1"/>
    <s v="7355250322PLACASClinkerización"/>
    <x v="11"/>
    <x v="0"/>
  </r>
  <r>
    <n v="7355300105"/>
    <s v=" CTO CONFORMADO"/>
    <n v="333116022.36653292"/>
    <n v="92516.666666666424"/>
    <m/>
    <m/>
    <m/>
    <m/>
    <s v="EC01"/>
    <s v="REFRACTARIOS"/>
    <n v="700001"/>
    <x v="7"/>
    <s v="CLINKER"/>
    <m/>
    <m/>
    <s v="CLINKER"/>
    <x v="1"/>
    <x v="1"/>
    <s v="7355300105REFRACTARIOSClinkerización"/>
    <x v="12"/>
    <x v="0"/>
  </r>
  <r>
    <n v="7355250323"/>
    <s v="RTOS VARIA IMPO"/>
    <n v="0"/>
    <n v="92516.666666666424"/>
    <m/>
    <m/>
    <m/>
    <m/>
    <s v="EC01"/>
    <s v="SELLADO"/>
    <n v="700001"/>
    <x v="7"/>
    <s v="CLINKER"/>
    <m/>
    <m/>
    <s v="CLINKER"/>
    <x v="1"/>
    <x v="1"/>
    <s v="7355250323SELLADOClinkerización"/>
    <x v="13"/>
    <x v="0"/>
  </r>
  <r>
    <n v="7355050105"/>
    <s v="CTO COMBUS LIQ NAC"/>
    <n v="24000000"/>
    <n v="2000"/>
    <m/>
    <s v="M"/>
    <s v="1455050105"/>
    <s v="INV COMBUST LIQ NAC"/>
    <s v="EC01"/>
    <n v="70000000000"/>
    <n v="700001"/>
    <x v="7"/>
    <s v="CLINKER"/>
    <m/>
    <m/>
    <s v="CLINKER"/>
    <x v="1"/>
    <x v="1"/>
    <s v="735505010570000000000Clinkerización"/>
    <x v="14"/>
    <x v="0"/>
  </r>
  <r>
    <n v="7199990001"/>
    <s v="CONSUMOS SEMIELBORAD"/>
    <m/>
    <n v="7829.8987170825058"/>
    <s v="T"/>
    <s v="M"/>
    <s v="1410900101"/>
    <s v="INV. SEMIELABORADO"/>
    <s v="EC01"/>
    <s v="CARBONMOL"/>
    <n v="700001"/>
    <x v="8"/>
    <s v="CARBON MOLIDO"/>
    <m/>
    <m/>
    <s v="CLINKER"/>
    <x v="1"/>
    <x v="1"/>
    <s v="7199990001CARBONMOLClinkerización"/>
    <x v="7"/>
    <x v="0"/>
  </r>
  <r>
    <n v="7199990001"/>
    <s v="CONSUMOS SEMIELBORAD"/>
    <m/>
    <n v="109433.99999999971"/>
    <s v="T"/>
    <s v="M"/>
    <s v="1410900101"/>
    <s v="INV. SEMIELABORADO"/>
    <s v="EC01"/>
    <s v="HARINACRUD"/>
    <n v="700001"/>
    <x v="8"/>
    <s v="HARINA CRUDA"/>
    <m/>
    <m/>
    <s v="CLINKER"/>
    <x v="1"/>
    <x v="1"/>
    <s v="7199990001HARINACRUDClinkerización"/>
    <x v="8"/>
    <x v="0"/>
  </r>
  <r>
    <n v="7999999995"/>
    <s v="TRASLADO DE COSTOS"/>
    <m/>
    <n v="-70149.999999999811"/>
    <s v="T"/>
    <s v="M"/>
    <s v="1410900101"/>
    <s v="INV. SEMIELABORADO"/>
    <s v="EC01"/>
    <s v="CLINKER001"/>
    <n v="700001"/>
    <x v="8"/>
    <s v="CLINKER"/>
    <m/>
    <m/>
    <s v="CLINKER"/>
    <x v="1"/>
    <x v="1"/>
    <s v="7999999995CLINKER001Clinkerización"/>
    <x v="3"/>
    <x v="0"/>
  </r>
  <r>
    <n v="7355250320"/>
    <s v="RTOS VARIA IMPO"/>
    <n v="0"/>
    <n v="70149.999999999811"/>
    <m/>
    <m/>
    <m/>
    <m/>
    <s v="EC01"/>
    <s v="DUCTOS"/>
    <n v="700001"/>
    <x v="8"/>
    <s v="CLINKER"/>
    <m/>
    <m/>
    <s v="CLINKER"/>
    <x v="1"/>
    <x v="1"/>
    <s v="7355250320DUCTOSClinkerización"/>
    <x v="9"/>
    <x v="0"/>
  </r>
  <r>
    <n v="7355250321"/>
    <s v="RTOS VARIA IMPO"/>
    <n v="12939796.191879008"/>
    <n v="70149.999999999811"/>
    <m/>
    <m/>
    <m/>
    <m/>
    <s v="EC01"/>
    <s v="ENFRIADOR"/>
    <n v="700001"/>
    <x v="8"/>
    <s v="CLINKER"/>
    <m/>
    <m/>
    <s v="CLINKER"/>
    <x v="1"/>
    <x v="1"/>
    <s v="7355250321ENFRIADORClinkerización"/>
    <x v="10"/>
    <x v="0"/>
  </r>
  <r>
    <n v="7355250322"/>
    <s v="RTOS VARIA IMPO"/>
    <n v="88621315.085991517"/>
    <n v="70149.999999999811"/>
    <m/>
    <m/>
    <m/>
    <m/>
    <s v="EC01"/>
    <s v="PLACAS"/>
    <n v="700001"/>
    <x v="8"/>
    <s v="CLINKER"/>
    <m/>
    <m/>
    <s v="CLINKER"/>
    <x v="1"/>
    <x v="1"/>
    <s v="7355250322PLACASClinkerización"/>
    <x v="11"/>
    <x v="0"/>
  </r>
  <r>
    <n v="7355300105"/>
    <s v=" CTO CONFORMADO"/>
    <n v="252582478.49770078"/>
    <n v="70149.999999999811"/>
    <m/>
    <m/>
    <m/>
    <m/>
    <s v="EC01"/>
    <s v="REFRACTARIOS"/>
    <n v="700001"/>
    <x v="8"/>
    <s v="CLINKER"/>
    <m/>
    <m/>
    <s v="CLINKER"/>
    <x v="1"/>
    <x v="1"/>
    <s v="7355300105REFRACTARIOSClinkerización"/>
    <x v="12"/>
    <x v="0"/>
  </r>
  <r>
    <n v="7355250323"/>
    <s v="RTOS VARIA IMPO"/>
    <n v="0"/>
    <n v="70149.999999999811"/>
    <m/>
    <m/>
    <m/>
    <m/>
    <s v="EC01"/>
    <s v="SELLADO"/>
    <n v="700001"/>
    <x v="8"/>
    <s v="CLINKER"/>
    <m/>
    <m/>
    <s v="CLINKER"/>
    <x v="1"/>
    <x v="1"/>
    <s v="7355250323SELLADOClinkerización"/>
    <x v="13"/>
    <x v="0"/>
  </r>
  <r>
    <n v="7355050105"/>
    <s v="CTO COMBUS LIQ NAC"/>
    <n v="24000000"/>
    <n v="2000"/>
    <m/>
    <s v="M"/>
    <s v="1455050105"/>
    <s v="INV COMBUST LIQ NAC"/>
    <s v="EC01"/>
    <n v="70000000000"/>
    <n v="700001"/>
    <x v="8"/>
    <s v="CLINKER"/>
    <m/>
    <m/>
    <s v="CLINKER"/>
    <x v="1"/>
    <x v="1"/>
    <s v="735505010570000000000Clinkerización"/>
    <x v="14"/>
    <x v="0"/>
  </r>
  <r>
    <n v="7199990001"/>
    <s v="CONSUMOS SEMIELBORAD"/>
    <m/>
    <n v="6082.5420571260565"/>
    <s v="T"/>
    <s v="M"/>
    <s v="1410900101"/>
    <s v="INV. SEMIELABORADO"/>
    <s v="EC01"/>
    <s v="CARBONMOL"/>
    <n v="700001"/>
    <x v="9"/>
    <s v="CARBON MOLIDO"/>
    <m/>
    <m/>
    <s v="CLINKER"/>
    <x v="1"/>
    <x v="1"/>
    <s v="7199990001CARBONMOLClinkerización"/>
    <x v="7"/>
    <x v="0"/>
  </r>
  <r>
    <n v="7199990001"/>
    <s v="CONSUMOS SEMIELBORAD"/>
    <m/>
    <n v="85643.999999999782"/>
    <s v="T"/>
    <s v="M"/>
    <s v="1410900101"/>
    <s v="INV. SEMIELABORADO"/>
    <s v="EC01"/>
    <s v="HARINACRUD"/>
    <n v="700001"/>
    <x v="9"/>
    <s v="HARINA CRUDA"/>
    <m/>
    <m/>
    <s v="CLINKER"/>
    <x v="1"/>
    <x v="1"/>
    <s v="7199990001HARINACRUDClinkerización"/>
    <x v="8"/>
    <x v="0"/>
  </r>
  <r>
    <n v="7999999995"/>
    <s v="TRASLADO DE COSTOS"/>
    <m/>
    <n v="-54899.999999999854"/>
    <s v="T"/>
    <s v="M"/>
    <s v="1410900101"/>
    <s v="INV. SEMIELABORADO"/>
    <s v="EC01"/>
    <s v="CLINKER001"/>
    <n v="700001"/>
    <x v="9"/>
    <s v="CLINKER"/>
    <m/>
    <m/>
    <s v="CLINKER"/>
    <x v="1"/>
    <x v="1"/>
    <s v="7999999995CLINKER001Clinkerización"/>
    <x v="3"/>
    <x v="0"/>
  </r>
  <r>
    <n v="7355250320"/>
    <s v="RTOS VARIA IMPO"/>
    <n v="0"/>
    <n v="54899.999999999854"/>
    <m/>
    <m/>
    <m/>
    <m/>
    <s v="EC01"/>
    <s v="DUCTOS"/>
    <n v="700001"/>
    <x v="9"/>
    <s v="CLINKER"/>
    <m/>
    <m/>
    <s v="CLINKER"/>
    <x v="1"/>
    <x v="1"/>
    <s v="7355250320DUCTOSClinkerización"/>
    <x v="9"/>
    <x v="0"/>
  </r>
  <r>
    <n v="7355250321"/>
    <s v="RTOS VARIA IMPO"/>
    <n v="10126797.019731399"/>
    <n v="54899.999999999854"/>
    <m/>
    <m/>
    <m/>
    <m/>
    <s v="EC01"/>
    <s v="ENFRIADOR"/>
    <n v="700001"/>
    <x v="9"/>
    <s v="CLINKER"/>
    <m/>
    <m/>
    <s v="CLINKER"/>
    <x v="1"/>
    <x v="1"/>
    <s v="7355250321ENFRIADORClinkerización"/>
    <x v="10"/>
    <x v="0"/>
  </r>
  <r>
    <n v="7355250322"/>
    <s v="RTOS VARIA IMPO"/>
    <n v="69355811.806428149"/>
    <n v="54899.999999999854"/>
    <m/>
    <m/>
    <m/>
    <m/>
    <s v="EC01"/>
    <s v="PLACAS"/>
    <n v="700001"/>
    <x v="9"/>
    <s v="CLINKER"/>
    <m/>
    <m/>
    <s v="CLINKER"/>
    <x v="1"/>
    <x v="1"/>
    <s v="7355250322PLACASClinkerización"/>
    <x v="11"/>
    <x v="0"/>
  </r>
  <r>
    <n v="7355300105"/>
    <s v=" CTO CONFORMADO"/>
    <n v="197673244.04167888"/>
    <n v="54899.999999999854"/>
    <m/>
    <m/>
    <m/>
    <m/>
    <s v="EC01"/>
    <s v="REFRACTARIOS"/>
    <n v="700001"/>
    <x v="9"/>
    <s v="CLINKER"/>
    <m/>
    <m/>
    <s v="CLINKER"/>
    <x v="1"/>
    <x v="1"/>
    <s v="7355300105REFRACTARIOSClinkerización"/>
    <x v="12"/>
    <x v="0"/>
  </r>
  <r>
    <n v="7355250323"/>
    <s v="RTOS VARIA IMPO"/>
    <n v="0"/>
    <n v="54899.999999999854"/>
    <m/>
    <m/>
    <m/>
    <m/>
    <s v="EC01"/>
    <s v="SELLADO"/>
    <n v="700001"/>
    <x v="9"/>
    <s v="CLINKER"/>
    <m/>
    <m/>
    <s v="CLINKER"/>
    <x v="1"/>
    <x v="1"/>
    <s v="7355250323SELLADOClinkerización"/>
    <x v="13"/>
    <x v="0"/>
  </r>
  <r>
    <n v="7355050105"/>
    <s v="CTO COMBUS LIQ NAC"/>
    <n v="144000000"/>
    <n v="12000"/>
    <m/>
    <s v="M"/>
    <s v="1455050105"/>
    <s v="INV COMBUST LIQ NAC"/>
    <s v="EC01"/>
    <n v="70000000000"/>
    <n v="700001"/>
    <x v="9"/>
    <s v="CLINKER"/>
    <m/>
    <m/>
    <s v="CLINKER"/>
    <x v="1"/>
    <x v="1"/>
    <s v="735505010570000000000Clinkerización"/>
    <x v="14"/>
    <x v="0"/>
  </r>
  <r>
    <n v="7199990001"/>
    <s v="CONSUMOS SEMIELBORAD"/>
    <m/>
    <n v="9988.3435911436482"/>
    <s v="T"/>
    <s v="M"/>
    <s v="1410900101"/>
    <s v="INV. SEMIELABORADO"/>
    <s v="EC01"/>
    <s v="CARBONMOL"/>
    <n v="700001"/>
    <x v="10"/>
    <s v="CARBON MOLIDO"/>
    <m/>
    <m/>
    <s v="CLINKER"/>
    <x v="1"/>
    <x v="1"/>
    <s v="7199990001CARBONMOLClinkerización"/>
    <x v="7"/>
    <x v="0"/>
  </r>
  <r>
    <n v="7199990001"/>
    <s v="CONSUMOS SEMIELBORAD"/>
    <m/>
    <n v="139567.99999999965"/>
    <s v="T"/>
    <s v="M"/>
    <s v="1410900101"/>
    <s v="INV. SEMIELABORADO"/>
    <s v="EC01"/>
    <s v="HARINACRUD"/>
    <n v="700001"/>
    <x v="10"/>
    <s v="HARINA CRUDA"/>
    <m/>
    <m/>
    <s v="CLINKER"/>
    <x v="1"/>
    <x v="1"/>
    <s v="7199990001HARINACRUDClinkerización"/>
    <x v="8"/>
    <x v="0"/>
  </r>
  <r>
    <n v="7999999995"/>
    <s v="TRASLADO DE COSTOS"/>
    <m/>
    <n v="-89466.666666666439"/>
    <s v="T"/>
    <s v="M"/>
    <s v="1410900101"/>
    <s v="INV. SEMIELABORADO"/>
    <s v="EC01"/>
    <s v="CLINKER001"/>
    <n v="700001"/>
    <x v="10"/>
    <s v="CLINKER"/>
    <m/>
    <m/>
    <s v="CLINKER"/>
    <x v="1"/>
    <x v="1"/>
    <s v="7999999995CLINKER001Clinkerización"/>
    <x v="3"/>
    <x v="0"/>
  </r>
  <r>
    <n v="7355250320"/>
    <s v="RTOS VARIA IMPO"/>
    <n v="0"/>
    <n v="89466.666666666439"/>
    <m/>
    <m/>
    <m/>
    <m/>
    <s v="EC01"/>
    <s v="DUCTOS"/>
    <n v="700001"/>
    <x v="10"/>
    <s v="CLINKER"/>
    <m/>
    <m/>
    <s v="CLINKER"/>
    <x v="1"/>
    <x v="1"/>
    <s v="7355250320DUCTOSClinkerización"/>
    <x v="9"/>
    <x v="0"/>
  </r>
  <r>
    <n v="7355250321"/>
    <s v="RTOS VARIA IMPO"/>
    <n v="16502928.476599319"/>
    <n v="89466.666666666439"/>
    <m/>
    <m/>
    <m/>
    <m/>
    <s v="EC01"/>
    <s v="ENFRIADOR"/>
    <n v="700001"/>
    <x v="10"/>
    <s v="CLINKER"/>
    <m/>
    <m/>
    <s v="CLINKER"/>
    <x v="1"/>
    <x v="1"/>
    <s v="7355250321ENFRIADORClinkerización"/>
    <x v="10"/>
    <x v="0"/>
  </r>
  <r>
    <n v="7355250322"/>
    <s v="RTOS VARIA IMPO"/>
    <n v="113024285.90677181"/>
    <n v="89466.666666666439"/>
    <m/>
    <m/>
    <m/>
    <m/>
    <s v="EC01"/>
    <s v="PLACAS"/>
    <n v="700001"/>
    <x v="10"/>
    <s v="CLINKER"/>
    <m/>
    <m/>
    <s v="CLINKER"/>
    <x v="1"/>
    <x v="1"/>
    <s v="7355250322PLACASClinkerización"/>
    <x v="11"/>
    <x v="0"/>
  </r>
  <r>
    <n v="7355300105"/>
    <s v=" CTO CONFORMADO"/>
    <n v="322134175.47532856"/>
    <n v="89466.666666666439"/>
    <m/>
    <m/>
    <m/>
    <m/>
    <s v="EC01"/>
    <s v="REFRACTARIOS"/>
    <n v="700001"/>
    <x v="10"/>
    <s v="CLINKER"/>
    <m/>
    <m/>
    <s v="CLINKER"/>
    <x v="1"/>
    <x v="1"/>
    <s v="7355300105REFRACTARIOSClinkerización"/>
    <x v="12"/>
    <x v="0"/>
  </r>
  <r>
    <n v="7355250323"/>
    <s v="RTOS VARIA IMPO"/>
    <n v="0"/>
    <n v="89466.666666666439"/>
    <m/>
    <m/>
    <m/>
    <m/>
    <s v="EC01"/>
    <s v="SELLADO"/>
    <n v="700001"/>
    <x v="10"/>
    <s v="CLINKER"/>
    <m/>
    <m/>
    <s v="CLINKER"/>
    <x v="1"/>
    <x v="1"/>
    <s v="7355250323SELLADOClinkerización"/>
    <x v="13"/>
    <x v="0"/>
  </r>
  <r>
    <n v="7355050105"/>
    <s v="CTO COMBUS LIQ NAC"/>
    <n v="24000000"/>
    <n v="2000"/>
    <m/>
    <s v="M"/>
    <s v="1455050105"/>
    <s v="INV COMBUST LIQ NAC"/>
    <s v="EC01"/>
    <n v="70000000000"/>
    <n v="700001"/>
    <x v="10"/>
    <s v="CLINKER"/>
    <m/>
    <m/>
    <s v="CLINKER"/>
    <x v="1"/>
    <x v="1"/>
    <s v="735505010570000000000Clinkerización"/>
    <x v="14"/>
    <x v="0"/>
  </r>
  <r>
    <n v="7199990001"/>
    <s v="CONSUMOS SEMIELBORAD"/>
    <m/>
    <n v="6254.8920440171096"/>
    <s v="T"/>
    <s v="M"/>
    <s v="1410900101"/>
    <s v="INV. SEMIELABORADO"/>
    <s v="EC01"/>
    <s v="CARBONMOL"/>
    <n v="700001"/>
    <x v="11"/>
    <s v="CARBON MOLIDO"/>
    <m/>
    <m/>
    <s v="CLINKER"/>
    <x v="1"/>
    <x v="1"/>
    <s v="7199990001CARBONMOLClinkerización"/>
    <x v="7"/>
    <x v="0"/>
  </r>
  <r>
    <n v="7199990001"/>
    <s v="CONSUMOS SEMIELBORAD"/>
    <m/>
    <n v="88050.174263418987"/>
    <s v="T"/>
    <s v="M"/>
    <s v="1410900101"/>
    <s v="INV. SEMIELABORADO"/>
    <s v="EC01"/>
    <s v="HARINACRUD"/>
    <n v="700001"/>
    <x v="11"/>
    <s v="HARINA CRUDA"/>
    <m/>
    <m/>
    <s v="CLINKER"/>
    <x v="1"/>
    <x v="1"/>
    <s v="7199990001HARINACRUDClinkerización"/>
    <x v="8"/>
    <x v="0"/>
  </r>
  <r>
    <n v="7999999995"/>
    <s v="TRASLADO DE COSTOS"/>
    <m/>
    <n v="-56442.419399627557"/>
    <s v="T"/>
    <s v="M"/>
    <s v="1410900101"/>
    <s v="INV. SEMIELABORADO"/>
    <s v="EC01"/>
    <s v="CLINKER001"/>
    <n v="700001"/>
    <x v="11"/>
    <s v="CLINKER"/>
    <m/>
    <m/>
    <s v="CLINKER"/>
    <x v="1"/>
    <x v="1"/>
    <s v="7999999995CLINKER001Clinkerización"/>
    <x v="3"/>
    <x v="0"/>
  </r>
  <r>
    <n v="7355250320"/>
    <s v="RTOS VARIA IMPO"/>
    <n v="0"/>
    <n v="56442.419399627557"/>
    <m/>
    <m/>
    <m/>
    <m/>
    <s v="EC01"/>
    <s v="DUCTOS"/>
    <n v="700001"/>
    <x v="11"/>
    <s v="CLINKER"/>
    <m/>
    <m/>
    <s v="CLINKER"/>
    <x v="1"/>
    <x v="1"/>
    <s v="7355250320DUCTOSClinkerización"/>
    <x v="9"/>
    <x v="0"/>
  </r>
  <r>
    <n v="7355250321"/>
    <s v="RTOS VARIA IMPO"/>
    <n v="10411310.101322033"/>
    <n v="56442.419399627557"/>
    <m/>
    <m/>
    <m/>
    <m/>
    <s v="EC01"/>
    <s v="ENFRIADOR"/>
    <n v="700001"/>
    <x v="11"/>
    <s v="CLINKER"/>
    <m/>
    <m/>
    <s v="CLINKER"/>
    <x v="1"/>
    <x v="1"/>
    <s v="7355250321ENFRIADORClinkerización"/>
    <x v="10"/>
    <x v="0"/>
  </r>
  <r>
    <n v="7355250322"/>
    <s v="RTOS VARIA IMPO"/>
    <n v="71304368.265575022"/>
    <n v="56442.419399627557"/>
    <m/>
    <m/>
    <m/>
    <m/>
    <s v="EC01"/>
    <s v="PLACAS"/>
    <n v="700001"/>
    <x v="11"/>
    <s v="CLINKER"/>
    <m/>
    <m/>
    <s v="CLINKER"/>
    <x v="1"/>
    <x v="1"/>
    <s v="7355250322PLACASClinkerización"/>
    <x v="11"/>
    <x v="0"/>
  </r>
  <r>
    <n v="7355300105"/>
    <s v=" CTO CONFORMADO"/>
    <n v="203226887.87405095"/>
    <n v="56442.419399627557"/>
    <m/>
    <m/>
    <m/>
    <m/>
    <s v="EC01"/>
    <s v="REFRACTARIOS"/>
    <n v="700001"/>
    <x v="11"/>
    <s v="CLINKER"/>
    <m/>
    <m/>
    <s v="CLINKER"/>
    <x v="1"/>
    <x v="1"/>
    <s v="7355300105REFRACTARIOSClinkerización"/>
    <x v="12"/>
    <x v="0"/>
  </r>
  <r>
    <n v="7355250323"/>
    <s v="RTOS VARIA IMPO"/>
    <n v="0"/>
    <n v="56442.419399627557"/>
    <m/>
    <m/>
    <m/>
    <m/>
    <s v="EC01"/>
    <s v="SELLADO"/>
    <n v="700001"/>
    <x v="11"/>
    <s v="CLINKER"/>
    <m/>
    <m/>
    <s v="CLINKER"/>
    <x v="1"/>
    <x v="1"/>
    <s v="7355250323SELLADOClinkerización"/>
    <x v="13"/>
    <x v="0"/>
  </r>
  <r>
    <n v="7355050105"/>
    <s v="CTO COMBUS LIQ NAC"/>
    <n v="144000000"/>
    <n v="12000"/>
    <m/>
    <s v="M"/>
    <s v="1455050105"/>
    <s v="INV COMBUST LIQ NAC"/>
    <s v="EC01"/>
    <n v="70000000000"/>
    <n v="700001"/>
    <x v="11"/>
    <s v="CLINKER"/>
    <m/>
    <m/>
    <s v="CLINKER"/>
    <x v="1"/>
    <x v="1"/>
    <s v="735505010570000000000Clinkerización"/>
    <x v="14"/>
    <x v="0"/>
  </r>
  <r>
    <n v="7355050103"/>
    <s v="CTO COMBUS SOL NAC"/>
    <n v="3000566596.1759367"/>
    <n v="7840.6200926181727"/>
    <s v="T"/>
    <s v="M"/>
    <s v="1455050103"/>
    <s v="INV COMBUST SOL NAC"/>
    <s v="EC01"/>
    <s v="CARBITUMI"/>
    <n v="700002"/>
    <x v="0"/>
    <s v="CARBON BITUMINOSO"/>
    <m/>
    <m/>
    <s v="CARBON MOLIDO"/>
    <x v="2"/>
    <x v="2"/>
    <s v="7355050103CARBITUMIMolienda de Carbón"/>
    <x v="15"/>
    <x v="0"/>
  </r>
  <r>
    <n v="7355050103"/>
    <s v="CTO COMBUS SOL NAC"/>
    <n v="294534988.19907492"/>
    <n v="1960.1550231545432"/>
    <s v="T"/>
    <s v="M"/>
    <s v="1455050103"/>
    <s v="INV COMBUST SOL NAC"/>
    <s v="EC01"/>
    <s v="CARMIXTO"/>
    <n v="700002"/>
    <x v="0"/>
    <s v="MIXTOS CARBON"/>
    <m/>
    <m/>
    <s v="CARBON MOLIDO"/>
    <x v="2"/>
    <x v="2"/>
    <s v="7355050103CARMIXTOMolienda de Carbón"/>
    <x v="15"/>
    <x v="0"/>
  </r>
  <r>
    <n v="7355050103"/>
    <s v="CTO COMBUS SOL NAC"/>
    <m/>
    <n v="-1578.8742818877511"/>
    <s v="T"/>
    <s v="M"/>
    <s v="1455050103"/>
    <s v="INV COMBUST SOL NAC"/>
    <s v="EC01"/>
    <s v="COMBUSTIBLES ALTERNOS"/>
    <n v="700120"/>
    <x v="0"/>
    <s v="COMBUSTIBLES ALTERNOS"/>
    <m/>
    <m/>
    <s v="COMBUSTIBLES ALTERNOS"/>
    <x v="3"/>
    <x v="3"/>
    <s v="7355050103COMBUSTIBLES ALTERNOSCOMBUSTIBLES ALTERNOS"/>
    <x v="16"/>
    <x v="0"/>
  </r>
  <r>
    <n v="7999999995"/>
    <s v="TRASLADO DE COSTOS"/>
    <m/>
    <n v="-9193.1270585948077"/>
    <s v="T"/>
    <s v="M"/>
    <s v="1410900101"/>
    <s v="INV. SEMIELABORADO"/>
    <s v="EC01"/>
    <s v="CARBONMOL"/>
    <n v="700002"/>
    <x v="0"/>
    <s v="CARBON MOLIDO"/>
    <m/>
    <m/>
    <s v="CARBON MOLIDO"/>
    <x v="2"/>
    <x v="2"/>
    <s v="7999999995CARBONMOLMolienda de Carbón"/>
    <x v="3"/>
    <x v="0"/>
  </r>
  <r>
    <n v="7355250320"/>
    <s v="RTOS VARIA IMPO"/>
    <n v="34832565.391809188"/>
    <n v="9193.1270585948077"/>
    <m/>
    <m/>
    <m/>
    <m/>
    <s v="EC01"/>
    <s v="CUERPOS MOLEDORES Y LAMINAS"/>
    <n v="700002"/>
    <x v="0"/>
    <s v="CARBON MOLIDO"/>
    <m/>
    <m/>
    <s v="CARBON MOLIDO"/>
    <x v="2"/>
    <x v="2"/>
    <s v="7355250320CUERPOS MOLEDORES Y LAMINASMolienda de Carbón"/>
    <x v="17"/>
    <x v="0"/>
  </r>
  <r>
    <n v="7355050103"/>
    <s v="CTO COMBUS SOL NAC"/>
    <n v="3037421419.4913402"/>
    <n v="7937.5091005437089"/>
    <s v="T"/>
    <s v="M"/>
    <s v="1455050103"/>
    <s v="INV COMBUST SOL NAC"/>
    <s v="EC01"/>
    <s v="CARBITUMI"/>
    <n v="700002"/>
    <x v="1"/>
    <s v="CARBON BITUMINOSO"/>
    <m/>
    <m/>
    <s v="CARBON MOLIDO"/>
    <x v="2"/>
    <x v="2"/>
    <s v="7355050103CARBITUMIMolienda de Carbón"/>
    <x v="15"/>
    <x v="0"/>
  </r>
  <r>
    <n v="7355050103"/>
    <s v="CTO COMBUS SOL NAC"/>
    <n v="298118619.25678742"/>
    <n v="1984.3772751359272"/>
    <s v="T"/>
    <s v="M"/>
    <s v="1455050103"/>
    <s v="INV COMBUST SOL NAC"/>
    <s v="EC01"/>
    <s v="CARMIXTO"/>
    <n v="700002"/>
    <x v="1"/>
    <s v="MIXTOS CARBON"/>
    <m/>
    <m/>
    <s v="CARBON MOLIDO"/>
    <x v="2"/>
    <x v="2"/>
    <s v="7355050103CARMIXTOMolienda de Carbón"/>
    <x v="15"/>
    <x v="0"/>
  </r>
  <r>
    <n v="7355050103"/>
    <s v="CTO COMBUS SOL NAC"/>
    <m/>
    <n v="-1598.366556972785"/>
    <s v="T"/>
    <s v="M"/>
    <s v="1455050103"/>
    <s v="INV COMBUST SOL NAC"/>
    <s v="EC01"/>
    <s v="COMBUSTIBLES ALTERNOS"/>
    <n v="700120"/>
    <x v="1"/>
    <s v="COMBUSTIBLES ALTERNOS"/>
    <m/>
    <m/>
    <s v="COMBUSTIBLES ALTERNOS"/>
    <x v="3"/>
    <x v="3"/>
    <s v="7355050103COMBUSTIBLES ALTERNOSCOMBUSTIBLES ALTERNOS"/>
    <x v="16"/>
    <x v="0"/>
  </r>
  <r>
    <n v="7999999995"/>
    <s v="TRASLADO DE COSTOS"/>
    <m/>
    <n v="-9306.729420387499"/>
    <s v="T"/>
    <s v="M"/>
    <s v="1410900101"/>
    <s v="INV. SEMIELABORADO"/>
    <s v="EC01"/>
    <s v="CARBONMOL"/>
    <n v="700002"/>
    <x v="1"/>
    <s v="CARBON MOLIDO"/>
    <m/>
    <m/>
    <s v="CARBON MOLIDO"/>
    <x v="2"/>
    <x v="2"/>
    <s v="7999999995CARBONMOLMolienda de Carbón"/>
    <x v="3"/>
    <x v="0"/>
  </r>
  <r>
    <n v="7355250320"/>
    <s v="RTOS VARIA IMPO"/>
    <n v="35263002.355269663"/>
    <n v="9306.729420387499"/>
    <m/>
    <m/>
    <m/>
    <m/>
    <s v="EC01"/>
    <s v="CUERPOS MOLEDORES Y LAMINAS"/>
    <n v="700002"/>
    <x v="1"/>
    <s v="CARBON MOLIDO"/>
    <m/>
    <m/>
    <s v="CARBON MOLIDO"/>
    <x v="2"/>
    <x v="2"/>
    <s v="7355250320CUERPOS MOLEDORES Y LAMINASMolienda de Carbón"/>
    <x v="17"/>
    <x v="0"/>
  </r>
  <r>
    <n v="7355050103"/>
    <s v="CTO COMBUS SOL NAC"/>
    <n v="2111460626.6014671"/>
    <n v="5515.2839024052946"/>
    <s v="T"/>
    <s v="M"/>
    <s v="1455050103"/>
    <s v="INV COMBUST SOL NAC"/>
    <s v="EC01"/>
    <s v="CARBITUMI"/>
    <n v="700002"/>
    <x v="2"/>
    <s v="CARBON BITUMINOSO"/>
    <m/>
    <m/>
    <s v="CARBON MOLIDO"/>
    <x v="2"/>
    <x v="2"/>
    <s v="7355050103CARBITUMIMolienda de Carbón"/>
    <x v="15"/>
    <x v="0"/>
  </r>
  <r>
    <n v="7355050103"/>
    <s v="CTO COMBUS SOL NAC"/>
    <n v="207380290.31277695"/>
    <n v="1378.8209756013237"/>
    <s v="T"/>
    <s v="M"/>
    <s v="1455050103"/>
    <s v="INV COMBUST SOL NAC"/>
    <s v="EC01"/>
    <s v="CARMIXTO"/>
    <n v="700002"/>
    <x v="2"/>
    <s v="MIXTOS CARBON"/>
    <m/>
    <m/>
    <s v="CARBON MOLIDO"/>
    <x v="2"/>
    <x v="2"/>
    <s v="7355050103CARMIXTOMolienda de Carbón"/>
    <x v="15"/>
    <x v="0"/>
  </r>
  <r>
    <n v="7355050103"/>
    <s v="CTO COMBUS SOL NAC"/>
    <m/>
    <n v="-1111.059679846936"/>
    <s v="T"/>
    <s v="M"/>
    <s v="1455050103"/>
    <s v="INV COMBUST SOL NAC"/>
    <s v="EC01"/>
    <s v="COMBUSTIBLES ALTERNOS"/>
    <n v="700120"/>
    <x v="2"/>
    <s v="COMBUSTIBLES ALTERNOS"/>
    <m/>
    <m/>
    <s v="COMBUSTIBLES ALTERNOS"/>
    <x v="3"/>
    <x v="3"/>
    <s v="7355050103COMBUSTIBLES ALTERNOSCOMBUSTIBLES ALTERNOS"/>
    <x v="16"/>
    <x v="0"/>
  </r>
  <r>
    <n v="7999999995"/>
    <s v="TRASLADO DE COSTOS"/>
    <m/>
    <n v="-6466.6703755702074"/>
    <s v="T"/>
    <s v="M"/>
    <s v="1410900101"/>
    <s v="INV. SEMIELABORADO"/>
    <s v="EC01"/>
    <s v="CARBONMOL"/>
    <n v="700002"/>
    <x v="2"/>
    <s v="CARBON MOLIDO"/>
    <m/>
    <m/>
    <s v="CARBON MOLIDO"/>
    <x v="2"/>
    <x v="2"/>
    <s v="7999999995CARBONMOLMolienda de Carbón"/>
    <x v="3"/>
    <x v="0"/>
  </r>
  <r>
    <n v="7355250320"/>
    <s v="RTOS VARIA IMPO"/>
    <n v="24502078.268757734"/>
    <n v="6466.6703755702074"/>
    <m/>
    <m/>
    <m/>
    <m/>
    <s v="EC01"/>
    <s v="CUERPOS MOLEDORES Y LAMINAS"/>
    <n v="700002"/>
    <x v="2"/>
    <s v="CARBON MOLIDO"/>
    <m/>
    <m/>
    <s v="CARBON MOLIDO"/>
    <x v="2"/>
    <x v="2"/>
    <s v="7355250320CUERPOS MOLEDORES Y LAMINASMolienda de Carbón"/>
    <x v="17"/>
    <x v="0"/>
  </r>
  <r>
    <n v="7355050103"/>
    <s v="CTO COMBUS SOL NAC"/>
    <n v="2208635712.6891856"/>
    <n v="5769.0031794304532"/>
    <s v="T"/>
    <s v="M"/>
    <s v="1455050103"/>
    <s v="INV COMBUST SOL NAC"/>
    <s v="EC01"/>
    <s v="CARBITUMI"/>
    <n v="700002"/>
    <x v="3"/>
    <s v="CARBON BITUMINOSO"/>
    <m/>
    <m/>
    <s v="CARBON MOLIDO"/>
    <x v="2"/>
    <x v="2"/>
    <s v="7355050103CARBITUMIMolienda de Carbón"/>
    <x v="15"/>
    <x v="0"/>
  </r>
  <r>
    <n v="7355050103"/>
    <s v="CTO COMBUS SOL NAC"/>
    <n v="216930815.60775965"/>
    <n v="1442.2507948576133"/>
    <s v="T"/>
    <s v="M"/>
    <s v="1455050103"/>
    <s v="INV COMBUST SOL NAC"/>
    <s v="EC01"/>
    <s v="CARMIXTO"/>
    <n v="700002"/>
    <x v="3"/>
    <s v="MIXTOS CARBON"/>
    <m/>
    <m/>
    <s v="CARBON MOLIDO"/>
    <x v="2"/>
    <x v="2"/>
    <s v="7355050103CARMIXTOMolienda de Carbón"/>
    <x v="15"/>
    <x v="0"/>
  </r>
  <r>
    <n v="7355050103"/>
    <s v="CTO COMBUS SOL NAC"/>
    <m/>
    <n v="-1169.5365051020378"/>
    <s v="T"/>
    <s v="M"/>
    <s v="1455050103"/>
    <s v="INV COMBUST SOL NAC"/>
    <s v="EC01"/>
    <s v="COMBUSTIBLES ALTERNOS"/>
    <n v="700120"/>
    <x v="3"/>
    <s v="COMBUSTIBLES ALTERNOS"/>
    <m/>
    <m/>
    <s v="COMBUSTIBLES ALTERNOS"/>
    <x v="3"/>
    <x v="3"/>
    <s v="7355050103COMBUSTIBLES ALTERNOSCOMBUSTIBLES ALTERNOS"/>
    <x v="16"/>
    <x v="0"/>
  </r>
  <r>
    <n v="7999999995"/>
    <s v="TRASLADO DE COSTOS"/>
    <m/>
    <n v="-6764.1562278822057"/>
    <s v="T"/>
    <s v="M"/>
    <s v="1410900101"/>
    <s v="INV. SEMIELABORADO"/>
    <s v="EC01"/>
    <s v="CARBONMOL"/>
    <n v="700002"/>
    <x v="3"/>
    <s v="CARBON MOLIDO"/>
    <m/>
    <m/>
    <s v="CARBON MOLIDO"/>
    <x v="2"/>
    <x v="2"/>
    <s v="7999999995CARBONMOLMolienda de Carbón"/>
    <x v="3"/>
    <x v="0"/>
  </r>
  <r>
    <n v="7355250320"/>
    <s v="RTOS VARIA IMPO"/>
    <n v="25629245.916691847"/>
    <n v="6764.1562278822057"/>
    <m/>
    <m/>
    <m/>
    <m/>
    <s v="EC01"/>
    <s v="CUERPOS MOLEDORES Y LAMINAS"/>
    <n v="700002"/>
    <x v="3"/>
    <s v="CARBON MOLIDO"/>
    <m/>
    <m/>
    <s v="CARBON MOLIDO"/>
    <x v="2"/>
    <x v="2"/>
    <s v="7355250320CUERPOS MOLEDORES Y LAMINASMolienda de Carbón"/>
    <x v="17"/>
    <x v="0"/>
  </r>
  <r>
    <n v="7355050103"/>
    <s v="CTO COMBUS SOL NAC"/>
    <n v="3370700327.3812213"/>
    <n v="8809.5101718735368"/>
    <s v="T"/>
    <s v="M"/>
    <s v="1455050103"/>
    <s v="INV COMBUST SOL NAC"/>
    <s v="EC01"/>
    <s v="CARBITUMI"/>
    <n v="700002"/>
    <x v="4"/>
    <s v="CARBON BITUMINOSO"/>
    <m/>
    <m/>
    <s v="CARBON MOLIDO"/>
    <x v="2"/>
    <x v="2"/>
    <s v="7355050103CARBITUMIMolienda de Carbón"/>
    <x v="15"/>
    <x v="0"/>
  </r>
  <r>
    <n v="7355050103"/>
    <s v="CTO COMBUS SOL NAC"/>
    <n v="330767673.28901327"/>
    <n v="2202.3775429683847"/>
    <s v="T"/>
    <s v="M"/>
    <s v="1455050103"/>
    <s v="INV COMBUST SOL NAC"/>
    <s v="EC01"/>
    <s v="CARMIXTO"/>
    <n v="700002"/>
    <x v="4"/>
    <s v="MIXTOS CARBON"/>
    <m/>
    <m/>
    <s v="CARBON MOLIDO"/>
    <x v="2"/>
    <x v="2"/>
    <s v="7355050103CARMIXTOMolienda de Carbón"/>
    <x v="15"/>
    <x v="0"/>
  </r>
  <r>
    <n v="7355050103"/>
    <s v="CTO COMBUS SOL NAC"/>
    <m/>
    <n v="-1773.7970327380904"/>
    <s v="T"/>
    <s v="M"/>
    <s v="1455050103"/>
    <s v="INV COMBUST SOL NAC"/>
    <s v="EC01"/>
    <s v="COMBUSTIBLES ALTERNOS"/>
    <n v="700120"/>
    <x v="4"/>
    <s v="COMBUSTIBLES ALTERNOS"/>
    <m/>
    <m/>
    <s v="COMBUSTIBLES ALTERNOS"/>
    <x v="3"/>
    <x v="3"/>
    <s v="7355050103COMBUSTIBLES ALTERNOSCOMBUSTIBLES ALTERNOS"/>
    <x v="16"/>
    <x v="0"/>
  </r>
  <r>
    <n v="7999999995"/>
    <s v="TRASLADO DE COSTOS"/>
    <m/>
    <n v="-10329.150676521722"/>
    <s v="T"/>
    <s v="M"/>
    <s v="1410900101"/>
    <s v="INV. SEMIELABORADO"/>
    <s v="EC01"/>
    <s v="CARBONMOL"/>
    <n v="700002"/>
    <x v="4"/>
    <s v="CARBON MOLIDO"/>
    <m/>
    <m/>
    <s v="CARBON MOLIDO"/>
    <x v="2"/>
    <x v="2"/>
    <s v="7999999995CARBONMOLMolienda de Carbón"/>
    <x v="3"/>
    <x v="0"/>
  </r>
  <r>
    <n v="7355250320"/>
    <s v="RTOS VARIA IMPO"/>
    <n v="39136935.026413955"/>
    <n v="10329.150676521722"/>
    <m/>
    <m/>
    <m/>
    <m/>
    <s v="EC01"/>
    <s v="CUERPOS MOLEDORES Y LAMINAS"/>
    <n v="700002"/>
    <x v="4"/>
    <s v="CARBON MOLIDO"/>
    <m/>
    <m/>
    <s v="CARBON MOLIDO"/>
    <x v="2"/>
    <x v="2"/>
    <s v="7355250320CUERPOS MOLEDORES Y LAMINASMolienda de Carbón"/>
    <x v="17"/>
    <x v="0"/>
  </r>
  <r>
    <n v="7355050103"/>
    <s v="CTO COMBUS SOL NAC"/>
    <n v="1444846509.2290578"/>
    <n v="3771.2817597456365"/>
    <s v="T"/>
    <s v="M"/>
    <s v="1455050103"/>
    <s v="INV COMBUST SOL NAC"/>
    <s v="EC01"/>
    <s v="CARBITUMI"/>
    <n v="700002"/>
    <x v="5"/>
    <s v="CARBON BITUMINOSO"/>
    <m/>
    <m/>
    <s v="CARBON MOLIDO"/>
    <x v="2"/>
    <x v="2"/>
    <s v="7355050103CARBITUMIMolienda de Carbón"/>
    <x v="15"/>
    <x v="0"/>
  </r>
  <r>
    <n v="7355050103"/>
    <s v="CTO COMBUS SOL NAC"/>
    <n v="142068106.85016412"/>
    <n v="942.82043993640912"/>
    <s v="T"/>
    <s v="M"/>
    <s v="1455050103"/>
    <s v="INV COMBUST SOL NAC"/>
    <s v="EC01"/>
    <s v="CARMIXTO"/>
    <n v="700002"/>
    <x v="5"/>
    <s v="MIXTOS CARBON"/>
    <m/>
    <m/>
    <s v="CARBON MOLIDO"/>
    <x v="2"/>
    <x v="2"/>
    <s v="7355050103CARMIXTOMolienda de Carbón"/>
    <x v="15"/>
    <x v="0"/>
  </r>
  <r>
    <n v="7355050103"/>
    <s v="CTO COMBUS SOL NAC"/>
    <m/>
    <n v="-760.1987283163246"/>
    <s v="T"/>
    <s v="M"/>
    <s v="1455050103"/>
    <s v="INV COMBUST SOL NAC"/>
    <s v="EC01"/>
    <s v="COMBUSTIBLES ALTERNOS"/>
    <n v="700120"/>
    <x v="5"/>
    <s v="COMBUSTIBLES ALTERNOS"/>
    <m/>
    <m/>
    <s v="COMBUSTIBLES ALTERNOS"/>
    <x v="3"/>
    <x v="3"/>
    <s v="7355050103COMBUSTIBLES ALTERNOSCOMBUSTIBLES ALTERNOS"/>
    <x v="16"/>
    <x v="0"/>
  </r>
  <r>
    <n v="7999999995"/>
    <s v="TRASLADO DE COSTOS"/>
    <m/>
    <n v="-4421.827863301759"/>
    <s v="T"/>
    <s v="M"/>
    <s v="1410900101"/>
    <s v="INV. SEMIELABORADO"/>
    <s v="EC01"/>
    <s v="CARBONMOL"/>
    <n v="700002"/>
    <x v="5"/>
    <s v="CARBON MOLIDO"/>
    <m/>
    <m/>
    <s v="CARBON MOLIDO"/>
    <x v="2"/>
    <x v="2"/>
    <s v="7999999995CARBONMOLMolienda de Carbón"/>
    <x v="3"/>
    <x v="0"/>
  </r>
  <r>
    <n v="7355250320"/>
    <s v="RTOS VARIA IMPO"/>
    <n v="16754212.926469147"/>
    <n v="4421.827863301759"/>
    <m/>
    <m/>
    <m/>
    <m/>
    <s v="EC01"/>
    <s v="CUERPOS MOLEDORES Y LAMINAS"/>
    <n v="700002"/>
    <x v="5"/>
    <s v="CARBON MOLIDO"/>
    <m/>
    <m/>
    <s v="CARBON MOLIDO"/>
    <x v="2"/>
    <x v="2"/>
    <s v="7355250320CUERPOS MOLEDORES Y LAMINASMolienda de Carbón"/>
    <x v="17"/>
    <x v="0"/>
  </r>
  <r>
    <n v="7355050103"/>
    <s v="CTO COMBUS SOL NAC"/>
    <n v="2763821228.5262771"/>
    <n v="7222.3382983135007"/>
    <s v="T"/>
    <s v="M"/>
    <s v="1455050103"/>
    <s v="INV COMBUST SOL NAC"/>
    <s v="EC01"/>
    <s v="CARBITUMI"/>
    <n v="700002"/>
    <x v="6"/>
    <s v="CARBON BITUMINOSO"/>
    <m/>
    <m/>
    <s v="CARBON MOLIDO"/>
    <x v="2"/>
    <x v="2"/>
    <s v="7355050103CARBITUMIMolienda de Carbón"/>
    <x v="15"/>
    <x v="0"/>
  </r>
  <r>
    <n v="7355050103"/>
    <s v="CTO COMBUS SOL NAC"/>
    <n v="271276072.99995792"/>
    <n v="1805.5845745783747"/>
    <s v="T"/>
    <s v="M"/>
    <s v="1455050103"/>
    <s v="INV COMBUST SOL NAC"/>
    <s v="EC01"/>
    <s v="CARMIXTO"/>
    <n v="700002"/>
    <x v="6"/>
    <s v="MIXTOS CARBON"/>
    <m/>
    <m/>
    <s v="CARBON MOLIDO"/>
    <x v="2"/>
    <x v="2"/>
    <s v="7355050103CARMIXTOMolienda de Carbón"/>
    <x v="15"/>
    <x v="0"/>
  </r>
  <r>
    <n v="7355050103"/>
    <s v="CTO COMBUS SOL NAC"/>
    <m/>
    <n v="-1461.9206313775471"/>
    <s v="T"/>
    <s v="M"/>
    <s v="1455050103"/>
    <s v="INV COMBUST SOL NAC"/>
    <s v="EC01"/>
    <s v="COMBUSTIBLES ALTERNOS"/>
    <n v="700120"/>
    <x v="6"/>
    <s v="COMBUSTIBLES ALTERNOS"/>
    <m/>
    <m/>
    <s v="COMBUSTIBLES ALTERNOS"/>
    <x v="3"/>
    <x v="3"/>
    <s v="7355050103COMBUSTIBLES ALTERNOSCOMBUSTIBLES ALTERNOS"/>
    <x v="16"/>
    <x v="0"/>
  </r>
  <r>
    <n v="7999999995"/>
    <s v="TRASLADO DE COSTOS"/>
    <m/>
    <n v="-8468.1916547725796"/>
    <s v="T"/>
    <s v="M"/>
    <s v="1410900101"/>
    <s v="INV. SEMIELABORADO"/>
    <s v="EC01"/>
    <s v="CARBONMOL"/>
    <n v="700002"/>
    <x v="6"/>
    <s v="CARBON MOLIDO"/>
    <m/>
    <m/>
    <s v="CARBON MOLIDO"/>
    <x v="2"/>
    <x v="2"/>
    <s v="7999999995CARBONMOLMolienda de Carbón"/>
    <x v="3"/>
    <x v="0"/>
  </r>
  <r>
    <n v="7355250320"/>
    <s v="RTOS VARIA IMPO"/>
    <n v="32085800.368599001"/>
    <n v="8468.1916547725796"/>
    <m/>
    <m/>
    <m/>
    <m/>
    <s v="EC01"/>
    <s v="CUERPOS MOLEDORES Y LAMINAS"/>
    <n v="700002"/>
    <x v="6"/>
    <s v="CARBON MOLIDO"/>
    <m/>
    <m/>
    <s v="CARBON MOLIDO"/>
    <x v="2"/>
    <x v="2"/>
    <s v="7355250320CUERPOS MOLEDORES Y LAMINASMolienda de Carbón"/>
    <x v="17"/>
    <x v="0"/>
  </r>
  <r>
    <n v="7355050103"/>
    <s v="CTO COMBUS SOL NAC"/>
    <n v="3370574208.2467237"/>
    <n v="8809.5101718735368"/>
    <s v="T"/>
    <s v="M"/>
    <s v="1455050103"/>
    <s v="INV COMBUST SOL NAC"/>
    <s v="EC01"/>
    <s v="CARBITUMI"/>
    <n v="700002"/>
    <x v="7"/>
    <s v="CARBON BITUMINOSO"/>
    <m/>
    <m/>
    <s v="CARBON MOLIDO"/>
    <x v="2"/>
    <x v="2"/>
    <s v="7355050103CARBITUMIMolienda de Carbón"/>
    <x v="15"/>
    <x v="0"/>
  </r>
  <r>
    <n v="7355050103"/>
    <s v="CTO COMBUS SOL NAC"/>
    <n v="330736143.5053888"/>
    <n v="2202.3775429683847"/>
    <s v="T"/>
    <s v="M"/>
    <s v="1455050103"/>
    <s v="INV COMBUST SOL NAC"/>
    <s v="EC01"/>
    <s v="CARMIXTO"/>
    <n v="700002"/>
    <x v="7"/>
    <s v="MIXTOS CARBON"/>
    <m/>
    <m/>
    <s v="CARBON MOLIDO"/>
    <x v="2"/>
    <x v="2"/>
    <s v="7355050103CARMIXTOMolienda de Carbón"/>
    <x v="15"/>
    <x v="0"/>
  </r>
  <r>
    <n v="7355050103"/>
    <s v="CTO COMBUS SOL NAC"/>
    <m/>
    <n v="-1773.7970327380904"/>
    <s v="T"/>
    <s v="M"/>
    <s v="1455050103"/>
    <s v="INV COMBUST SOL NAC"/>
    <s v="EC01"/>
    <s v="COMBUSTIBLES ALTERNOS"/>
    <n v="700120"/>
    <x v="7"/>
    <s v="COMBUSTIBLES ALTERNOS"/>
    <m/>
    <m/>
    <s v="COMBUSTIBLES ALTERNOS"/>
    <x v="3"/>
    <x v="3"/>
    <s v="7355050103COMBUSTIBLES ALTERNOSCOMBUSTIBLES ALTERNOS"/>
    <x v="16"/>
    <x v="0"/>
  </r>
  <r>
    <n v="7999999995"/>
    <s v="TRASLADO DE COSTOS"/>
    <m/>
    <n v="-10329.150676521722"/>
    <s v="T"/>
    <s v="M"/>
    <s v="1410900101"/>
    <s v="INV. SEMIELABORADO"/>
    <s v="EC01"/>
    <s v="CARBONMOL"/>
    <n v="700002"/>
    <x v="7"/>
    <s v="CARBON MOLIDO"/>
    <m/>
    <m/>
    <s v="CARBON MOLIDO"/>
    <x v="2"/>
    <x v="2"/>
    <s v="7999999995CARBONMOLMolienda de Carbón"/>
    <x v="3"/>
    <x v="0"/>
  </r>
  <r>
    <n v="7355250320"/>
    <s v="RTOS VARIA IMPO"/>
    <n v="39136935.026413955"/>
    <n v="10329.150676521722"/>
    <m/>
    <m/>
    <m/>
    <m/>
    <s v="EC01"/>
    <s v="CUERPOS MOLEDORES Y LAMINAS"/>
    <n v="700002"/>
    <x v="7"/>
    <s v="CARBON MOLIDO"/>
    <m/>
    <m/>
    <s v="CARBON MOLIDO"/>
    <x v="2"/>
    <x v="2"/>
    <s v="7355250320CUERPOS MOLEDORES Y LAMINASMolienda de Carbón"/>
    <x v="17"/>
    <x v="0"/>
  </r>
  <r>
    <n v="7355050103"/>
    <s v="CTO COMBUS SOL NAC"/>
    <n v="2555841066.4574065"/>
    <n v="6677.9519975117319"/>
    <s v="T"/>
    <s v="M"/>
    <s v="1455050103"/>
    <s v="INV COMBUST SOL NAC"/>
    <s v="EC01"/>
    <s v="CARBITUMI"/>
    <n v="700002"/>
    <x v="8"/>
    <s v="CARBON BITUMINOSO"/>
    <m/>
    <m/>
    <s v="CARBON MOLIDO"/>
    <x v="2"/>
    <x v="2"/>
    <s v="7355050103CARBITUMIMolienda de Carbón"/>
    <x v="15"/>
    <x v="0"/>
  </r>
  <r>
    <n v="7355050103"/>
    <s v="CTO COMBUS SOL NAC"/>
    <n v="250914503.02310228"/>
    <n v="1669.487999377933"/>
    <s v="T"/>
    <s v="M"/>
    <s v="1455050103"/>
    <s v="INV COMBUST SOL NAC"/>
    <s v="EC01"/>
    <s v="CARMIXTO"/>
    <n v="700002"/>
    <x v="8"/>
    <s v="MIXTOS CARBON"/>
    <m/>
    <m/>
    <s v="CARBON MOLIDO"/>
    <x v="2"/>
    <x v="2"/>
    <s v="7355050103CARMIXTOMolienda de Carbón"/>
    <x v="15"/>
    <x v="0"/>
  </r>
  <r>
    <n v="7355050103"/>
    <s v="CTO COMBUS SOL NAC"/>
    <m/>
    <n v="-1344.9669808673436"/>
    <s v="T"/>
    <s v="M"/>
    <s v="1455050103"/>
    <s v="INV COMBUST SOL NAC"/>
    <s v="EC01"/>
    <s v="COMBUSTIBLES ALTERNOS"/>
    <n v="700120"/>
    <x v="8"/>
    <s v="COMBUSTIBLES ALTERNOS"/>
    <m/>
    <m/>
    <s v="COMBUSTIBLES ALTERNOS"/>
    <x v="3"/>
    <x v="3"/>
    <s v="7355050103COMBUSTIBLES ALTERNOSCOMBUSTIBLES ALTERNOS"/>
    <x v="16"/>
    <x v="0"/>
  </r>
  <r>
    <n v="7999999995"/>
    <s v="TRASLADO DE COSTOS"/>
    <m/>
    <n v="-7829.8987170825058"/>
    <s v="T"/>
    <s v="M"/>
    <s v="1410900101"/>
    <s v="INV. SEMIELABORADO"/>
    <s v="EC01"/>
    <s v="CARBONMOL"/>
    <n v="700002"/>
    <x v="8"/>
    <s v="CARBON MOLIDO"/>
    <m/>
    <m/>
    <s v="CARBON MOLIDO"/>
    <x v="2"/>
    <x v="2"/>
    <s v="7999999995CARBONMOLMolienda de Carbón"/>
    <x v="3"/>
    <x v="0"/>
  </r>
  <r>
    <n v="7355250320"/>
    <s v="RTOS VARIA IMPO"/>
    <n v="29667321.830283456"/>
    <n v="7829.8987170825058"/>
    <m/>
    <m/>
    <m/>
    <m/>
    <s v="EC01"/>
    <s v="CUERPOS MOLEDORES Y LAMINAS"/>
    <n v="700002"/>
    <x v="8"/>
    <s v="CARBON MOLIDO"/>
    <m/>
    <m/>
    <s v="CARBON MOLIDO"/>
    <x v="2"/>
    <x v="2"/>
    <s v="7355250320CUERPOS MOLEDORES Y LAMINASMolienda de Carbón"/>
    <x v="17"/>
    <x v="0"/>
  </r>
  <r>
    <n v="7355050103"/>
    <s v="CTO COMBUS SOL NAC"/>
    <n v="1986111686.8768263"/>
    <n v="5187.6691318772337"/>
    <s v="T"/>
    <s v="M"/>
    <s v="1455050103"/>
    <s v="INV COMBUST SOL NAC"/>
    <s v="EC01"/>
    <s v="CARBITUMI"/>
    <n v="700002"/>
    <x v="9"/>
    <s v="CARBON BITUMINOSO"/>
    <m/>
    <m/>
    <s v="CARBON MOLIDO"/>
    <x v="2"/>
    <x v="2"/>
    <s v="7355050103CARBITUMIMolienda de Carbón"/>
    <x v="15"/>
    <x v="0"/>
  </r>
  <r>
    <n v="7355050103"/>
    <s v="CTO COMBUS SOL NAC"/>
    <n v="195080257.78149953"/>
    <n v="1296.9172829693082"/>
    <s v="T"/>
    <s v="M"/>
    <s v="1455050103"/>
    <s v="INV COMBUST SOL NAC"/>
    <s v="EC01"/>
    <s v="CARMIXTO"/>
    <n v="700002"/>
    <x v="9"/>
    <s v="MIXTOS CARBON"/>
    <m/>
    <m/>
    <s v="CARBON MOLIDO"/>
    <x v="2"/>
    <x v="2"/>
    <s v="7355050103CARMIXTOMolienda de Carbón"/>
    <x v="15"/>
    <x v="0"/>
  </r>
  <r>
    <n v="7355050103"/>
    <s v="CTO COMBUS SOL NAC"/>
    <m/>
    <n v="-1052.5828545918339"/>
    <s v="T"/>
    <s v="M"/>
    <s v="1455050103"/>
    <s v="INV COMBUST SOL NAC"/>
    <s v="EC01"/>
    <s v="COMBUSTIBLES ALTERNOS"/>
    <n v="700120"/>
    <x v="9"/>
    <s v="COMBUSTIBLES ALTERNOS"/>
    <m/>
    <m/>
    <s v="COMBUSTIBLES ALTERNOS"/>
    <x v="3"/>
    <x v="3"/>
    <s v="7355050103COMBUSTIBLES ALTERNOSCOMBUSTIBLES ALTERNOS"/>
    <x v="16"/>
    <x v="0"/>
  </r>
  <r>
    <n v="7999999995"/>
    <s v="TRASLADO DE COSTOS"/>
    <m/>
    <n v="-6082.5420571260565"/>
    <s v="T"/>
    <s v="M"/>
    <s v="1410900101"/>
    <s v="INV. SEMIELABORADO"/>
    <s v="EC01"/>
    <s v="CARBONMOL"/>
    <n v="700002"/>
    <x v="9"/>
    <s v="CARBON MOLIDO"/>
    <m/>
    <m/>
    <s v="CARBON MOLIDO"/>
    <x v="2"/>
    <x v="2"/>
    <s v="7999999995CARBONMOLMolienda de Carbón"/>
    <x v="3"/>
    <x v="0"/>
  </r>
  <r>
    <n v="7355250320"/>
    <s v="RTOS VARIA IMPO"/>
    <n v="23046624.135928988"/>
    <n v="6082.5420571260565"/>
    <m/>
    <m/>
    <m/>
    <m/>
    <s v="EC01"/>
    <s v="CUERPOS MOLEDORES Y LAMINAS"/>
    <n v="700002"/>
    <x v="9"/>
    <s v="CARBON MOLIDO"/>
    <m/>
    <m/>
    <s v="CARBON MOLIDO"/>
    <x v="2"/>
    <x v="2"/>
    <s v="7355250320CUERPOS MOLEDORES Y LAMINASMolienda de Carbón"/>
    <x v="17"/>
    <x v="0"/>
  </r>
  <r>
    <n v="7355050103"/>
    <s v="CTO COMBUS SOL NAC"/>
    <n v="3259506837.9193497"/>
    <n v="8518.8431480969284"/>
    <s v="T"/>
    <s v="M"/>
    <s v="1455050103"/>
    <s v="INV COMBUST SOL NAC"/>
    <s v="EC01"/>
    <s v="CARBITUMI"/>
    <n v="700002"/>
    <x v="10"/>
    <s v="CARBON BITUMINOSO"/>
    <m/>
    <m/>
    <s v="CARBON MOLIDO"/>
    <x v="2"/>
    <x v="2"/>
    <s v="7355050103CARBITUMIMolienda de Carbón"/>
    <x v="15"/>
    <x v="0"/>
  </r>
  <r>
    <n v="7355050103"/>
    <s v="CTO COMBUS SOL NAC"/>
    <n v="319859525.23695993"/>
    <n v="2129.7107870242321"/>
    <s v="T"/>
    <s v="M"/>
    <s v="1455050103"/>
    <s v="INV COMBUST SOL NAC"/>
    <s v="EC01"/>
    <s v="CARMIXTO"/>
    <n v="700002"/>
    <x v="10"/>
    <s v="MIXTOS CARBON"/>
    <m/>
    <m/>
    <s v="CARBON MOLIDO"/>
    <x v="2"/>
    <x v="2"/>
    <s v="7355050103CARMIXTOMolienda de Carbón"/>
    <x v="15"/>
    <x v="0"/>
  </r>
  <r>
    <n v="7355050103"/>
    <s v="CTO COMBUS SOL NAC"/>
    <m/>
    <n v="-1715.320207482989"/>
    <s v="T"/>
    <s v="M"/>
    <s v="1455050103"/>
    <s v="INV COMBUST SOL NAC"/>
    <s v="EC01"/>
    <s v="COMBUSTIBLES ALTERNOS"/>
    <n v="700120"/>
    <x v="10"/>
    <s v="COMBUSTIBLES ALTERNOS"/>
    <m/>
    <m/>
    <s v="COMBUSTIBLES ALTERNOS"/>
    <x v="3"/>
    <x v="3"/>
    <s v="7355050103COMBUSTIBLES ALTERNOSCOMBUSTIBLES ALTERNOS"/>
    <x v="16"/>
    <x v="0"/>
  </r>
  <r>
    <n v="7999999995"/>
    <s v="TRASLADO DE COSTOS"/>
    <m/>
    <n v="-9988.3435911436482"/>
    <s v="T"/>
    <s v="M"/>
    <s v="1410900101"/>
    <s v="INV. SEMIELABORADO"/>
    <s v="EC01"/>
    <s v="CARBONMOL"/>
    <n v="700002"/>
    <x v="10"/>
    <s v="CARBON MOLIDO"/>
    <m/>
    <m/>
    <s v="CARBON MOLIDO"/>
    <x v="2"/>
    <x v="2"/>
    <s v="7999999995CARBONMOLMolienda de Carbón"/>
    <x v="3"/>
    <x v="0"/>
  </r>
  <r>
    <n v="7355250320"/>
    <s v="RTOS VARIA IMPO"/>
    <n v="37845624.136032522"/>
    <n v="9988.3435911436482"/>
    <m/>
    <m/>
    <m/>
    <m/>
    <s v="EC01"/>
    <s v="CUERPOS MOLEDORES Y LAMINAS"/>
    <n v="700002"/>
    <x v="10"/>
    <s v="CARBON MOLIDO"/>
    <m/>
    <m/>
    <s v="CARBON MOLIDO"/>
    <x v="2"/>
    <x v="2"/>
    <s v="7355250320CUERPOS MOLEDORES Y LAMINASMolienda de Carbón"/>
    <x v="17"/>
    <x v="0"/>
  </r>
  <r>
    <n v="7355050103"/>
    <s v="CTO COMBUS SOL NAC"/>
    <n v="2042494666.0119939"/>
    <n v="5334.6627241084097"/>
    <s v="T"/>
    <s v="M"/>
    <s v="1455050103"/>
    <s v="INV COMBUST SOL NAC"/>
    <s v="EC01"/>
    <s v="CARBITUMI"/>
    <n v="700002"/>
    <x v="11"/>
    <s v="CARBON BITUMINOSO"/>
    <m/>
    <m/>
    <s v="CARBON MOLIDO"/>
    <x v="2"/>
    <x v="2"/>
    <s v="7355050103CARBITUMIMolienda de Carbón"/>
    <x v="15"/>
    <x v="0"/>
  </r>
  <r>
    <n v="7355050103"/>
    <s v="CTO COMBUS SOL NAC"/>
    <n v="200634425.63248023"/>
    <n v="1333.6656810271024"/>
    <s v="T"/>
    <s v="M"/>
    <s v="1455050103"/>
    <s v="INV COMBUST SOL NAC"/>
    <s v="EC01"/>
    <s v="CARMIXTO"/>
    <n v="700002"/>
    <x v="11"/>
    <s v="MIXTOS CARBON"/>
    <m/>
    <m/>
    <s v="CARBON MOLIDO"/>
    <x v="2"/>
    <x v="2"/>
    <s v="7355050103CARMIXTOMolienda de Carbón"/>
    <x v="15"/>
    <x v="0"/>
  </r>
  <r>
    <n v="7355050103"/>
    <s v="CTO COMBUS SOL NAC"/>
    <m/>
    <n v="-1082.1552446580988"/>
    <s v="T"/>
    <s v="M"/>
    <s v="1455050103"/>
    <s v="INV COMBUST SOL NAC"/>
    <s v="EC01"/>
    <s v="COMBUSTIBLES ALTERNOS"/>
    <n v="700120"/>
    <x v="11"/>
    <s v="COMBUSTIBLES ALTERNOS"/>
    <m/>
    <m/>
    <s v="COMBUSTIBLES ALTERNOS"/>
    <x v="3"/>
    <x v="3"/>
    <s v="7355050103COMBUSTIBLES ALTERNOSCOMBUSTIBLES ALTERNOS"/>
    <x v="16"/>
    <x v="0"/>
  </r>
  <r>
    <n v="7999999995"/>
    <s v="TRASLADO DE COSTOS"/>
    <m/>
    <n v="-6254.8920440171096"/>
    <s v="T"/>
    <s v="M"/>
    <s v="1410900101"/>
    <s v="INV. SEMIELABORADO"/>
    <s v="EC01"/>
    <s v="CARBONMOL"/>
    <n v="700002"/>
    <x v="11"/>
    <s v="CARBON MOLIDO"/>
    <m/>
    <m/>
    <s v="CARBON MOLIDO"/>
    <x v="2"/>
    <x v="2"/>
    <s v="7999999995CARBONMOLMolienda de Carbón"/>
    <x v="3"/>
    <x v="0"/>
  </r>
  <r>
    <n v="7355250320"/>
    <s v="RTOS VARIA IMPO"/>
    <n v="23699654.617330566"/>
    <n v="6254.8920440171096"/>
    <m/>
    <m/>
    <m/>
    <m/>
    <s v="EC01"/>
    <s v="CUERPOS MOLEDORES Y LAMINAS"/>
    <n v="700002"/>
    <x v="11"/>
    <s v="CARBON MOLIDO"/>
    <m/>
    <m/>
    <s v="CARBON MOLIDO"/>
    <x v="2"/>
    <x v="2"/>
    <s v="7355250320CUERPOS MOLEDORES Y LAMINASMolienda de Carbón"/>
    <x v="17"/>
    <x v="0"/>
  </r>
  <r>
    <n v="7105330101"/>
    <s v="CTO. MP CALIZAS NAL"/>
    <n v="0"/>
    <n v="0"/>
    <s v="T"/>
    <s v="M"/>
    <s v="1405330101"/>
    <s v="INV.  CALIZAS NAL"/>
    <s v="EC01"/>
    <s v="SALMAR"/>
    <n v="700003"/>
    <x v="0"/>
    <s v="SAL MARINA"/>
    <m/>
    <m/>
    <s v="CEMENTO UG"/>
    <x v="4"/>
    <x v="4"/>
    <s v="7105330101SALMARCemento UG"/>
    <x v="18"/>
    <x v="0"/>
  </r>
  <r>
    <n v="7105330101"/>
    <s v="CTO. MP CALIZAS NAL"/>
    <m/>
    <n v="24717.490209557713"/>
    <s v="T"/>
    <s v="M"/>
    <s v="1405330101"/>
    <s v="INV.  CALIZAS NAL"/>
    <s v="EC01"/>
    <s v="CALIZATRI"/>
    <n v="700003"/>
    <x v="0"/>
    <s v="CALIZA TRITURADA"/>
    <m/>
    <m/>
    <s v="CEMENTO UG"/>
    <x v="4"/>
    <x v="4"/>
    <s v="7105330101CALIZATRICemento UG"/>
    <x v="19"/>
    <x v="0"/>
  </r>
  <r>
    <n v="7105450101"/>
    <s v="CTO. MP YES/ESCA NAL"/>
    <n v="608305442.77179873"/>
    <n v="2615.6985752470464"/>
    <s v="T"/>
    <s v="M"/>
    <s v="1405450101"/>
    <s v="INV.  YES/ESCA NAL"/>
    <s v="EC01"/>
    <s v="YESO00001"/>
    <n v="700003"/>
    <x v="0"/>
    <s v="YESO"/>
    <m/>
    <m/>
    <s v="CEMENTO UG"/>
    <x v="4"/>
    <x v="4"/>
    <s v="7105450101YESO00001Cemento UG"/>
    <x v="20"/>
    <x v="0"/>
  </r>
  <r>
    <n v="7105400101"/>
    <s v="CTO.MP COMPUESTO NAL"/>
    <n v="140092544.93823633"/>
    <n v="31.865576280886078"/>
    <s v="T"/>
    <s v="M"/>
    <s v="1405330101"/>
    <s v="INV.  CALIZAS NAL"/>
    <s v="EC01"/>
    <s v="ADIMOLIEN"/>
    <n v="700003"/>
    <x v="0"/>
    <s v="ADITIVO DE MOLIENDA"/>
    <m/>
    <m/>
    <s v="CEMENTO UG"/>
    <x v="4"/>
    <x v="4"/>
    <s v="7105400101ADIMOLIENCemento UG"/>
    <x v="21"/>
    <x v="0"/>
  </r>
  <r>
    <n v="7105400101"/>
    <s v="CTO.MP COMPUESTO NAL"/>
    <n v="200779165.63424346"/>
    <n v="1911.9345768531648"/>
    <s v="T"/>
    <s v="M"/>
    <s v="1405330101"/>
    <s v="INV.  CALIZAS NAL"/>
    <s v="EC01"/>
    <s v="PUZOLANA"/>
    <n v="700003"/>
    <x v="0"/>
    <s v="PUZOLANA"/>
    <m/>
    <m/>
    <s v="CEMENTO UG"/>
    <x v="4"/>
    <x v="4"/>
    <s v="7105400101PUZOLANACemento UG"/>
    <x v="22"/>
    <x v="0"/>
  </r>
  <r>
    <n v="7105400101"/>
    <s v="CTO.MP COMPUESTO NAL"/>
    <m/>
    <n v="1921.4942497374302"/>
    <s v="T"/>
    <s v="M"/>
    <s v="1405330101"/>
    <s v="INV.  CALIZAS NAL"/>
    <s v="EC01"/>
    <s v="CRUDO"/>
    <n v="700003"/>
    <x v="0"/>
    <s v="HARINA CRUDA"/>
    <m/>
    <m/>
    <s v="CEMENTO UG"/>
    <x v="4"/>
    <x v="4"/>
    <s v="7105400101CRUDOCemento UG"/>
    <x v="23"/>
    <x v="0"/>
  </r>
  <r>
    <n v="7199990001"/>
    <s v="CONSUMOS SEMIELBORAD"/>
    <m/>
    <n v="33140.19933212152"/>
    <s v="T"/>
    <s v="M"/>
    <s v="1410900101"/>
    <s v="INV. SEMIELABORADO"/>
    <s v="EC01"/>
    <s v="CLINKER001"/>
    <n v="700003"/>
    <x v="0"/>
    <s v="CLINKER"/>
    <m/>
    <m/>
    <s v="CEMENTO UG"/>
    <x v="4"/>
    <x v="4"/>
    <s v="7199990001CLINKER001Cemento UG"/>
    <x v="24"/>
    <x v="0"/>
  </r>
  <r>
    <n v="7999999995"/>
    <s v="TRASLADO DE COSTOS"/>
    <m/>
    <n v="-63731.152561772156"/>
    <s v="T"/>
    <s v="M"/>
    <s v="1410900101"/>
    <s v="INV. SEMIELABORADO"/>
    <s v="EC01"/>
    <s v="CEMENTOUG1"/>
    <n v="700003"/>
    <x v="0"/>
    <s v="CEMENTO UG"/>
    <m/>
    <m/>
    <s v="CEMENTO UG"/>
    <x v="4"/>
    <x v="4"/>
    <s v="7999999995CEMENTOUG1Cemento UG"/>
    <x v="3"/>
    <x v="0"/>
  </r>
  <r>
    <n v="7355250320"/>
    <s v="RTOS VARIA IMPO"/>
    <n v="98122838.722862527"/>
    <n v="63731.152561772156"/>
    <m/>
    <m/>
    <m/>
    <m/>
    <s v="EC01"/>
    <s v="PLACAS Y SEGMENTOS"/>
    <n v="700003"/>
    <x v="0"/>
    <s v="CEMENTO UG"/>
    <m/>
    <m/>
    <s v="CEMENTO UG"/>
    <x v="4"/>
    <x v="4"/>
    <s v="7355250320PLACAS Y SEGMENTOSCemento UG"/>
    <x v="25"/>
    <x v="0"/>
  </r>
  <r>
    <n v="7105330101"/>
    <s v="CTO. MP CALIZAS NAL"/>
    <n v="0"/>
    <n v="0"/>
    <s v="T"/>
    <s v="M"/>
    <s v="1405330101"/>
    <s v="INV.  CALIZAS NAL"/>
    <s v="EC01"/>
    <s v="SALMAR"/>
    <n v="700003"/>
    <x v="1"/>
    <s v="SAL MARINA"/>
    <m/>
    <m/>
    <s v="CEMENTO UG"/>
    <x v="4"/>
    <x v="4"/>
    <s v="7105330101SALMARCemento UG"/>
    <x v="18"/>
    <x v="0"/>
  </r>
  <r>
    <n v="7105330101"/>
    <s v="CTO. MP CALIZAS NAL"/>
    <m/>
    <n v="25774.54595169457"/>
    <s v="T"/>
    <s v="M"/>
    <s v="1405330101"/>
    <s v="INV.  CALIZAS NAL"/>
    <s v="EC01"/>
    <s v="CALIZATRI"/>
    <n v="700003"/>
    <x v="1"/>
    <s v="CALIZA TRITURADA"/>
    <m/>
    <m/>
    <s v="CEMENTO UG"/>
    <x v="4"/>
    <x v="4"/>
    <s v="7105330101CALIZATRICemento UG"/>
    <x v="19"/>
    <x v="0"/>
  </r>
  <r>
    <n v="7105450101"/>
    <s v="CTO. MP YES/ESCA NAL"/>
    <n v="634242912.33843863"/>
    <n v="2727.5602236273071"/>
    <s v="T"/>
    <s v="M"/>
    <s v="1405450101"/>
    <s v="INV.  YES/ESCA NAL"/>
    <s v="EC01"/>
    <s v="YESO00001"/>
    <n v="700003"/>
    <x v="1"/>
    <s v="YESO"/>
    <m/>
    <m/>
    <s v="CEMENTO UG"/>
    <x v="4"/>
    <x v="4"/>
    <s v="7105450101YESO00001Cemento UG"/>
    <x v="20"/>
    <x v="0"/>
  </r>
  <r>
    <n v="7105400101"/>
    <s v="CTO.MP COMPUESTO NAL"/>
    <n v="146083672.1846534"/>
    <n v="33.228323473203602"/>
    <s v="T"/>
    <s v="M"/>
    <s v="1405330101"/>
    <s v="INV.  CALIZAS NAL"/>
    <s v="EC01"/>
    <s v="ADIMOLIEN"/>
    <n v="700003"/>
    <x v="1"/>
    <s v="ADITIVO DE MOLIENDA"/>
    <m/>
    <m/>
    <s v="CEMENTO UG"/>
    <x v="4"/>
    <x v="4"/>
    <s v="7105400101ADIMOLIENCemento UG"/>
    <x v="21"/>
    <x v="0"/>
  </r>
  <r>
    <n v="7105400101"/>
    <s v="CTO.MP COMPUESTO NAL"/>
    <n v="209309292.72435129"/>
    <n v="1993.6994083922159"/>
    <s v="T"/>
    <s v="M"/>
    <s v="1405330101"/>
    <s v="INV.  CALIZAS NAL"/>
    <s v="EC01"/>
    <s v="PUZOLANA"/>
    <n v="700003"/>
    <x v="1"/>
    <s v="PUZOLANA"/>
    <m/>
    <m/>
    <s v="CEMENTO UG"/>
    <x v="4"/>
    <x v="4"/>
    <s v="7105400101PUZOLANACemento UG"/>
    <x v="22"/>
    <x v="0"/>
  </r>
  <r>
    <n v="7105400101"/>
    <s v="CTO.MP COMPUESTO NAL"/>
    <m/>
    <n v="2003.6679054341769"/>
    <s v="T"/>
    <s v="M"/>
    <s v="1405330101"/>
    <s v="INV.  CALIZAS NAL"/>
    <s v="EC01"/>
    <s v="CRUDO"/>
    <n v="700003"/>
    <x v="1"/>
    <s v="HARINA CRUDA"/>
    <m/>
    <m/>
    <s v="CEMENTO UG"/>
    <x v="4"/>
    <x v="4"/>
    <s v="7105400101CRUDOCemento UG"/>
    <x v="23"/>
    <x v="0"/>
  </r>
  <r>
    <n v="7199990001"/>
    <s v="CONSUMOS SEMIELBORAD"/>
    <m/>
    <n v="34557.456412131745"/>
    <s v="T"/>
    <s v="M"/>
    <s v="1410900101"/>
    <s v="INV. SEMIELABORADO"/>
    <s v="EC01"/>
    <s v="CLINKER001"/>
    <n v="700003"/>
    <x v="1"/>
    <s v="CLINKER"/>
    <m/>
    <m/>
    <s v="CEMENTO UG"/>
    <x v="4"/>
    <x v="4"/>
    <s v="7199990001CLINKER001Cemento UG"/>
    <x v="24"/>
    <x v="0"/>
  </r>
  <r>
    <n v="7999999995"/>
    <s v="TRASLADO DE COSTOS"/>
    <m/>
    <n v="-66456.6469464072"/>
    <s v="T"/>
    <s v="M"/>
    <s v="1410900101"/>
    <s v="INV. SEMIELABORADO"/>
    <s v="EC01"/>
    <s v="CEMENTOUG1"/>
    <n v="700003"/>
    <x v="1"/>
    <s v="CEMENTO UG"/>
    <m/>
    <m/>
    <s v="CEMENTO UG"/>
    <x v="4"/>
    <x v="4"/>
    <s v="7999999995CEMENTOUG1Cemento UG"/>
    <x v="3"/>
    <x v="0"/>
  </r>
  <r>
    <n v="7355250320"/>
    <s v="RTOS VARIA IMPO"/>
    <n v="102319110.64316711"/>
    <n v="66456.6469464072"/>
    <m/>
    <m/>
    <m/>
    <m/>
    <s v="EC01"/>
    <s v="PLACAS Y SEGMENTOS"/>
    <n v="700003"/>
    <x v="1"/>
    <s v="CEMENTO UG"/>
    <m/>
    <m/>
    <s v="CEMENTO UG"/>
    <x v="4"/>
    <x v="4"/>
    <s v="7355250320PLACAS Y SEGMENTOSCemento UG"/>
    <x v="25"/>
    <x v="0"/>
  </r>
  <r>
    <n v="7105330101"/>
    <s v="CTO. MP CALIZAS NAL"/>
    <n v="0"/>
    <n v="0"/>
    <s v="T"/>
    <s v="M"/>
    <s v="1405330101"/>
    <s v="INV.  CALIZAS NAL"/>
    <s v="EC01"/>
    <s v="SALMAR"/>
    <n v="700003"/>
    <x v="2"/>
    <s v="SAL MARINA"/>
    <m/>
    <m/>
    <s v="CEMENTO UG"/>
    <x v="4"/>
    <x v="4"/>
    <s v="7105330101SALMARCemento UG"/>
    <x v="18"/>
    <x v="0"/>
  </r>
  <r>
    <n v="7105330101"/>
    <s v="CTO. MP CALIZAS NAL"/>
    <m/>
    <n v="27695.598711079485"/>
    <s v="T"/>
    <s v="M"/>
    <s v="1405330101"/>
    <s v="INV.  CALIZAS NAL"/>
    <s v="EC01"/>
    <s v="CALIZATRI"/>
    <n v="700003"/>
    <x v="2"/>
    <s v="CALIZA TRITURADA"/>
    <m/>
    <m/>
    <s v="CEMENTO UG"/>
    <x v="4"/>
    <x v="4"/>
    <s v="7105330101CALIZATRICemento UG"/>
    <x v="19"/>
    <x v="0"/>
  </r>
  <r>
    <n v="7105450101"/>
    <s v="CTO. MP YES/ESCA NAL"/>
    <n v="682016782.3969425"/>
    <n v="2930.8533137871855"/>
    <s v="T"/>
    <s v="M"/>
    <s v="1405450101"/>
    <s v="INV.  YES/ESCA NAL"/>
    <s v="EC01"/>
    <s v="YESO00001"/>
    <n v="700003"/>
    <x v="2"/>
    <s v="YESO"/>
    <m/>
    <m/>
    <s v="CEMENTO UG"/>
    <x v="4"/>
    <x v="4"/>
    <s v="7105450101YESO00001Cemento UG"/>
    <x v="20"/>
    <x v="0"/>
  </r>
  <r>
    <n v="7105400101"/>
    <s v="CTO.MP COMPUESTO NAL"/>
    <n v="156971718.16914374"/>
    <n v="35.704928206321533"/>
    <s v="T"/>
    <s v="M"/>
    <s v="1405330101"/>
    <s v="INV.  CALIZAS NAL"/>
    <s v="EC01"/>
    <s v="ADIMOLIEN"/>
    <n v="700003"/>
    <x v="2"/>
    <s v="ADITIVO DE MOLIENDA"/>
    <m/>
    <m/>
    <s v="CEMENTO UG"/>
    <x v="4"/>
    <x v="4"/>
    <s v="7105400101ADIMOLIENCemento UG"/>
    <x v="21"/>
    <x v="0"/>
  </r>
  <r>
    <n v="7105400101"/>
    <s v="CTO.MP COMPUESTO NAL"/>
    <n v="225276577.0004091"/>
    <n v="2142.2956923792917"/>
    <s v="T"/>
    <s v="M"/>
    <s v="1405330101"/>
    <s v="INV.  CALIZAS NAL"/>
    <s v="EC01"/>
    <s v="PUZOLANA"/>
    <n v="700003"/>
    <x v="2"/>
    <s v="PUZOLANA"/>
    <m/>
    <m/>
    <s v="CEMENTO UG"/>
    <x v="4"/>
    <x v="4"/>
    <s v="7105400101PUZOLANACemento UG"/>
    <x v="22"/>
    <x v="0"/>
  </r>
  <r>
    <n v="7105400101"/>
    <s v="CTO.MP COMPUESTO NAL"/>
    <m/>
    <n v="2153.0071708411879"/>
    <s v="T"/>
    <s v="M"/>
    <s v="1405330101"/>
    <s v="INV.  CALIZAS NAL"/>
    <s v="EC01"/>
    <s v="CRUDO"/>
    <n v="700003"/>
    <x v="2"/>
    <s v="HARINA CRUDA"/>
    <m/>
    <m/>
    <s v="CEMENTO UG"/>
    <x v="4"/>
    <x v="4"/>
    <s v="7105400101CRUDOCemento UG"/>
    <x v="23"/>
    <x v="0"/>
  </r>
  <r>
    <n v="7199990001"/>
    <s v="CONSUMOS SEMIELBORAD"/>
    <m/>
    <n v="37133.12533457439"/>
    <s v="T"/>
    <s v="M"/>
    <s v="1410900101"/>
    <s v="INV. SEMIELABORADO"/>
    <s v="EC01"/>
    <s v="CLINKER001"/>
    <n v="700003"/>
    <x v="2"/>
    <s v="CLINKER"/>
    <m/>
    <m/>
    <s v="CEMENTO UG"/>
    <x v="4"/>
    <x v="4"/>
    <s v="7199990001CLINKER001Cemento UG"/>
    <x v="24"/>
    <x v="0"/>
  </r>
  <r>
    <n v="7999999995"/>
    <s v="TRASLADO DE COSTOS"/>
    <m/>
    <n v="-71409.856412643057"/>
    <s v="T"/>
    <s v="M"/>
    <s v="1410900101"/>
    <s v="INV. SEMIELABORADO"/>
    <s v="EC01"/>
    <s v="CEMENTOUG1"/>
    <n v="700003"/>
    <x v="2"/>
    <s v="CEMENTO UG"/>
    <m/>
    <m/>
    <s v="CEMENTO UG"/>
    <x v="4"/>
    <x v="4"/>
    <s v="7999999995CEMENTOUG1Cemento UG"/>
    <x v="3"/>
    <x v="0"/>
  </r>
  <r>
    <n v="7355250320"/>
    <s v="RTOS VARIA IMPO"/>
    <n v="109945255.06515813"/>
    <n v="71409.856412643057"/>
    <m/>
    <m/>
    <m/>
    <m/>
    <s v="EC01"/>
    <s v="PLACAS Y SEGMENTOS"/>
    <n v="700003"/>
    <x v="2"/>
    <s v="CEMENTO UG"/>
    <m/>
    <m/>
    <s v="CEMENTO UG"/>
    <x v="4"/>
    <x v="4"/>
    <s v="7355250320PLACAS Y SEGMENTOSCemento UG"/>
    <x v="25"/>
    <x v="0"/>
  </r>
  <r>
    <n v="7105330101"/>
    <s v="CTO. MP CALIZAS NAL"/>
    <n v="0"/>
    <n v="0"/>
    <s v="T"/>
    <s v="M"/>
    <s v="1405330101"/>
    <s v="INV.  CALIZAS NAL"/>
    <s v="EC01"/>
    <s v="SALMAR"/>
    <n v="700003"/>
    <x v="3"/>
    <s v="SAL MARINA"/>
    <m/>
    <m/>
    <s v="CEMENTO UG"/>
    <x v="4"/>
    <x v="4"/>
    <s v="7105330101SALMARCemento UG"/>
    <x v="18"/>
    <x v="0"/>
  </r>
  <r>
    <n v="7105330101"/>
    <s v="CTO. MP CALIZAS NAL"/>
    <m/>
    <n v="26350.170291339822"/>
    <s v="T"/>
    <s v="M"/>
    <s v="1405330101"/>
    <s v="INV.  CALIZAS NAL"/>
    <s v="EC01"/>
    <s v="CALIZATRI"/>
    <n v="700003"/>
    <x v="3"/>
    <s v="CALIZA TRITURADA"/>
    <m/>
    <m/>
    <s v="CEMENTO UG"/>
    <x v="4"/>
    <x v="4"/>
    <s v="7105330101CALIZATRICemento UG"/>
    <x v="19"/>
    <x v="0"/>
  </r>
  <r>
    <n v="7105450101"/>
    <s v="CTO. MP YES/ESCA NAL"/>
    <n v="648905142.72133601"/>
    <n v="2788.4749747740639"/>
    <s v="T"/>
    <s v="M"/>
    <s v="1405450101"/>
    <s v="INV.  YES/ESCA NAL"/>
    <s v="EC01"/>
    <s v="YESO00001"/>
    <n v="700003"/>
    <x v="3"/>
    <s v="YESO"/>
    <m/>
    <m/>
    <s v="CEMENTO UG"/>
    <x v="4"/>
    <x v="4"/>
    <s v="7105450101YESO00001Cemento UG"/>
    <x v="20"/>
    <x v="0"/>
  </r>
  <r>
    <n v="7105400101"/>
    <s v="CTO.MP COMPUESTO NAL"/>
    <n v="149346166.79820898"/>
    <n v="33.970413432523493"/>
    <s v="T"/>
    <s v="M"/>
    <s v="1405330101"/>
    <s v="INV.  CALIZAS NAL"/>
    <s v="EC01"/>
    <s v="ADIMOLIEN"/>
    <n v="700003"/>
    <x v="3"/>
    <s v="ADITIVO DE MOLIENDA"/>
    <m/>
    <m/>
    <s v="CEMENTO UG"/>
    <x v="4"/>
    <x v="4"/>
    <s v="7105400101ADIMOLIENCemento UG"/>
    <x v="21"/>
    <x v="0"/>
  </r>
  <r>
    <n v="7105400101"/>
    <s v="CTO.MP COMPUESTO NAL"/>
    <n v="214347563.03607169"/>
    <n v="2038.2248059514095"/>
    <s v="T"/>
    <s v="M"/>
    <s v="1405330101"/>
    <s v="INV.  CALIZAS NAL"/>
    <s v="EC01"/>
    <s v="PUZOLANA"/>
    <n v="700003"/>
    <x v="3"/>
    <s v="PUZOLANA"/>
    <m/>
    <m/>
    <s v="CEMENTO UG"/>
    <x v="4"/>
    <x v="4"/>
    <s v="7105400101PUZOLANACemento UG"/>
    <x v="22"/>
    <x v="0"/>
  </r>
  <r>
    <n v="7105400101"/>
    <s v="CTO.MP COMPUESTO NAL"/>
    <m/>
    <n v="2048.4159299811663"/>
    <s v="T"/>
    <s v="M"/>
    <s v="1405330101"/>
    <s v="INV.  CALIZAS NAL"/>
    <s v="EC01"/>
    <s v="CRUDO"/>
    <n v="700003"/>
    <x v="3"/>
    <s v="HARINA CRUDA"/>
    <m/>
    <m/>
    <s v="CEMENTO UG"/>
    <x v="4"/>
    <x v="4"/>
    <s v="7105400101CRUDOCemento UG"/>
    <x v="23"/>
    <x v="0"/>
  </r>
  <r>
    <n v="7199990001"/>
    <s v="CONSUMOS SEMIELBORAD"/>
    <m/>
    <n v="35329.229969824431"/>
    <s v="T"/>
    <s v="M"/>
    <s v="1410900101"/>
    <s v="INV. SEMIELABORADO"/>
    <s v="EC01"/>
    <s v="CLINKER001"/>
    <n v="700003"/>
    <x v="3"/>
    <s v="CLINKER"/>
    <m/>
    <m/>
    <s v="CEMENTO UG"/>
    <x v="4"/>
    <x v="4"/>
    <s v="7199990001CLINKER001Cemento UG"/>
    <x v="24"/>
    <x v="0"/>
  </r>
  <r>
    <n v="7999999995"/>
    <s v="TRASLADO DE COSTOS"/>
    <m/>
    <n v="-67940.826865046984"/>
    <s v="T"/>
    <s v="M"/>
    <s v="1410900101"/>
    <s v="INV. SEMIELABORADO"/>
    <s v="EC01"/>
    <s v="CEMENTOUG1"/>
    <n v="700003"/>
    <x v="3"/>
    <s v="CEMENTO UG"/>
    <m/>
    <m/>
    <s v="CEMENTO UG"/>
    <x v="4"/>
    <x v="4"/>
    <s v="7999999995CEMENTOUG1Cemento UG"/>
    <x v="3"/>
    <x v="0"/>
  </r>
  <r>
    <n v="7355250320"/>
    <s v="RTOS VARIA IMPO"/>
    <n v="104604208.91831987"/>
    <n v="67940.826865046984"/>
    <m/>
    <m/>
    <m/>
    <m/>
    <s v="EC01"/>
    <s v="PLACAS Y SEGMENTOS"/>
    <n v="700003"/>
    <x v="3"/>
    <s v="CEMENTO UG"/>
    <m/>
    <m/>
    <s v="CEMENTO UG"/>
    <x v="4"/>
    <x v="4"/>
    <s v="7355250320PLACAS Y SEGMENTOSCemento UG"/>
    <x v="25"/>
    <x v="0"/>
  </r>
  <r>
    <n v="7105330101"/>
    <s v="CTO. MP CALIZAS NAL"/>
    <n v="0"/>
    <n v="0"/>
    <s v="T"/>
    <s v="M"/>
    <s v="1405330101"/>
    <s v="INV.  CALIZAS NAL"/>
    <s v="EC01"/>
    <s v="SALMAR"/>
    <n v="700003"/>
    <x v="4"/>
    <s v="SAL MARINA"/>
    <m/>
    <m/>
    <s v="CEMENTO UG"/>
    <x v="4"/>
    <x v="4"/>
    <s v="7105330101SALMARCemento UG"/>
    <x v="18"/>
    <x v="0"/>
  </r>
  <r>
    <n v="7105330101"/>
    <s v="CTO. MP CALIZAS NAL"/>
    <m/>
    <n v="24765.395872450375"/>
    <s v="T"/>
    <s v="M"/>
    <s v="1405330101"/>
    <s v="INV.  CALIZAS NAL"/>
    <s v="EC01"/>
    <s v="CALIZATRI"/>
    <n v="700003"/>
    <x v="4"/>
    <s v="CALIZA TRITURADA"/>
    <m/>
    <m/>
    <s v="CEMENTO UG"/>
    <x v="4"/>
    <x v="4"/>
    <s v="7105330101CALIZATRICemento UG"/>
    <x v="19"/>
    <x v="0"/>
  </r>
  <r>
    <n v="7105450101"/>
    <s v="CTO. MP YES/ESCA NAL"/>
    <n v="609289345.04238451"/>
    <n v="2620.7681342157052"/>
    <s v="T"/>
    <s v="M"/>
    <s v="1405450101"/>
    <s v="INV.  YES/ESCA NAL"/>
    <s v="EC01"/>
    <s v="YESO00001"/>
    <n v="700003"/>
    <x v="4"/>
    <s v="YESO"/>
    <m/>
    <m/>
    <s v="CEMENTO UG"/>
    <x v="4"/>
    <x v="4"/>
    <s v="7105450101YESO00001Cemento UG"/>
    <x v="20"/>
    <x v="0"/>
  </r>
  <r>
    <n v="7105400101"/>
    <s v="CTO.MP COMPUESTO NAL"/>
    <n v="140364062.23933312"/>
    <n v="31.927335850415602"/>
    <s v="T"/>
    <s v="M"/>
    <s v="1405330101"/>
    <s v="INV.  CALIZAS NAL"/>
    <s v="EC01"/>
    <s v="ADIMOLIEN"/>
    <n v="700003"/>
    <x v="4"/>
    <s v="ADITIVO DE MOLIENDA"/>
    <m/>
    <m/>
    <s v="CEMENTO UG"/>
    <x v="4"/>
    <x v="4"/>
    <s v="7105400101ADIMOLIENCemento UG"/>
    <x v="21"/>
    <x v="0"/>
  </r>
  <r>
    <n v="7105400101"/>
    <s v="CTO.MP COMPUESTO NAL"/>
    <n v="201025714.55240157"/>
    <n v="1915.6401510249361"/>
    <s v="T"/>
    <s v="M"/>
    <s v="1405330101"/>
    <s v="INV.  CALIZAS NAL"/>
    <s v="EC01"/>
    <s v="PUZOLANA"/>
    <n v="700003"/>
    <x v="4"/>
    <s v="PUZOLANA"/>
    <m/>
    <m/>
    <s v="CEMENTO UG"/>
    <x v="4"/>
    <x v="4"/>
    <s v="7105400101PUZOLANACemento UG"/>
    <x v="22"/>
    <x v="0"/>
  </r>
  <r>
    <n v="7105400101"/>
    <s v="CTO.MP COMPUESTO NAL"/>
    <m/>
    <n v="1925.2183517800606"/>
    <s v="T"/>
    <s v="M"/>
    <s v="1405330101"/>
    <s v="INV.  CALIZAS NAL"/>
    <s v="EC01"/>
    <s v="CRUDO"/>
    <n v="700003"/>
    <x v="4"/>
    <s v="HARINA CRUDA"/>
    <m/>
    <m/>
    <s v="CEMENTO UG"/>
    <x v="4"/>
    <x v="4"/>
    <s v="7105400101CRUDOCemento UG"/>
    <x v="23"/>
    <x v="0"/>
  </r>
  <r>
    <n v="7199990001"/>
    <s v="CONSUMOS SEMIELBORAD"/>
    <m/>
    <n v="33204.429284432226"/>
    <s v="T"/>
    <s v="M"/>
    <s v="1410900101"/>
    <s v="INV. SEMIELABORADO"/>
    <s v="EC01"/>
    <s v="CLINKER001"/>
    <n v="700003"/>
    <x v="4"/>
    <s v="CLINKER"/>
    <m/>
    <m/>
    <s v="CEMENTO UG"/>
    <x v="4"/>
    <x v="4"/>
    <s v="7199990001CLINKER001Cemento UG"/>
    <x v="24"/>
    <x v="0"/>
  </r>
  <r>
    <n v="7999999995"/>
    <s v="TRASLADO DE COSTOS"/>
    <m/>
    <n v="-63854.671700831204"/>
    <s v="T"/>
    <s v="M"/>
    <s v="1410900101"/>
    <s v="INV. SEMIELABORADO"/>
    <s v="EC01"/>
    <s v="CEMENTOUG1"/>
    <n v="700003"/>
    <x v="4"/>
    <s v="CEMENTO UG"/>
    <m/>
    <m/>
    <s v="CEMENTO UG"/>
    <x v="4"/>
    <x v="4"/>
    <s v="7999999995CEMENTOUG1Cemento UG"/>
    <x v="3"/>
    <x v="0"/>
  </r>
  <r>
    <n v="7355250320"/>
    <s v="RTOS VARIA IMPO"/>
    <n v="98313013.356050447"/>
    <n v="63854.671700831204"/>
    <m/>
    <m/>
    <m/>
    <m/>
    <s v="EC01"/>
    <s v="PLACAS Y SEGMENTOS"/>
    <n v="700003"/>
    <x v="4"/>
    <s v="CEMENTO UG"/>
    <m/>
    <m/>
    <s v="CEMENTO UG"/>
    <x v="4"/>
    <x v="4"/>
    <s v="7355250320PLACAS Y SEGMENTOSCemento UG"/>
    <x v="25"/>
    <x v="0"/>
  </r>
  <r>
    <n v="7105330101"/>
    <s v="CTO. MP CALIZAS NAL"/>
    <n v="0"/>
    <n v="0"/>
    <s v="T"/>
    <s v="M"/>
    <s v="1405330101"/>
    <s v="INV.  CALIZAS NAL"/>
    <s v="EC01"/>
    <s v="SALMAR"/>
    <n v="700003"/>
    <x v="5"/>
    <s v="SAL MARINA"/>
    <m/>
    <m/>
    <s v="CEMENTO UG"/>
    <x v="4"/>
    <x v="4"/>
    <s v="7105330101SALMARCemento UG"/>
    <x v="18"/>
    <x v="0"/>
  </r>
  <r>
    <n v="7105330101"/>
    <s v="CTO. MP CALIZAS NAL"/>
    <m/>
    <n v="24671.6419424546"/>
    <s v="T"/>
    <s v="M"/>
    <s v="1405330101"/>
    <s v="INV.  CALIZAS NAL"/>
    <s v="EC01"/>
    <s v="CALIZATRI"/>
    <n v="700003"/>
    <x v="5"/>
    <s v="CALIZA TRITURADA"/>
    <m/>
    <m/>
    <s v="CEMENTO UG"/>
    <x v="4"/>
    <x v="4"/>
    <s v="7105330101CALIZATRICemento UG"/>
    <x v="19"/>
    <x v="0"/>
  </r>
  <r>
    <n v="7105450101"/>
    <s v="CTO. MP YES/ESCA NAL"/>
    <n v="608281731.42484939"/>
    <n v="2610.8467377051911"/>
    <s v="T"/>
    <s v="M"/>
    <s v="1405450101"/>
    <s v="INV.  YES/ESCA NAL"/>
    <s v="EC01"/>
    <s v="YESO00001"/>
    <n v="700003"/>
    <x v="5"/>
    <s v="YESO"/>
    <m/>
    <m/>
    <s v="CEMENTO UG"/>
    <x v="4"/>
    <x v="4"/>
    <s v="7105450101YESO00001Cemento UG"/>
    <x v="20"/>
    <x v="0"/>
  </r>
  <r>
    <n v="7105400101"/>
    <s v="CTO.MP COMPUESTO NAL"/>
    <n v="139832688.44127694"/>
    <n v="31.806469088354216"/>
    <s v="T"/>
    <s v="M"/>
    <s v="1405330101"/>
    <s v="INV.  CALIZAS NAL"/>
    <s v="EC01"/>
    <s v="ADIMOLIEN"/>
    <n v="700003"/>
    <x v="5"/>
    <s v="ADITIVO DE MOLIENDA"/>
    <m/>
    <m/>
    <s v="CEMENTO UG"/>
    <x v="4"/>
    <x v="4"/>
    <s v="7105400101ADIMOLIENCemento UG"/>
    <x v="21"/>
    <x v="0"/>
  </r>
  <r>
    <n v="7105400101"/>
    <s v="CTO.MP COMPUESTO NAL"/>
    <n v="201214166.51265907"/>
    <n v="1908.3881453012532"/>
    <s v="T"/>
    <s v="M"/>
    <s v="1405330101"/>
    <s v="INV.  CALIZAS NAL"/>
    <s v="EC01"/>
    <s v="PUZOLANA"/>
    <n v="700003"/>
    <x v="5"/>
    <s v="PUZOLANA"/>
    <m/>
    <m/>
    <s v="CEMENTO UG"/>
    <x v="4"/>
    <x v="4"/>
    <s v="7105400101PUZOLANACemento UG"/>
    <x v="22"/>
    <x v="0"/>
  </r>
  <r>
    <n v="7105400101"/>
    <s v="CTO.MP COMPUESTO NAL"/>
    <m/>
    <n v="1917.930086027759"/>
    <s v="T"/>
    <s v="M"/>
    <s v="1405330101"/>
    <s v="INV.  CALIZAS NAL"/>
    <s v="EC01"/>
    <s v="CRUDO"/>
    <n v="700003"/>
    <x v="5"/>
    <s v="HARINA CRUDA"/>
    <m/>
    <m/>
    <s v="CEMENTO UG"/>
    <x v="4"/>
    <x v="4"/>
    <s v="7105400101CRUDOCemento UG"/>
    <x v="23"/>
    <x v="0"/>
  </r>
  <r>
    <n v="7199990001"/>
    <s v="CONSUMOS SEMIELBORAD"/>
    <m/>
    <n v="33078.72785188839"/>
    <s v="T"/>
    <s v="M"/>
    <s v="1410900101"/>
    <s v="INV. SEMIELABORADO"/>
    <s v="EC01"/>
    <s v="CLINKER001"/>
    <n v="700003"/>
    <x v="5"/>
    <s v="CLINKER"/>
    <m/>
    <m/>
    <s v="CEMENTO UG"/>
    <x v="4"/>
    <x v="4"/>
    <s v="7199990001CLINKER001Cemento UG"/>
    <x v="24"/>
    <x v="0"/>
  </r>
  <r>
    <n v="7999999995"/>
    <s v="TRASLADO DE COSTOS"/>
    <m/>
    <n v="-63612.938176708434"/>
    <s v="T"/>
    <s v="M"/>
    <s v="1410900101"/>
    <s v="INV. SEMIELABORADO"/>
    <s v="EC01"/>
    <s v="CEMENTOUG1"/>
    <n v="700003"/>
    <x v="5"/>
    <s v="CEMENTO UG"/>
    <m/>
    <m/>
    <s v="CEMENTO UG"/>
    <x v="4"/>
    <x v="4"/>
    <s v="7999999995CEMENTOUG1Cemento UG"/>
    <x v="3"/>
    <x v="0"/>
  </r>
  <r>
    <n v="7355250320"/>
    <s v="RTOS VARIA IMPO"/>
    <n v="97940831.485050738"/>
    <n v="63612.938176708434"/>
    <m/>
    <m/>
    <m/>
    <m/>
    <s v="EC01"/>
    <s v="PLACAS Y SEGMENTOS"/>
    <n v="700003"/>
    <x v="5"/>
    <s v="CEMENTO UG"/>
    <m/>
    <m/>
    <s v="CEMENTO UG"/>
    <x v="4"/>
    <x v="4"/>
    <s v="7355250320PLACAS Y SEGMENTOSCemento UG"/>
    <x v="25"/>
    <x v="0"/>
  </r>
  <r>
    <n v="7105330101"/>
    <s v="CTO. MP CALIZAS NAL"/>
    <n v="0"/>
    <n v="0"/>
    <s v="T"/>
    <s v="M"/>
    <s v="1405330101"/>
    <s v="INV.  CALIZAS NAL"/>
    <s v="EC01"/>
    <s v="SALMAR"/>
    <n v="700003"/>
    <x v="6"/>
    <s v="SAL MARINA"/>
    <m/>
    <m/>
    <s v="CEMENTO UG"/>
    <x v="4"/>
    <x v="4"/>
    <s v="7105330101SALMARCemento UG"/>
    <x v="18"/>
    <x v="0"/>
  </r>
  <r>
    <n v="7105330101"/>
    <s v="CTO. MP CALIZAS NAL"/>
    <m/>
    <n v="29060.007545841749"/>
    <s v="T"/>
    <s v="M"/>
    <s v="1405330101"/>
    <s v="INV.  CALIZAS NAL"/>
    <s v="EC01"/>
    <s v="CALIZATRI"/>
    <n v="700003"/>
    <x v="6"/>
    <s v="CALIZA TRITURADA"/>
    <m/>
    <m/>
    <s v="CEMENTO UG"/>
    <x v="4"/>
    <x v="4"/>
    <s v="7105330101CALIZATRICemento UG"/>
    <x v="19"/>
    <x v="0"/>
  </r>
  <r>
    <n v="7105450101"/>
    <s v="CTO. MP YES/ESCA NAL"/>
    <n v="715120005.88416958"/>
    <n v="3075.2402323167266"/>
    <s v="T"/>
    <s v="M"/>
    <s v="1405450101"/>
    <s v="INV.  YES/ESCA NAL"/>
    <s v="EC01"/>
    <s v="YESO00001"/>
    <n v="700003"/>
    <x v="6"/>
    <s v="YESO"/>
    <m/>
    <m/>
    <s v="CEMENTO UG"/>
    <x v="4"/>
    <x v="4"/>
    <s v="7105450101YESO00001Cemento UG"/>
    <x v="20"/>
    <x v="0"/>
  </r>
  <r>
    <n v="7105400101"/>
    <s v="CTO.MP COMPUESTO NAL"/>
    <n v="164704845.77949262"/>
    <n v="37.463912368298459"/>
    <s v="T"/>
    <s v="M"/>
    <s v="1405330101"/>
    <s v="INV.  CALIZAS NAL"/>
    <s v="EC01"/>
    <s v="ADIMOLIEN"/>
    <n v="700003"/>
    <x v="6"/>
    <s v="ADITIVO DE MOLIENDA"/>
    <m/>
    <m/>
    <s v="CEMENTO UG"/>
    <x v="4"/>
    <x v="4"/>
    <s v="7105400101ADIMOLIENCemento UG"/>
    <x v="21"/>
    <x v="0"/>
  </r>
  <r>
    <n v="7105400101"/>
    <s v="CTO.MP COMPUESTO NAL"/>
    <n v="236012181.0636327"/>
    <n v="2247.8347420979076"/>
    <s v="T"/>
    <s v="M"/>
    <s v="1405330101"/>
    <s v="INV.  CALIZAS NAL"/>
    <s v="EC01"/>
    <s v="PUZOLANA"/>
    <n v="700003"/>
    <x v="6"/>
    <s v="PUZOLANA"/>
    <m/>
    <m/>
    <s v="CEMENTO UG"/>
    <x v="4"/>
    <x v="4"/>
    <s v="7105400101PUZOLANACemento UG"/>
    <x v="22"/>
    <x v="0"/>
  </r>
  <r>
    <n v="7105400101"/>
    <s v="CTO.MP COMPUESTO NAL"/>
    <m/>
    <n v="2259.073915808397"/>
    <s v="T"/>
    <s v="M"/>
    <s v="1405330101"/>
    <s v="INV.  CALIZAS NAL"/>
    <s v="EC01"/>
    <s v="CRUDO"/>
    <n v="700003"/>
    <x v="6"/>
    <s v="HARINA CRUDA"/>
    <m/>
    <m/>
    <s v="CEMENTO UG"/>
    <x v="4"/>
    <x v="4"/>
    <s v="7105400101CRUDOCemento UG"/>
    <x v="23"/>
    <x v="0"/>
  </r>
  <r>
    <n v="7199990001"/>
    <s v="CONSUMOS SEMIELBORAD"/>
    <m/>
    <n v="38962.468863030394"/>
    <s v="T"/>
    <s v="M"/>
    <s v="1410900101"/>
    <s v="INV. SEMIELABORADO"/>
    <s v="EC01"/>
    <s v="CLINKER001"/>
    <n v="700003"/>
    <x v="6"/>
    <s v="CLINKER"/>
    <m/>
    <m/>
    <s v="CEMENTO UG"/>
    <x v="4"/>
    <x v="4"/>
    <s v="7199990001CLINKER001Cemento UG"/>
    <x v="24"/>
    <x v="0"/>
  </r>
  <r>
    <n v="7999999995"/>
    <s v="TRASLADO DE COSTOS"/>
    <m/>
    <n v="-74927.824736596915"/>
    <s v="T"/>
    <s v="M"/>
    <s v="1410900101"/>
    <s v="INV. SEMIELABORADO"/>
    <s v="EC01"/>
    <s v="CEMENTOUG1"/>
    <n v="700003"/>
    <x v="6"/>
    <s v="CEMENTO UG"/>
    <m/>
    <m/>
    <s v="CEMENTO UG"/>
    <x v="4"/>
    <x v="4"/>
    <s v="7999999995CEMENTOUG1Cemento UG"/>
    <x v="3"/>
    <x v="0"/>
  </r>
  <r>
    <n v="7355250320"/>
    <s v="RTOS VARIA IMPO"/>
    <n v="115361649.16141868"/>
    <n v="74927.824736596915"/>
    <m/>
    <m/>
    <m/>
    <m/>
    <s v="EC01"/>
    <s v="PLACAS Y SEGMENTOS"/>
    <n v="700003"/>
    <x v="6"/>
    <s v="CEMENTO UG"/>
    <m/>
    <m/>
    <s v="CEMENTO UG"/>
    <x v="4"/>
    <x v="4"/>
    <s v="7355250320PLACAS Y SEGMENTOSCemento UG"/>
    <x v="25"/>
    <x v="0"/>
  </r>
  <r>
    <n v="7105330101"/>
    <s v="CTO. MP CALIZAS NAL"/>
    <n v="0"/>
    <n v="0"/>
    <s v="T"/>
    <s v="M"/>
    <s v="1405330101"/>
    <s v="INV.  CALIZAS NAL"/>
    <s v="EC01"/>
    <s v="SALMAR"/>
    <n v="700003"/>
    <x v="7"/>
    <s v="SAL MARINA"/>
    <m/>
    <m/>
    <s v="CEMENTO UG"/>
    <x v="4"/>
    <x v="4"/>
    <s v="7105330101SALMARCemento UG"/>
    <x v="18"/>
    <x v="0"/>
  </r>
  <r>
    <n v="7105330101"/>
    <s v="CTO. MP CALIZAS NAL"/>
    <m/>
    <n v="26475.918561666575"/>
    <s v="T"/>
    <s v="M"/>
    <s v="1405330101"/>
    <s v="INV.  CALIZAS NAL"/>
    <s v="EC01"/>
    <s v="CALIZATRI"/>
    <n v="700003"/>
    <x v="7"/>
    <s v="CALIZA TRITURADA"/>
    <m/>
    <m/>
    <s v="CEMENTO UG"/>
    <x v="4"/>
    <x v="4"/>
    <s v="7105330101CALIZATRICemento UG"/>
    <x v="19"/>
    <x v="0"/>
  </r>
  <r>
    <n v="7105450101"/>
    <s v="CTO. MP YES/ESCA NAL"/>
    <n v="651332278.22826338"/>
    <n v="2801.782133743071"/>
    <s v="T"/>
    <s v="M"/>
    <s v="1405450101"/>
    <s v="INV.  YES/ESCA NAL"/>
    <s v="EC01"/>
    <s v="YESO00001"/>
    <n v="700003"/>
    <x v="7"/>
    <s v="YESO"/>
    <m/>
    <m/>
    <s v="CEMENTO UG"/>
    <x v="4"/>
    <x v="4"/>
    <s v="7105450101YESO00001Cemento UG"/>
    <x v="20"/>
    <x v="0"/>
  </r>
  <r>
    <n v="7105400101"/>
    <s v="CTO.MP COMPUESTO NAL"/>
    <n v="150058876.5054771"/>
    <n v="34.13252702360068"/>
    <s v="T"/>
    <s v="M"/>
    <s v="1405330101"/>
    <s v="INV.  CALIZAS NAL"/>
    <s v="EC01"/>
    <s v="ADIMOLIEN"/>
    <n v="700003"/>
    <x v="7"/>
    <s v="ADITIVO DE MOLIENDA"/>
    <m/>
    <m/>
    <s v="CEMENTO UG"/>
    <x v="4"/>
    <x v="4"/>
    <s v="7105400101ADIMOLIENCemento UG"/>
    <x v="21"/>
    <x v="0"/>
  </r>
  <r>
    <n v="7105400101"/>
    <s v="CTO.MP COMPUESTO NAL"/>
    <n v="214881053.3236742"/>
    <n v="2047.9516214160406"/>
    <s v="T"/>
    <s v="M"/>
    <s v="1405330101"/>
    <s v="INV.  CALIZAS NAL"/>
    <s v="EC01"/>
    <s v="PUZOLANA"/>
    <n v="700003"/>
    <x v="7"/>
    <s v="PUZOLANA"/>
    <m/>
    <m/>
    <s v="CEMENTO UG"/>
    <x v="4"/>
    <x v="4"/>
    <s v="7105400101PUZOLANACemento UG"/>
    <x v="22"/>
    <x v="0"/>
  </r>
  <r>
    <n v="7105400101"/>
    <s v="CTO.MP COMPUESTO NAL"/>
    <m/>
    <n v="2058.1913795231208"/>
    <s v="T"/>
    <s v="M"/>
    <s v="1405330101"/>
    <s v="INV.  CALIZAS NAL"/>
    <s v="EC01"/>
    <s v="CRUDO"/>
    <n v="700003"/>
    <x v="7"/>
    <s v="HARINA CRUDA"/>
    <m/>
    <m/>
    <s v="CEMENTO UG"/>
    <x v="4"/>
    <x v="4"/>
    <s v="7105400101CRUDOCemento UG"/>
    <x v="23"/>
    <x v="0"/>
  </r>
  <r>
    <n v="7199990001"/>
    <s v="CONSUMOS SEMIELBORAD"/>
    <m/>
    <n v="35497.828104544707"/>
    <s v="T"/>
    <s v="M"/>
    <s v="1410900101"/>
    <s v="INV. SEMIELABORADO"/>
    <s v="EC01"/>
    <s v="CLINKER001"/>
    <n v="700003"/>
    <x v="7"/>
    <s v="CLINKER"/>
    <m/>
    <m/>
    <s v="CEMENTO UG"/>
    <x v="4"/>
    <x v="4"/>
    <s v="7199990001CLINKER001Cemento UG"/>
    <x v="24"/>
    <x v="0"/>
  </r>
  <r>
    <n v="7999999995"/>
    <s v="TRASLADO DE COSTOS"/>
    <m/>
    <n v="-68265.054047201353"/>
    <s v="T"/>
    <s v="M"/>
    <s v="1410900101"/>
    <s v="INV. SEMIELABORADO"/>
    <s v="EC01"/>
    <s v="CEMENTOUG1"/>
    <n v="700003"/>
    <x v="7"/>
    <s v="CEMENTO UG"/>
    <m/>
    <m/>
    <s v="CEMENTO UG"/>
    <x v="4"/>
    <x v="4"/>
    <s v="7999999995CEMENTOUG1Cemento UG"/>
    <x v="3"/>
    <x v="0"/>
  </r>
  <r>
    <n v="7355250320"/>
    <s v="RTOS VARIA IMPO"/>
    <n v="105103401.07514247"/>
    <n v="68265.054047201353"/>
    <m/>
    <m/>
    <m/>
    <m/>
    <s v="EC01"/>
    <s v="PLACAS Y SEGMENTOS"/>
    <n v="700003"/>
    <x v="7"/>
    <s v="CEMENTO UG"/>
    <m/>
    <m/>
    <s v="CEMENTO UG"/>
    <x v="4"/>
    <x v="4"/>
    <s v="7355250320PLACAS Y SEGMENTOSCemento UG"/>
    <x v="25"/>
    <x v="0"/>
  </r>
  <r>
    <n v="7105330101"/>
    <s v="CTO. MP CALIZAS NAL"/>
    <n v="0"/>
    <n v="0"/>
    <s v="T"/>
    <s v="M"/>
    <s v="1405330101"/>
    <s v="INV.  CALIZAS NAL"/>
    <s v="EC01"/>
    <s v="SALMAR"/>
    <n v="700003"/>
    <x v="8"/>
    <s v="SAL MARINA"/>
    <m/>
    <m/>
    <s v="CEMENTO UG"/>
    <x v="4"/>
    <x v="4"/>
    <s v="7105330101SALMARCemento UG"/>
    <x v="18"/>
    <x v="0"/>
  </r>
  <r>
    <n v="7105330101"/>
    <s v="CTO. MP CALIZAS NAL"/>
    <m/>
    <n v="28044.512785310151"/>
    <s v="T"/>
    <s v="M"/>
    <s v="1405330101"/>
    <s v="INV.  CALIZAS NAL"/>
    <s v="EC01"/>
    <s v="CALIZATRI"/>
    <n v="700003"/>
    <x v="8"/>
    <s v="CALIZA TRITURADA"/>
    <m/>
    <m/>
    <s v="CEMENTO UG"/>
    <x v="4"/>
    <x v="4"/>
    <s v="7105330101CALIZATRICemento UG"/>
    <x v="19"/>
    <x v="0"/>
  </r>
  <r>
    <n v="7105450101"/>
    <s v="CTO. MP YES/ESCA NAL"/>
    <n v="690283121.67521596"/>
    <n v="2967.7767246639055"/>
    <s v="T"/>
    <s v="M"/>
    <s v="1405450101"/>
    <s v="INV.  YES/ESCA NAL"/>
    <s v="EC01"/>
    <s v="YESO00001"/>
    <n v="700003"/>
    <x v="8"/>
    <s v="YESO"/>
    <m/>
    <m/>
    <s v="CEMENTO UG"/>
    <x v="4"/>
    <x v="4"/>
    <s v="7105450101YESO00001Cemento UG"/>
    <x v="20"/>
    <x v="0"/>
  </r>
  <r>
    <n v="7105400101"/>
    <s v="CTO.MP COMPUESTO NAL"/>
    <n v="158949275.76942316"/>
    <n v="36.154745236837556"/>
    <s v="T"/>
    <s v="M"/>
    <s v="1405330101"/>
    <s v="INV.  CALIZAS NAL"/>
    <s v="EC01"/>
    <s v="ADIMOLIEN"/>
    <n v="700003"/>
    <x v="8"/>
    <s v="ADITIVO DE MOLIENDA"/>
    <m/>
    <m/>
    <s v="CEMENTO UG"/>
    <x v="4"/>
    <x v="4"/>
    <s v="7105400101ADIMOLIENCemento UG"/>
    <x v="21"/>
    <x v="0"/>
  </r>
  <r>
    <n v="7105400101"/>
    <s v="CTO.MP COMPUESTO NAL"/>
    <n v="227876487.67353612"/>
    <n v="2169.2847142102532"/>
    <s v="T"/>
    <s v="M"/>
    <s v="1405330101"/>
    <s v="INV.  CALIZAS NAL"/>
    <s v="EC01"/>
    <s v="PUZOLANA"/>
    <n v="700003"/>
    <x v="8"/>
    <s v="PUZOLANA"/>
    <m/>
    <m/>
    <s v="CEMENTO UG"/>
    <x v="4"/>
    <x v="4"/>
    <s v="7105400101PUZOLANACemento UG"/>
    <x v="22"/>
    <x v="0"/>
  </r>
  <r>
    <n v="7105400101"/>
    <s v="CTO.MP COMPUESTO NAL"/>
    <m/>
    <n v="2180.1311377813045"/>
    <s v="T"/>
    <s v="M"/>
    <s v="1405330101"/>
    <s v="INV.  CALIZAS NAL"/>
    <s v="EC01"/>
    <s v="CRUDO"/>
    <n v="700003"/>
    <x v="8"/>
    <s v="HARINA CRUDA"/>
    <m/>
    <m/>
    <s v="CEMENTO UG"/>
    <x v="4"/>
    <x v="4"/>
    <s v="7105400101CRUDOCemento UG"/>
    <x v="23"/>
    <x v="0"/>
  </r>
  <r>
    <n v="7199990001"/>
    <s v="CONSUMOS SEMIELBORAD"/>
    <m/>
    <n v="37600.935046311053"/>
    <s v="T"/>
    <s v="M"/>
    <s v="1410900101"/>
    <s v="INV. SEMIELABORADO"/>
    <s v="EC01"/>
    <s v="CLINKER001"/>
    <n v="700003"/>
    <x v="8"/>
    <s v="CLINKER"/>
    <m/>
    <m/>
    <s v="CEMENTO UG"/>
    <x v="4"/>
    <x v="4"/>
    <s v="7199990001CLINKER001Cemento UG"/>
    <x v="24"/>
    <x v="0"/>
  </r>
  <r>
    <n v="7999999995"/>
    <s v="TRASLADO DE COSTOS"/>
    <m/>
    <n v="-72309.490473675105"/>
    <s v="T"/>
    <s v="M"/>
    <s v="1410900101"/>
    <s v="INV. SEMIELABORADO"/>
    <s v="EC01"/>
    <s v="CEMENTOUG1"/>
    <n v="700003"/>
    <x v="8"/>
    <s v="CEMENTO UG"/>
    <m/>
    <m/>
    <s v="CEMENTO UG"/>
    <x v="4"/>
    <x v="4"/>
    <s v="7999999995CEMENTOUG1Cemento UG"/>
    <x v="3"/>
    <x v="0"/>
  </r>
  <r>
    <n v="7355250320"/>
    <s v="RTOS VARIA IMPO"/>
    <n v="111330364.92637837"/>
    <n v="72309.490473675105"/>
    <m/>
    <m/>
    <m/>
    <m/>
    <s v="EC01"/>
    <s v="PLACAS Y SEGMENTOS"/>
    <n v="700003"/>
    <x v="8"/>
    <s v="CEMENTO UG"/>
    <m/>
    <m/>
    <s v="CEMENTO UG"/>
    <x v="4"/>
    <x v="4"/>
    <s v="7355250320PLACAS Y SEGMENTOSCemento UG"/>
    <x v="25"/>
    <x v="0"/>
  </r>
  <r>
    <n v="7105330101"/>
    <s v="CTO. MP CALIZAS NAL"/>
    <n v="0"/>
    <n v="0"/>
    <s v="T"/>
    <s v="M"/>
    <s v="1405330101"/>
    <s v="INV.  CALIZAS NAL"/>
    <s v="EC01"/>
    <s v="SALMAR"/>
    <n v="700003"/>
    <x v="9"/>
    <s v="SAL MARINA"/>
    <m/>
    <m/>
    <s v="CEMENTO UG"/>
    <x v="4"/>
    <x v="4"/>
    <s v="7105330101SALMARCemento UG"/>
    <x v="18"/>
    <x v="0"/>
  </r>
  <r>
    <n v="7105330101"/>
    <s v="CTO. MP CALIZAS NAL"/>
    <m/>
    <n v="28479.529765303982"/>
    <s v="T"/>
    <s v="M"/>
    <s v="1405330101"/>
    <s v="INV.  CALIZAS NAL"/>
    <s v="EC01"/>
    <s v="CALIZATRI"/>
    <n v="700003"/>
    <x v="9"/>
    <s v="CALIZA TRITURADA"/>
    <m/>
    <m/>
    <s v="CEMENTO UG"/>
    <x v="4"/>
    <x v="4"/>
    <s v="7105330101CALIZATRICemento UG"/>
    <x v="19"/>
    <x v="0"/>
  </r>
  <r>
    <n v="7105450101"/>
    <s v="CTO. MP YES/ESCA NAL"/>
    <n v="701364704.39929402"/>
    <n v="3013.8118716440849"/>
    <s v="T"/>
    <s v="M"/>
    <s v="1405450101"/>
    <s v="INV.  YES/ESCA NAL"/>
    <s v="EC01"/>
    <s v="YESO00001"/>
    <n v="700003"/>
    <x v="9"/>
    <s v="YESO"/>
    <m/>
    <m/>
    <s v="CEMENTO UG"/>
    <x v="4"/>
    <x v="4"/>
    <s v="7105450101YESO00001Cemento UG"/>
    <x v="20"/>
    <x v="0"/>
  </r>
  <r>
    <n v="7105400101"/>
    <s v="CTO.MP COMPUESTO NAL"/>
    <n v="161414843.07832071"/>
    <n v="36.715565394626623"/>
    <s v="T"/>
    <s v="M"/>
    <s v="1405330101"/>
    <s v="INV.  CALIZAS NAL"/>
    <s v="EC01"/>
    <s v="ADIMOLIEN"/>
    <n v="700003"/>
    <x v="9"/>
    <s v="ADITIVO DE MOLIENDA"/>
    <m/>
    <m/>
    <s v="CEMENTO UG"/>
    <x v="4"/>
    <x v="4"/>
    <s v="7105400101ADIMOLIENCemento UG"/>
    <x v="21"/>
    <x v="0"/>
  </r>
  <r>
    <n v="7105400101"/>
    <s v="CTO.MP COMPUESTO NAL"/>
    <n v="231684710.22917163"/>
    <n v="2202.9339236775977"/>
    <s v="T"/>
    <s v="M"/>
    <s v="1405330101"/>
    <s v="INV.  CALIZAS NAL"/>
    <s v="EC01"/>
    <s v="PUZOLANA"/>
    <n v="700003"/>
    <x v="9"/>
    <s v="PUZOLANA"/>
    <m/>
    <m/>
    <s v="CEMENTO UG"/>
    <x v="4"/>
    <x v="4"/>
    <s v="7105400101PUZOLANACemento UG"/>
    <x v="22"/>
    <x v="0"/>
  </r>
  <r>
    <n v="7105400101"/>
    <s v="CTO.MP COMPUESTO NAL"/>
    <m/>
    <n v="2213.9485932959851"/>
    <s v="T"/>
    <s v="M"/>
    <s v="1405330101"/>
    <s v="INV.  CALIZAS NAL"/>
    <s v="EC01"/>
    <s v="CRUDO"/>
    <n v="700003"/>
    <x v="9"/>
    <s v="HARINA CRUDA"/>
    <m/>
    <m/>
    <s v="CEMENTO UG"/>
    <x v="4"/>
    <x v="4"/>
    <s v="7105400101CRUDOCemento UG"/>
    <x v="23"/>
    <x v="0"/>
  </r>
  <r>
    <n v="7199990001"/>
    <s v="CONSUMOS SEMIELBORAD"/>
    <m/>
    <n v="38184.188010411694"/>
    <s v="T"/>
    <s v="M"/>
    <s v="1410900101"/>
    <s v="INV. SEMIELABORADO"/>
    <s v="EC01"/>
    <s v="CLINKER001"/>
    <n v="700003"/>
    <x v="9"/>
    <s v="CLINKER"/>
    <m/>
    <m/>
    <s v="CEMENTO UG"/>
    <x v="4"/>
    <x v="4"/>
    <s v="7199990001CLINKER001Cemento UG"/>
    <x v="24"/>
    <x v="0"/>
  </r>
  <r>
    <n v="7999999995"/>
    <s v="TRASLADO DE COSTOS"/>
    <m/>
    <n v="-73431.13078925325"/>
    <s v="T"/>
    <s v="M"/>
    <s v="1410900101"/>
    <s v="INV. SEMIELABORADO"/>
    <s v="EC01"/>
    <s v="CEMENTOUG1"/>
    <n v="700003"/>
    <x v="9"/>
    <s v="CEMENTO UG"/>
    <m/>
    <m/>
    <s v="CEMENTO UG"/>
    <x v="4"/>
    <x v="4"/>
    <s v="7999999995CEMENTOUG1Cemento UG"/>
    <x v="3"/>
    <x v="0"/>
  </r>
  <r>
    <n v="7355250320"/>
    <s v="RTOS VARIA IMPO"/>
    <n v="113057283.82501052"/>
    <n v="73431.13078925325"/>
    <m/>
    <m/>
    <m/>
    <m/>
    <s v="EC01"/>
    <s v="PLACAS Y SEGMENTOS"/>
    <n v="700003"/>
    <x v="9"/>
    <s v="CEMENTO UG"/>
    <m/>
    <m/>
    <s v="CEMENTO UG"/>
    <x v="4"/>
    <x v="4"/>
    <s v="7355250320PLACAS Y SEGMENTOSCemento UG"/>
    <x v="25"/>
    <x v="0"/>
  </r>
  <r>
    <n v="7105330101"/>
    <s v="CTO. MP CALIZAS NAL"/>
    <n v="0"/>
    <n v="0"/>
    <s v="T"/>
    <s v="M"/>
    <s v="1405330101"/>
    <s v="INV.  CALIZAS NAL"/>
    <s v="EC01"/>
    <s v="SALMAR"/>
    <n v="700003"/>
    <x v="10"/>
    <s v="SAL MARINA"/>
    <m/>
    <m/>
    <s v="CEMENTO UG"/>
    <x v="4"/>
    <x v="4"/>
    <s v="7105330101SALMARCemento UG"/>
    <x v="18"/>
    <x v="0"/>
  </r>
  <r>
    <n v="7105330101"/>
    <s v="CTO. MP CALIZAS NAL"/>
    <m/>
    <n v="26645.845337421357"/>
    <s v="T"/>
    <s v="M"/>
    <s v="1405330101"/>
    <s v="INV.  CALIZAS NAL"/>
    <s v="EC01"/>
    <s v="CALIZATRI"/>
    <n v="700003"/>
    <x v="10"/>
    <s v="CALIZA TRITURADA"/>
    <m/>
    <m/>
    <s v="CEMENTO UG"/>
    <x v="4"/>
    <x v="4"/>
    <s v="7105330101CALIZATRICemento UG"/>
    <x v="19"/>
    <x v="0"/>
  </r>
  <r>
    <n v="7105450101"/>
    <s v="CTO. MP YES/ESCA NAL"/>
    <n v="655560189.89765978"/>
    <n v="2819.7644297395409"/>
    <s v="T"/>
    <s v="M"/>
    <s v="1405450101"/>
    <s v="INV.  YES/ESCA NAL"/>
    <s v="EC01"/>
    <s v="YESO00001"/>
    <n v="700003"/>
    <x v="10"/>
    <s v="YESO"/>
    <m/>
    <m/>
    <s v="CEMENTO UG"/>
    <x v="4"/>
    <x v="4"/>
    <s v="7105450101YESO00001Cemento UG"/>
    <x v="20"/>
    <x v="0"/>
  </r>
  <r>
    <n v="7105400101"/>
    <s v="CTO.MP COMPUESTO NAL"/>
    <n v="151021978.91865945"/>
    <n v="34.351595164786197"/>
    <s v="T"/>
    <s v="M"/>
    <s v="1405330101"/>
    <s v="INV.  CALIZAS NAL"/>
    <s v="EC01"/>
    <s v="ADIMOLIEN"/>
    <n v="700003"/>
    <x v="10"/>
    <s v="ADITIVO DE MOLIENDA"/>
    <m/>
    <m/>
    <s v="CEMENTO UG"/>
    <x v="4"/>
    <x v="4"/>
    <s v="7105400101ADIMOLIENCemento UG"/>
    <x v="21"/>
    <x v="0"/>
  </r>
  <r>
    <n v="7105400101"/>
    <s v="CTO.MP COMPUESTO NAL"/>
    <n v="216294954.89960277"/>
    <n v="2061.0957098871718"/>
    <s v="T"/>
    <s v="M"/>
    <s v="1405330101"/>
    <s v="INV.  CALIZAS NAL"/>
    <s v="EC01"/>
    <s v="PUZOLANA"/>
    <n v="700003"/>
    <x v="10"/>
    <s v="PUZOLANA"/>
    <m/>
    <m/>
    <s v="CEMENTO UG"/>
    <x v="4"/>
    <x v="4"/>
    <s v="7105400101PUZOLANACemento UG"/>
    <x v="22"/>
    <x v="0"/>
  </r>
  <r>
    <n v="7105400101"/>
    <s v="CTO.MP COMPUESTO NAL"/>
    <m/>
    <n v="2071.4011884366073"/>
    <s v="T"/>
    <s v="M"/>
    <s v="1405330101"/>
    <s v="INV.  CALIZAS NAL"/>
    <s v="EC01"/>
    <s v="CRUDO"/>
    <n v="700003"/>
    <x v="10"/>
    <s v="HARINA CRUDA"/>
    <m/>
    <m/>
    <s v="CEMENTO UG"/>
    <x v="4"/>
    <x v="4"/>
    <s v="7105400101CRUDOCemento UG"/>
    <x v="23"/>
    <x v="0"/>
  </r>
  <r>
    <n v="7199990001"/>
    <s v="CONSUMOS SEMIELBORAD"/>
    <m/>
    <n v="35725.658971377641"/>
    <s v="T"/>
    <s v="M"/>
    <s v="1410900101"/>
    <s v="INV. SEMIELABORADO"/>
    <s v="EC01"/>
    <s v="CLINKER001"/>
    <n v="700003"/>
    <x v="10"/>
    <s v="CLINKER"/>
    <m/>
    <m/>
    <s v="CEMENTO UG"/>
    <x v="4"/>
    <x v="4"/>
    <s v="7199990001CLINKER001Cemento UG"/>
    <x v="24"/>
    <x v="0"/>
  </r>
  <r>
    <n v="7999999995"/>
    <s v="TRASLADO DE COSTOS"/>
    <m/>
    <n v="-68703.19032957239"/>
    <s v="T"/>
    <s v="M"/>
    <s v="1410900101"/>
    <s v="INV. SEMIELABORADO"/>
    <s v="EC01"/>
    <s v="CEMENTOUG1"/>
    <n v="700003"/>
    <x v="10"/>
    <s v="CEMENTO UG"/>
    <m/>
    <m/>
    <s v="CEMENTO UG"/>
    <x v="4"/>
    <x v="4"/>
    <s v="7999999995CEMENTOUG1Cemento UG"/>
    <x v="3"/>
    <x v="0"/>
  </r>
  <r>
    <n v="7355250320"/>
    <s v="RTOS VARIA IMPO"/>
    <n v="105777971.89405333"/>
    <n v="68703.19032957239"/>
    <m/>
    <m/>
    <m/>
    <m/>
    <s v="EC01"/>
    <s v="PLACAS Y SEGMENTOS"/>
    <n v="700003"/>
    <x v="10"/>
    <s v="CEMENTO UG"/>
    <m/>
    <m/>
    <s v="CEMENTO UG"/>
    <x v="4"/>
    <x v="4"/>
    <s v="7355250320PLACAS Y SEGMENTOSCemento UG"/>
    <x v="25"/>
    <x v="0"/>
  </r>
  <r>
    <n v="7105330101"/>
    <s v="CTO. MP CALIZAS NAL"/>
    <n v="0"/>
    <n v="0"/>
    <s v="T"/>
    <s v="M"/>
    <s v="1405330101"/>
    <s v="INV.  CALIZAS NAL"/>
    <s v="EC01"/>
    <s v="SALMAR"/>
    <n v="700003"/>
    <x v="11"/>
    <s v="SAL MARINA"/>
    <m/>
    <m/>
    <s v="CEMENTO UG"/>
    <x v="4"/>
    <x v="4"/>
    <s v="7105330101SALMARCemento UG"/>
    <x v="18"/>
    <x v="0"/>
  </r>
  <r>
    <n v="7105330101"/>
    <s v="CTO. MP CALIZAS NAL"/>
    <m/>
    <n v="27447.146315187347"/>
    <s v="T"/>
    <s v="M"/>
    <s v="1405330101"/>
    <s v="INV.  CALIZAS NAL"/>
    <s v="EC01"/>
    <s v="CALIZATRI"/>
    <n v="700003"/>
    <x v="11"/>
    <s v="CALIZA TRITURADA"/>
    <m/>
    <m/>
    <s v="CEMENTO UG"/>
    <x v="4"/>
    <x v="4"/>
    <s v="7105330101CALIZATRICemento UG"/>
    <x v="19"/>
    <x v="0"/>
  </r>
  <r>
    <n v="7105450101"/>
    <s v="CTO. MP YES/ESCA NAL"/>
    <n v="675998004.27100492"/>
    <n v="2904.5611387952245"/>
    <s v="T"/>
    <s v="M"/>
    <s v="1405450101"/>
    <s v="INV.  YES/ESCA NAL"/>
    <s v="EC01"/>
    <s v="YESO00001"/>
    <n v="700003"/>
    <x v="11"/>
    <s v="YESO"/>
    <m/>
    <m/>
    <s v="CEMENTO UG"/>
    <x v="4"/>
    <x v="4"/>
    <s v="7105450101YESO00001Cemento UG"/>
    <x v="20"/>
    <x v="0"/>
  </r>
  <r>
    <n v="7105400101"/>
    <s v="CTO.MP COMPUESTO NAL"/>
    <n v="155563552.20482293"/>
    <n v="35.384625509472137"/>
    <s v="T"/>
    <s v="M"/>
    <s v="1405330101"/>
    <s v="INV.  CALIZAS NAL"/>
    <s v="EC01"/>
    <s v="ADIMOLIEN"/>
    <n v="700003"/>
    <x v="11"/>
    <s v="ADITIVO DE MOLIENDA"/>
    <m/>
    <m/>
    <s v="CEMENTO UG"/>
    <x v="4"/>
    <x v="4"/>
    <s v="7105400101ADIMOLIENCemento UG"/>
    <x v="21"/>
    <x v="0"/>
  </r>
  <r>
    <n v="7105400101"/>
    <s v="CTO.MP COMPUESTO NAL"/>
    <n v="223328371.42904526"/>
    <n v="2123.0775305683278"/>
    <s v="T"/>
    <s v="M"/>
    <s v="1405330101"/>
    <s v="INV.  CALIZAS NAL"/>
    <s v="EC01"/>
    <s v="PUZOLANA"/>
    <n v="700003"/>
    <x v="11"/>
    <s v="PUZOLANA"/>
    <m/>
    <m/>
    <s v="CEMENTO UG"/>
    <x v="4"/>
    <x v="4"/>
    <s v="7105400101PUZOLANACemento UG"/>
    <x v="22"/>
    <x v="0"/>
  </r>
  <r>
    <n v="7105400101"/>
    <s v="CTO.MP COMPUESTO NAL"/>
    <m/>
    <n v="2133.6929182211693"/>
    <s v="T"/>
    <s v="M"/>
    <s v="1405330101"/>
    <s v="INV.  CALIZAS NAL"/>
    <s v="EC01"/>
    <s v="CRUDO"/>
    <n v="700003"/>
    <x v="11"/>
    <s v="HARINA CRUDA"/>
    <m/>
    <m/>
    <s v="CEMENTO UG"/>
    <x v="4"/>
    <x v="4"/>
    <s v="7105400101CRUDOCemento UG"/>
    <x v="23"/>
    <x v="0"/>
  </r>
  <r>
    <n v="7199990001"/>
    <s v="CONSUMOS SEMIELBORAD"/>
    <m/>
    <n v="36800.010529851024"/>
    <s v="T"/>
    <s v="M"/>
    <s v="1410900101"/>
    <s v="INV. SEMIELABORADO"/>
    <s v="EC01"/>
    <s v="CLINKER001"/>
    <n v="700003"/>
    <x v="11"/>
    <s v="CLINKER"/>
    <m/>
    <m/>
    <s v="CEMENTO UG"/>
    <x v="4"/>
    <x v="4"/>
    <s v="7199990001CLINKER001Cemento UG"/>
    <x v="24"/>
    <x v="0"/>
  </r>
  <r>
    <n v="7999999995"/>
    <s v="TRASLADO DE COSTOS"/>
    <m/>
    <n v="-70769.251018944269"/>
    <s v="T"/>
    <s v="M"/>
    <s v="1410900101"/>
    <s v="INV. SEMIELABORADO"/>
    <s v="EC01"/>
    <s v="CEMENTOUG1"/>
    <n v="700003"/>
    <x v="11"/>
    <s v="CEMENTO UG"/>
    <m/>
    <m/>
    <s v="CEMENTO UG"/>
    <x v="4"/>
    <x v="4"/>
    <s v="7999999995CEMENTOUG1Cemento UG"/>
    <x v="3"/>
    <x v="0"/>
  </r>
  <r>
    <n v="7355250320"/>
    <s v="RTOS VARIA IMPO"/>
    <n v="108958955.31685252"/>
    <n v="70769.251018944269"/>
    <m/>
    <m/>
    <m/>
    <m/>
    <s v="EC01"/>
    <s v="PLACAS Y SEGMENTOS"/>
    <n v="700003"/>
    <x v="11"/>
    <s v="CEMENTO UG"/>
    <m/>
    <m/>
    <s v="CEMENTO UG"/>
    <x v="4"/>
    <x v="4"/>
    <s v="7355250320PLACAS Y SEGMENTOSCemento UG"/>
    <x v="25"/>
    <x v="0"/>
  </r>
  <r>
    <n v="7199990001"/>
    <s v="CONSUMOS SEMIELBORAD"/>
    <m/>
    <n v="2560.8522959791653"/>
    <s v="T"/>
    <s v="M"/>
    <s v="1410900101"/>
    <s v="INV. SEMIELABORADO"/>
    <s v="EC01"/>
    <s v="CEMENTOUG1"/>
    <n v="700004"/>
    <x v="0"/>
    <s v="CEMENTO UG"/>
    <m/>
    <m/>
    <s v="CEMENTO UG 42,5 KG"/>
    <x v="5"/>
    <x v="5"/>
    <s v="7199990001CEMENTOUG1CEMENTO UG 42,5 KG"/>
    <x v="26"/>
    <x v="0"/>
  </r>
  <r>
    <n v="7360050302"/>
    <s v="CTO BOLSAS IMP"/>
    <n v="57465525.521772474"/>
    <n v="61460.455103499975"/>
    <s v="UN"/>
    <s v="M"/>
    <s v="1460050302"/>
    <s v="INV BOLSAS IMP"/>
    <s v="EC01"/>
    <s v="22000000006"/>
    <n v="700004"/>
    <x v="0"/>
    <s v="BOLSA DE CEMENTO EMPAQUE DE 42.5 KG UG"/>
    <m/>
    <m/>
    <s v="CEMENTO UG 42,5 KG"/>
    <x v="5"/>
    <x v="5"/>
    <s v="736005030222000000006CEMENTO UG 42,5 KG"/>
    <x v="27"/>
    <x v="0"/>
  </r>
  <r>
    <n v="7999999995"/>
    <s v="TRASLADO DE COSTOS"/>
    <m/>
    <n v="-60255.348140686248"/>
    <s v="UN"/>
    <s v="M"/>
    <s v="1430050101"/>
    <s v="INV. PTO MANUFACTURA"/>
    <s v="EC01"/>
    <s v="CEMCUGB42"/>
    <n v="700004"/>
    <x v="0"/>
    <s v="CEMENTO ALION EMPACADO UG 42,5 KG"/>
    <m/>
    <m/>
    <s v="CEMENTO UG 42,5 KG"/>
    <x v="5"/>
    <x v="5"/>
    <s v="7999999995CEMCUGB42CEMENTO UG 42,5 KG"/>
    <x v="3"/>
    <x v="0"/>
  </r>
  <r>
    <n v="7199990001"/>
    <s v="CONSUMOS SEMIELBORAD"/>
    <m/>
    <n v="2658.0105240064186"/>
    <s v="T"/>
    <s v="M"/>
    <s v="1410900101"/>
    <s v="INV. SEMIELABORADO"/>
    <s v="EC01"/>
    <s v="CEMENTOUG1"/>
    <n v="700004"/>
    <x v="1"/>
    <s v="CEMENTO UG"/>
    <m/>
    <m/>
    <s v="CEMENTO UG 42,5 KG"/>
    <x v="5"/>
    <x v="5"/>
    <s v="7199990001CEMENTOUG1CEMENTO UG 42,5 KG"/>
    <x v="26"/>
    <x v="0"/>
  </r>
  <r>
    <n v="7360050302"/>
    <s v="CTO BOLSAS IMP"/>
    <n v="59645756.158704035"/>
    <n v="63792.252576154046"/>
    <s v="UN"/>
    <s v="M"/>
    <s v="1460050302"/>
    <s v="INV BOLSAS IMP"/>
    <s v="EC01"/>
    <s v="22000000006"/>
    <n v="700004"/>
    <x v="1"/>
    <s v="BOLSA DE CEMENTO EMPAQUE DE 42.5 KG UG"/>
    <m/>
    <m/>
    <s v="CEMENTO UG 42,5 KG"/>
    <x v="5"/>
    <x v="5"/>
    <s v="736005030222000000006CEMENTO UG 42,5 KG"/>
    <x v="27"/>
    <x v="0"/>
  </r>
  <r>
    <n v="7999999995"/>
    <s v="TRASLADO DE COSTOS"/>
    <m/>
    <n v="-62541.424094268674"/>
    <s v="UN"/>
    <s v="M"/>
    <s v="1430050101"/>
    <s v="INV. PTO MANUFACTURA"/>
    <s v="EC01"/>
    <s v="CEMCUGB42"/>
    <n v="700004"/>
    <x v="1"/>
    <s v="CEMENTO ALION EMPACADO UG 42,5 KG"/>
    <m/>
    <m/>
    <s v="CEMENTO UG 42,5 KG"/>
    <x v="5"/>
    <x v="5"/>
    <s v="7999999995CEMCUGB42CEMENTO UG 42,5 KG"/>
    <x v="3"/>
    <x v="0"/>
  </r>
  <r>
    <n v="7199990001"/>
    <s v="CONSUMOS SEMIELBORAD"/>
    <m/>
    <n v="2862.1895753213021"/>
    <s v="T"/>
    <s v="M"/>
    <s v="1410900101"/>
    <s v="INV. SEMIELABORADO"/>
    <s v="EC01"/>
    <s v="CEMENTOUG1"/>
    <n v="700004"/>
    <x v="2"/>
    <s v="CEMENTO UG"/>
    <m/>
    <m/>
    <s v="CEMENTO UG 42,5 KG"/>
    <x v="5"/>
    <x v="5"/>
    <s v="7199990001CEMENTOUG1CEMENTO UG 42,5 KG"/>
    <x v="26"/>
    <x v="0"/>
  </r>
  <r>
    <n v="7360050302"/>
    <s v="CTO BOLSAS IMP"/>
    <n v="66700465.863287628"/>
    <n v="68692.549807711257"/>
    <s v="UN"/>
    <s v="M"/>
    <s v="1460050302"/>
    <s v="INV BOLSAS IMP"/>
    <s v="EC01"/>
    <s v="22000000006"/>
    <n v="700004"/>
    <x v="2"/>
    <s v="BOLSA DE CEMENTO EMPAQUE DE 42.5 KG UG"/>
    <m/>
    <m/>
    <s v="CEMENTO UG 42,5 KG"/>
    <x v="5"/>
    <x v="5"/>
    <s v="736005030222000000006CEMENTO UG 42,5 KG"/>
    <x v="27"/>
    <x v="0"/>
  </r>
  <r>
    <n v="7999999995"/>
    <s v="TRASLADO DE COSTOS"/>
    <m/>
    <n v="-67345.637066383584"/>
    <s v="UN"/>
    <s v="M"/>
    <s v="1430050101"/>
    <s v="INV. PTO MANUFACTURA"/>
    <s v="EC01"/>
    <s v="CEMCUGB42"/>
    <n v="700004"/>
    <x v="2"/>
    <s v="CEMENTO ALION EMPACADO UG 42,5 KG"/>
    <m/>
    <m/>
    <s v="CEMENTO UG 42,5 KG"/>
    <x v="5"/>
    <x v="5"/>
    <s v="7999999995CEMCUGB42CEMENTO UG 42,5 KG"/>
    <x v="3"/>
    <x v="0"/>
  </r>
  <r>
    <n v="7199990001"/>
    <s v="CONSUMOS SEMIELBORAD"/>
    <m/>
    <n v="2725.0547797079867"/>
    <s v="T"/>
    <s v="M"/>
    <s v="1410900101"/>
    <s v="INV. SEMIELABORADO"/>
    <s v="EC01"/>
    <s v="CEMENTOUG1"/>
    <n v="700004"/>
    <x v="3"/>
    <s v="CEMENTO UG"/>
    <m/>
    <m/>
    <s v="CEMENTO UG 42,5 KG"/>
    <x v="5"/>
    <x v="5"/>
    <s v="7199990001CEMENTOUG1CEMENTO UG 42,5 KG"/>
    <x v="26"/>
    <x v="0"/>
  </r>
  <r>
    <n v="7360050302"/>
    <s v="CTO BOLSAS IMP"/>
    <n v="63504676.586314924"/>
    <n v="65401.314712991683"/>
    <s v="UN"/>
    <s v="M"/>
    <s v="1460050302"/>
    <s v="INV BOLSAS IMP"/>
    <s v="EC01"/>
    <s v="22000000006"/>
    <n v="700004"/>
    <x v="3"/>
    <s v="BOLSA DE CEMENTO EMPAQUE DE 42.5 KG UG"/>
    <m/>
    <m/>
    <s v="CEMENTO UG 42,5 KG"/>
    <x v="5"/>
    <x v="5"/>
    <s v="736005030222000000006CEMENTO UG 42,5 KG"/>
    <x v="27"/>
    <x v="0"/>
  </r>
  <r>
    <n v="7999999995"/>
    <s v="TRASLADO DE COSTOS"/>
    <m/>
    <n v="-64118.935993129104"/>
    <s v="UN"/>
    <s v="M"/>
    <s v="1430050101"/>
    <s v="INV. PTO MANUFACTURA"/>
    <s v="EC01"/>
    <s v="CEMCUGB42"/>
    <n v="700004"/>
    <x v="3"/>
    <s v="CEMENTO ALION EMPACADO UG 42,5 KG"/>
    <m/>
    <m/>
    <s v="CEMENTO UG 42,5 KG"/>
    <x v="5"/>
    <x v="5"/>
    <s v="7999999995CEMCUGB42CEMENTO UG 42,5 KG"/>
    <x v="3"/>
    <x v="0"/>
  </r>
  <r>
    <n v="7199990001"/>
    <s v="CONSUMOS SEMIELBORAD"/>
    <m/>
    <n v="2551.8438151051146"/>
    <s v="T"/>
    <s v="M"/>
    <s v="1410900101"/>
    <s v="INV. SEMIELABORADO"/>
    <s v="EC01"/>
    <s v="CEMENTOUG1"/>
    <n v="700004"/>
    <x v="4"/>
    <s v="CEMENTO UG"/>
    <m/>
    <m/>
    <s v="CEMENTO UG 42,5 KG"/>
    <x v="5"/>
    <x v="5"/>
    <s v="7199990001CEMENTOUG1CEMENTO UG 42,5 KG"/>
    <x v="26"/>
    <x v="0"/>
  </r>
  <r>
    <n v="7360050302"/>
    <s v="CTO BOLSAS IMP"/>
    <n v="59468168.267209597"/>
    <n v="61244.251562522753"/>
    <s v="UN"/>
    <s v="M"/>
    <s v="1460050302"/>
    <s v="INV BOLSAS IMP"/>
    <s v="EC01"/>
    <s v="22000000006"/>
    <n v="700004"/>
    <x v="4"/>
    <s v="BOLSA DE CEMENTO EMPAQUE DE 42.5 KG UG"/>
    <m/>
    <m/>
    <s v="CEMENTO UG 42,5 KG"/>
    <x v="5"/>
    <x v="5"/>
    <s v="736005030222000000006CEMENTO UG 42,5 KG"/>
    <x v="27"/>
    <x v="0"/>
  </r>
  <r>
    <n v="7999999995"/>
    <s v="TRASLADO DE COSTOS"/>
    <m/>
    <n v="-60043.383884826231"/>
    <s v="UN"/>
    <s v="M"/>
    <s v="1430050101"/>
    <s v="INV. PTO MANUFACTURA"/>
    <s v="EC01"/>
    <s v="CEMCUGB42"/>
    <n v="700004"/>
    <x v="4"/>
    <s v="CEMENTO ALION EMPACADO UG 42,5 KG"/>
    <m/>
    <m/>
    <s v="CEMENTO UG 42,5 KG"/>
    <x v="5"/>
    <x v="5"/>
    <s v="7999999995CEMCUGB42CEMENTO UG 42,5 KG"/>
    <x v="3"/>
    <x v="0"/>
  </r>
  <r>
    <n v="7199990001"/>
    <s v="CONSUMOS SEMIELBORAD"/>
    <m/>
    <n v="2544.6281933975642"/>
    <s v="T"/>
    <s v="M"/>
    <s v="1410900101"/>
    <s v="INV. SEMIELABORADO"/>
    <s v="EC01"/>
    <s v="CEMENTOUG1"/>
    <n v="700004"/>
    <x v="5"/>
    <s v="CEMENTO UG"/>
    <m/>
    <m/>
    <s v="CEMENTO UG 42,5 KG"/>
    <x v="5"/>
    <x v="5"/>
    <s v="7199990001CEMENTOUG1CEMENTO UG 42,5 KG"/>
    <x v="26"/>
    <x v="0"/>
  </r>
  <r>
    <n v="7360050302"/>
    <s v="CTO BOLSAS IMP"/>
    <n v="59300015.418936841"/>
    <n v="61071.076641541549"/>
    <s v="UN"/>
    <s v="M"/>
    <s v="1460050302"/>
    <s v="INV BOLSAS IMP"/>
    <s v="EC01"/>
    <s v="22000000006"/>
    <n v="700004"/>
    <x v="5"/>
    <s v="BOLSA DE CEMENTO EMPAQUE DE 42.5 KG UG"/>
    <m/>
    <m/>
    <s v="CEMENTO UG 42,5 KG"/>
    <x v="5"/>
    <x v="5"/>
    <s v="736005030222000000006CEMENTO UG 42,5 KG"/>
    <x v="27"/>
    <x v="0"/>
  </r>
  <r>
    <n v="7999999995"/>
    <s v="TRASLADO DE COSTOS"/>
    <m/>
    <n v="-59873.60455053093"/>
    <s v="UN"/>
    <s v="M"/>
    <s v="1430050101"/>
    <s v="INV. PTO MANUFACTURA"/>
    <s v="EC01"/>
    <s v="CEMCUGB42"/>
    <n v="700004"/>
    <x v="5"/>
    <s v="CEMENTO ALION EMPACADO UG 42,5 KG"/>
    <m/>
    <m/>
    <s v="CEMENTO UG 42,5 KG"/>
    <x v="5"/>
    <x v="5"/>
    <s v="7999999995CEMCUGB42CEMENTO UG 42,5 KG"/>
    <x v="3"/>
    <x v="0"/>
  </r>
  <r>
    <n v="7199990001"/>
    <s v="CONSUMOS SEMIELBORAD"/>
    <m/>
    <n v="2999.9410261466555"/>
    <s v="T"/>
    <s v="M"/>
    <s v="1410900101"/>
    <s v="INV. SEMIELABORADO"/>
    <s v="EC01"/>
    <s v="CEMENTOUG1"/>
    <n v="700004"/>
    <x v="6"/>
    <s v="CEMENTO UG"/>
    <m/>
    <m/>
    <s v="CEMENTO UG 42,5 KG"/>
    <x v="5"/>
    <x v="5"/>
    <s v="7199990001CEMENTOUG1CEMENTO UG 42,5 KG"/>
    <x v="26"/>
    <x v="0"/>
  </r>
  <r>
    <n v="7360050302"/>
    <s v="CTO BOLSAS IMP"/>
    <n v="69910625.673321664"/>
    <n v="71998.58462751974"/>
    <s v="UN"/>
    <s v="M"/>
    <s v="1460050302"/>
    <s v="INV BOLSAS IMP"/>
    <s v="EC01"/>
    <s v="22000000006"/>
    <n v="700004"/>
    <x v="6"/>
    <s v="BOLSA DE CEMENTO EMPAQUE DE 42.5 KG UG"/>
    <m/>
    <m/>
    <s v="CEMENTO UG 42,5 KG"/>
    <x v="5"/>
    <x v="5"/>
    <s v="736005030222000000006CEMENTO UG 42,5 KG"/>
    <x v="27"/>
    <x v="0"/>
  </r>
  <r>
    <n v="7999999995"/>
    <s v="TRASLADO DE COSTOS"/>
    <m/>
    <n v="-70586.84767403896"/>
    <s v="UN"/>
    <s v="M"/>
    <s v="1430050101"/>
    <s v="INV. PTO MANUFACTURA"/>
    <s v="EC01"/>
    <s v="CEMCUGB42"/>
    <n v="700004"/>
    <x v="6"/>
    <s v="CEMENTO ALION EMPACADO UG 42,5 KG"/>
    <m/>
    <m/>
    <s v="CEMENTO UG 42,5 KG"/>
    <x v="5"/>
    <x v="5"/>
    <s v="7999999995CEMCUGB42CEMENTO UG 42,5 KG"/>
    <x v="3"/>
    <x v="0"/>
  </r>
  <r>
    <n v="7199990001"/>
    <s v="CONSUMOS SEMIELBORAD"/>
    <m/>
    <n v="2729.8954788504893"/>
    <s v="T"/>
    <s v="M"/>
    <s v="1410900101"/>
    <s v="INV. SEMIELABORADO"/>
    <s v="EC01"/>
    <s v="CEMENTOUG1"/>
    <n v="700004"/>
    <x v="7"/>
    <s v="CEMENTO UG"/>
    <m/>
    <m/>
    <s v="CEMENTO UG 42,5 KG"/>
    <x v="5"/>
    <x v="5"/>
    <s v="7199990001CEMENTOUG1CEMENTO UG 42,5 KG"/>
    <x v="26"/>
    <x v="0"/>
  </r>
  <r>
    <n v="7360050302"/>
    <s v="CTO BOLSAS IMP"/>
    <n v="63617484.239131808"/>
    <n v="65517.491492411747"/>
    <s v="UN"/>
    <s v="M"/>
    <s v="1460050302"/>
    <s v="INV BOLSAS IMP"/>
    <s v="EC01"/>
    <s v="22000000006"/>
    <n v="700004"/>
    <x v="7"/>
    <s v="BOLSA DE CEMENTO EMPAQUE DE 42.5 KG UG"/>
    <m/>
    <m/>
    <s v="CEMENTO UG 42,5 KG"/>
    <x v="5"/>
    <x v="5"/>
    <s v="736005030222000000006CEMENTO UG 42,5 KG"/>
    <x v="27"/>
    <x v="0"/>
  </r>
  <r>
    <n v="7999999995"/>
    <s v="TRASLADO DE COSTOS"/>
    <m/>
    <n v="-64232.834796482108"/>
    <s v="UN"/>
    <s v="M"/>
    <s v="1430050101"/>
    <s v="INV. PTO MANUFACTURA"/>
    <s v="EC01"/>
    <s v="CEMCUGB42"/>
    <n v="700004"/>
    <x v="7"/>
    <s v="CEMENTO ALION EMPACADO UG 42,5 KG"/>
    <m/>
    <m/>
    <s v="CEMENTO UG 42,5 KG"/>
    <x v="5"/>
    <x v="5"/>
    <s v="7999999995CEMCUGB42CEMENTO UG 42,5 KG"/>
    <x v="3"/>
    <x v="0"/>
  </r>
  <r>
    <n v="7199990001"/>
    <s v="CONSUMOS SEMIELBORAD"/>
    <m/>
    <n v="2891.7355634410037"/>
    <s v="T"/>
    <s v="M"/>
    <s v="1410900101"/>
    <s v="INV. SEMIELABORADO"/>
    <s v="EC01"/>
    <s v="CEMENTOUG1"/>
    <n v="700004"/>
    <x v="8"/>
    <s v="CEMENTO UG"/>
    <m/>
    <m/>
    <s v="CEMENTO UG 42,5 KG"/>
    <x v="5"/>
    <x v="5"/>
    <s v="7199990001CEMENTOUG1CEMENTO UG 42,5 KG"/>
    <x v="26"/>
    <x v="0"/>
  </r>
  <r>
    <n v="7360050302"/>
    <s v="CTO BOLSAS IMP"/>
    <n v="69609858.483151838"/>
    <n v="69401.653522584093"/>
    <s v="UN"/>
    <s v="M"/>
    <s v="1460050302"/>
    <s v="INV BOLSAS IMP"/>
    <s v="EC01"/>
    <s v="22000000006"/>
    <n v="700004"/>
    <x v="8"/>
    <s v="BOLSA DE CEMENTO EMPAQUE DE 42.5 KG UG"/>
    <m/>
    <m/>
    <s v="CEMENTO UG 42,5 KG"/>
    <x v="5"/>
    <x v="5"/>
    <s v="736005030222000000006CEMENTO UG 42,5 KG"/>
    <x v="27"/>
    <x v="0"/>
  </r>
  <r>
    <n v="7999999995"/>
    <s v="TRASLADO DE COSTOS"/>
    <m/>
    <n v="-68040.836786847154"/>
    <s v="UN"/>
    <s v="M"/>
    <s v="1430050101"/>
    <s v="INV. PTO MANUFACTURA"/>
    <s v="EC01"/>
    <s v="CEMCUGB42"/>
    <n v="700004"/>
    <x v="8"/>
    <s v="CEMENTO ALION EMPACADO UG 42,5 KG"/>
    <m/>
    <m/>
    <s v="CEMENTO UG 42,5 KG"/>
    <x v="5"/>
    <x v="5"/>
    <s v="7999999995CEMCUGB42CEMENTO UG 42,5 KG"/>
    <x v="3"/>
    <x v="0"/>
  </r>
  <r>
    <n v="7199990001"/>
    <s v="CONSUMOS SEMIELBORAD"/>
    <m/>
    <n v="2938.2027138787703"/>
    <s v="T"/>
    <s v="M"/>
    <s v="1410900101"/>
    <s v="INV. SEMIELABORADO"/>
    <s v="EC01"/>
    <s v="CEMENTOUG1"/>
    <n v="700004"/>
    <x v="9"/>
    <s v="CEMENTO UG"/>
    <m/>
    <m/>
    <s v="CEMENTO UG 42,5 KG"/>
    <x v="5"/>
    <x v="5"/>
    <s v="7199990001CEMENTOUG1CEMENTO UG 42,5 KG"/>
    <x v="26"/>
    <x v="0"/>
  </r>
  <r>
    <n v="7360050302"/>
    <s v="CTO BOLSAS IMP"/>
    <n v="70728415.728489757"/>
    <n v="70516.865133090483"/>
    <s v="UN"/>
    <s v="M"/>
    <s v="1460050302"/>
    <s v="INV BOLSAS IMP"/>
    <s v="EC01"/>
    <s v="22000000006"/>
    <n v="700004"/>
    <x v="9"/>
    <s v="BOLSA DE CEMENTO EMPAQUE DE 42.5 KG UG"/>
    <m/>
    <m/>
    <s v="CEMENTO UG 42,5 KG"/>
    <x v="5"/>
    <x v="5"/>
    <s v="736005030222000000006CEMENTO UG 42,5 KG"/>
    <x v="27"/>
    <x v="0"/>
  </r>
  <r>
    <n v="7999999995"/>
    <s v="TRASLADO DE COSTOS"/>
    <m/>
    <n v="-69134.181503029889"/>
    <s v="UN"/>
    <s v="M"/>
    <s v="1430050101"/>
    <s v="INV. PTO MANUFACTURA"/>
    <s v="EC01"/>
    <s v="CEMCUGB42"/>
    <n v="700004"/>
    <x v="9"/>
    <s v="CEMENTO ALION EMPACADO UG 42,5 KG"/>
    <m/>
    <m/>
    <s v="CEMENTO UG 42,5 KG"/>
    <x v="5"/>
    <x v="5"/>
    <s v="7999999995CEMCUGB42CEMENTO UG 42,5 KG"/>
    <x v="3"/>
    <x v="0"/>
  </r>
  <r>
    <n v="7199990001"/>
    <s v="CONSUMOS SEMIELBORAD"/>
    <m/>
    <n v="2753.9586748532015"/>
    <s v="T"/>
    <s v="M"/>
    <s v="1410900101"/>
    <s v="INV. SEMIELABORADO"/>
    <s v="EC01"/>
    <s v="CEMENTOUG1"/>
    <n v="700004"/>
    <x v="10"/>
    <s v="CEMENTO UG"/>
    <m/>
    <m/>
    <s v="CEMENTO UG 42,5 KG"/>
    <x v="5"/>
    <x v="5"/>
    <s v="7199990001CEMENTOUG1CEMENTO UG 42,5 KG"/>
    <x v="26"/>
    <x v="0"/>
  </r>
  <r>
    <n v="7360050302"/>
    <s v="CTO BOLSAS IMP"/>
    <n v="66293293.221066266"/>
    <n v="66095.008196476832"/>
    <s v="UN"/>
    <s v="M"/>
    <s v="1460050302"/>
    <s v="INV BOLSAS IMP"/>
    <s v="EC01"/>
    <s v="22000000006"/>
    <n v="700004"/>
    <x v="10"/>
    <s v="BOLSA DE CEMENTO EMPAQUE DE 42.5 KG UG"/>
    <m/>
    <m/>
    <s v="CEMENTO UG 42,5 KG"/>
    <x v="5"/>
    <x v="5"/>
    <s v="736005030222000000006CEMENTO UG 42,5 KG"/>
    <x v="27"/>
    <x v="0"/>
  </r>
  <r>
    <n v="7999999995"/>
    <s v="TRASLADO DE COSTOS"/>
    <m/>
    <n v="-64799.027643604742"/>
    <s v="UN"/>
    <s v="M"/>
    <s v="1430050101"/>
    <s v="INV. PTO MANUFACTURA"/>
    <s v="EC01"/>
    <s v="CEMCUGB42"/>
    <n v="700004"/>
    <x v="10"/>
    <s v="CEMENTO ALION EMPACADO UG 42,5 KG"/>
    <m/>
    <m/>
    <s v="CEMENTO UG 42,5 KG"/>
    <x v="5"/>
    <x v="5"/>
    <s v="7999999995CEMCUGB42CEMENTO UG 42,5 KG"/>
    <x v="3"/>
    <x v="0"/>
  </r>
  <r>
    <n v="7199990001"/>
    <s v="CONSUMOS SEMIELBORAD"/>
    <m/>
    <n v="2850.3275597760935"/>
    <s v="T"/>
    <s v="M"/>
    <s v="1410900101"/>
    <s v="INV. SEMIELABORADO"/>
    <s v="EC01"/>
    <s v="CEMENTOUG1"/>
    <n v="700004"/>
    <x v="11"/>
    <s v="CEMENTO UG"/>
    <m/>
    <m/>
    <s v="CEMENTO UG 42,5 KG"/>
    <x v="5"/>
    <x v="5"/>
    <s v="7199990001CEMENTOUG1CEMENTO UG 42,5 KG"/>
    <x v="26"/>
    <x v="0"/>
  </r>
  <r>
    <n v="7360050302"/>
    <s v="CTO BOLSAS IMP"/>
    <n v="68613085.018930122"/>
    <n v="68407.861434626248"/>
    <s v="UN"/>
    <s v="M"/>
    <s v="1460050302"/>
    <s v="INV BOLSAS IMP"/>
    <s v="EC01"/>
    <s v="22000000006"/>
    <n v="700004"/>
    <x v="11"/>
    <s v="BOLSA DE CEMENTO EMPAQUE DE 42.5 KG UG"/>
    <m/>
    <m/>
    <s v="CEMENTO UG 42,5 KG"/>
    <x v="5"/>
    <x v="5"/>
    <s v="736005030222000000006CEMENTO UG 42,5 KG"/>
    <x v="27"/>
    <x v="0"/>
  </r>
  <r>
    <n v="7999999995"/>
    <s v="TRASLADO DE COSTOS"/>
    <m/>
    <n v="-67066.530818261032"/>
    <s v="UN"/>
    <s v="M"/>
    <s v="1430050101"/>
    <s v="INV. PTO MANUFACTURA"/>
    <s v="EC01"/>
    <s v="CEMCUGB42"/>
    <n v="700004"/>
    <x v="11"/>
    <s v="CEMENTO ALION EMPACADO UG 42,5 KG"/>
    <m/>
    <m/>
    <s v="CEMENTO UG 42,5 KG"/>
    <x v="5"/>
    <x v="5"/>
    <s v="7999999995CEMCUGB42CEMENTO UG 42,5 KG"/>
    <x v="3"/>
    <x v="0"/>
  </r>
  <r>
    <n v="7199990001"/>
    <s v="CONSUMOS SEMIELBORAD"/>
    <n v="1205717663.6882377"/>
    <n v="86257.425742574254"/>
    <s v="T"/>
    <s v="M"/>
    <s v="1410900101"/>
    <s v="INV. SEMIELABORADO"/>
    <s v="IA01"/>
    <s v="CALTLVTRIT"/>
    <n v="700007"/>
    <x v="0"/>
    <s v="CALIZA EN TOLVA TRITURADORA"/>
    <m/>
    <m/>
    <s v="MEZCLA PREHOMO"/>
    <x v="6"/>
    <x v="6"/>
    <s v="7199990001CALTLVTRITTrituración"/>
    <x v="1"/>
    <x v="0"/>
  </r>
  <r>
    <n v="7199990001"/>
    <s v="CONSUMOS SEMIELBORAD"/>
    <n v="240535379.39809898"/>
    <n v="22642.574257425738"/>
    <s v="T"/>
    <s v="M"/>
    <s v="1410900101"/>
    <s v="INV. SEMIELABORADO"/>
    <s v="IA01"/>
    <s v="ARCTLVTRIT"/>
    <n v="700007"/>
    <x v="0"/>
    <s v="ARCILLA EN TOLVA TRITURADORA"/>
    <m/>
    <m/>
    <s v="MEZCLA PREHOMO"/>
    <x v="6"/>
    <x v="6"/>
    <s v="7199990001ARCTLVTRITTrituración"/>
    <x v="28"/>
    <x v="0"/>
  </r>
  <r>
    <n v="7999999995"/>
    <s v="TRASLADO DE COSTOS"/>
    <m/>
    <n v="-108900"/>
    <s v="T"/>
    <s v="M"/>
    <s v="1430100001"/>
    <s v="PTO EXTRAID/PROCESA"/>
    <s v="IA01"/>
    <s v="MEZCPREHO"/>
    <n v="700007"/>
    <x v="0"/>
    <s v="MEZCLA PREHOMO"/>
    <m/>
    <m/>
    <s v="MEZCLA PREHOMO"/>
    <x v="6"/>
    <x v="6"/>
    <s v="7999999995MEZCPREHOTrituración"/>
    <x v="3"/>
    <x v="0"/>
  </r>
  <r>
    <n v="7355250320"/>
    <s v="RTOS VARIA IMPO"/>
    <n v="98392450.158224955"/>
    <n v="108900"/>
    <m/>
    <m/>
    <m/>
    <m/>
    <s v="IA01"/>
    <s v="BARRAS Y PLACAS"/>
    <n v="700007"/>
    <x v="0"/>
    <s v="MEZCLA PREHOMO"/>
    <m/>
    <m/>
    <s v="MEZCLA PREHOMO"/>
    <x v="6"/>
    <x v="6"/>
    <s v="7355250320BARRAS Y PLACASTrituración"/>
    <x v="29"/>
    <x v="0"/>
  </r>
  <r>
    <n v="7199990001"/>
    <s v="CONSUMOS SEMIELBORAD"/>
    <n v="1223986113.1380594"/>
    <n v="87564.356435643567"/>
    <s v="T"/>
    <s v="M"/>
    <s v="1410900101"/>
    <s v="INV. SEMIELABORADO"/>
    <s v="IA01"/>
    <s v="CALTLVTRIT"/>
    <n v="700007"/>
    <x v="1"/>
    <s v="CALIZA EN TOLVA TRITURADORA"/>
    <m/>
    <m/>
    <s v="MEZCLA PREHOMO"/>
    <x v="6"/>
    <x v="6"/>
    <s v="7199990001CALTLVTRITTrituración"/>
    <x v="1"/>
    <x v="0"/>
  </r>
  <r>
    <n v="7199990001"/>
    <s v="CONSUMOS SEMIELBORAD"/>
    <n v="244179854.84352472"/>
    <n v="22985.643564356433"/>
    <s v="T"/>
    <s v="M"/>
    <s v="1410900101"/>
    <s v="INV. SEMIELABORADO"/>
    <s v="IA01"/>
    <s v="ARCTLVTRIT"/>
    <n v="700007"/>
    <x v="1"/>
    <s v="ARCILLA EN TOLVA TRITURADORA"/>
    <m/>
    <m/>
    <s v="MEZCLA PREHOMO"/>
    <x v="6"/>
    <x v="6"/>
    <s v="7199990001ARCTLVTRITTrituración"/>
    <x v="28"/>
    <x v="0"/>
  </r>
  <r>
    <n v="7999999995"/>
    <s v="TRASLADO DE COSTOS"/>
    <m/>
    <n v="-110550"/>
    <s v="T"/>
    <s v="M"/>
    <s v="1430100001"/>
    <s v="PTO EXTRAID/PROCESA"/>
    <s v="IA01"/>
    <s v="MEZCPREHO"/>
    <n v="700007"/>
    <x v="1"/>
    <s v="MEZCLA PREHOMO"/>
    <m/>
    <m/>
    <s v="MEZCLA PREHOMO"/>
    <x v="6"/>
    <x v="6"/>
    <s v="7999999995MEZCPREHOTrituración"/>
    <x v="3"/>
    <x v="0"/>
  </r>
  <r>
    <n v="7355250320"/>
    <s v="RTOS VARIA IMPO"/>
    <n v="99883244.857592002"/>
    <n v="110550"/>
    <m/>
    <m/>
    <m/>
    <m/>
    <s v="IA01"/>
    <s v="BARRAS Y PLACAS"/>
    <n v="700007"/>
    <x v="1"/>
    <s v="MEZCLA PREHOMO"/>
    <m/>
    <m/>
    <s v="MEZCLA PREHOMO"/>
    <x v="6"/>
    <x v="6"/>
    <s v="7355250320BARRAS Y PLACASTrituración"/>
    <x v="29"/>
    <x v="0"/>
  </r>
  <r>
    <n v="7199990001"/>
    <s v="CONSUMOS SEMIELBORAD"/>
    <n v="913422472.49108922"/>
    <n v="65346.534653465351"/>
    <s v="T"/>
    <s v="M"/>
    <s v="1410900101"/>
    <s v="INV. SEMIELABORADO"/>
    <s v="IA01"/>
    <s v="CALTLVTRIT"/>
    <n v="700007"/>
    <x v="2"/>
    <s v="CALIZA EN TOLVA TRITURADORA"/>
    <m/>
    <m/>
    <s v="MEZCLA PREHOMO"/>
    <x v="6"/>
    <x v="6"/>
    <s v="7199990001CALTLVTRITTrituración"/>
    <x v="1"/>
    <x v="0"/>
  </r>
  <r>
    <n v="7199990001"/>
    <s v="CONSUMOS SEMIELBORAD"/>
    <n v="182223772.27128708"/>
    <n v="17153.465346534649"/>
    <s v="T"/>
    <s v="M"/>
    <s v="1410900101"/>
    <s v="INV. SEMIELABORADO"/>
    <s v="IA01"/>
    <s v="ARCTLVTRIT"/>
    <n v="700007"/>
    <x v="2"/>
    <s v="ARCILLA EN TOLVA TRITURADORA"/>
    <m/>
    <m/>
    <s v="MEZCLA PREHOMO"/>
    <x v="6"/>
    <x v="6"/>
    <s v="7199990001ARCTLVTRITTrituración"/>
    <x v="28"/>
    <x v="0"/>
  </r>
  <r>
    <n v="7999999995"/>
    <s v="TRASLADO DE COSTOS"/>
    <m/>
    <n v="-82500"/>
    <s v="T"/>
    <s v="M"/>
    <s v="1430100001"/>
    <s v="PTO EXTRAID/PROCESA"/>
    <s v="IA01"/>
    <s v="MEZCPREHO"/>
    <n v="700007"/>
    <x v="2"/>
    <s v="MEZCLA PREHOMO"/>
    <m/>
    <m/>
    <s v="MEZCLA PREHOMO"/>
    <x v="6"/>
    <x v="6"/>
    <s v="7999999995MEZCPREHOTrituración"/>
    <x v="3"/>
    <x v="0"/>
  </r>
  <r>
    <n v="7355250320"/>
    <s v="RTOS VARIA IMPO"/>
    <n v="74539734.968352243"/>
    <n v="82500"/>
    <m/>
    <m/>
    <m/>
    <m/>
    <s v="IA01"/>
    <s v="BARRAS Y PLACAS"/>
    <n v="700007"/>
    <x v="2"/>
    <s v="MEZCLA PREHOMO"/>
    <m/>
    <m/>
    <s v="MEZCLA PREHOMO"/>
    <x v="6"/>
    <x v="6"/>
    <s v="7355250320BARRAS Y PLACASTrituración"/>
    <x v="29"/>
    <x v="0"/>
  </r>
  <r>
    <n v="7199990001"/>
    <s v="CONSUMOS SEMIELBORAD"/>
    <n v="895154023.0412674"/>
    <n v="64039.603960396045"/>
    <s v="T"/>
    <s v="M"/>
    <s v="1410900101"/>
    <s v="INV. SEMIELABORADO"/>
    <s v="IA01"/>
    <s v="CALTLVTRIT"/>
    <n v="700007"/>
    <x v="3"/>
    <s v="CALIZA EN TOLVA TRITURADORA"/>
    <m/>
    <m/>
    <s v="MEZCLA PREHOMO"/>
    <x v="6"/>
    <x v="6"/>
    <s v="7199990001CALTLVTRITTrituración"/>
    <x v="1"/>
    <x v="0"/>
  </r>
  <r>
    <n v="7199990001"/>
    <s v="CONSUMOS SEMIELBORAD"/>
    <n v="178579296.82586136"/>
    <n v="16810.396039603958"/>
    <s v="T"/>
    <s v="M"/>
    <s v="1410900101"/>
    <s v="INV. SEMIELABORADO"/>
    <s v="IA01"/>
    <s v="ARCTLVTRIT"/>
    <n v="700007"/>
    <x v="3"/>
    <s v="ARCILLA EN TOLVA TRITURADORA"/>
    <m/>
    <m/>
    <s v="MEZCLA PREHOMO"/>
    <x v="6"/>
    <x v="6"/>
    <s v="7199990001ARCTLVTRITTrituración"/>
    <x v="28"/>
    <x v="0"/>
  </r>
  <r>
    <n v="7999999995"/>
    <s v="TRASLADO DE COSTOS"/>
    <m/>
    <n v="-80850"/>
    <s v="T"/>
    <s v="M"/>
    <s v="1430100001"/>
    <s v="PTO EXTRAID/PROCESA"/>
    <s v="IA01"/>
    <s v="MEZCPREHO"/>
    <n v="700007"/>
    <x v="3"/>
    <s v="MEZCLA PREHOMO"/>
    <m/>
    <m/>
    <s v="MEZCLA PREHOMO"/>
    <x v="6"/>
    <x v="6"/>
    <s v="7999999995MEZCPREHOTrituración"/>
    <x v="3"/>
    <x v="0"/>
  </r>
  <r>
    <n v="7355250320"/>
    <s v="RTOS VARIA IMPO"/>
    <n v="73048940.268985197"/>
    <n v="80850"/>
    <m/>
    <m/>
    <m/>
    <m/>
    <s v="IA01"/>
    <s v="BARRAS Y PLACAS"/>
    <n v="700007"/>
    <x v="3"/>
    <s v="MEZCLA PREHOMO"/>
    <m/>
    <m/>
    <s v="MEZCLA PREHOMO"/>
    <x v="6"/>
    <x v="6"/>
    <s v="7355250320BARRAS Y PLACASTrituración"/>
    <x v="29"/>
    <x v="0"/>
  </r>
  <r>
    <n v="7199990001"/>
    <s v="CONSUMOS SEMIELBORAD"/>
    <n v="1351865259.2868118"/>
    <n v="96712.871287128713"/>
    <s v="T"/>
    <s v="M"/>
    <s v="1410900101"/>
    <s v="INV. SEMIELABORADO"/>
    <s v="IA01"/>
    <s v="CALTLVTRIT"/>
    <n v="700007"/>
    <x v="4"/>
    <s v="CALIZA EN TOLVA TRITURADORA"/>
    <m/>
    <m/>
    <s v="MEZCLA PREHOMO"/>
    <x v="6"/>
    <x v="6"/>
    <s v="7199990001CALTLVTRITTrituración"/>
    <x v="1"/>
    <x v="0"/>
  </r>
  <r>
    <n v="7199990001"/>
    <s v="CONSUMOS SEMIELBORAD"/>
    <n v="269691182.96150488"/>
    <n v="25387.128712871283"/>
    <s v="T"/>
    <s v="M"/>
    <s v="1410900101"/>
    <s v="INV. SEMIELABORADO"/>
    <s v="IA01"/>
    <s v="ARCTLVTRIT"/>
    <n v="700007"/>
    <x v="4"/>
    <s v="ARCILLA EN TOLVA TRITURADORA"/>
    <m/>
    <m/>
    <s v="MEZCLA PREHOMO"/>
    <x v="6"/>
    <x v="6"/>
    <s v="7199990001ARCTLVTRITTrituración"/>
    <x v="28"/>
    <x v="0"/>
  </r>
  <r>
    <n v="7999999995"/>
    <s v="TRASLADO DE COSTOS"/>
    <m/>
    <n v="-122100"/>
    <s v="T"/>
    <s v="M"/>
    <s v="1430100001"/>
    <s v="PTO EXTRAID/PROCESA"/>
    <s v="IA01"/>
    <s v="MEZCPREHO"/>
    <n v="700007"/>
    <x v="4"/>
    <s v="MEZCLA PREHOMO"/>
    <m/>
    <m/>
    <s v="MEZCLA PREHOMO"/>
    <x v="6"/>
    <x v="6"/>
    <s v="7999999995MEZCPREHOTrituración"/>
    <x v="3"/>
    <x v="0"/>
  </r>
  <r>
    <n v="7355250320"/>
    <s v="RTOS VARIA IMPO"/>
    <n v="110318807.75316131"/>
    <n v="122100"/>
    <m/>
    <m/>
    <m/>
    <m/>
    <s v="IA01"/>
    <s v="BARRAS Y PLACAS"/>
    <n v="700007"/>
    <x v="4"/>
    <s v="MEZCLA PREHOMO"/>
    <m/>
    <m/>
    <s v="MEZCLA PREHOMO"/>
    <x v="6"/>
    <x v="6"/>
    <s v="7355250320BARRAS Y PLACASTrituración"/>
    <x v="29"/>
    <x v="0"/>
  </r>
  <r>
    <n v="7199990001"/>
    <s v="CONSUMOS SEMIELBORAD"/>
    <n v="593724607.11920798"/>
    <n v="42475.247524752478"/>
    <s v="T"/>
    <s v="M"/>
    <s v="1410900101"/>
    <s v="INV. SEMIELABORADO"/>
    <s v="IA01"/>
    <s v="CALTLVTRIT"/>
    <n v="700007"/>
    <x v="5"/>
    <s v="CALIZA EN TOLVA TRITURADORA"/>
    <m/>
    <m/>
    <s v="MEZCLA PREHOMO"/>
    <x v="6"/>
    <x v="6"/>
    <s v="7199990001CALTLVTRITTrituración"/>
    <x v="1"/>
    <x v="0"/>
  </r>
  <r>
    <n v="7199990001"/>
    <s v="CONSUMOS SEMIELBORAD"/>
    <n v="118445451.9763366"/>
    <n v="11149.752475247522"/>
    <s v="T"/>
    <s v="M"/>
    <s v="1410900101"/>
    <s v="INV. SEMIELABORADO"/>
    <s v="IA01"/>
    <s v="ARCTLVTRIT"/>
    <n v="700007"/>
    <x v="5"/>
    <s v="ARCILLA EN TOLVA TRITURADORA"/>
    <m/>
    <m/>
    <s v="MEZCLA PREHOMO"/>
    <x v="6"/>
    <x v="6"/>
    <s v="7199990001ARCTLVTRITTrituración"/>
    <x v="28"/>
    <x v="0"/>
  </r>
  <r>
    <n v="7999999995"/>
    <s v="TRASLADO DE COSTOS"/>
    <m/>
    <n v="-53625"/>
    <s v="T"/>
    <s v="M"/>
    <s v="1430100001"/>
    <s v="PTO EXTRAID/PROCESA"/>
    <s v="IA01"/>
    <s v="MEZCPREHO"/>
    <n v="700007"/>
    <x v="5"/>
    <s v="MEZCLA PREHOMO"/>
    <m/>
    <m/>
    <s v="MEZCLA PREHOMO"/>
    <x v="6"/>
    <x v="6"/>
    <s v="7999999995MEZCPREHOTrituración"/>
    <x v="3"/>
    <x v="0"/>
  </r>
  <r>
    <n v="7355250320"/>
    <s v="RTOS VARIA IMPO"/>
    <n v="48450827.729428954"/>
    <n v="53625"/>
    <m/>
    <m/>
    <m/>
    <m/>
    <s v="IA01"/>
    <s v="BARRAS Y PLACAS"/>
    <n v="700007"/>
    <x v="5"/>
    <s v="MEZCLA PREHOMO"/>
    <m/>
    <m/>
    <s v="MEZCLA PREHOMO"/>
    <x v="6"/>
    <x v="6"/>
    <s v="7355250320BARRAS Y PLACASTrituración"/>
    <x v="29"/>
    <x v="0"/>
  </r>
  <r>
    <n v="7199990001"/>
    <s v="CONSUMOS SEMIELBORAD"/>
    <n v="1114375416.4391286"/>
    <n v="79722.772277227719"/>
    <s v="T"/>
    <s v="M"/>
    <s v="1410900101"/>
    <s v="INV. SEMIELABORADO"/>
    <s v="IA01"/>
    <s v="CALTLVTRIT"/>
    <n v="700007"/>
    <x v="6"/>
    <s v="CALIZA EN TOLVA TRITURADORA"/>
    <m/>
    <m/>
    <s v="MEZCLA PREHOMO"/>
    <x v="6"/>
    <x v="6"/>
    <s v="7199990001CALTLVTRITTrituración"/>
    <x v="1"/>
    <x v="0"/>
  </r>
  <r>
    <n v="7199990001"/>
    <s v="CONSUMOS SEMIELBORAD"/>
    <n v="222313002.17097026"/>
    <n v="20927.227722772273"/>
    <s v="T"/>
    <s v="M"/>
    <s v="1410900101"/>
    <s v="INV. SEMIELABORADO"/>
    <s v="IA01"/>
    <s v="ARCTLVTRIT"/>
    <n v="700007"/>
    <x v="6"/>
    <s v="ARCILLA EN TOLVA TRITURADORA"/>
    <m/>
    <m/>
    <s v="MEZCLA PREHOMO"/>
    <x v="6"/>
    <x v="6"/>
    <s v="7199990001ARCTLVTRITTrituración"/>
    <x v="28"/>
    <x v="0"/>
  </r>
  <r>
    <n v="7999999995"/>
    <s v="TRASLADO DE COSTOS"/>
    <m/>
    <n v="-100650"/>
    <s v="T"/>
    <s v="M"/>
    <s v="1430100001"/>
    <s v="PTO EXTRAID/PROCESA"/>
    <s v="IA01"/>
    <s v="MEZCPREHO"/>
    <n v="700007"/>
    <x v="6"/>
    <s v="MEZCLA PREHOMO"/>
    <m/>
    <m/>
    <s v="MEZCLA PREHOMO"/>
    <x v="6"/>
    <x v="6"/>
    <s v="7999999995MEZCPREHOTrituración"/>
    <x v="3"/>
    <x v="0"/>
  </r>
  <r>
    <n v="7355250320"/>
    <s v="RTOS VARIA IMPO"/>
    <n v="90938476.661389723"/>
    <n v="100650"/>
    <m/>
    <m/>
    <m/>
    <m/>
    <s v="IA01"/>
    <s v="BARRAS Y PLACAS"/>
    <n v="700007"/>
    <x v="6"/>
    <s v="MEZCLA PREHOMO"/>
    <m/>
    <m/>
    <s v="MEZCLA PREHOMO"/>
    <x v="6"/>
    <x v="6"/>
    <s v="7355250320BARRAS Y PLACASTrituración"/>
    <x v="29"/>
    <x v="0"/>
  </r>
  <r>
    <n v="7199990001"/>
    <s v="CONSUMOS SEMIELBORAD"/>
    <n v="1370133708.7366338"/>
    <n v="98019.801980198026"/>
    <s v="T"/>
    <s v="M"/>
    <s v="1410900101"/>
    <s v="INV. SEMIELABORADO"/>
    <s v="IA01"/>
    <s v="CALTLVTRIT"/>
    <n v="700007"/>
    <x v="7"/>
    <s v="CALIZA EN TOLVA TRITURADORA"/>
    <m/>
    <m/>
    <s v="MEZCLA PREHOMO"/>
    <x v="6"/>
    <x v="6"/>
    <s v="7199990001CALTLVTRITTrituración"/>
    <x v="1"/>
    <x v="0"/>
  </r>
  <r>
    <n v="7199990001"/>
    <s v="CONSUMOS SEMIELBORAD"/>
    <n v="273335658.40693069"/>
    <n v="25730.198019801977"/>
    <s v="T"/>
    <s v="M"/>
    <s v="1410900101"/>
    <s v="INV. SEMIELABORADO"/>
    <s v="IA01"/>
    <s v="ARCTLVTRIT"/>
    <n v="700007"/>
    <x v="7"/>
    <s v="ARCILLA EN TOLVA TRITURADORA"/>
    <m/>
    <m/>
    <s v="MEZCLA PREHOMO"/>
    <x v="6"/>
    <x v="6"/>
    <s v="7199990001ARCTLVTRITTrituración"/>
    <x v="28"/>
    <x v="0"/>
  </r>
  <r>
    <n v="7999999995"/>
    <s v="TRASLADO DE COSTOS"/>
    <m/>
    <n v="-123750"/>
    <s v="T"/>
    <s v="M"/>
    <s v="1430100001"/>
    <s v="PTO EXTRAID/PROCESA"/>
    <s v="IA01"/>
    <s v="MEZCPREHO"/>
    <n v="700007"/>
    <x v="7"/>
    <s v="MEZCLA PREHOMO"/>
    <m/>
    <m/>
    <s v="MEZCLA PREHOMO"/>
    <x v="6"/>
    <x v="6"/>
    <s v="7999999995MEZCPREHOTrituración"/>
    <x v="3"/>
    <x v="0"/>
  </r>
  <r>
    <n v="7355250320"/>
    <s v="RTOS VARIA IMPO"/>
    <n v="111809602.45252836"/>
    <n v="123750"/>
    <m/>
    <m/>
    <m/>
    <m/>
    <s v="IA01"/>
    <s v="BARRAS Y PLACAS"/>
    <n v="700007"/>
    <x v="7"/>
    <s v="MEZCLA PREHOMO"/>
    <m/>
    <m/>
    <s v="MEZCLA PREHOMO"/>
    <x v="6"/>
    <x v="6"/>
    <s v="7355250320BARRAS Y PLACASTrituración"/>
    <x v="29"/>
    <x v="0"/>
  </r>
  <r>
    <n v="7199990001"/>
    <s v="CONSUMOS SEMIELBORAD"/>
    <n v="1050435843.3647524"/>
    <n v="75148.514851485146"/>
    <s v="T"/>
    <s v="M"/>
    <s v="1410900101"/>
    <s v="INV. SEMIELABORADO"/>
    <s v="IA01"/>
    <s v="CALTLVTRIT"/>
    <n v="700007"/>
    <x v="8"/>
    <s v="CALIZA EN TOLVA TRITURADORA"/>
    <m/>
    <m/>
    <s v="MEZCLA PREHOMO"/>
    <x v="6"/>
    <x v="6"/>
    <s v="7199990001CALTLVTRITTrituración"/>
    <x v="1"/>
    <x v="0"/>
  </r>
  <r>
    <n v="7199990001"/>
    <s v="CONSUMOS SEMIELBORAD"/>
    <n v="209557338.11198014"/>
    <n v="19726.485148514847"/>
    <s v="T"/>
    <s v="M"/>
    <s v="1410900101"/>
    <s v="INV. SEMIELABORADO"/>
    <s v="IA01"/>
    <s v="ARCTLVTRIT"/>
    <n v="700007"/>
    <x v="8"/>
    <s v="ARCILLA EN TOLVA TRITURADORA"/>
    <m/>
    <m/>
    <s v="MEZCLA PREHOMO"/>
    <x v="6"/>
    <x v="6"/>
    <s v="7199990001ARCTLVTRITTrituración"/>
    <x v="28"/>
    <x v="0"/>
  </r>
  <r>
    <n v="7999999995"/>
    <s v="TRASLADO DE COSTOS"/>
    <m/>
    <n v="-94875"/>
    <s v="T"/>
    <s v="M"/>
    <s v="1430100001"/>
    <s v="PTO EXTRAID/PROCESA"/>
    <s v="IA01"/>
    <s v="MEZCPREHO"/>
    <n v="700007"/>
    <x v="8"/>
    <s v="MEZCLA PREHOMO"/>
    <m/>
    <m/>
    <s v="MEZCLA PREHOMO"/>
    <x v="6"/>
    <x v="6"/>
    <s v="7999999995MEZCPREHOTrituración"/>
    <x v="3"/>
    <x v="0"/>
  </r>
  <r>
    <n v="7355250320"/>
    <s v="RTOS VARIA IMPO"/>
    <n v="85720695.213605076"/>
    <n v="94875"/>
    <m/>
    <m/>
    <m/>
    <m/>
    <s v="IA01"/>
    <s v="BARRAS Y PLACAS"/>
    <n v="700007"/>
    <x v="8"/>
    <s v="MEZCLA PREHOMO"/>
    <m/>
    <m/>
    <s v="MEZCLA PREHOMO"/>
    <x v="6"/>
    <x v="6"/>
    <s v="7355250320BARRAS Y PLACASTrituración"/>
    <x v="29"/>
    <x v="0"/>
  </r>
  <r>
    <n v="7199990001"/>
    <s v="CONSUMOS SEMIELBORAD"/>
    <n v="822080225.24198031"/>
    <n v="58811.881188118816"/>
    <s v="T"/>
    <s v="M"/>
    <s v="1410900101"/>
    <s v="INV. SEMIELABORADO"/>
    <s v="IA01"/>
    <s v="CALTLVTRIT"/>
    <n v="700007"/>
    <x v="9"/>
    <s v="CALIZA EN TOLVA TRITURADORA"/>
    <m/>
    <m/>
    <s v="MEZCLA PREHOMO"/>
    <x v="6"/>
    <x v="6"/>
    <s v="7199990001CALTLVTRITTrituración"/>
    <x v="1"/>
    <x v="0"/>
  </r>
  <r>
    <n v="7199990001"/>
    <s v="CONSUMOS SEMIELBORAD"/>
    <n v="164001395.0441584"/>
    <n v="15438.118811881186"/>
    <s v="T"/>
    <s v="M"/>
    <s v="1410900101"/>
    <s v="INV. SEMIELABORADO"/>
    <s v="IA01"/>
    <s v="ARCTLVTRIT"/>
    <n v="700007"/>
    <x v="9"/>
    <s v="ARCILLA EN TOLVA TRITURADORA"/>
    <m/>
    <m/>
    <s v="MEZCLA PREHOMO"/>
    <x v="6"/>
    <x v="6"/>
    <s v="7199990001ARCTLVTRITTrituración"/>
    <x v="28"/>
    <x v="0"/>
  </r>
  <r>
    <n v="7999999995"/>
    <s v="TRASLADO DE COSTOS"/>
    <m/>
    <n v="-74250"/>
    <s v="T"/>
    <s v="M"/>
    <s v="1430100001"/>
    <s v="PTO EXTRAID/PROCESA"/>
    <s v="IA01"/>
    <s v="MEZCPREHO"/>
    <n v="700007"/>
    <x v="9"/>
    <s v="MEZCLA PREHOMO"/>
    <m/>
    <m/>
    <s v="MEZCLA PREHOMO"/>
    <x v="6"/>
    <x v="6"/>
    <s v="7999999995MEZCPREHOTrituración"/>
    <x v="3"/>
    <x v="0"/>
  </r>
  <r>
    <n v="7355250320"/>
    <s v="RTOS VARIA IMPO"/>
    <n v="67085761.471517012"/>
    <n v="74250"/>
    <m/>
    <m/>
    <m/>
    <m/>
    <s v="IA01"/>
    <s v="BARRAS Y PLACAS"/>
    <n v="700007"/>
    <x v="9"/>
    <s v="MEZCLA PREHOMO"/>
    <m/>
    <m/>
    <s v="MEZCLA PREHOMO"/>
    <x v="6"/>
    <x v="6"/>
    <s v="7355250320BARRAS Y PLACASTrituración"/>
    <x v="29"/>
    <x v="0"/>
  </r>
  <r>
    <n v="7199990001"/>
    <s v="CONSUMOS SEMIELBORAD"/>
    <n v="1315328360.3871684"/>
    <n v="94099.009900990102"/>
    <s v="T"/>
    <s v="M"/>
    <s v="1410900101"/>
    <s v="INV. SEMIELABORADO"/>
    <s v="IA01"/>
    <s v="CALTLVTRIT"/>
    <n v="700007"/>
    <x v="10"/>
    <s v="CALIZA EN TOLVA TRITURADORA"/>
    <m/>
    <m/>
    <s v="MEZCLA PREHOMO"/>
    <x v="6"/>
    <x v="6"/>
    <s v="7199990001CALTLVTRITTrituración"/>
    <x v="1"/>
    <x v="0"/>
  </r>
  <r>
    <n v="7199990001"/>
    <s v="CONSUMOS SEMIELBORAD"/>
    <n v="262402232.07065344"/>
    <n v="24700.990099009898"/>
    <s v="T"/>
    <s v="M"/>
    <s v="1410900101"/>
    <s v="INV. SEMIELABORADO"/>
    <s v="IA01"/>
    <s v="ARCTLVTRIT"/>
    <n v="700007"/>
    <x v="10"/>
    <s v="ARCILLA EN TOLVA TRITURADORA"/>
    <m/>
    <m/>
    <s v="MEZCLA PREHOMO"/>
    <x v="6"/>
    <x v="6"/>
    <s v="7199990001ARCTLVTRITTrituración"/>
    <x v="28"/>
    <x v="0"/>
  </r>
  <r>
    <n v="7999999995"/>
    <s v="TRASLADO DE COSTOS"/>
    <m/>
    <n v="-118800"/>
    <s v="T"/>
    <s v="M"/>
    <s v="1430100001"/>
    <s v="PTO EXTRAID/PROCESA"/>
    <s v="IA01"/>
    <s v="MEZCPREHO"/>
    <n v="700007"/>
    <x v="10"/>
    <s v="MEZCLA PREHOMO"/>
    <m/>
    <m/>
    <s v="MEZCLA PREHOMO"/>
    <x v="6"/>
    <x v="6"/>
    <s v="7999999995MEZCPREHOTrituración"/>
    <x v="3"/>
    <x v="0"/>
  </r>
  <r>
    <n v="7355250320"/>
    <s v="RTOS VARIA IMPO"/>
    <n v="107337218.35442722"/>
    <n v="118800"/>
    <m/>
    <m/>
    <m/>
    <m/>
    <s v="IA01"/>
    <s v="BARRAS Y PLACAS"/>
    <n v="700007"/>
    <x v="10"/>
    <s v="MEZCLA PREHOMO"/>
    <m/>
    <m/>
    <s v="MEZCLA PREHOMO"/>
    <x v="6"/>
    <x v="6"/>
    <s v="7355250320BARRAS Y PLACASTrituración"/>
    <x v="29"/>
    <x v="0"/>
  </r>
  <r>
    <n v="7199990001"/>
    <s v="CONSUMOS SEMIELBORAD"/>
    <n v="838628926.7785604"/>
    <n v="59995.780567647751"/>
    <s v="T"/>
    <s v="M"/>
    <s v="1410900101"/>
    <s v="INV. SEMIELABORADO"/>
    <s v="IA01"/>
    <s v="CALTLVTRIT"/>
    <n v="700007"/>
    <x v="11"/>
    <s v="CALIZA EN TOLVA TRITURADORA"/>
    <m/>
    <m/>
    <s v="MEZCLA PREHOMO"/>
    <x v="6"/>
    <x v="6"/>
    <s v="7199990001CALTLVTRITTrituración"/>
    <x v="1"/>
    <x v="0"/>
  </r>
  <r>
    <n v="7199990001"/>
    <s v="CONSUMOS SEMIELBORAD"/>
    <n v="167302788.33259282"/>
    <n v="15748.892399007531"/>
    <s v="T"/>
    <s v="M"/>
    <s v="1410900101"/>
    <s v="INV. SEMIELABORADO"/>
    <s v="IA01"/>
    <s v="ARCTLVTRIT"/>
    <n v="700007"/>
    <x v="11"/>
    <s v="ARCILLA EN TOLVA TRITURADORA"/>
    <m/>
    <m/>
    <s v="MEZCLA PREHOMO"/>
    <x v="6"/>
    <x v="6"/>
    <s v="7199990001ARCTLVTRITTrituración"/>
    <x v="28"/>
    <x v="0"/>
  </r>
  <r>
    <n v="7999999995"/>
    <s v="TRASLADO DE COSTOS"/>
    <m/>
    <n v="-75744.672966655286"/>
    <s v="T"/>
    <s v="M"/>
    <s v="1430100001"/>
    <s v="PTO EXTRAID/PROCESA"/>
    <s v="IA01"/>
    <s v="MEZCPREHO"/>
    <n v="700007"/>
    <x v="11"/>
    <s v="MEZCLA PREHOMO"/>
    <m/>
    <m/>
    <s v="MEZCLA PREHOMO"/>
    <x v="6"/>
    <x v="6"/>
    <s v="7999999995MEZCPREHOTrituración"/>
    <x v="3"/>
    <x v="0"/>
  </r>
  <r>
    <n v="7355250320"/>
    <s v="RTOS VARIA IMPO"/>
    <n v="68436216.341806054"/>
    <n v="75744.672966655286"/>
    <m/>
    <m/>
    <m/>
    <m/>
    <s v="IA01"/>
    <s v="BARRAS Y PLACAS"/>
    <n v="700007"/>
    <x v="11"/>
    <s v="MEZCLA PREHOMO"/>
    <m/>
    <m/>
    <s v="MEZCLA PREHOMO"/>
    <x v="6"/>
    <x v="6"/>
    <s v="7355250320BARRAS Y PLACASTrituración"/>
    <x v="29"/>
    <x v="0"/>
  </r>
  <r>
    <n v="7199990001"/>
    <s v="CONSUMOS SEMIELBORAD"/>
    <n v="702297323.73576224"/>
    <n v="50242.574257425731"/>
    <s v="T"/>
    <s v="M"/>
    <s v="1410900101"/>
    <s v="INV. SEMIELABORADO"/>
    <s v="IA01"/>
    <s v="CALTLVTRIT"/>
    <n v="700005"/>
    <x v="0"/>
    <s v="CALIZA EN TOLVA TRITURADORA"/>
    <m/>
    <m/>
    <s v="CALIZA PARA ADICIONES"/>
    <x v="7"/>
    <x v="7"/>
    <s v="7199990001CALTLVTRITAdiciones"/>
    <x v="1"/>
    <x v="0"/>
  </r>
  <r>
    <n v="7999999995"/>
    <s v="TRASLADO DE COSTOS"/>
    <m/>
    <n v="-50242.574257425731"/>
    <s v="T"/>
    <s v="M"/>
    <s v="1430100001"/>
    <s v="PTO EXTRAID/PROCESA"/>
    <s v="IA01"/>
    <s v="CALIZATRI"/>
    <n v="700005"/>
    <x v="0"/>
    <s v="CALIZA TRITURADA"/>
    <m/>
    <m/>
    <s v="CALIZA PARA ADICIONES"/>
    <x v="7"/>
    <x v="7"/>
    <s v="7999999995CALIZATRIAdiciones"/>
    <x v="3"/>
    <x v="0"/>
  </r>
  <r>
    <n v="7355250320"/>
    <s v="RTOS VARIA IMPO"/>
    <n v="45394765.688197218"/>
    <n v="50242.574257425731"/>
    <m/>
    <m/>
    <m/>
    <m/>
    <s v="IA01"/>
    <s v="BARRAS Y PLACAS"/>
    <n v="700005"/>
    <x v="0"/>
    <s v="CALIZA TRITURADA"/>
    <m/>
    <m/>
    <s v="CALIZA PARA ADICIONES"/>
    <x v="7"/>
    <x v="7"/>
    <s v="7355250320BARRAS Y PLACASAdiciones"/>
    <x v="29"/>
    <x v="0"/>
  </r>
  <r>
    <n v="7199990001"/>
    <s v="CONSUMOS SEMIELBORAD"/>
    <n v="732952335.50194049"/>
    <n v="52435.643564356425"/>
    <s v="T"/>
    <s v="M"/>
    <s v="1410900101"/>
    <s v="INV. SEMIELABORADO"/>
    <s v="IA01"/>
    <s v="CALTLVTRIT"/>
    <n v="700005"/>
    <x v="1"/>
    <s v="CALIZA EN TOLVA TRITURADORA"/>
    <m/>
    <m/>
    <s v="CALIZA PARA ADICIONES"/>
    <x v="7"/>
    <x v="7"/>
    <s v="7199990001CALTLVTRITAdiciones"/>
    <x v="1"/>
    <x v="0"/>
  </r>
  <r>
    <n v="7999999995"/>
    <s v="TRASLADO DE COSTOS"/>
    <m/>
    <n v="-52435.643564356425"/>
    <s v="T"/>
    <s v="M"/>
    <s v="1430100001"/>
    <s v="PTO EXTRAID/PROCESA"/>
    <s v="IA01"/>
    <s v="CALIZATRI"/>
    <n v="700005"/>
    <x v="1"/>
    <s v="CALIZA TRITURADA"/>
    <m/>
    <m/>
    <s v="CALIZA PARA ADICIONES"/>
    <x v="7"/>
    <x v="7"/>
    <s v="7999999995CALIZATRIAdiciones"/>
    <x v="3"/>
    <x v="0"/>
  </r>
  <r>
    <n v="7355250320"/>
    <s v="RTOS VARIA IMPO"/>
    <n v="47376229.990086213"/>
    <n v="52435.643564356425"/>
    <m/>
    <m/>
    <m/>
    <m/>
    <s v="IA01"/>
    <s v="BARRAS Y PLACAS"/>
    <n v="700005"/>
    <x v="1"/>
    <s v="CALIZA TRITURADA"/>
    <m/>
    <m/>
    <s v="CALIZA PARA ADICIONES"/>
    <x v="7"/>
    <x v="7"/>
    <s v="7355250320BARRAS Y PLACASAdiciones"/>
    <x v="29"/>
    <x v="0"/>
  </r>
  <r>
    <n v="7199990001"/>
    <s v="CONSUMOS SEMIELBORAD"/>
    <n v="671697670.90731084"/>
    <n v="48053.465346534649"/>
    <s v="T"/>
    <s v="M"/>
    <s v="1410900101"/>
    <s v="INV. SEMIELABORADO"/>
    <s v="IA01"/>
    <s v="CALTLVTRIT"/>
    <n v="700005"/>
    <x v="2"/>
    <s v="CALIZA EN TOLVA TRITURADORA"/>
    <m/>
    <m/>
    <s v="CALIZA PARA ADICIONES"/>
    <x v="7"/>
    <x v="7"/>
    <s v="7199990001CALTLVTRITAdiciones"/>
    <x v="1"/>
    <x v="0"/>
  </r>
  <r>
    <n v="7999999995"/>
    <s v="TRASLADO DE COSTOS"/>
    <m/>
    <n v="-48053.465346534649"/>
    <s v="T"/>
    <s v="M"/>
    <s v="1430100001"/>
    <s v="PTO EXTRAID/PROCESA"/>
    <s v="IA01"/>
    <s v="CALIZATRI"/>
    <n v="700005"/>
    <x v="2"/>
    <s v="CALIZA TRITURADA"/>
    <m/>
    <m/>
    <s v="CALIZA PARA ADICIONES"/>
    <x v="7"/>
    <x v="7"/>
    <s v="7999999995CALIZATRIAdiciones"/>
    <x v="3"/>
    <x v="0"/>
  </r>
  <r>
    <n v="7355250320"/>
    <s v="RTOS VARIA IMPO"/>
    <n v="43416879.651413225"/>
    <n v="48053.465346534649"/>
    <m/>
    <m/>
    <m/>
    <m/>
    <s v="IA01"/>
    <s v="BARRAS Y PLACAS"/>
    <n v="700005"/>
    <x v="2"/>
    <s v="CALIZA TRITURADA"/>
    <m/>
    <m/>
    <s v="CALIZA PARA ADICIONES"/>
    <x v="7"/>
    <x v="7"/>
    <s v="7355250320BARRAS Y PLACASAdiciones"/>
    <x v="29"/>
    <x v="0"/>
  </r>
  <r>
    <n v="7199990001"/>
    <s v="CONSUMOS SEMIELBORAD"/>
    <n v="621473274.6547327"/>
    <n v="44460.396039603962"/>
    <s v="T"/>
    <s v="M"/>
    <s v="1410900101"/>
    <s v="INV. SEMIELABORADO"/>
    <s v="IA01"/>
    <s v="CALTLVTRIT"/>
    <n v="700005"/>
    <x v="3"/>
    <s v="CALIZA EN TOLVA TRITURADORA"/>
    <m/>
    <m/>
    <s v="CALIZA PARA ADICIONES"/>
    <x v="7"/>
    <x v="7"/>
    <s v="7199990001CALTLVTRITAdiciones"/>
    <x v="1"/>
    <x v="0"/>
  </r>
  <r>
    <n v="7999999995"/>
    <s v="TRASLADO DE COSTOS"/>
    <m/>
    <n v="-44460.396039603962"/>
    <s v="T"/>
    <s v="M"/>
    <s v="1430100001"/>
    <s v="PTO EXTRAID/PROCESA"/>
    <s v="IA01"/>
    <s v="CALIZATRI"/>
    <n v="700005"/>
    <x v="3"/>
    <s v="CALIZA TRITURADA"/>
    <m/>
    <m/>
    <s v="CALIZA PARA ADICIONES"/>
    <x v="7"/>
    <x v="7"/>
    <s v="7999999995CALIZATRIAdiciones"/>
    <x v="3"/>
    <x v="0"/>
  </r>
  <r>
    <n v="7355250320"/>
    <s v="RTOS VARIA IMPO"/>
    <n v="40170498.634909779"/>
    <n v="44460.396039603962"/>
    <m/>
    <m/>
    <m/>
    <m/>
    <s v="IA01"/>
    <s v="BARRAS Y PLACAS"/>
    <n v="700005"/>
    <x v="3"/>
    <s v="CALIZA TRITURADA"/>
    <m/>
    <m/>
    <s v="CALIZA PARA ADICIONES"/>
    <x v="7"/>
    <x v="7"/>
    <s v="7355250320BARRAS Y PLACASAdiciones"/>
    <x v="29"/>
    <x v="0"/>
  </r>
  <r>
    <n v="7199990001"/>
    <s v="CONSUMOS SEMIELBORAD"/>
    <n v="771412957.48758817"/>
    <n v="55187.128712871287"/>
    <s v="T"/>
    <s v="M"/>
    <s v="1410900101"/>
    <s v="INV. SEMIELABORADO"/>
    <s v="IA01"/>
    <s v="CALTLVTRIT"/>
    <n v="700005"/>
    <x v="4"/>
    <s v="CALIZA EN TOLVA TRITURADORA"/>
    <m/>
    <m/>
    <s v="CALIZA PARA ADICIONES"/>
    <x v="7"/>
    <x v="7"/>
    <s v="7199990001CALTLVTRITAdiciones"/>
    <x v="1"/>
    <x v="0"/>
  </r>
  <r>
    <n v="7999999995"/>
    <s v="TRASLADO DE COSTOS"/>
    <m/>
    <n v="-55187.128712871287"/>
    <s v="T"/>
    <s v="M"/>
    <s v="1430100001"/>
    <s v="PTO EXTRAID/PROCESA"/>
    <s v="IA01"/>
    <s v="CALIZATRI"/>
    <n v="700005"/>
    <x v="4"/>
    <s v="CALIZA TRITURADA"/>
    <m/>
    <m/>
    <s v="CALIZA PARA ADICIONES"/>
    <x v="7"/>
    <x v="7"/>
    <s v="7999999995CALIZATRIAdiciones"/>
    <x v="3"/>
    <x v="0"/>
  </r>
  <r>
    <n v="7355250320"/>
    <s v="RTOS VARIA IMPO"/>
    <n v="49862229.671778999"/>
    <n v="55187.128712871287"/>
    <m/>
    <m/>
    <m/>
    <m/>
    <s v="IA01"/>
    <s v="BARRAS Y PLACAS"/>
    <n v="700005"/>
    <x v="4"/>
    <s v="CALIZA TRITURADA"/>
    <m/>
    <m/>
    <s v="CALIZA PARA ADICIONES"/>
    <x v="7"/>
    <x v="7"/>
    <s v="7355250320BARRAS Y PLACASAdiciones"/>
    <x v="29"/>
    <x v="0"/>
  </r>
  <r>
    <n v="7199990001"/>
    <s v="CONSUMOS SEMIELBORAD"/>
    <n v="570653769.82159209"/>
    <n v="40824.752475247522"/>
    <s v="T"/>
    <s v="M"/>
    <s v="1410900101"/>
    <s v="INV. SEMIELABORADO"/>
    <s v="IA01"/>
    <s v="CALTLVTRIT"/>
    <n v="700005"/>
    <x v="5"/>
    <s v="CALIZA EN TOLVA TRITURADORA"/>
    <m/>
    <m/>
    <s v="CALIZA PARA ADICIONES"/>
    <x v="7"/>
    <x v="7"/>
    <s v="7199990001CALTLVTRITAdiciones"/>
    <x v="1"/>
    <x v="0"/>
  </r>
  <r>
    <n v="7999999995"/>
    <s v="TRASLADO DE COSTOS"/>
    <m/>
    <n v="-40824.752475247522"/>
    <s v="T"/>
    <s v="M"/>
    <s v="1430100001"/>
    <s v="PTO EXTRAID/PROCESA"/>
    <s v="IA01"/>
    <s v="CALIZATRI"/>
    <n v="700005"/>
    <x v="5"/>
    <s v="CALIZA TRITURADA"/>
    <m/>
    <m/>
    <s v="CALIZA PARA ADICIONES"/>
    <x v="7"/>
    <x v="7"/>
    <s v="7999999995CALIZATRIAdiciones"/>
    <x v="3"/>
    <x v="0"/>
  </r>
  <r>
    <n v="7355250320"/>
    <s v="RTOS VARIA IMPO"/>
    <n v="36885651.268527664"/>
    <n v="40824.752475247522"/>
    <m/>
    <m/>
    <m/>
    <m/>
    <s v="IA01"/>
    <s v="BARRAS Y PLACAS"/>
    <n v="700005"/>
    <x v="5"/>
    <s v="CALIZA TRITURADA"/>
    <m/>
    <m/>
    <s v="CALIZA PARA ADICIONES"/>
    <x v="7"/>
    <x v="7"/>
    <s v="7355250320BARRAS Y PLACASAdiciones"/>
    <x v="29"/>
    <x v="0"/>
  </r>
  <r>
    <n v="7199990001"/>
    <s v="CONSUMOS SEMIELBORAD"/>
    <n v="725146725.2824713"/>
    <n v="51877.227722772281"/>
    <s v="T"/>
    <s v="M"/>
    <s v="1410900101"/>
    <s v="INV. SEMIELABORADO"/>
    <s v="IA01"/>
    <s v="CALTLVTRIT"/>
    <n v="700005"/>
    <x v="6"/>
    <s v="CALIZA EN TOLVA TRITURADORA"/>
    <m/>
    <m/>
    <s v="CALIZA PARA ADICIONES"/>
    <x v="7"/>
    <x v="7"/>
    <s v="7199990001CALTLVTRITAdiciones"/>
    <x v="1"/>
    <x v="0"/>
  </r>
  <r>
    <n v="7999999995"/>
    <s v="TRASLADO DE COSTOS"/>
    <m/>
    <n v="-51877.227722772281"/>
    <s v="T"/>
    <s v="M"/>
    <s v="1430100001"/>
    <s v="PTO EXTRAID/PROCESA"/>
    <s v="IA01"/>
    <s v="CALIZATRI"/>
    <n v="700005"/>
    <x v="6"/>
    <s v="CALIZA TRITURADA"/>
    <m/>
    <m/>
    <s v="CALIZA PARA ADICIONES"/>
    <x v="7"/>
    <x v="7"/>
    <s v="7999999995CALIZATRIAdiciones"/>
    <x v="3"/>
    <x v="0"/>
  </r>
  <r>
    <n v="7355250320"/>
    <s v="RTOS VARIA IMPO"/>
    <n v="46871694.610282436"/>
    <n v="51877.227722772281"/>
    <m/>
    <m/>
    <m/>
    <m/>
    <s v="IA01"/>
    <s v="BARRAS Y PLACAS"/>
    <n v="700005"/>
    <x v="6"/>
    <s v="CALIZA TRITURADA"/>
    <m/>
    <m/>
    <s v="CALIZA PARA ADICIONES"/>
    <x v="7"/>
    <x v="7"/>
    <s v="7355250320BARRAS Y PLACASAdiciones"/>
    <x v="29"/>
    <x v="0"/>
  </r>
  <r>
    <n v="7199990001"/>
    <s v="CONSUMOS SEMIELBORAD"/>
    <n v="782498584.76736629"/>
    <n v="55980.198019801974"/>
    <s v="T"/>
    <s v="M"/>
    <s v="1410900101"/>
    <s v="INV. SEMIELABORADO"/>
    <s v="IA01"/>
    <s v="CALTLVTRIT"/>
    <n v="700005"/>
    <x v="7"/>
    <s v="CALIZA EN TOLVA TRITURADORA"/>
    <m/>
    <m/>
    <s v="CALIZA PARA ADICIONES"/>
    <x v="7"/>
    <x v="7"/>
    <s v="7199990001CALTLVTRITAdiciones"/>
    <x v="1"/>
    <x v="0"/>
  </r>
  <r>
    <n v="7999999995"/>
    <s v="TRASLADO DE COSTOS"/>
    <m/>
    <n v="-55980.198019801974"/>
    <s v="T"/>
    <s v="M"/>
    <s v="1430100001"/>
    <s v="PTO EXTRAID/PROCESA"/>
    <s v="IA01"/>
    <s v="CALIZATRI"/>
    <n v="700005"/>
    <x v="7"/>
    <s v="CALIZA TRITURADA"/>
    <m/>
    <m/>
    <s v="CALIZA PARA ADICIONES"/>
    <x v="7"/>
    <x v="7"/>
    <s v="7999999995CALIZATRIAdiciones"/>
    <x v="3"/>
    <x v="0"/>
  </r>
  <r>
    <n v="7355250320"/>
    <s v="RTOS VARIA IMPO"/>
    <n v="50578777.259053528"/>
    <n v="55980.198019801974"/>
    <m/>
    <m/>
    <m/>
    <m/>
    <s v="IA01"/>
    <s v="BARRAS Y PLACAS"/>
    <n v="700005"/>
    <x v="7"/>
    <s v="CALIZA TRITURADA"/>
    <m/>
    <m/>
    <s v="CALIZA PARA ADICIONES"/>
    <x v="7"/>
    <x v="7"/>
    <s v="7355250320BARRAS Y PLACASAdiciones"/>
    <x v="29"/>
    <x v="0"/>
  </r>
  <r>
    <n v="7199990001"/>
    <s v="CONSUMOS SEMIELBORAD"/>
    <n v="710808760.41124761"/>
    <n v="50851.485148514854"/>
    <s v="T"/>
    <s v="M"/>
    <s v="1410900101"/>
    <s v="INV. SEMIELABORADO"/>
    <s v="IA01"/>
    <s v="CALTLVTRIT"/>
    <n v="700005"/>
    <x v="8"/>
    <s v="CALIZA EN TOLVA TRITURADORA"/>
    <m/>
    <m/>
    <s v="CALIZA PARA ADICIONES"/>
    <x v="7"/>
    <x v="7"/>
    <s v="7199990001CALTLVTRITAdiciones"/>
    <x v="1"/>
    <x v="0"/>
  </r>
  <r>
    <n v="7999999995"/>
    <s v="TRASLADO DE COSTOS"/>
    <m/>
    <n v="-50851.485148514854"/>
    <s v="T"/>
    <s v="M"/>
    <s v="1430100001"/>
    <s v="PTO EXTRAID/PROCESA"/>
    <s v="IA01"/>
    <s v="CALIZATRI"/>
    <n v="700005"/>
    <x v="8"/>
    <s v="CALIZA TRITURADA"/>
    <m/>
    <m/>
    <s v="CALIZA PARA ADICIONES"/>
    <x v="7"/>
    <x v="7"/>
    <s v="7999999995CALIZATRIAdiciones"/>
    <x v="3"/>
    <x v="0"/>
  </r>
  <r>
    <n v="7355250320"/>
    <s v="RTOS VARIA IMPO"/>
    <n v="45944923.948089659"/>
    <n v="50851.485148514854"/>
    <m/>
    <m/>
    <m/>
    <m/>
    <s v="IA01"/>
    <s v="BARRAS Y PLACAS"/>
    <n v="700005"/>
    <x v="8"/>
    <s v="CALIZA TRITURADA"/>
    <m/>
    <m/>
    <s v="CALIZA PARA ADICIONES"/>
    <x v="7"/>
    <x v="7"/>
    <s v="7355250320BARRAS Y PLACASAdiciones"/>
    <x v="29"/>
    <x v="0"/>
  </r>
  <r>
    <n v="7199990001"/>
    <s v="CONSUMOS SEMIELBORAD"/>
    <n v="674977687.96761978"/>
    <n v="48288.118811881184"/>
    <s v="T"/>
    <s v="M"/>
    <s v="1410900101"/>
    <s v="INV. SEMIELABORADO"/>
    <s v="IA01"/>
    <s v="CALTLVTRIT"/>
    <n v="700005"/>
    <x v="9"/>
    <s v="CALIZA EN TOLVA TRITURADORA"/>
    <m/>
    <m/>
    <s v="CALIZA PARA ADICIONES"/>
    <x v="7"/>
    <x v="7"/>
    <s v="7199990001CALTLVTRITAdiciones"/>
    <x v="1"/>
    <x v="0"/>
  </r>
  <r>
    <n v="7999999995"/>
    <s v="TRASLADO DE COSTOS"/>
    <m/>
    <n v="-48288.118811881184"/>
    <s v="T"/>
    <s v="M"/>
    <s v="1430100001"/>
    <s v="PTO EXTRAID/PROCESA"/>
    <s v="IA01"/>
    <s v="CALIZATRI"/>
    <n v="700005"/>
    <x v="9"/>
    <s v="CALIZA TRITURADA"/>
    <m/>
    <m/>
    <s v="CALIZA PARA ADICIONES"/>
    <x v="7"/>
    <x v="7"/>
    <s v="7999999995CALIZATRIAdiciones"/>
    <x v="3"/>
    <x v="0"/>
  </r>
  <r>
    <n v="7355250320"/>
    <s v="RTOS VARIA IMPO"/>
    <n v="43628891.858883969"/>
    <n v="48288.118811881184"/>
    <m/>
    <m/>
    <m/>
    <m/>
    <s v="IA01"/>
    <s v="BARRAS Y PLACAS"/>
    <n v="700005"/>
    <x v="9"/>
    <s v="CALIZA TRITURADA"/>
    <m/>
    <m/>
    <s v="CALIZA PARA ADICIONES"/>
    <x v="7"/>
    <x v="7"/>
    <s v="7355250320BARRAS Y PLACASAdiciones"/>
    <x v="29"/>
    <x v="0"/>
  </r>
  <r>
    <n v="7199990001"/>
    <s v="CONSUMOS SEMIELBORAD"/>
    <n v="788380471.9008317"/>
    <n v="56400.990099009898"/>
    <s v="T"/>
    <s v="M"/>
    <s v="1410900101"/>
    <s v="INV. SEMIELABORADO"/>
    <s v="IA01"/>
    <s v="CALTLVTRIT"/>
    <n v="700005"/>
    <x v="10"/>
    <s v="CALIZA EN TOLVA TRITURADORA"/>
    <m/>
    <m/>
    <s v="CALIZA PARA ADICIONES"/>
    <x v="7"/>
    <x v="7"/>
    <s v="7199990001CALTLVTRITAdiciones"/>
    <x v="1"/>
    <x v="0"/>
  </r>
  <r>
    <n v="7999999995"/>
    <s v="TRASLADO DE COSTOS"/>
    <m/>
    <n v="-56400.990099009898"/>
    <s v="T"/>
    <s v="M"/>
    <s v="1430100001"/>
    <s v="PTO EXTRAID/PROCESA"/>
    <s v="IA01"/>
    <s v="CALIZATRI"/>
    <n v="700005"/>
    <x v="10"/>
    <s v="CALIZA TRITURADA"/>
    <m/>
    <m/>
    <s v="CALIZA PARA ADICIONES"/>
    <x v="7"/>
    <x v="7"/>
    <s v="7999999995CALIZATRIAdiciones"/>
    <x v="3"/>
    <x v="0"/>
  </r>
  <r>
    <n v="7355250320"/>
    <s v="RTOS VARIA IMPO"/>
    <n v="50958967.926458865"/>
    <n v="56400.990099009898"/>
    <m/>
    <m/>
    <m/>
    <m/>
    <s v="IA01"/>
    <s v="BARRAS Y PLACAS"/>
    <n v="700005"/>
    <x v="10"/>
    <s v="CALIZA TRITURADA"/>
    <m/>
    <m/>
    <s v="CALIZA PARA ADICIONES"/>
    <x v="7"/>
    <x v="7"/>
    <s v="7355250320BARRAS Y PLACASAdiciones"/>
    <x v="29"/>
    <x v="0"/>
  </r>
  <r>
    <n v="7199990001"/>
    <s v="CONSUMOS SEMIELBORAD"/>
    <n v="664451627.06685138"/>
    <n v="47535.08106195517"/>
    <s v="T"/>
    <s v="M"/>
    <s v="1410900101"/>
    <s v="INV. SEMIELABORADO"/>
    <s v="IA01"/>
    <s v="CALTLVTRIT"/>
    <n v="700005"/>
    <x v="11"/>
    <s v="CALIZA EN TOLVA TRITURADORA"/>
    <m/>
    <m/>
    <s v="CALIZA PARA ADICIONES"/>
    <x v="7"/>
    <x v="7"/>
    <s v="7199990001CALTLVTRITAdiciones"/>
    <x v="1"/>
    <x v="0"/>
  </r>
  <r>
    <n v="7999999995"/>
    <s v="TRASLADO DE COSTOS"/>
    <m/>
    <n v="-47535.08106195517"/>
    <s v="T"/>
    <s v="M"/>
    <s v="1430100001"/>
    <s v="PTO EXTRAID/PROCESA"/>
    <s v="IA01"/>
    <s v="CALIZATRI"/>
    <n v="700005"/>
    <x v="11"/>
    <s v="CALIZA TRITURADA"/>
    <m/>
    <m/>
    <s v="CALIZA PARA ADICIONES"/>
    <x v="7"/>
    <x v="7"/>
    <s v="7999999995CALIZATRIAdiciones"/>
    <x v="3"/>
    <x v="0"/>
  </r>
  <r>
    <n v="7355250320"/>
    <s v="RTOS VARIA IMPO"/>
    <n v="42948513.26130034"/>
    <n v="47535.08106195517"/>
    <m/>
    <m/>
    <m/>
    <m/>
    <s v="IA01"/>
    <s v="BARRAS Y PLACAS"/>
    <n v="700005"/>
    <x v="11"/>
    <s v="CALIZA TRITURADA"/>
    <m/>
    <m/>
    <s v="CALIZA PARA ADICIONES"/>
    <x v="7"/>
    <x v="7"/>
    <s v="7355250320BARRAS Y PLACASAdiciones"/>
    <x v="29"/>
    <x v="0"/>
  </r>
  <r>
    <n v="7199990001"/>
    <s v="CONSUMOS SEMIELBORAD"/>
    <m/>
    <n v="6854.3521128499751"/>
    <s v="T"/>
    <s v="M"/>
    <s v="1410900101"/>
    <s v="INV. SEMIELABORADO"/>
    <s v="EC01"/>
    <s v="CEMENTOART"/>
    <n v="700034"/>
    <x v="0"/>
    <s v="CEMENTO ART"/>
    <m/>
    <m/>
    <s v="CEMENTO ART 42,5 KG"/>
    <x v="8"/>
    <x v="8"/>
    <s v="7199990001CEMENTOARTCEMENTO ART 42,5 KG"/>
    <x v="30"/>
    <x v="0"/>
  </r>
  <r>
    <n v="7360050302"/>
    <s v="CTO BOLSAS IMP"/>
    <n v="145915447.77835026"/>
    <n v="164504.45070839941"/>
    <s v="UN"/>
    <s v="M"/>
    <s v="1460050302"/>
    <s v="INV BOLSAS IMP"/>
    <s v="EC01"/>
    <s v="22000000005"/>
    <n v="700034"/>
    <x v="0"/>
    <s v="BOLSA DE CEMENTO EMPAQUE DE 42.5 KG ART"/>
    <m/>
    <m/>
    <s v="CEMENTO ART 42,5 KG"/>
    <x v="8"/>
    <x v="8"/>
    <s v="736005030222000000005CEMENTO ART 42,5 KG"/>
    <x v="27"/>
    <x v="0"/>
  </r>
  <r>
    <n v="7999999995"/>
    <s v="TRASLADO DE COSTOS"/>
    <m/>
    <n v="-161278.87324352883"/>
    <s v="UN"/>
    <s v="M"/>
    <s v="1430050101"/>
    <s v="INV. PTO MANUFACTURA"/>
    <s v="EC01"/>
    <s v="CEMARTB42"/>
    <n v="700034"/>
    <x v="0"/>
    <s v="CEMENTO ALION EMPACADO ART 42,5 KG"/>
    <m/>
    <m/>
    <s v="CEMENTO ART 42,5 KG"/>
    <x v="8"/>
    <x v="8"/>
    <s v="7999999995CEMARTB42CEMENTO ART 42,5 KG"/>
    <x v="3"/>
    <x v="0"/>
  </r>
  <r>
    <n v="7199990001"/>
    <s v="CONSUMOS SEMIELBORAD"/>
    <m/>
    <n v="7609.9566485048763"/>
    <s v="T"/>
    <s v="M"/>
    <s v="1410900101"/>
    <s v="INV. SEMIELABORADO"/>
    <s v="EC01"/>
    <s v="CEMENTOART"/>
    <n v="700034"/>
    <x v="1"/>
    <s v="CEMENTO ART"/>
    <m/>
    <m/>
    <s v="CEMENTO ART 42,5 KG"/>
    <x v="8"/>
    <x v="8"/>
    <s v="7199990001CEMENTOARTCEMENTO ART 42,5 KG"/>
    <x v="30"/>
    <x v="0"/>
  </r>
  <r>
    <n v="7360050302"/>
    <s v="CTO BOLSAS IMP"/>
    <n v="162000757.13337183"/>
    <n v="182638.95956411705"/>
    <s v="UN"/>
    <s v="M"/>
    <s v="1460050302"/>
    <s v="INV BOLSAS IMP"/>
    <s v="EC01"/>
    <s v="22000000005"/>
    <n v="700034"/>
    <x v="1"/>
    <s v="BOLSA DE CEMENTO EMPAQUE DE 42.5 KG ART"/>
    <m/>
    <m/>
    <s v="CEMENTO ART 42,5 KG"/>
    <x v="8"/>
    <x v="8"/>
    <s v="736005030222000000005CEMENTO ART 42,5 KG"/>
    <x v="27"/>
    <x v="0"/>
  </r>
  <r>
    <n v="7999999995"/>
    <s v="TRASLADO DE COSTOS"/>
    <m/>
    <n v="-179057.80349423239"/>
    <s v="UN"/>
    <s v="M"/>
    <s v="1430050101"/>
    <s v="INV. PTO MANUFACTURA"/>
    <s v="EC01"/>
    <s v="CEMARTB42"/>
    <n v="700034"/>
    <x v="1"/>
    <s v="CEMENTO ALION EMPACADO ART 42,5 KG"/>
    <m/>
    <m/>
    <s v="CEMENTO ART 42,5 KG"/>
    <x v="8"/>
    <x v="8"/>
    <s v="7999999995CEMARTB42CEMENTO ART 42,5 KG"/>
    <x v="3"/>
    <x v="0"/>
  </r>
  <r>
    <n v="7199990001"/>
    <s v="CONSUMOS SEMIELBORAD"/>
    <m/>
    <n v="7904.0427333529033"/>
    <s v="T"/>
    <s v="M"/>
    <s v="1410900101"/>
    <s v="INV. SEMIELABORADO"/>
    <s v="EC01"/>
    <s v="CEMENTOART"/>
    <n v="700034"/>
    <x v="2"/>
    <s v="CEMENTO ART"/>
    <m/>
    <m/>
    <s v="CEMENTO ART 42,5 KG"/>
    <x v="8"/>
    <x v="8"/>
    <s v="7199990001CEMENTOARTCEMENTO ART 42,5 KG"/>
    <x v="30"/>
    <x v="0"/>
  </r>
  <r>
    <n v="7360050302"/>
    <s v="CTO BOLSAS IMP"/>
    <n v="170727323.04042274"/>
    <n v="189697.0256004697"/>
    <s v="UN"/>
    <s v="M"/>
    <s v="1460050302"/>
    <s v="INV BOLSAS IMP"/>
    <s v="EC01"/>
    <s v="22000000005"/>
    <n v="700034"/>
    <x v="2"/>
    <s v="BOLSA DE CEMENTO EMPAQUE DE 42.5 KG ART"/>
    <m/>
    <m/>
    <s v="CEMENTO ART 42,5 KG"/>
    <x v="8"/>
    <x v="8"/>
    <s v="736005030222000000005CEMENTO ART 42,5 KG"/>
    <x v="27"/>
    <x v="0"/>
  </r>
  <r>
    <n v="7999999995"/>
    <s v="TRASLADO DE COSTOS"/>
    <m/>
    <n v="-185977.47607889186"/>
    <s v="UN"/>
    <s v="M"/>
    <s v="1430050101"/>
    <s v="INV. PTO MANUFACTURA"/>
    <s v="EC01"/>
    <s v="CEMARTB42"/>
    <n v="700034"/>
    <x v="2"/>
    <s v="CEMENTO ALION EMPACADO ART 42,5 KG"/>
    <m/>
    <m/>
    <s v="CEMENTO ART 42,5 KG"/>
    <x v="8"/>
    <x v="8"/>
    <s v="7999999995CEMARTB42CEMENTO ART 42,5 KG"/>
    <x v="3"/>
    <x v="0"/>
  </r>
  <r>
    <n v="7199990001"/>
    <s v="CONSUMOS SEMIELBORAD"/>
    <m/>
    <n v="7408.4657695751612"/>
    <s v="T"/>
    <s v="M"/>
    <s v="1410900101"/>
    <s v="INV. SEMIELABORADO"/>
    <s v="EC01"/>
    <s v="CEMENTOART"/>
    <n v="700034"/>
    <x v="3"/>
    <s v="CEMENTO ART"/>
    <m/>
    <m/>
    <s v="CEMENTO ART 42,5 KG"/>
    <x v="8"/>
    <x v="8"/>
    <s v="7199990001CEMENTOARTCEMENTO ART 42,5 KG"/>
    <x v="30"/>
    <x v="0"/>
  </r>
  <r>
    <n v="7360050302"/>
    <s v="CTO BOLSAS IMP"/>
    <n v="160022860.62282351"/>
    <n v="177803.17846980388"/>
    <s v="UN"/>
    <s v="M"/>
    <s v="1460050302"/>
    <s v="INV BOLSAS IMP"/>
    <s v="EC01"/>
    <s v="22000000005"/>
    <n v="700034"/>
    <x v="3"/>
    <s v="BOLSA DE CEMENTO EMPAQUE DE 42.5 KG ART"/>
    <m/>
    <m/>
    <s v="CEMENTO ART 42,5 KG"/>
    <x v="8"/>
    <x v="8"/>
    <s v="736005030222000000005CEMENTO ART 42,5 KG"/>
    <x v="27"/>
    <x v="0"/>
  </r>
  <r>
    <n v="7999999995"/>
    <s v="TRASLADO DE COSTOS"/>
    <m/>
    <n v="-174316.84163706264"/>
    <s v="UN"/>
    <s v="M"/>
    <s v="1430050101"/>
    <s v="INV. PTO MANUFACTURA"/>
    <s v="EC01"/>
    <s v="CEMARTB42"/>
    <n v="700034"/>
    <x v="3"/>
    <s v="CEMENTO ALION EMPACADO ART 42,5 KG"/>
    <m/>
    <m/>
    <s v="CEMENTO ART 42,5 KG"/>
    <x v="8"/>
    <x v="8"/>
    <s v="7999999995CEMARTB42CEMENTO ART 42,5 KG"/>
    <x v="3"/>
    <x v="0"/>
  </r>
  <r>
    <n v="7199990001"/>
    <s v="CONSUMOS SEMIELBORAD"/>
    <m/>
    <n v="7372.1783724025563"/>
    <s v="T"/>
    <s v="M"/>
    <s v="1410900101"/>
    <s v="INV. SEMIELABORADO"/>
    <s v="EC01"/>
    <s v="CEMENTOART"/>
    <n v="700034"/>
    <x v="4"/>
    <s v="CEMENTO ART"/>
    <m/>
    <m/>
    <s v="CEMENTO ART 42,5 KG"/>
    <x v="8"/>
    <x v="8"/>
    <s v="7199990001CEMENTOARTCEMENTO ART 42,5 KG"/>
    <x v="30"/>
    <x v="0"/>
  </r>
  <r>
    <n v="7360050302"/>
    <s v="CTO BOLSAS IMP"/>
    <n v="159239052.84389526"/>
    <n v="176932.28093766139"/>
    <s v="UN"/>
    <s v="M"/>
    <s v="1460050302"/>
    <s v="INV BOLSAS IMP"/>
    <s v="EC01"/>
    <s v="22000000005"/>
    <n v="700034"/>
    <x v="4"/>
    <s v="BOLSA DE CEMENTO EMPAQUE DE 42.5 KG ART"/>
    <m/>
    <m/>
    <s v="CEMENTO ART 42,5 KG"/>
    <x v="8"/>
    <x v="8"/>
    <s v="736005030222000000005CEMENTO ART 42,5 KG"/>
    <x v="27"/>
    <x v="0"/>
  </r>
  <r>
    <n v="7999999995"/>
    <s v="TRASLADO DE COSTOS"/>
    <m/>
    <n v="-173463.02052711899"/>
    <s v="UN"/>
    <s v="M"/>
    <s v="1430050101"/>
    <s v="INV. PTO MANUFACTURA"/>
    <s v="EC01"/>
    <s v="CEMARTB42"/>
    <n v="700034"/>
    <x v="4"/>
    <s v="CEMENTO ALION EMPACADO ART 42,5 KG"/>
    <m/>
    <m/>
    <s v="CEMENTO ART 42,5 KG"/>
    <x v="8"/>
    <x v="8"/>
    <s v="7999999995CEMARTB42CEMENTO ART 42,5 KG"/>
    <x v="3"/>
    <x v="0"/>
  </r>
  <r>
    <n v="7199990001"/>
    <s v="CONSUMOS SEMIELBORAD"/>
    <m/>
    <n v="7249.0107360631127"/>
    <s v="T"/>
    <s v="M"/>
    <s v="1410900101"/>
    <s v="INV. SEMIELABORADO"/>
    <s v="EC01"/>
    <s v="CEMENTOART"/>
    <n v="700034"/>
    <x v="5"/>
    <s v="CEMENTO ART"/>
    <m/>
    <m/>
    <s v="CEMENTO ART 42,5 KG"/>
    <x v="8"/>
    <x v="8"/>
    <s v="7199990001CEMENTOARTCEMENTO ART 42,5 KG"/>
    <x v="30"/>
    <x v="0"/>
  </r>
  <r>
    <n v="7360050302"/>
    <s v="CTO BOLSAS IMP"/>
    <n v="156578631.89896324"/>
    <n v="173976.25766551471"/>
    <s v="UN"/>
    <s v="M"/>
    <s v="1460050302"/>
    <s v="INV BOLSAS IMP"/>
    <s v="EC01"/>
    <s v="22000000005"/>
    <n v="700034"/>
    <x v="5"/>
    <s v="BOLSA DE CEMENTO EMPAQUE DE 42.5 KG ART"/>
    <m/>
    <m/>
    <s v="CEMENTO ART 42,5 KG"/>
    <x v="8"/>
    <x v="8"/>
    <s v="736005030222000000005CEMENTO ART 42,5 KG"/>
    <x v="27"/>
    <x v="0"/>
  </r>
  <r>
    <n v="7999999995"/>
    <s v="TRASLADO DE COSTOS"/>
    <m/>
    <n v="-170564.95849560265"/>
    <s v="UN"/>
    <s v="M"/>
    <s v="1430050101"/>
    <s v="INV. PTO MANUFACTURA"/>
    <s v="EC01"/>
    <s v="CEMARTB42"/>
    <n v="700034"/>
    <x v="5"/>
    <s v="CEMENTO ALION EMPACADO ART 42,5 KG"/>
    <m/>
    <m/>
    <s v="CEMENTO ART 42,5 KG"/>
    <x v="8"/>
    <x v="8"/>
    <s v="7999999995CEMARTB42CEMENTO ART 42,5 KG"/>
    <x v="3"/>
    <x v="0"/>
  </r>
  <r>
    <n v="7199990001"/>
    <s v="CONSUMOS SEMIELBORAD"/>
    <m/>
    <n v="8420.340998961472"/>
    <s v="T"/>
    <s v="M"/>
    <s v="1410900101"/>
    <s v="INV. SEMIELABORADO"/>
    <s v="EC01"/>
    <s v="CEMENTOART"/>
    <n v="700034"/>
    <x v="6"/>
    <s v="CEMENTO ART"/>
    <m/>
    <m/>
    <s v="CEMENTO ART 42,5 KG"/>
    <x v="8"/>
    <x v="8"/>
    <s v="7199990001CEMENTOARTCEMENTO ART 42,5 KG"/>
    <x v="30"/>
    <x v="0"/>
  </r>
  <r>
    <n v="7360050302"/>
    <s v="CTO BOLSAS IMP"/>
    <n v="181879365.57756782"/>
    <n v="202088.18397507534"/>
    <s v="UN"/>
    <s v="M"/>
    <s v="1460050302"/>
    <s v="INV BOLSAS IMP"/>
    <s v="EC01"/>
    <s v="22000000005"/>
    <n v="700034"/>
    <x v="6"/>
    <s v="BOLSA DE CEMENTO EMPAQUE DE 42.5 KG ART"/>
    <m/>
    <m/>
    <s v="CEMENTO ART 42,5 KG"/>
    <x v="8"/>
    <x v="8"/>
    <s v="736005030222000000005CEMENTO ART 42,5 KG"/>
    <x v="27"/>
    <x v="0"/>
  </r>
  <r>
    <n v="7999999995"/>
    <s v="TRASLADO DE COSTOS"/>
    <m/>
    <n v="-198125.67056379936"/>
    <s v="UN"/>
    <s v="M"/>
    <s v="1430050101"/>
    <s v="INV. PTO MANUFACTURA"/>
    <s v="EC01"/>
    <s v="CEMARTB42"/>
    <n v="700034"/>
    <x v="6"/>
    <s v="CEMENTO ALION EMPACADO ART 42,5 KG"/>
    <m/>
    <m/>
    <s v="CEMENTO ART 42,5 KG"/>
    <x v="8"/>
    <x v="8"/>
    <s v="7999999995CEMARTB42CEMENTO ART 42,5 KG"/>
    <x v="3"/>
    <x v="0"/>
  </r>
  <r>
    <n v="7199990001"/>
    <s v="CONSUMOS SEMIELBORAD"/>
    <m/>
    <n v="7791.9102301981011"/>
    <s v="T"/>
    <s v="M"/>
    <s v="1410900101"/>
    <s v="INV. SEMIELABORADO"/>
    <s v="EC01"/>
    <s v="CEMENTOART"/>
    <n v="700034"/>
    <x v="7"/>
    <s v="CEMENTO ART"/>
    <m/>
    <m/>
    <s v="CEMENTO ART 42,5 KG"/>
    <x v="8"/>
    <x v="8"/>
    <s v="7199990001CEMENTOARTCEMENTO ART 42,5 KG"/>
    <x v="30"/>
    <x v="0"/>
  </r>
  <r>
    <n v="7360050302"/>
    <s v="CTO BOLSAS IMP"/>
    <n v="168305260.97227898"/>
    <n v="187005.84552475443"/>
    <s v="UN"/>
    <s v="M"/>
    <s v="1460050302"/>
    <s v="INV BOLSAS IMP"/>
    <s v="EC01"/>
    <s v="22000000005"/>
    <n v="700034"/>
    <x v="7"/>
    <s v="BOLSA DE CEMENTO EMPAQUE DE 42.5 KG ART"/>
    <m/>
    <m/>
    <s v="CEMENTO ART 42,5 KG"/>
    <x v="8"/>
    <x v="8"/>
    <s v="736005030222000000005CEMENTO ART 42,5 KG"/>
    <x v="27"/>
    <x v="0"/>
  </r>
  <r>
    <n v="7999999995"/>
    <s v="TRASLADO DE COSTOS"/>
    <m/>
    <n v="-183339.06423995533"/>
    <s v="UN"/>
    <s v="M"/>
    <s v="1430050101"/>
    <s v="INV. PTO MANUFACTURA"/>
    <s v="EC01"/>
    <s v="CEMARTB42"/>
    <n v="700034"/>
    <x v="7"/>
    <s v="CEMENTO ALION EMPACADO ART 42,5 KG"/>
    <m/>
    <m/>
    <s v="CEMENTO ART 42,5 KG"/>
    <x v="8"/>
    <x v="8"/>
    <s v="7999999995CEMARTB42CEMENTO ART 42,5 KG"/>
    <x v="3"/>
    <x v="0"/>
  </r>
  <r>
    <n v="7199990001"/>
    <s v="CONSUMOS SEMIELBORAD"/>
    <m/>
    <n v="8249.8897576595282"/>
    <s v="T"/>
    <s v="M"/>
    <s v="1410900101"/>
    <s v="INV. SEMIELABORADO"/>
    <s v="EC01"/>
    <s v="CEMENTOART"/>
    <n v="700034"/>
    <x v="8"/>
    <s v="CEMENTO ART"/>
    <m/>
    <m/>
    <s v="CEMENTO ART 42,5 KG"/>
    <x v="8"/>
    <x v="8"/>
    <s v="7199990001CEMENTOARTCEMENTO ART 42,5 KG"/>
    <x v="30"/>
    <x v="0"/>
  </r>
  <r>
    <n v="7360050302"/>
    <s v="CTO BOLSAS IMP"/>
    <n v="184137539.39096069"/>
    <n v="197997.35418382869"/>
    <s v="UN"/>
    <s v="M"/>
    <s v="1460050302"/>
    <s v="INV BOLSAS IMP"/>
    <s v="EC01"/>
    <s v="22000000005"/>
    <n v="700034"/>
    <x v="8"/>
    <s v="BOLSA DE CEMENTO EMPAQUE DE 42.5 KG ART"/>
    <m/>
    <m/>
    <s v="CEMENTO ART 42,5 KG"/>
    <x v="8"/>
    <x v="8"/>
    <s v="736005030222000000005CEMENTO ART 42,5 KG"/>
    <x v="27"/>
    <x v="0"/>
  </r>
  <r>
    <n v="7999999995"/>
    <s v="TRASLADO DE COSTOS"/>
    <m/>
    <n v="-194115.05312140068"/>
    <s v="UN"/>
    <s v="M"/>
    <s v="1430050101"/>
    <s v="INV. PTO MANUFACTURA"/>
    <s v="EC01"/>
    <s v="CEMARTB42"/>
    <n v="700034"/>
    <x v="8"/>
    <s v="CEMENTO ALION EMPACADO ART 42,5 KG"/>
    <m/>
    <m/>
    <s v="CEMENTO ART 42,5 KG"/>
    <x v="8"/>
    <x v="8"/>
    <s v="7999999995CEMARTB42CEMENTO ART 42,5 KG"/>
    <x v="3"/>
    <x v="0"/>
  </r>
  <r>
    <n v="7199990001"/>
    <s v="CONSUMOS SEMIELBORAD"/>
    <m/>
    <n v="8346.2186252856318"/>
    <s v="T"/>
    <s v="M"/>
    <s v="1410900101"/>
    <s v="INV. SEMIELABORADO"/>
    <s v="EC01"/>
    <s v="CEMENTOART"/>
    <n v="700034"/>
    <x v="9"/>
    <s v="CEMENTO ART"/>
    <m/>
    <m/>
    <s v="CEMENTO ART 42,5 KG"/>
    <x v="8"/>
    <x v="8"/>
    <s v="7199990001CEMENTOARTCEMENTO ART 42,5 KG"/>
    <x v="30"/>
    <x v="0"/>
  </r>
  <r>
    <n v="7360050302"/>
    <s v="CTO BOLSAS IMP"/>
    <n v="186287599.71637535"/>
    <n v="200309.24700685521"/>
    <s v="UN"/>
    <s v="M"/>
    <s v="1460050302"/>
    <s v="INV BOLSAS IMP"/>
    <s v="EC01"/>
    <s v="22000000005"/>
    <n v="700034"/>
    <x v="9"/>
    <s v="BOLSA DE CEMENTO EMPAQUE DE 42.5 KG ART"/>
    <m/>
    <m/>
    <s v="CEMENTO ART 42,5 KG"/>
    <x v="8"/>
    <x v="8"/>
    <s v="736005030222000000005CEMENTO ART 42,5 KG"/>
    <x v="27"/>
    <x v="0"/>
  </r>
  <r>
    <n v="7999999995"/>
    <s v="TRASLADO DE COSTOS"/>
    <m/>
    <n v="-196381.61471260313"/>
    <s v="UN"/>
    <s v="M"/>
    <s v="1430050101"/>
    <s v="INV. PTO MANUFACTURA"/>
    <s v="EC01"/>
    <s v="CEMARTB42"/>
    <n v="700034"/>
    <x v="9"/>
    <s v="CEMENTO ALION EMPACADO ART 42,5 KG"/>
    <m/>
    <m/>
    <s v="CEMENTO ART 42,5 KG"/>
    <x v="8"/>
    <x v="8"/>
    <s v="7999999995CEMARTB42CEMENTO ART 42,5 KG"/>
    <x v="3"/>
    <x v="0"/>
  </r>
  <r>
    <n v="7199990001"/>
    <s v="CONSUMOS SEMIELBORAD"/>
    <m/>
    <n v="7614.7110920655841"/>
    <s v="T"/>
    <s v="M"/>
    <s v="1410900101"/>
    <s v="INV. SEMIELABORADO"/>
    <s v="EC01"/>
    <s v="CEMENTOART"/>
    <n v="700034"/>
    <x v="10"/>
    <s v="CEMENTO ART"/>
    <m/>
    <m/>
    <s v="CEMENTO ART 42,5 KG"/>
    <x v="8"/>
    <x v="8"/>
    <s v="7199990001CEMENTOARTCEMENTO ART 42,5 KG"/>
    <x v="30"/>
    <x v="0"/>
  </r>
  <r>
    <n v="7360050302"/>
    <s v="CTO BOLSAS IMP"/>
    <n v="169960351.57490385"/>
    <n v="182753.06620957403"/>
    <s v="UN"/>
    <s v="M"/>
    <s v="1460050302"/>
    <s v="INV BOLSAS IMP"/>
    <s v="EC01"/>
    <s v="22000000005"/>
    <n v="700034"/>
    <x v="10"/>
    <s v="BOLSA DE CEMENTO EMPAQUE DE 42.5 KG ART"/>
    <m/>
    <m/>
    <s v="CEMENTO ART 42,5 KG"/>
    <x v="8"/>
    <x v="8"/>
    <s v="736005030222000000005CEMENTO ART 42,5 KG"/>
    <x v="27"/>
    <x v="0"/>
  </r>
  <r>
    <n v="7999999995"/>
    <s v="TRASLADO DE COSTOS"/>
    <m/>
    <n v="-179169.67275448435"/>
    <s v="UN"/>
    <s v="M"/>
    <s v="1430050101"/>
    <s v="INV. PTO MANUFACTURA"/>
    <s v="EC01"/>
    <s v="CEMARTB42"/>
    <n v="700034"/>
    <x v="10"/>
    <s v="CEMENTO ALION EMPACADO ART 42,5 KG"/>
    <m/>
    <m/>
    <s v="CEMENTO ART 42,5 KG"/>
    <x v="8"/>
    <x v="8"/>
    <s v="7999999995CEMARTB42CEMENTO ART 42,5 KG"/>
    <x v="3"/>
    <x v="0"/>
  </r>
  <r>
    <n v="7199990001"/>
    <s v="CONSUMOS SEMIELBORAD"/>
    <m/>
    <n v="7280.8110142391133"/>
    <s v="T"/>
    <s v="M"/>
    <s v="1410900101"/>
    <s v="INV. SEMIELABORADO"/>
    <s v="EC01"/>
    <s v="CEMENTOART"/>
    <n v="700034"/>
    <x v="11"/>
    <s v="CEMENTO ART"/>
    <m/>
    <m/>
    <s v="CEMENTO ART 42,5 KG"/>
    <x v="8"/>
    <x v="8"/>
    <s v="7199990001CEMENTOARTCEMENTO ART 42,5 KG"/>
    <x v="30"/>
    <x v="0"/>
  </r>
  <r>
    <n v="7360050302"/>
    <s v="CTO BOLSAS IMP"/>
    <n v="162507701.83781704"/>
    <n v="174739.46434173876"/>
    <s v="UN"/>
    <s v="M"/>
    <s v="1460050302"/>
    <s v="INV BOLSAS IMP"/>
    <s v="EC01"/>
    <s v="22000000005"/>
    <n v="700034"/>
    <x v="11"/>
    <s v="BOLSA DE CEMENTO EMPAQUE DE 42.5 KG ART"/>
    <m/>
    <m/>
    <s v="CEMENTO ART 42,5 KG"/>
    <x v="8"/>
    <x v="8"/>
    <s v="736005030222000000005CEMENTO ART 42,5 KG"/>
    <x v="27"/>
    <x v="0"/>
  </r>
  <r>
    <n v="7999999995"/>
    <s v="TRASLADO DE COSTOS"/>
    <m/>
    <n v="-171313.20033503798"/>
    <s v="UN"/>
    <s v="M"/>
    <s v="1430050101"/>
    <s v="INV. PTO MANUFACTURA"/>
    <s v="EC01"/>
    <s v="CEMARTB42"/>
    <n v="700034"/>
    <x v="11"/>
    <s v="CEMENTO ALION EMPACADO ART 42,5 KG"/>
    <m/>
    <m/>
    <s v="CEMENTO ART 42,5 KG"/>
    <x v="8"/>
    <x v="8"/>
    <s v="7999999995CEMARTB42CEMENTO ART 42,5 KG"/>
    <x v="3"/>
    <x v="0"/>
  </r>
  <r>
    <n v="7199990001"/>
    <s v="CONSUMOS SEMIELBORAD"/>
    <m/>
    <n v="573.21357307263816"/>
    <s v="T"/>
    <s v="M"/>
    <s v="1410900101"/>
    <s v="INV. SEMIELABORADO"/>
    <s v="EC01"/>
    <s v="CEMENTOUG1"/>
    <n v="700048"/>
    <x v="0"/>
    <s v="CEMENTO UG"/>
    <m/>
    <m/>
    <s v="CEMENTO UG 25 KG"/>
    <x v="9"/>
    <x v="9"/>
    <s v="7199990001CEMENTOUG1CEMENTO UG 25 KG"/>
    <x v="26"/>
    <x v="0"/>
  </r>
  <r>
    <n v="7360050302"/>
    <s v="CTO BOLSAS IMP"/>
    <n v="16698399.239893638"/>
    <n v="23387.113781363638"/>
    <s v="UN"/>
    <s v="M"/>
    <s v="1460050302"/>
    <s v="INV BOLSAS IMP"/>
    <s v="EC01"/>
    <s v="22000000004"/>
    <n v="700048"/>
    <x v="0"/>
    <s v="BOLSA DE CEMENTO EMPAQUE DE 25 KG UG"/>
    <m/>
    <m/>
    <s v="CEMENTO UG 25 KG"/>
    <x v="9"/>
    <x v="9"/>
    <s v="736005030222000000004CEMENTO UG 25 KG"/>
    <x v="27"/>
    <x v="0"/>
  </r>
  <r>
    <n v="7999999995"/>
    <s v="TRASLADO DE COSTOS"/>
    <m/>
    <n v="-22928.542922905526"/>
    <s v="UN"/>
    <s v="M"/>
    <s v="1430050101"/>
    <s v="INV. PTO MANUFACTURA"/>
    <s v="EC01"/>
    <s v="CEMCUGB25"/>
    <n v="700048"/>
    <x v="0"/>
    <s v="CEMENTO ALION EMPACADO UG 25 KG"/>
    <m/>
    <m/>
    <s v="CEMENTO UG 25 KG"/>
    <x v="9"/>
    <x v="9"/>
    <s v="7999999995CEMCUGB25CEMENTO UG 25 KG"/>
    <x v="3"/>
    <x v="0"/>
  </r>
  <r>
    <n v="7199990001"/>
    <s v="CONSUMOS SEMIELBORAD"/>
    <m/>
    <n v="594.95159941392683"/>
    <s v="T"/>
    <s v="M"/>
    <s v="1410900101"/>
    <s v="INV. SEMIELABORADO"/>
    <s v="EC01"/>
    <s v="CEMENTOUG1"/>
    <n v="700048"/>
    <x v="1"/>
    <s v="CEMENTO UG"/>
    <m/>
    <m/>
    <s v="CEMENTO UG 25 KG"/>
    <x v="9"/>
    <x v="9"/>
    <s v="7199990001CEMENTOUG1CEMENTO UG 25 KG"/>
    <x v="26"/>
    <x v="0"/>
  </r>
  <r>
    <n v="7360050302"/>
    <s v="CTO BOLSAS IMP"/>
    <n v="17331654.032846984"/>
    <n v="24274.025256088215"/>
    <s v="UN"/>
    <s v="M"/>
    <s v="1460050302"/>
    <s v="INV BOLSAS IMP"/>
    <s v="EC01"/>
    <s v="22000000004"/>
    <n v="700048"/>
    <x v="1"/>
    <s v="BOLSA DE CEMENTO EMPAQUE DE 25 KG UG"/>
    <m/>
    <m/>
    <s v="CEMENTO UG 25 KG"/>
    <x v="9"/>
    <x v="9"/>
    <s v="736005030222000000004CEMENTO UG 25 KG"/>
    <x v="27"/>
    <x v="0"/>
  </r>
  <r>
    <n v="7999999995"/>
    <s v="TRASLADO DE COSTOS"/>
    <m/>
    <n v="-23798.063976557074"/>
    <s v="UN"/>
    <s v="M"/>
    <s v="1430050101"/>
    <s v="INV. PTO MANUFACTURA"/>
    <s v="EC01"/>
    <s v="CEMCUGB25"/>
    <n v="700048"/>
    <x v="1"/>
    <s v="CEMENTO ALION EMPACADO UG 25 KG"/>
    <m/>
    <m/>
    <s v="CEMENTO UG 25 KG"/>
    <x v="9"/>
    <x v="9"/>
    <s v="7999999995CEMCUGB25CEMENTO UG 25 KG"/>
    <x v="3"/>
    <x v="0"/>
  </r>
  <r>
    <n v="7199990001"/>
    <s v="CONSUMOS SEMIELBORAD"/>
    <m/>
    <n v="640.65791881369057"/>
    <s v="T"/>
    <s v="M"/>
    <s v="1410900101"/>
    <s v="INV. SEMIELABORADO"/>
    <s v="EC01"/>
    <s v="CEMENTOUG1"/>
    <n v="700048"/>
    <x v="2"/>
    <s v="CEMENTO UG"/>
    <m/>
    <m/>
    <s v="CEMENTO UG 25 KG"/>
    <x v="9"/>
    <x v="9"/>
    <s v="7199990001CEMENTOUG1CEMENTO UG 25 KG"/>
    <x v="26"/>
    <x v="0"/>
  </r>
  <r>
    <n v="7360050302"/>
    <s v="CTO BOLSAS IMP"/>
    <n v="19368882.727910545"/>
    <n v="26138.843087598576"/>
    <s v="UN"/>
    <s v="M"/>
    <s v="1460050302"/>
    <s v="INV BOLSAS IMP"/>
    <s v="EC01"/>
    <s v="22000000004"/>
    <n v="700048"/>
    <x v="2"/>
    <s v="BOLSA DE CEMENTO EMPAQUE DE 25 KG UG"/>
    <m/>
    <m/>
    <s v="CEMENTO UG 25 KG"/>
    <x v="9"/>
    <x v="9"/>
    <s v="736005030222000000004CEMENTO UG 25 KG"/>
    <x v="27"/>
    <x v="0"/>
  </r>
  <r>
    <n v="7999999995"/>
    <s v="TRASLADO DE COSTOS"/>
    <m/>
    <n v="-25626.316752547624"/>
    <s v="UN"/>
    <s v="M"/>
    <s v="1430050101"/>
    <s v="INV. PTO MANUFACTURA"/>
    <s v="EC01"/>
    <s v="CEMCUGB25"/>
    <n v="700048"/>
    <x v="2"/>
    <s v="CEMENTO ALION EMPACADO UG 25 KG"/>
    <m/>
    <m/>
    <s v="CEMENTO UG 25 KG"/>
    <x v="9"/>
    <x v="9"/>
    <s v="7999999995CEMCUGB25CEMENTO UG 25 KG"/>
    <x v="3"/>
    <x v="0"/>
  </r>
  <r>
    <n v="7199990001"/>
    <s v="CONSUMOS SEMIELBORAD"/>
    <m/>
    <n v="609.96309867899527"/>
    <s v="T"/>
    <s v="M"/>
    <s v="1410900101"/>
    <s v="INV. SEMIELABORADO"/>
    <s v="EC01"/>
    <s v="CEMENTOUG1"/>
    <n v="700048"/>
    <x v="3"/>
    <s v="CEMENTO UG"/>
    <m/>
    <m/>
    <s v="CEMENTO UG 25 KG"/>
    <x v="9"/>
    <x v="9"/>
    <s v="7199990001CEMENTOUG1CEMENTO UG 25 KG"/>
    <x v="26"/>
    <x v="0"/>
  </r>
  <r>
    <n v="7360050302"/>
    <s v="CTO BOLSAS IMP"/>
    <n v="18440892.369742326"/>
    <n v="24886.494426103007"/>
    <s v="UN"/>
    <s v="M"/>
    <s v="1460050302"/>
    <s v="INV BOLSAS IMP"/>
    <s v="EC01"/>
    <s v="22000000004"/>
    <n v="700048"/>
    <x v="3"/>
    <s v="BOLSA DE CEMENTO EMPAQUE DE 25 KG UG"/>
    <m/>
    <m/>
    <s v="CEMENTO UG 25 KG"/>
    <x v="9"/>
    <x v="9"/>
    <s v="736005030222000000004CEMENTO UG 25 KG"/>
    <x v="27"/>
    <x v="0"/>
  </r>
  <r>
    <n v="7999999995"/>
    <s v="TRASLADO DE COSTOS"/>
    <m/>
    <n v="-24398.523947159811"/>
    <s v="UN"/>
    <s v="M"/>
    <s v="1430050101"/>
    <s v="INV. PTO MANUFACTURA"/>
    <s v="EC01"/>
    <s v="CEMCUGB25"/>
    <n v="700048"/>
    <x v="3"/>
    <s v="CEMENTO ALION EMPACADO UG 25 KG"/>
    <m/>
    <m/>
    <s v="CEMENTO UG 25 KG"/>
    <x v="9"/>
    <x v="9"/>
    <s v="7999999995CEMCUGB25CEMENTO UG 25 KG"/>
    <x v="3"/>
    <x v="0"/>
  </r>
  <r>
    <n v="7199990001"/>
    <s v="CONSUMOS SEMIELBORAD"/>
    <m/>
    <n v="571.18618727357523"/>
    <s v="T"/>
    <s v="M"/>
    <s v="1410900101"/>
    <s v="INV. SEMIELABORADO"/>
    <s v="EC01"/>
    <s v="CEMENTOUG1"/>
    <n v="700048"/>
    <x v="4"/>
    <s v="CEMENTO UG"/>
    <m/>
    <m/>
    <s v="CEMENTO UG 25 KG"/>
    <x v="9"/>
    <x v="9"/>
    <s v="7199990001CEMENTOUG1CEMENTO UG 25 KG"/>
    <x v="26"/>
    <x v="0"/>
  </r>
  <r>
    <n v="7360050302"/>
    <s v="CTO BOLSAS IMP"/>
    <n v="17268557.762604546"/>
    <n v="23304.39644076187"/>
    <s v="UN"/>
    <s v="M"/>
    <s v="1460050302"/>
    <s v="INV BOLSAS IMP"/>
    <s v="EC01"/>
    <s v="22000000004"/>
    <n v="700048"/>
    <x v="4"/>
    <s v="BOLSA DE CEMENTO EMPAQUE DE 25 KG UG"/>
    <m/>
    <m/>
    <s v="CEMENTO UG 25 KG"/>
    <x v="9"/>
    <x v="9"/>
    <s v="736005030222000000004CEMENTO UG 25 KG"/>
    <x v="27"/>
    <x v="0"/>
  </r>
  <r>
    <n v="7999999995"/>
    <s v="TRASLADO DE COSTOS"/>
    <m/>
    <n v="-22847.44749094301"/>
    <s v="UN"/>
    <s v="M"/>
    <s v="1430050101"/>
    <s v="INV. PTO MANUFACTURA"/>
    <s v="EC01"/>
    <s v="CEMCUGB25"/>
    <n v="700048"/>
    <x v="4"/>
    <s v="CEMENTO ALION EMPACADO UG 25 KG"/>
    <m/>
    <m/>
    <s v="CEMENTO UG 25 KG"/>
    <x v="9"/>
    <x v="9"/>
    <s v="7999999995CEMCUGB25CEMENTO UG 25 KG"/>
    <x v="3"/>
    <x v="0"/>
  </r>
  <r>
    <n v="7199990001"/>
    <s v="CONSUMOS SEMIELBORAD"/>
    <m/>
    <n v="569.57286193028267"/>
    <s v="T"/>
    <s v="M"/>
    <s v="1410900101"/>
    <s v="INV. SEMIELABORADO"/>
    <s v="EC01"/>
    <s v="CEMENTOUG1"/>
    <n v="700048"/>
    <x v="5"/>
    <s v="CEMENTO UG"/>
    <m/>
    <m/>
    <s v="CEMENTO UG 25 KG"/>
    <x v="9"/>
    <x v="9"/>
    <s v="7199990001CEMENTOUG1CEMENTO UG 25 KG"/>
    <x v="26"/>
    <x v="0"/>
  </r>
  <r>
    <n v="7360050302"/>
    <s v="CTO BOLSAS IMP"/>
    <n v="17219782.420165852"/>
    <n v="23238.572766755533"/>
    <s v="UN"/>
    <s v="M"/>
    <s v="1460050302"/>
    <s v="INV BOLSAS IMP"/>
    <s v="EC01"/>
    <s v="22000000004"/>
    <n v="700048"/>
    <x v="5"/>
    <s v="BOLSA DE CEMENTO EMPAQUE DE 25 KG UG"/>
    <m/>
    <m/>
    <s v="CEMENTO UG 25 KG"/>
    <x v="9"/>
    <x v="9"/>
    <s v="736005030222000000004CEMENTO UG 25 KG"/>
    <x v="27"/>
    <x v="0"/>
  </r>
  <r>
    <n v="7999999995"/>
    <s v="TRASLADO DE COSTOS"/>
    <m/>
    <n v="-22782.914477211307"/>
    <s v="UN"/>
    <s v="M"/>
    <s v="1430050101"/>
    <s v="INV. PTO MANUFACTURA"/>
    <s v="EC01"/>
    <s v="CEMCUGB25"/>
    <n v="700048"/>
    <x v="5"/>
    <s v="CEMENTO ALION EMPACADO UG 25 KG"/>
    <m/>
    <m/>
    <s v="CEMENTO UG 25 KG"/>
    <x v="9"/>
    <x v="9"/>
    <s v="7999999995CEMCUGB25CEMENTO UG 25 KG"/>
    <x v="3"/>
    <x v="0"/>
  </r>
  <r>
    <n v="7199990001"/>
    <s v="CONSUMOS SEMIELBORAD"/>
    <m/>
    <n v="671.48893826023016"/>
    <s v="T"/>
    <s v="M"/>
    <s v="1410900101"/>
    <s v="INV. SEMIELABORADO"/>
    <s v="EC01"/>
    <s v="CEMENTOUG1"/>
    <n v="700048"/>
    <x v="6"/>
    <s v="CEMENTO UG"/>
    <m/>
    <m/>
    <s v="CEMENTO UG 25 KG"/>
    <x v="9"/>
    <x v="9"/>
    <s v="7199990001CEMENTOUG1CEMENTO UG 25 KG"/>
    <x v="26"/>
    <x v="0"/>
  </r>
  <r>
    <n v="7360050302"/>
    <s v="CTO BOLSAS IMP"/>
    <n v="20300990.772633888"/>
    <n v="27396.74868101739"/>
    <s v="UN"/>
    <s v="M"/>
    <s v="1460050302"/>
    <s v="INV BOLSAS IMP"/>
    <s v="EC01"/>
    <s v="22000000004"/>
    <n v="700048"/>
    <x v="6"/>
    <s v="BOLSA DE CEMENTO EMPAQUE DE 25 KG UG"/>
    <m/>
    <m/>
    <s v="CEMENTO UG 25 KG"/>
    <x v="9"/>
    <x v="9"/>
    <s v="736005030222000000004CEMENTO UG 25 KG"/>
    <x v="27"/>
    <x v="0"/>
  </r>
  <r>
    <n v="7999999995"/>
    <s v="TRASLADO DE COSTOS"/>
    <m/>
    <n v="-26859.557530409205"/>
    <s v="UN"/>
    <s v="M"/>
    <s v="1430050101"/>
    <s v="INV. PTO MANUFACTURA"/>
    <s v="EC01"/>
    <s v="CEMCUGB25"/>
    <n v="700048"/>
    <x v="6"/>
    <s v="CEMENTO ALION EMPACADO UG 25 KG"/>
    <m/>
    <m/>
    <s v="CEMENTO UG 25 KG"/>
    <x v="9"/>
    <x v="9"/>
    <s v="7999999995CEMCUGB25CEMENTO UG 25 KG"/>
    <x v="3"/>
    <x v="0"/>
  </r>
  <r>
    <n v="7199990001"/>
    <s v="CONSUMOS SEMIELBORAD"/>
    <m/>
    <n v="611.04085477707883"/>
    <s v="T"/>
    <s v="M"/>
    <s v="1410900101"/>
    <s v="INV. SEMIELABORADO"/>
    <s v="EC01"/>
    <s v="CEMENTOUG1"/>
    <n v="700048"/>
    <x v="7"/>
    <s v="CEMENTO UG"/>
    <m/>
    <m/>
    <s v="CEMENTO UG 25 KG"/>
    <x v="9"/>
    <x v="9"/>
    <s v="7199990001CEMENTOUG1CEMENTO UG 25 KG"/>
    <x v="26"/>
    <x v="0"/>
  </r>
  <r>
    <n v="7360050302"/>
    <s v="CTO BOLSAS IMP"/>
    <n v="18473475.954304472"/>
    <n v="24930.466874904818"/>
    <s v="UN"/>
    <s v="M"/>
    <s v="1460050302"/>
    <s v="INV BOLSAS IMP"/>
    <s v="EC01"/>
    <s v="22000000004"/>
    <n v="700048"/>
    <x v="7"/>
    <s v="BOLSA DE CEMENTO EMPAQUE DE 25 KG UG"/>
    <m/>
    <m/>
    <s v="CEMENTO UG 25 KG"/>
    <x v="9"/>
    <x v="9"/>
    <s v="736005030222000000004CEMENTO UG 25 KG"/>
    <x v="27"/>
    <x v="0"/>
  </r>
  <r>
    <n v="7999999995"/>
    <s v="TRASLADO DE COSTOS"/>
    <m/>
    <n v="-24441.634191083154"/>
    <s v="UN"/>
    <s v="M"/>
    <s v="1430050101"/>
    <s v="INV. PTO MANUFACTURA"/>
    <s v="EC01"/>
    <s v="CEMCUGB25"/>
    <n v="700048"/>
    <x v="7"/>
    <s v="CEMENTO ALION EMPACADO UG 25 KG"/>
    <m/>
    <m/>
    <s v="CEMENTO UG 25 KG"/>
    <x v="9"/>
    <x v="9"/>
    <s v="7999999995CEMCUGB25CEMENTO UG 25 KG"/>
    <x v="3"/>
    <x v="0"/>
  </r>
  <r>
    <n v="7199990001"/>
    <s v="CONSUMOS SEMIELBORAD"/>
    <m/>
    <n v="647.26613290305477"/>
    <s v="T"/>
    <s v="M"/>
    <s v="1410900101"/>
    <s v="INV. SEMIELABORADO"/>
    <s v="EC01"/>
    <s v="CEMENTOUG1"/>
    <n v="700048"/>
    <x v="8"/>
    <s v="CEMENTO UG"/>
    <m/>
    <m/>
    <s v="CEMENTO UG 25 KG"/>
    <x v="9"/>
    <x v="9"/>
    <s v="7199990001CEMENTOUG1CEMENTO UG 25 KG"/>
    <x v="26"/>
    <x v="0"/>
  </r>
  <r>
    <n v="7360050302"/>
    <s v="CTO BOLSAS IMP"/>
    <n v="20228878.998392589"/>
    <n v="26408.458222444635"/>
    <s v="UN"/>
    <s v="M"/>
    <s v="1460050302"/>
    <s v="INV BOLSAS IMP"/>
    <s v="EC01"/>
    <s v="22000000004"/>
    <n v="700048"/>
    <x v="8"/>
    <s v="BOLSA DE CEMENTO EMPAQUE DE 25 KG UG"/>
    <m/>
    <m/>
    <s v="CEMENTO UG 25 KG"/>
    <x v="9"/>
    <x v="9"/>
    <s v="736005030222000000004CEMENTO UG 25 KG"/>
    <x v="27"/>
    <x v="0"/>
  </r>
  <r>
    <n v="7999999995"/>
    <s v="TRASLADO DE COSTOS"/>
    <m/>
    <n v="-25890.645316122191"/>
    <s v="UN"/>
    <s v="M"/>
    <s v="1430050101"/>
    <s v="INV. PTO MANUFACTURA"/>
    <s v="EC01"/>
    <s v="CEMCUGB25"/>
    <n v="700048"/>
    <x v="8"/>
    <s v="CEMENTO ALION EMPACADO UG 25 KG"/>
    <m/>
    <m/>
    <s v="CEMENTO UG 25 KG"/>
    <x v="9"/>
    <x v="9"/>
    <s v="7999999995CEMCUGB25CEMENTO UG 25 KG"/>
    <x v="3"/>
    <x v="0"/>
  </r>
  <r>
    <n v="7199990001"/>
    <s v="CONSUMOS SEMIELBORAD"/>
    <m/>
    <n v="657.66872740202234"/>
    <s v="T"/>
    <s v="M"/>
    <s v="1410900101"/>
    <s v="INV. SEMIELABORADO"/>
    <s v="EC01"/>
    <s v="CEMENTOUG1"/>
    <n v="700048"/>
    <x v="9"/>
    <s v="CEMENTO UG"/>
    <m/>
    <m/>
    <s v="CEMENTO UG 25 KG"/>
    <x v="9"/>
    <x v="9"/>
    <s v="7199990001CEMENTOUG1CEMENTO UG 25 KG"/>
    <x v="26"/>
    <x v="0"/>
  </r>
  <r>
    <n v="7360050302"/>
    <s v="CTO BOLSAS IMP"/>
    <n v="20553989.203749925"/>
    <n v="26832.884078002513"/>
    <s v="UN"/>
    <s v="M"/>
    <s v="1460050302"/>
    <s v="INV BOLSAS IMP"/>
    <s v="EC01"/>
    <s v="22000000004"/>
    <n v="700048"/>
    <x v="9"/>
    <s v="BOLSA DE CEMENTO EMPAQUE DE 25 KG UG"/>
    <m/>
    <m/>
    <s v="CEMENTO UG 25 KG"/>
    <x v="9"/>
    <x v="9"/>
    <s v="736005030222000000004CEMENTO UG 25 KG"/>
    <x v="27"/>
    <x v="0"/>
  </r>
  <r>
    <n v="7999999995"/>
    <s v="TRASLADO DE COSTOS"/>
    <m/>
    <n v="-26306.749096080894"/>
    <s v="UN"/>
    <s v="M"/>
    <s v="1430050101"/>
    <s v="INV. PTO MANUFACTURA"/>
    <s v="EC01"/>
    <s v="CEMCUGB25"/>
    <n v="700048"/>
    <x v="9"/>
    <s v="CEMENTO ALION EMPACADO UG 25 KG"/>
    <m/>
    <m/>
    <s v="CEMENTO UG 25 KG"/>
    <x v="9"/>
    <x v="9"/>
    <s v="7999999995CEMCUGB25CEMENTO UG 25 KG"/>
    <x v="3"/>
    <x v="0"/>
  </r>
  <r>
    <n v="7199990001"/>
    <s v="CONSUMOS SEMIELBORAD"/>
    <m/>
    <n v="616.4325217762314"/>
    <s v="T"/>
    <s v="M"/>
    <s v="1410900101"/>
    <s v="INV. SEMIELABORADO"/>
    <s v="EC01"/>
    <s v="CEMENTOUG1"/>
    <n v="700048"/>
    <x v="10"/>
    <s v="CEMENTO UG"/>
    <m/>
    <m/>
    <s v="CEMENTO UG 25 KG"/>
    <x v="9"/>
    <x v="9"/>
    <s v="7199990001CEMENTOUG1CEMENTO UG 25 KG"/>
    <x v="26"/>
    <x v="0"/>
  </r>
  <r>
    <n v="7360050302"/>
    <s v="CTO BOLSAS IMP"/>
    <n v="19265242.316568207"/>
    <n v="25150.446888470244"/>
    <s v="UN"/>
    <s v="M"/>
    <s v="1460050302"/>
    <s v="INV BOLSAS IMP"/>
    <s v="EC01"/>
    <s v="22000000004"/>
    <n v="700048"/>
    <x v="10"/>
    <s v="BOLSA DE CEMENTO EMPAQUE DE 25 KG UG"/>
    <m/>
    <m/>
    <s v="CEMENTO UG 25 KG"/>
    <x v="9"/>
    <x v="9"/>
    <s v="736005030222000000004CEMENTO UG 25 KG"/>
    <x v="27"/>
    <x v="0"/>
  </r>
  <r>
    <n v="7999999995"/>
    <s v="TRASLADO DE COSTOS"/>
    <m/>
    <n v="-24657.300871049258"/>
    <s v="UN"/>
    <s v="M"/>
    <s v="1430050101"/>
    <s v="INV. PTO MANUFACTURA"/>
    <s v="EC01"/>
    <s v="CEMCUGB25"/>
    <n v="700048"/>
    <x v="10"/>
    <s v="CEMENTO ALION EMPACADO UG 25 KG"/>
    <m/>
    <m/>
    <s v="CEMENTO UG 25 KG"/>
    <x v="9"/>
    <x v="9"/>
    <s v="7999999995CEMCUGB25CEMENTO UG 25 KG"/>
    <x v="3"/>
    <x v="0"/>
  </r>
  <r>
    <n v="7199990001"/>
    <s v="CONSUMOS SEMIELBORAD"/>
    <m/>
    <n v="638.01338240654604"/>
    <s v="T"/>
    <s v="M"/>
    <s v="1410900101"/>
    <s v="INV. SEMIELABORADO"/>
    <s v="EC01"/>
    <s v="CEMENTOUG1"/>
    <n v="700048"/>
    <x v="11"/>
    <s v="CEMENTO UG"/>
    <m/>
    <m/>
    <s v="CEMENTO UG 25 KG"/>
    <x v="9"/>
    <x v="9"/>
    <s v="7199990001CEMENTOUG1CEMENTO UG 25 KG"/>
    <x v="26"/>
    <x v="0"/>
  </r>
  <r>
    <n v="7360050302"/>
    <s v="CTO BOLSAS IMP"/>
    <n v="19939704.637675304"/>
    <n v="26030.94600218708"/>
    <s v="UN"/>
    <s v="M"/>
    <s v="1460050302"/>
    <s v="INV BOLSAS IMP"/>
    <s v="EC01"/>
    <s v="22000000004"/>
    <n v="700048"/>
    <x v="11"/>
    <s v="BOLSA DE CEMENTO EMPAQUE DE 25 KG UG"/>
    <m/>
    <m/>
    <s v="CEMENTO UG 25 KG"/>
    <x v="9"/>
    <x v="9"/>
    <s v="736005030222000000004CEMENTO UG 25 KG"/>
    <x v="27"/>
    <x v="0"/>
  </r>
  <r>
    <n v="7999999995"/>
    <s v="TRASLADO DE COSTOS"/>
    <m/>
    <n v="-25520.535296261842"/>
    <s v="UN"/>
    <s v="M"/>
    <s v="1430050101"/>
    <s v="INV. PTO MANUFACTURA"/>
    <s v="EC01"/>
    <s v="CEMCUGB25"/>
    <n v="700048"/>
    <x v="11"/>
    <s v="CEMENTO ALION EMPACADO UG 25 KG"/>
    <m/>
    <m/>
    <s v="CEMENTO UG 25 KG"/>
    <x v="9"/>
    <x v="9"/>
    <s v="7999999995CEMCUGB25CEMENTO UG 25 KG"/>
    <x v="3"/>
    <x v="0"/>
  </r>
  <r>
    <n v="7199990001"/>
    <s v="CONSUMOS SEMIELBORAD"/>
    <m/>
    <n v="57703.095103641623"/>
    <s v="T"/>
    <s v="M"/>
    <s v="1410900101"/>
    <s v="INV. SEMIELABORADO"/>
    <s v="EC01"/>
    <s v="CEMENTOUG1"/>
    <n v="700053"/>
    <x v="0"/>
    <s v="CEMENTO UG"/>
    <m/>
    <m/>
    <s v="CEMENTO UG 50 KG"/>
    <x v="10"/>
    <x v="10"/>
    <s v="7199990001CEMENTOUG1CEMENTO UG 50 KG"/>
    <x v="26"/>
    <x v="0"/>
  </r>
  <r>
    <n v="7360050302"/>
    <s v="CTO BOLSAS IMP"/>
    <n v="1138297416.4905174"/>
    <n v="1177143.140114289"/>
    <s v="UN"/>
    <s v="M"/>
    <s v="1460050302"/>
    <s v="INV BOLSAS IMP"/>
    <s v="EC01"/>
    <s v="22000000008"/>
    <n v="700053"/>
    <x v="0"/>
    <s v="BOLSA DE CEMENTO EMPAQUE DE 50 KG UG"/>
    <m/>
    <m/>
    <s v="CEMENTO UG 50 KG"/>
    <x v="10"/>
    <x v="10"/>
    <s v="736005030222000000008CEMENTO UG 50 KG"/>
    <x v="27"/>
    <x v="0"/>
  </r>
  <r>
    <n v="7999999995"/>
    <s v="TRASLADO DE COSTOS"/>
    <m/>
    <n v="-1154061.9020728325"/>
    <s v="UN"/>
    <s v="M"/>
    <s v="1430050101"/>
    <s v="INV. PTO MANUFACTURA"/>
    <s v="EC01"/>
    <s v="CEMCUGB50"/>
    <n v="700053"/>
    <x v="0"/>
    <s v="CEMENTO ALION USO GENERAL 50KG"/>
    <m/>
    <m/>
    <s v="CEMENTO UG 50 KG"/>
    <x v="10"/>
    <x v="10"/>
    <s v="7999999995CEMCUGB50CEMENTO UG 50 KG"/>
    <x v="3"/>
    <x v="0"/>
  </r>
  <r>
    <n v="7199990001"/>
    <s v="CONSUMOS SEMIELBORAD"/>
    <m/>
    <n v="60164.087491713377"/>
    <s v="T"/>
    <s v="M"/>
    <s v="1410900101"/>
    <s v="INV. SEMIELABORADO"/>
    <s v="EC01"/>
    <s v="CEMENTOUG1"/>
    <n v="700053"/>
    <x v="1"/>
    <s v="CEMENTO UG"/>
    <m/>
    <m/>
    <s v="CEMENTO UG 50 KG"/>
    <x v="10"/>
    <x v="10"/>
    <s v="7199990001CEMENTOUG1CEMENTO UG 50 KG"/>
    <x v="26"/>
    <x v="0"/>
  </r>
  <r>
    <n v="7360050302"/>
    <s v="CTO BOLSAS IMP"/>
    <n v="1186844921.1315315"/>
    <n v="1227347.3848309529"/>
    <s v="UN"/>
    <s v="M"/>
    <s v="1460050302"/>
    <s v="INV BOLSAS IMP"/>
    <s v="EC01"/>
    <s v="22000000008"/>
    <n v="700053"/>
    <x v="1"/>
    <s v="BOLSA DE CEMENTO EMPAQUE DE 50 KG UG"/>
    <m/>
    <m/>
    <s v="CEMENTO UG 50 KG"/>
    <x v="10"/>
    <x v="10"/>
    <s v="736005030222000000008CEMENTO UG 50 KG"/>
    <x v="27"/>
    <x v="0"/>
  </r>
  <r>
    <n v="7999999995"/>
    <s v="TRASLADO DE COSTOS"/>
    <m/>
    <n v="-1203281.7498342674"/>
    <s v="UN"/>
    <s v="M"/>
    <s v="1430050101"/>
    <s v="INV. PTO MANUFACTURA"/>
    <s v="EC01"/>
    <s v="CEMCUGB50"/>
    <n v="700053"/>
    <x v="1"/>
    <s v="CEMENTO ALION USO GENERAL 50KG"/>
    <m/>
    <m/>
    <s v="CEMENTO UG 50 KG"/>
    <x v="10"/>
    <x v="10"/>
    <s v="7999999995CEMCUGB50CEMENTO UG 50 KG"/>
    <x v="3"/>
    <x v="0"/>
  </r>
  <r>
    <n v="7199990001"/>
    <s v="CONSUMOS SEMIELBORAD"/>
    <m/>
    <n v="64639.035180177751"/>
    <s v="T"/>
    <s v="M"/>
    <s v="1410900101"/>
    <s v="INV. SEMIELABORADO"/>
    <s v="EC01"/>
    <s v="CEMENTOUG1"/>
    <n v="700053"/>
    <x v="2"/>
    <s v="CEMENTO UG"/>
    <m/>
    <m/>
    <s v="CEMENTO UG 50 KG"/>
    <x v="10"/>
    <x v="10"/>
    <s v="7199990001CEMENTOUG1CEMENTO UG 50 KG"/>
    <x v="26"/>
    <x v="0"/>
  </r>
  <r>
    <n v="7360050302"/>
    <s v="CTO BOLSAS IMP"/>
    <n v="1310724499.7695725"/>
    <n v="1318636.3176756261"/>
    <s v="UN"/>
    <s v="M"/>
    <s v="1460050302"/>
    <s v="INV BOLSAS IMP"/>
    <s v="EC01"/>
    <s v="22000000008"/>
    <n v="700053"/>
    <x v="2"/>
    <s v="BOLSA DE CEMENTO EMPAQUE DE 50 KG UG"/>
    <m/>
    <m/>
    <s v="CEMENTO UG 50 KG"/>
    <x v="10"/>
    <x v="10"/>
    <s v="736005030222000000008CEMENTO UG 50 KG"/>
    <x v="27"/>
    <x v="0"/>
  </r>
  <r>
    <n v="7999999995"/>
    <s v="TRASLADO DE COSTOS"/>
    <m/>
    <n v="-1292780.703603555"/>
    <s v="UN"/>
    <s v="M"/>
    <s v="1430050101"/>
    <s v="INV. PTO MANUFACTURA"/>
    <s v="EC01"/>
    <s v="CEMCUGB50"/>
    <n v="700053"/>
    <x v="2"/>
    <s v="CEMENTO ALION USO GENERAL 50KG"/>
    <m/>
    <m/>
    <s v="CEMENTO UG 50 KG"/>
    <x v="10"/>
    <x v="10"/>
    <s v="7999999995CEMCUGB50CEMENTO UG 50 KG"/>
    <x v="3"/>
    <x v="0"/>
  </r>
  <r>
    <n v="7199990001"/>
    <s v="CONSUMOS SEMIELBORAD"/>
    <m/>
    <n v="61507.183495679346"/>
    <s v="T"/>
    <s v="M"/>
    <s v="1410900101"/>
    <s v="INV. SEMIELABORADO"/>
    <s v="EC01"/>
    <s v="CEMENTOUG1"/>
    <n v="700053"/>
    <x v="3"/>
    <s v="CEMENTO UG"/>
    <m/>
    <m/>
    <s v="CEMENTO UG 50 KG"/>
    <x v="10"/>
    <x v="10"/>
    <s v="7199990001CEMENTOUG1CEMENTO UG 50 KG"/>
    <x v="26"/>
    <x v="0"/>
  </r>
  <r>
    <n v="7360050302"/>
    <s v="CTO BOLSAS IMP"/>
    <n v="1247218064.0519876"/>
    <n v="1254746.5433118588"/>
    <s v="UN"/>
    <s v="M"/>
    <s v="1460050302"/>
    <s v="INV BOLSAS IMP"/>
    <s v="EC01"/>
    <s v="22000000008"/>
    <n v="700053"/>
    <x v="3"/>
    <s v="BOLSA DE CEMENTO EMPAQUE DE 50 KG UG"/>
    <m/>
    <m/>
    <s v="CEMENTO UG 50 KG"/>
    <x v="10"/>
    <x v="10"/>
    <s v="736005030222000000008CEMENTO UG 50 KG"/>
    <x v="27"/>
    <x v="0"/>
  </r>
  <r>
    <n v="7999999995"/>
    <s v="TRASLADO DE COSTOS"/>
    <m/>
    <n v="-1230143.6699135869"/>
    <s v="UN"/>
    <s v="M"/>
    <s v="1430050101"/>
    <s v="INV. PTO MANUFACTURA"/>
    <s v="EC01"/>
    <s v="CEMCUGB50"/>
    <n v="700053"/>
    <x v="3"/>
    <s v="CEMENTO ALION USO GENERAL 50KG"/>
    <m/>
    <m/>
    <s v="CEMENTO UG 50 KG"/>
    <x v="10"/>
    <x v="10"/>
    <s v="7999999995CEMCUGB50CEMENTO UG 50 KG"/>
    <x v="3"/>
    <x v="0"/>
  </r>
  <r>
    <n v="7199990001"/>
    <s v="CONSUMOS SEMIELBORAD"/>
    <m/>
    <n v="57797.504865822011"/>
    <s v="T"/>
    <s v="M"/>
    <s v="1410900101"/>
    <s v="INV. SEMIELABORADO"/>
    <s v="EC01"/>
    <s v="CEMENTOUG1"/>
    <n v="700053"/>
    <x v="4"/>
    <s v="CEMENTO UG"/>
    <m/>
    <m/>
    <s v="CEMENTO UG 50 KG"/>
    <x v="10"/>
    <x v="10"/>
    <s v="7199990001CEMENTOUG1CEMENTO UG 50 KG"/>
    <x v="26"/>
    <x v="0"/>
  </r>
  <r>
    <n v="7360050302"/>
    <s v="CTO BOLSAS IMP"/>
    <n v="1171994684.6671925"/>
    <n v="1179069.0992627691"/>
    <s v="UN"/>
    <s v="M"/>
    <s v="1460050302"/>
    <s v="INV BOLSAS IMP"/>
    <s v="EC01"/>
    <s v="22000000008"/>
    <n v="700053"/>
    <x v="4"/>
    <s v="BOLSA DE CEMENTO EMPAQUE DE 50 KG UG"/>
    <m/>
    <m/>
    <s v="CEMENTO UG 50 KG"/>
    <x v="10"/>
    <x v="10"/>
    <s v="736005030222000000008CEMENTO UG 50 KG"/>
    <x v="27"/>
    <x v="0"/>
  </r>
  <r>
    <n v="7999999995"/>
    <s v="TRASLADO DE COSTOS"/>
    <m/>
    <n v="-1155950.0973164402"/>
    <s v="UN"/>
    <s v="M"/>
    <s v="1430050101"/>
    <s v="INV. PTO MANUFACTURA"/>
    <s v="EC01"/>
    <s v="CEMCUGB50"/>
    <n v="700053"/>
    <x v="4"/>
    <s v="CEMENTO ALION USO GENERAL 50KG"/>
    <m/>
    <m/>
    <s v="CEMENTO UG 50 KG"/>
    <x v="10"/>
    <x v="10"/>
    <s v="7999999995CEMCUGB50CEMENTO UG 50 KG"/>
    <x v="3"/>
    <x v="0"/>
  </r>
  <r>
    <n v="7199990001"/>
    <s v="CONSUMOS SEMIELBORAD"/>
    <m/>
    <n v="57584.787272509653"/>
    <s v="T"/>
    <s v="M"/>
    <s v="1410900101"/>
    <s v="INV. SEMIELABORADO"/>
    <s v="EC01"/>
    <s v="CEMENTOUG1"/>
    <n v="700053"/>
    <x v="5"/>
    <s v="CEMENTO UG"/>
    <m/>
    <m/>
    <s v="CEMENTO UG 50 KG"/>
    <x v="10"/>
    <x v="10"/>
    <s v="7199990001CEMENTOUG1CEMENTO UG 50 KG"/>
    <x v="26"/>
    <x v="0"/>
  </r>
  <r>
    <n v="7360050302"/>
    <s v="CTO BOLSAS IMP"/>
    <n v="1167681282.3970416"/>
    <n v="1174729.6603591968"/>
    <s v="UN"/>
    <s v="M"/>
    <s v="1460050302"/>
    <s v="INV BOLSAS IMP"/>
    <s v="EC01"/>
    <s v="22000000008"/>
    <n v="700053"/>
    <x v="5"/>
    <s v="BOLSA DE CEMENTO EMPAQUE DE 50 KG UG"/>
    <m/>
    <m/>
    <s v="CEMENTO UG 50 KG"/>
    <x v="10"/>
    <x v="10"/>
    <s v="736005030222000000008CEMENTO UG 50 KG"/>
    <x v="27"/>
    <x v="0"/>
  </r>
  <r>
    <n v="7999999995"/>
    <s v="TRASLADO DE COSTOS"/>
    <m/>
    <n v="-1151695.7454501931"/>
    <s v="UN"/>
    <s v="M"/>
    <s v="1430050101"/>
    <s v="INV. PTO MANUFACTURA"/>
    <s v="EC01"/>
    <s v="CEMCUGB50"/>
    <n v="700053"/>
    <x v="5"/>
    <s v="CEMENTO ALION USO GENERAL 50KG"/>
    <m/>
    <m/>
    <s v="CEMENTO UG 50 KG"/>
    <x v="10"/>
    <x v="10"/>
    <s v="7999999995CEMCUGB50CEMENTO UG 50 KG"/>
    <x v="3"/>
    <x v="0"/>
  </r>
  <r>
    <n v="7199990001"/>
    <s v="CONSUMOS SEMIELBORAD"/>
    <m/>
    <n v="67828.441618974015"/>
    <s v="T"/>
    <s v="M"/>
    <s v="1410900101"/>
    <s v="INV. SEMIELABORADO"/>
    <s v="EC01"/>
    <s v="CEMENTOUG1"/>
    <n v="700053"/>
    <x v="6"/>
    <s v="CEMENTO UG"/>
    <m/>
    <m/>
    <s v="CEMENTO UG 50 KG"/>
    <x v="10"/>
    <x v="10"/>
    <s v="7199990001CEMENTOUG1CEMENTO UG 50 KG"/>
    <x v="26"/>
    <x v="0"/>
  </r>
  <r>
    <n v="7360050302"/>
    <s v="CTO BOLSAS IMP"/>
    <n v="1375398007.7729077"/>
    <n v="1383700.2090270701"/>
    <s v="UN"/>
    <s v="M"/>
    <s v="1460050302"/>
    <s v="INV BOLSAS IMP"/>
    <s v="EC01"/>
    <s v="22000000008"/>
    <n v="700053"/>
    <x v="6"/>
    <s v="BOLSA DE CEMENTO EMPAQUE DE 50 KG UG"/>
    <m/>
    <m/>
    <s v="CEMENTO UG 50 KG"/>
    <x v="10"/>
    <x v="10"/>
    <s v="736005030222000000008CEMENTO UG 50 KG"/>
    <x v="27"/>
    <x v="0"/>
  </r>
  <r>
    <n v="7999999995"/>
    <s v="TRASLADO DE COSTOS"/>
    <m/>
    <n v="-1356568.8323794804"/>
    <s v="UN"/>
    <s v="M"/>
    <s v="1430050101"/>
    <s v="INV. PTO MANUFACTURA"/>
    <s v="EC01"/>
    <s v="CEMCUGB50"/>
    <n v="700053"/>
    <x v="6"/>
    <s v="CEMENTO ALION USO GENERAL 50KG"/>
    <m/>
    <m/>
    <s v="CEMENTO UG 50 KG"/>
    <x v="10"/>
    <x v="10"/>
    <s v="7999999995CEMCUGB50CEMENTO UG 50 KG"/>
    <x v="3"/>
    <x v="0"/>
  </r>
  <r>
    <n v="7199990001"/>
    <s v="CONSUMOS SEMIELBORAD"/>
    <m/>
    <n v="61801.120063564136"/>
    <s v="T"/>
    <s v="M"/>
    <s v="1410900101"/>
    <s v="INV. SEMIELABORADO"/>
    <s v="EC01"/>
    <s v="CEMENTOUG1"/>
    <n v="700053"/>
    <x v="7"/>
    <s v="CEMENTO UG"/>
    <m/>
    <m/>
    <s v="CEMENTO UG 50 KG"/>
    <x v="10"/>
    <x v="10"/>
    <s v="7199990001CEMENTOUG1CEMENTO UG 50 KG"/>
    <x v="26"/>
    <x v="0"/>
  </r>
  <r>
    <n v="7360050302"/>
    <s v="CTO BOLSAS IMP"/>
    <n v="1253178392.2009282"/>
    <n v="1260742.8492967084"/>
    <s v="UN"/>
    <s v="M"/>
    <s v="1460050302"/>
    <s v="INV BOLSAS IMP"/>
    <s v="EC01"/>
    <s v="22000000008"/>
    <n v="700053"/>
    <x v="7"/>
    <s v="BOLSA DE CEMENTO EMPAQUE DE 50 KG UG"/>
    <m/>
    <m/>
    <s v="CEMENTO UG 50 KG"/>
    <x v="10"/>
    <x v="10"/>
    <s v="736005030222000000008CEMENTO UG 50 KG"/>
    <x v="27"/>
    <x v="0"/>
  </r>
  <r>
    <n v="7999999995"/>
    <s v="TRASLADO DE COSTOS"/>
    <m/>
    <n v="-1236022.4012712827"/>
    <s v="UN"/>
    <s v="M"/>
    <s v="1430050101"/>
    <s v="INV. PTO MANUFACTURA"/>
    <s v="EC01"/>
    <s v="CEMCUGB50"/>
    <n v="700053"/>
    <x v="7"/>
    <s v="CEMENTO ALION USO GENERAL 50KG"/>
    <m/>
    <m/>
    <s v="CEMENTO UG 50 KG"/>
    <x v="10"/>
    <x v="10"/>
    <s v="7999999995CEMCUGB50CEMENTO UG 50 KG"/>
    <x v="3"/>
    <x v="0"/>
  </r>
  <r>
    <n v="7199990001"/>
    <s v="CONSUMOS SEMIELBORAD"/>
    <m/>
    <n v="65460.781309133381"/>
    <s v="T"/>
    <s v="M"/>
    <s v="1410900101"/>
    <s v="INV. SEMIELABORADO"/>
    <s v="EC01"/>
    <s v="CEMENTOUG1"/>
    <n v="700053"/>
    <x v="8"/>
    <s v="CEMENTO UG"/>
    <m/>
    <m/>
    <s v="CEMENTO UG 50 KG"/>
    <x v="10"/>
    <x v="10"/>
    <s v="7199990001CEMENTOUG1CEMENTO UG 50 KG"/>
    <x v="26"/>
    <x v="0"/>
  </r>
  <r>
    <n v="7360050302"/>
    <s v="CTO BOLSAS IMP"/>
    <n v="1370120337.1126852"/>
    <n v="1335399.9387063209"/>
    <s v="UN"/>
    <s v="M"/>
    <s v="1460050302"/>
    <s v="INV BOLSAS IMP"/>
    <s v="EC01"/>
    <s v="22000000008"/>
    <n v="700053"/>
    <x v="8"/>
    <s v="BOLSA DE CEMENTO EMPAQUE DE 50 KG UG"/>
    <m/>
    <m/>
    <s v="CEMENTO UG 50 KG"/>
    <x v="10"/>
    <x v="10"/>
    <s v="736005030222000000008CEMENTO UG 50 KG"/>
    <x v="27"/>
    <x v="0"/>
  </r>
  <r>
    <n v="7999999995"/>
    <s v="TRASLADO DE COSTOS"/>
    <m/>
    <n v="-1309215.6261826677"/>
    <s v="UN"/>
    <s v="M"/>
    <s v="1430050101"/>
    <s v="INV. PTO MANUFACTURA"/>
    <s v="EC01"/>
    <s v="CEMCUGB50"/>
    <n v="700053"/>
    <x v="8"/>
    <s v="CEMENTO ALION USO GENERAL 50KG"/>
    <m/>
    <m/>
    <s v="CEMENTO UG 50 KG"/>
    <x v="10"/>
    <x v="10"/>
    <s v="7999999995CEMCUGB50CEMENTO UG 50 KG"/>
    <x v="3"/>
    <x v="0"/>
  </r>
  <r>
    <n v="7199990001"/>
    <s v="CONSUMOS SEMIELBORAD"/>
    <m/>
    <n v="66476.807240467606"/>
    <s v="T"/>
    <s v="M"/>
    <s v="1410900101"/>
    <s v="INV. SEMIELABORADO"/>
    <s v="EC01"/>
    <s v="CEMENTOUG1"/>
    <n v="700053"/>
    <x v="9"/>
    <s v="CEMENTO UG"/>
    <m/>
    <m/>
    <s v="CEMENTO UG 50 KG"/>
    <x v="10"/>
    <x v="10"/>
    <s v="7199990001CEMENTOUG1CEMENTO UG 50 KG"/>
    <x v="26"/>
    <x v="0"/>
  </r>
  <r>
    <n v="7360050302"/>
    <s v="CTO BOLSAS IMP"/>
    <n v="1391386166.2658834"/>
    <n v="1356126.8677055393"/>
    <s v="UN"/>
    <s v="M"/>
    <s v="1460050302"/>
    <s v="INV BOLSAS IMP"/>
    <s v="EC01"/>
    <s v="22000000008"/>
    <n v="700053"/>
    <x v="9"/>
    <s v="BOLSA DE CEMENTO EMPAQUE DE 50 KG UG"/>
    <m/>
    <m/>
    <s v="CEMENTO UG 50 KG"/>
    <x v="10"/>
    <x v="10"/>
    <s v="736005030222000000008CEMENTO UG 50 KG"/>
    <x v="27"/>
    <x v="0"/>
  </r>
  <r>
    <n v="7999999995"/>
    <s v="TRASLADO DE COSTOS"/>
    <m/>
    <n v="-1329536.1448093522"/>
    <s v="UN"/>
    <s v="M"/>
    <s v="1430050101"/>
    <s v="INV. PTO MANUFACTURA"/>
    <s v="EC01"/>
    <s v="CEMCUGB50"/>
    <n v="700053"/>
    <x v="9"/>
    <s v="CEMENTO ALION USO GENERAL 50KG"/>
    <m/>
    <m/>
    <s v="CEMENTO UG 50 KG"/>
    <x v="10"/>
    <x v="10"/>
    <s v="7999999995CEMCUGB50CEMENTO UG 50 KG"/>
    <x v="3"/>
    <x v="0"/>
  </r>
  <r>
    <n v="7199990001"/>
    <s v="CONSUMOS SEMIELBORAD"/>
    <m/>
    <n v="62192.240130452992"/>
    <s v="T"/>
    <s v="M"/>
    <s v="1410900101"/>
    <s v="INV. SEMIELABORADO"/>
    <s v="EC01"/>
    <s v="CEMENTOUG1"/>
    <n v="700053"/>
    <x v="10"/>
    <s v="CEMENTO UG"/>
    <m/>
    <m/>
    <s v="CEMENTO UG 50 KG"/>
    <x v="10"/>
    <x v="10"/>
    <s v="7199990001CEMENTOUG1CEMENTO UG 50 KG"/>
    <x v="26"/>
    <x v="0"/>
  </r>
  <r>
    <n v="7360050302"/>
    <s v="CTO BOLSAS IMP"/>
    <n v="1301708462.8264334"/>
    <n v="1268721.6986612412"/>
    <s v="UN"/>
    <s v="M"/>
    <s v="1460050302"/>
    <s v="INV BOLSAS IMP"/>
    <s v="EC01"/>
    <s v="22000000008"/>
    <n v="700053"/>
    <x v="10"/>
    <s v="BOLSA DE CEMENTO EMPAQUE DE 50 KG UG"/>
    <m/>
    <m/>
    <s v="CEMENTO UG 50 KG"/>
    <x v="10"/>
    <x v="10"/>
    <s v="736005030222000000008CEMENTO UG 50 KG"/>
    <x v="27"/>
    <x v="0"/>
  </r>
  <r>
    <n v="7999999995"/>
    <s v="TRASLADO DE COSTOS"/>
    <m/>
    <n v="-1243844.80260906"/>
    <s v="UN"/>
    <s v="M"/>
    <s v="1430050101"/>
    <s v="INV. PTO MANUFACTURA"/>
    <s v="EC01"/>
    <s v="CEMCUGB50"/>
    <n v="700053"/>
    <x v="10"/>
    <s v="CEMENTO ALION USO GENERAL 50KG"/>
    <m/>
    <m/>
    <s v="CEMENTO UG 50 KG"/>
    <x v="10"/>
    <x v="10"/>
    <s v="7999999995CEMCUGB50CEMENTO UG 50 KG"/>
    <x v="3"/>
    <x v="0"/>
  </r>
  <r>
    <n v="7199990001"/>
    <s v="CONSUMOS SEMIELBORAD"/>
    <n v="0"/>
    <n v="64042.594082061041"/>
    <s v="T"/>
    <s v="M"/>
    <s v="1410900101"/>
    <s v="INV. SEMIELABORADO"/>
    <s v="EC01"/>
    <s v="CEMENTOUG1"/>
    <n v="700053"/>
    <x v="11"/>
    <s v="CEMENTO UG"/>
    <m/>
    <m/>
    <s v="CEMENTO UG 50 KG"/>
    <x v="10"/>
    <x v="10"/>
    <s v="7199990001CEMENTOUG1CEMENTO UG 50 KG"/>
    <x v="26"/>
    <x v="0"/>
  </r>
  <r>
    <n v="7360050302"/>
    <s v="CTO BOLSAS IMP"/>
    <n v="1340437111.1751704"/>
    <n v="1306468.9192740452"/>
    <s v="UN"/>
    <s v="M"/>
    <s v="1460050302"/>
    <s v="INV BOLSAS IMP"/>
    <s v="EC01"/>
    <s v="22000000008"/>
    <n v="700053"/>
    <x v="11"/>
    <s v="BOLSA DE CEMENTO EMPAQUE DE 50 KG UG"/>
    <m/>
    <m/>
    <s v="CEMENTO UG 50 KG"/>
    <x v="10"/>
    <x v="10"/>
    <s v="736005030222000000008CEMENTO UG 50 KG"/>
    <x v="27"/>
    <x v="0"/>
  </r>
  <r>
    <n v="7999999995"/>
    <s v="TRASLADO DE COSTOS"/>
    <m/>
    <n v="-1280851.8816412208"/>
    <s v="UN"/>
    <s v="M"/>
    <s v="1430050101"/>
    <s v="INV. PTO MANUFACTURA"/>
    <s v="EC01"/>
    <s v="CEMCUGB50"/>
    <n v="700053"/>
    <x v="11"/>
    <s v="CEMENTO ALION USO GENERAL 50KG"/>
    <m/>
    <m/>
    <s v="CEMENTO UG 50 KG"/>
    <x v="10"/>
    <x v="10"/>
    <s v="7999999995CEMCUGB50CEMENTO UG 50 KG"/>
    <x v="3"/>
    <x v="0"/>
  </r>
  <r>
    <n v="7105330101"/>
    <s v="CTO. MP CALIZAS NAL"/>
    <n v="0"/>
    <n v="0"/>
    <s v="T"/>
    <s v="M"/>
    <s v="1405330101"/>
    <s v="INV.  CALIZAS NAL"/>
    <s v="EC01"/>
    <s v="SALMAR"/>
    <n v="700060"/>
    <x v="0"/>
    <s v="SAL MARINA"/>
    <m/>
    <m/>
    <s v="CEMENTO ART"/>
    <x v="11"/>
    <x v="11"/>
    <s v="7105330101SALMARCemento ART"/>
    <x v="18"/>
    <x v="0"/>
  </r>
  <r>
    <n v="7105330101"/>
    <s v="CTO. MP CALIZAS NAL"/>
    <m/>
    <n v="2004.5596712458307"/>
    <s v="T"/>
    <s v="M"/>
    <s v="1405330101"/>
    <s v="INV.  CALIZAS NAL"/>
    <s v="EC01"/>
    <s v="CALIZATRI"/>
    <n v="700060"/>
    <x v="0"/>
    <s v="CALIZA TRITURADA"/>
    <m/>
    <m/>
    <s v="CEMENTO ART"/>
    <x v="11"/>
    <x v="11"/>
    <s v="7105330101CALIZATRICemento ART"/>
    <x v="19"/>
    <x v="0"/>
  </r>
  <r>
    <n v="7105450101"/>
    <s v="CTO. MP YES/ESCA NAL"/>
    <n v="592279105.65145636"/>
    <n v="2546.7857163038552"/>
    <s v="T"/>
    <s v="M"/>
    <s v="1405450101"/>
    <s v="INV.  YES/ESCA NAL"/>
    <s v="EC01"/>
    <s v="YESO00001"/>
    <n v="700060"/>
    <x v="0"/>
    <s v="YESO"/>
    <m/>
    <m/>
    <s v="CEMENTO ART"/>
    <x v="11"/>
    <x v="11"/>
    <s v="7105450101YESO00001Cemento ART"/>
    <x v="20"/>
    <x v="0"/>
  </r>
  <r>
    <n v="7105400101"/>
    <s v="CTO.MP COMPUESTO NAL"/>
    <n v="70823951.686690778"/>
    <n v="16.109679754772305"/>
    <s v="T"/>
    <s v="M"/>
    <s v="1405330101"/>
    <s v="INV.  CALIZAS NAL"/>
    <s v="EC01"/>
    <s v="ADIMOLIEN"/>
    <n v="700060"/>
    <x v="0"/>
    <s v="ADITIVO DE MOLIENDA"/>
    <m/>
    <m/>
    <s v="CEMENTO ART"/>
    <x v="11"/>
    <x v="11"/>
    <s v="7105400101ADIMOLIENCemento ART"/>
    <x v="21"/>
    <x v="0"/>
  </r>
  <r>
    <n v="7105400101"/>
    <s v="CTO.MP COMPUESTO NAL"/>
    <n v="0"/>
    <n v="0"/>
    <s v="T"/>
    <s v="M"/>
    <s v="1405330101"/>
    <s v="INV.  CALIZAS NAL"/>
    <s v="EC01"/>
    <s v="PUZOLANA"/>
    <n v="700060"/>
    <x v="0"/>
    <s v="PUZOLANA"/>
    <m/>
    <m/>
    <s v="CEMENTO ART"/>
    <x v="11"/>
    <x v="11"/>
    <s v="7105400101PUZOLANACemento ART"/>
    <x v="22"/>
    <x v="0"/>
  </r>
  <r>
    <n v="7105400101"/>
    <s v="CTO.MP COMPUESTO NAL"/>
    <m/>
    <n v="968.17564358206062"/>
    <s v="T"/>
    <s v="M"/>
    <s v="1405330101"/>
    <s v="INV.  CALIZAS NAL"/>
    <s v="EC01"/>
    <s v="CRUDO"/>
    <n v="700060"/>
    <x v="0"/>
    <s v="HARINA CRUDA"/>
    <m/>
    <m/>
    <s v="CEMENTO ART"/>
    <x v="11"/>
    <x v="11"/>
    <s v="7105400101CRUDOCemento ART"/>
    <x v="23"/>
    <x v="0"/>
  </r>
  <r>
    <n v="7199990001"/>
    <s v="CONSUMOS SEMIELBORAD"/>
    <m/>
    <n v="26742.068392922025"/>
    <s v="T"/>
    <s v="M"/>
    <s v="1410900101"/>
    <s v="INV. SEMIELABORADO"/>
    <s v="EC01"/>
    <s v="CLINKER001"/>
    <n v="700060"/>
    <x v="0"/>
    <s v="CLINKER"/>
    <m/>
    <m/>
    <s v="CEMENTO ART"/>
    <x v="11"/>
    <x v="11"/>
    <s v="7199990001CLINKER001Cemento ART"/>
    <x v="24"/>
    <x v="0"/>
  </r>
  <r>
    <n v="7999999995"/>
    <s v="TRASLADO DE COSTOS"/>
    <m/>
    <n v="-32219.359509544607"/>
    <s v="T"/>
    <s v="M"/>
    <s v="1410900101"/>
    <s v="INV. SEMIELABORADO"/>
    <s v="EC01"/>
    <s v="CEMENTOART"/>
    <n v="700060"/>
    <x v="0"/>
    <s v="CEMENTO ART"/>
    <m/>
    <m/>
    <s v="CEMENTO ART"/>
    <x v="11"/>
    <x v="11"/>
    <s v="7999999995CEMENTOARTCemento ART"/>
    <x v="3"/>
    <x v="0"/>
  </r>
  <r>
    <n v="7355250320"/>
    <s v="RTOS VARIA IMPO"/>
    <n v="48093207.283111013"/>
    <n v="32219.359509544607"/>
    <m/>
    <m/>
    <m/>
    <m/>
    <s v="EC01"/>
    <s v="PLACAS Y SEGMENTOS"/>
    <n v="700060"/>
    <x v="0"/>
    <s v="CEMENTO ART"/>
    <m/>
    <m/>
    <s v="CEMENTO ART"/>
    <x v="11"/>
    <x v="11"/>
    <s v="7355250320PLACAS Y SEGMENTOSCemento ART"/>
    <x v="25"/>
    <x v="0"/>
  </r>
  <r>
    <n v="7105330101"/>
    <s v="CTO. MP CALIZAS NAL"/>
    <n v="0"/>
    <n v="0"/>
    <s v="T"/>
    <s v="M"/>
    <s v="1405330101"/>
    <s v="INV.  CALIZAS NAL"/>
    <s v="EC01"/>
    <s v="SALMAR"/>
    <n v="700060"/>
    <x v="1"/>
    <s v="SAL MARINA"/>
    <m/>
    <m/>
    <s v="CEMENTO ART"/>
    <x v="11"/>
    <x v="11"/>
    <s v="7105330101SALMARCemento ART"/>
    <x v="18"/>
    <x v="0"/>
  </r>
  <r>
    <n v="7105330101"/>
    <s v="CTO. MP CALIZAS NAL"/>
    <m/>
    <n v="2261.9291920382643"/>
    <s v="T"/>
    <s v="M"/>
    <s v="1405330101"/>
    <s v="INV.  CALIZAS NAL"/>
    <s v="EC01"/>
    <s v="CALIZATRI"/>
    <n v="700060"/>
    <x v="1"/>
    <s v="CALIZA TRITURADA"/>
    <m/>
    <m/>
    <s v="CEMENTO ART"/>
    <x v="11"/>
    <x v="11"/>
    <s v="7105330101CALIZATRICemento ART"/>
    <x v="19"/>
    <x v="0"/>
  </r>
  <r>
    <n v="7105450101"/>
    <s v="CTO. MP YES/ESCA NAL"/>
    <n v="668241889.62966502"/>
    <n v="2873.7727493008661"/>
    <s v="T"/>
    <s v="M"/>
    <s v="1405450101"/>
    <s v="INV.  YES/ESCA NAL"/>
    <s v="EC01"/>
    <s v="YESO00001"/>
    <n v="700060"/>
    <x v="1"/>
    <s v="YESO"/>
    <m/>
    <m/>
    <s v="CEMENTO ART"/>
    <x v="11"/>
    <x v="11"/>
    <s v="7105450101YESO00001Cemento ART"/>
    <x v="20"/>
    <x v="0"/>
  </r>
  <r>
    <n v="7105400101"/>
    <s v="CTO.MP COMPUESTO NAL"/>
    <n v="79917183.865157887"/>
    <n v="18.17803452518854"/>
    <s v="T"/>
    <s v="M"/>
    <s v="1405330101"/>
    <s v="INV.  CALIZAS NAL"/>
    <s v="EC01"/>
    <s v="ADIMOLIEN"/>
    <n v="700060"/>
    <x v="1"/>
    <s v="ADITIVO DE MOLIENDA"/>
    <m/>
    <m/>
    <s v="CEMENTO ART"/>
    <x v="11"/>
    <x v="11"/>
    <s v="7105400101ADIMOLIENCemento ART"/>
    <x v="21"/>
    <x v="0"/>
  </r>
  <r>
    <n v="7105400101"/>
    <s v="CTO.MP COMPUESTO NAL"/>
    <n v="0"/>
    <n v="0"/>
    <s v="T"/>
    <s v="M"/>
    <s v="1405330101"/>
    <s v="INV.  CALIZAS NAL"/>
    <s v="EC01"/>
    <s v="PUZOLANA"/>
    <n v="700060"/>
    <x v="1"/>
    <s v="PUZOLANA"/>
    <m/>
    <m/>
    <s v="CEMENTO ART"/>
    <x v="11"/>
    <x v="11"/>
    <s v="7105400101PUZOLANACemento ART"/>
    <x v="22"/>
    <x v="0"/>
  </r>
  <r>
    <n v="7105400101"/>
    <s v="CTO.MP COMPUESTO NAL"/>
    <m/>
    <n v="1092.4816969293058"/>
    <s v="T"/>
    <s v="M"/>
    <s v="1405330101"/>
    <s v="INV.  CALIZAS NAL"/>
    <s v="EC01"/>
    <s v="CRUDO"/>
    <n v="700060"/>
    <x v="1"/>
    <s v="HARINA CRUDA"/>
    <m/>
    <m/>
    <s v="CEMENTO ART"/>
    <x v="11"/>
    <x v="11"/>
    <s v="7105400101CRUDOCemento ART"/>
    <x v="23"/>
    <x v="0"/>
  </r>
  <r>
    <n v="7199990001"/>
    <s v="CONSUMOS SEMIELBORAD"/>
    <m/>
    <n v="30175.537311812979"/>
    <s v="T"/>
    <s v="M"/>
    <s v="1410900101"/>
    <s v="INV. SEMIELABORADO"/>
    <s v="EC01"/>
    <s v="CLINKER001"/>
    <n v="700060"/>
    <x v="1"/>
    <s v="CLINKER"/>
    <m/>
    <m/>
    <s v="CEMENTO ART"/>
    <x v="11"/>
    <x v="11"/>
    <s v="7199990001CLINKER001Cemento ART"/>
    <x v="24"/>
    <x v="0"/>
  </r>
  <r>
    <n v="7999999995"/>
    <s v="TRASLADO DE COSTOS"/>
    <m/>
    <n v="-36356.069050377082"/>
    <s v="T"/>
    <s v="M"/>
    <s v="1410900101"/>
    <s v="INV. SEMIELABORADO"/>
    <s v="EC01"/>
    <s v="CEMENTOART"/>
    <n v="700060"/>
    <x v="1"/>
    <s v="CEMENTO ART"/>
    <m/>
    <m/>
    <s v="CEMENTO ART"/>
    <x v="11"/>
    <x v="11"/>
    <s v="7999999995CEMENTOARTCemento ART"/>
    <x v="3"/>
    <x v="0"/>
  </r>
  <r>
    <n v="7355250320"/>
    <s v="RTOS VARIA IMPO"/>
    <n v="54267992.643395513"/>
    <n v="36356.069050377082"/>
    <m/>
    <m/>
    <m/>
    <m/>
    <s v="EC01"/>
    <s v="PLACAS Y SEGMENTOS"/>
    <n v="700060"/>
    <x v="1"/>
    <s v="CEMENTO ART"/>
    <m/>
    <m/>
    <s v="CEMENTO ART"/>
    <x v="11"/>
    <x v="11"/>
    <s v="7355250320PLACAS Y SEGMENTOSCemento ART"/>
    <x v="25"/>
    <x v="0"/>
  </r>
  <r>
    <n v="7105330101"/>
    <s v="CTO. MP CALIZAS NAL"/>
    <n v="0"/>
    <n v="0"/>
    <s v="T"/>
    <s v="M"/>
    <s v="1405330101"/>
    <s v="INV.  CALIZAS NAL"/>
    <s v="EC01"/>
    <s v="SALMAR"/>
    <n v="700060"/>
    <x v="2"/>
    <s v="SAL MARINA"/>
    <m/>
    <m/>
    <s v="CEMENTO ART"/>
    <x v="11"/>
    <x v="11"/>
    <s v="7105330101SALMARCemento ART"/>
    <x v="18"/>
    <x v="0"/>
  </r>
  <r>
    <n v="7105330101"/>
    <s v="CTO. MP CALIZAS NAL"/>
    <m/>
    <n v="2364.4373786563165"/>
    <s v="T"/>
    <s v="M"/>
    <s v="1405330101"/>
    <s v="INV.  CALIZAS NAL"/>
    <s v="EC01"/>
    <s v="CALIZATRI"/>
    <n v="700060"/>
    <x v="2"/>
    <s v="CALIZA TRITURADA"/>
    <m/>
    <m/>
    <s v="CEMENTO ART"/>
    <x v="11"/>
    <x v="11"/>
    <s v="7105330101CALIZATRICemento ART"/>
    <x v="19"/>
    <x v="0"/>
  </r>
  <r>
    <n v="7105450101"/>
    <s v="CTO. MP YES/ESCA NAL"/>
    <n v="699040296.45847154"/>
    <n v="3004.0090247422518"/>
    <s v="T"/>
    <s v="M"/>
    <s v="1405450101"/>
    <s v="INV.  YES/ESCA NAL"/>
    <s v="EC01"/>
    <s v="YESO00001"/>
    <n v="700060"/>
    <x v="2"/>
    <s v="YESO"/>
    <m/>
    <m/>
    <s v="CEMENTO ART"/>
    <x v="11"/>
    <x v="11"/>
    <s v="7105450101YESO00001Cemento ART"/>
    <x v="20"/>
    <x v="0"/>
  </r>
  <r>
    <n v="7105400101"/>
    <s v="CTO.MP COMPUESTO NAL"/>
    <n v="83538944.275021419"/>
    <n v="19.001843405685936"/>
    <s v="T"/>
    <s v="M"/>
    <s v="1405330101"/>
    <s v="INV.  CALIZAS NAL"/>
    <s v="EC01"/>
    <s v="ADIMOLIEN"/>
    <n v="700060"/>
    <x v="2"/>
    <s v="ADITIVO DE MOLIENDA"/>
    <m/>
    <m/>
    <s v="CEMENTO ART"/>
    <x v="11"/>
    <x v="11"/>
    <s v="7105400101ADIMOLIENCemento ART"/>
    <x v="21"/>
    <x v="0"/>
  </r>
  <r>
    <n v="7105400101"/>
    <s v="CTO.MP COMPUESTO NAL"/>
    <n v="0"/>
    <n v="0"/>
    <s v="T"/>
    <s v="M"/>
    <s v="1405330101"/>
    <s v="INV.  CALIZAS NAL"/>
    <s v="EC01"/>
    <s v="PUZOLANA"/>
    <n v="700060"/>
    <x v="2"/>
    <s v="PUZOLANA"/>
    <m/>
    <m/>
    <s v="CEMENTO ART"/>
    <x v="11"/>
    <x v="11"/>
    <s v="7105400101PUZOLANACemento ART"/>
    <x v="22"/>
    <x v="0"/>
  </r>
  <r>
    <n v="7105400101"/>
    <s v="CTO.MP COMPUESTO NAL"/>
    <m/>
    <n v="1141.9917868383191"/>
    <s v="T"/>
    <s v="M"/>
    <s v="1405330101"/>
    <s v="INV.  CALIZAS NAL"/>
    <s v="EC01"/>
    <s v="CRUDO"/>
    <n v="700060"/>
    <x v="2"/>
    <s v="HARINA CRUDA"/>
    <m/>
    <m/>
    <s v="CEMENTO ART"/>
    <x v="11"/>
    <x v="11"/>
    <s v="7105400101CRUDOCemento ART"/>
    <x v="23"/>
    <x v="0"/>
  </r>
  <r>
    <n v="7199990001"/>
    <s v="CONSUMOS SEMIELBORAD"/>
    <m/>
    <n v="31543.060053438658"/>
    <s v="T"/>
    <s v="M"/>
    <s v="1410900101"/>
    <s v="INV. SEMIELABORADO"/>
    <s v="EC01"/>
    <s v="CLINKER001"/>
    <n v="700060"/>
    <x v="2"/>
    <s v="CLINKER"/>
    <m/>
    <m/>
    <s v="CEMENTO ART"/>
    <x v="11"/>
    <x v="11"/>
    <s v="7199990001CLINKER001Cemento ART"/>
    <x v="24"/>
    <x v="0"/>
  </r>
  <r>
    <n v="7999999995"/>
    <s v="TRASLADO DE COSTOS"/>
    <m/>
    <n v="-38003.686811371874"/>
    <s v="T"/>
    <s v="M"/>
    <s v="1410900101"/>
    <s v="INV. SEMIELABORADO"/>
    <s v="EC01"/>
    <s v="CEMENTOART"/>
    <n v="700060"/>
    <x v="2"/>
    <s v="CEMENTO ART"/>
    <m/>
    <m/>
    <s v="CEMENTO ART"/>
    <x v="11"/>
    <x v="11"/>
    <s v="7999999995CEMENTOARTCemento ART"/>
    <x v="3"/>
    <x v="0"/>
  </r>
  <r>
    <n v="7355250320"/>
    <s v="RTOS VARIA IMPO"/>
    <n v="56727359.425015859"/>
    <n v="38003.686811371874"/>
    <m/>
    <m/>
    <m/>
    <m/>
    <s v="EC01"/>
    <s v="PLACAS Y SEGMENTOS"/>
    <n v="700060"/>
    <x v="2"/>
    <s v="CEMENTO ART"/>
    <m/>
    <m/>
    <s v="CEMENTO ART"/>
    <x v="11"/>
    <x v="11"/>
    <s v="7355250320PLACAS Y SEGMENTOSCemento ART"/>
    <x v="25"/>
    <x v="0"/>
  </r>
  <r>
    <n v="7105330101"/>
    <s v="CTO. MP CALIZAS NAL"/>
    <n v="0"/>
    <n v="0"/>
    <s v="T"/>
    <s v="M"/>
    <s v="1405330101"/>
    <s v="INV.  CALIZAS NAL"/>
    <s v="EC01"/>
    <s v="SALMAR"/>
    <n v="700060"/>
    <x v="3"/>
    <s v="SAL MARINA"/>
    <m/>
    <m/>
    <s v="CEMENTO ART"/>
    <x v="11"/>
    <x v="11"/>
    <s v="7105330101SALMARCemento ART"/>
    <x v="18"/>
    <x v="0"/>
  </r>
  <r>
    <n v="7105330101"/>
    <s v="CTO. MP CALIZAS NAL"/>
    <m/>
    <n v="2177.025264114081"/>
    <s v="T"/>
    <s v="M"/>
    <s v="1405330101"/>
    <s v="INV.  CALIZAS NAL"/>
    <s v="EC01"/>
    <s v="CALIZATRI"/>
    <n v="700060"/>
    <x v="3"/>
    <s v="CALIZA TRITURADA"/>
    <m/>
    <m/>
    <s v="CEMENTO ART"/>
    <x v="11"/>
    <x v="11"/>
    <s v="7105330101CALIZATRICemento ART"/>
    <x v="19"/>
    <x v="0"/>
  </r>
  <r>
    <n v="7105450101"/>
    <s v="CTO. MP YES/ESCA NAL"/>
    <n v="643652337.07739651"/>
    <n v="2765.9026200165558"/>
    <s v="T"/>
    <s v="M"/>
    <s v="1405450101"/>
    <s v="INV.  YES/ESCA NAL"/>
    <s v="EC01"/>
    <s v="YESO00001"/>
    <n v="700060"/>
    <x v="3"/>
    <s v="YESO"/>
    <m/>
    <m/>
    <s v="CEMENTO ART"/>
    <x v="11"/>
    <x v="11"/>
    <s v="7105450101YESO00001Cemento ART"/>
    <x v="20"/>
    <x v="0"/>
  </r>
  <r>
    <n v="7105400101"/>
    <s v="CTO.MP COMPUESTO NAL"/>
    <n v="76917407.018617123"/>
    <n v="17.495702585460954"/>
    <s v="T"/>
    <s v="M"/>
    <s v="1405330101"/>
    <s v="INV.  CALIZAS NAL"/>
    <s v="EC01"/>
    <s v="ADIMOLIEN"/>
    <n v="700060"/>
    <x v="3"/>
    <s v="ADITIVO DE MOLIENDA"/>
    <m/>
    <m/>
    <s v="CEMENTO ART"/>
    <x v="11"/>
    <x v="11"/>
    <s v="7105400101ADIMOLIENCemento ART"/>
    <x v="21"/>
    <x v="0"/>
  </r>
  <r>
    <n v="7105400101"/>
    <s v="CTO.MP COMPUESTO NAL"/>
    <n v="0"/>
    <n v="0"/>
    <s v="T"/>
    <s v="M"/>
    <s v="1405330101"/>
    <s v="INV.  CALIZAS NAL"/>
    <s v="EC01"/>
    <s v="PUZOLANA"/>
    <n v="700060"/>
    <x v="3"/>
    <s v="PUZOLANA"/>
    <m/>
    <m/>
    <s v="CEMENTO ART"/>
    <x v="11"/>
    <x v="11"/>
    <s v="7105400101PUZOLANACemento ART"/>
    <x v="22"/>
    <x v="0"/>
  </r>
  <r>
    <n v="7105400101"/>
    <s v="CTO.MP COMPUESTO NAL"/>
    <m/>
    <n v="1051.4742296836178"/>
    <s v="T"/>
    <s v="M"/>
    <s v="1405330101"/>
    <s v="INV.  CALIZAS NAL"/>
    <s v="EC01"/>
    <s v="CRUDO"/>
    <n v="700060"/>
    <x v="3"/>
    <s v="HARINA CRUDA"/>
    <m/>
    <m/>
    <s v="CEMENTO ART"/>
    <x v="11"/>
    <x v="11"/>
    <s v="7105400101CRUDOCemento ART"/>
    <x v="23"/>
    <x v="0"/>
  </r>
  <r>
    <n v="7199990001"/>
    <s v="CONSUMOS SEMIELBORAD"/>
    <m/>
    <n v="29042.866291865183"/>
    <s v="T"/>
    <s v="M"/>
    <s v="1410900101"/>
    <s v="INV. SEMIELABORADO"/>
    <s v="EC01"/>
    <s v="CLINKER001"/>
    <n v="700060"/>
    <x v="3"/>
    <s v="CLINKER"/>
    <m/>
    <m/>
    <s v="CEMENTO ART"/>
    <x v="11"/>
    <x v="11"/>
    <s v="7199990001CLINKER001Cemento ART"/>
    <x v="24"/>
    <x v="0"/>
  </r>
  <r>
    <n v="7999999995"/>
    <s v="TRASLADO DE COSTOS"/>
    <m/>
    <n v="-34991.405170921906"/>
    <s v="T"/>
    <s v="M"/>
    <s v="1410900101"/>
    <s v="INV. SEMIELABORADO"/>
    <s v="EC01"/>
    <s v="CEMENTOART"/>
    <n v="700060"/>
    <x v="3"/>
    <s v="CEMENTO ART"/>
    <m/>
    <m/>
    <s v="CEMENTO ART"/>
    <x v="11"/>
    <x v="11"/>
    <s v="7999999995CEMENTOARTCemento ART"/>
    <x v="3"/>
    <x v="0"/>
  </r>
  <r>
    <n v="7355250320"/>
    <s v="RTOS VARIA IMPO"/>
    <n v="52230985.582253598"/>
    <n v="34991.405170921906"/>
    <m/>
    <m/>
    <m/>
    <m/>
    <s v="EC01"/>
    <s v="PLACAS Y SEGMENTOS"/>
    <n v="700060"/>
    <x v="3"/>
    <s v="CEMENTO ART"/>
    <m/>
    <m/>
    <s v="CEMENTO ART"/>
    <x v="11"/>
    <x v="11"/>
    <s v="7355250320PLACAS Y SEGMENTOSCemento ART"/>
    <x v="25"/>
    <x v="0"/>
  </r>
  <r>
    <n v="7105330101"/>
    <s v="CTO. MP CALIZAS NAL"/>
    <n v="0"/>
    <n v="0"/>
    <s v="T"/>
    <s v="M"/>
    <s v="1405330101"/>
    <s v="INV.  CALIZAS NAL"/>
    <s v="EC01"/>
    <s v="SALMAR"/>
    <n v="700060"/>
    <x v="4"/>
    <s v="SAL MARINA"/>
    <m/>
    <m/>
    <s v="CEMENTO ART"/>
    <x v="11"/>
    <x v="11"/>
    <s v="7105330101SALMARCemento ART"/>
    <x v="18"/>
    <x v="0"/>
  </r>
  <r>
    <n v="7105330101"/>
    <s v="CTO. MP CALIZAS NAL"/>
    <m/>
    <n v="2226.2343030758448"/>
    <s v="T"/>
    <s v="M"/>
    <s v="1405330101"/>
    <s v="INV.  CALIZAS NAL"/>
    <s v="EC01"/>
    <s v="CALIZATRI"/>
    <n v="700060"/>
    <x v="4"/>
    <s v="CALIZA TRITURADA"/>
    <m/>
    <m/>
    <s v="CEMENTO ART"/>
    <x v="11"/>
    <x v="11"/>
    <s v="7105330101CALIZATRICemento ART"/>
    <x v="19"/>
    <x v="0"/>
  </r>
  <r>
    <n v="7105450101"/>
    <s v="CTO. MP YES/ESCA NAL"/>
    <n v="657565880.95648229"/>
    <n v="2828.422523683465"/>
    <s v="T"/>
    <s v="M"/>
    <s v="1405450101"/>
    <s v="INV.  YES/ESCA NAL"/>
    <s v="EC01"/>
    <s v="YESO00001"/>
    <n v="700060"/>
    <x v="4"/>
    <s v="YESO"/>
    <m/>
    <m/>
    <s v="CEMENTO ART"/>
    <x v="11"/>
    <x v="11"/>
    <s v="7105450101YESO00001Cemento ART"/>
    <x v="20"/>
    <x v="0"/>
  </r>
  <r>
    <n v="7105400101"/>
    <s v="CTO.MP COMPUESTO NAL"/>
    <n v="78656032.537213147"/>
    <n v="17.891171909764701"/>
    <s v="T"/>
    <s v="M"/>
    <s v="1405330101"/>
    <s v="INV.  CALIZAS NAL"/>
    <s v="EC01"/>
    <s v="ADIMOLIEN"/>
    <n v="700060"/>
    <x v="4"/>
    <s v="ADITIVO DE MOLIENDA"/>
    <m/>
    <m/>
    <s v="CEMENTO ART"/>
    <x v="11"/>
    <x v="11"/>
    <s v="7105400101ADIMOLIENCemento ART"/>
    <x v="21"/>
    <x v="0"/>
  </r>
  <r>
    <n v="7105400101"/>
    <s v="CTO.MP COMPUESTO NAL"/>
    <n v="0"/>
    <n v="0"/>
    <s v="T"/>
    <s v="M"/>
    <s v="1405330101"/>
    <s v="INV.  CALIZAS NAL"/>
    <s v="EC01"/>
    <s v="PUZOLANA"/>
    <n v="700060"/>
    <x v="4"/>
    <s v="PUZOLANA"/>
    <m/>
    <m/>
    <s v="CEMENTO ART"/>
    <x v="11"/>
    <x v="11"/>
    <s v="7105400101PUZOLANACemento ART"/>
    <x v="22"/>
    <x v="0"/>
  </r>
  <r>
    <n v="7105400101"/>
    <s v="CTO.MP COMPUESTO NAL"/>
    <m/>
    <n v="1075.2415406049486"/>
    <s v="T"/>
    <s v="M"/>
    <s v="1405330101"/>
    <s v="INV.  CALIZAS NAL"/>
    <s v="EC01"/>
    <s v="CRUDO"/>
    <n v="700060"/>
    <x v="4"/>
    <s v="HARINA CRUDA"/>
    <m/>
    <m/>
    <s v="CEMENTO ART"/>
    <x v="11"/>
    <x v="11"/>
    <s v="7105400101CRUDOCemento ART"/>
    <x v="23"/>
    <x v="0"/>
  </r>
  <r>
    <n v="7199990001"/>
    <s v="CONSUMOS SEMIELBORAD"/>
    <m/>
    <n v="29699.345370209405"/>
    <s v="T"/>
    <s v="M"/>
    <s v="1410900101"/>
    <s v="INV. SEMIELABORADO"/>
    <s v="EC01"/>
    <s v="CLINKER001"/>
    <n v="700060"/>
    <x v="4"/>
    <s v="CLINKER"/>
    <m/>
    <m/>
    <s v="CEMENTO ART"/>
    <x v="11"/>
    <x v="11"/>
    <s v="7199990001CLINKER001Cemento ART"/>
    <x v="24"/>
    <x v="0"/>
  </r>
  <r>
    <n v="7999999995"/>
    <s v="TRASLADO DE COSTOS"/>
    <m/>
    <n v="-35782.3438195294"/>
    <s v="T"/>
    <s v="M"/>
    <s v="1410900101"/>
    <s v="INV. SEMIELABORADO"/>
    <s v="EC01"/>
    <s v="CEMENTOART"/>
    <n v="700060"/>
    <x v="4"/>
    <s v="CEMENTO ART"/>
    <m/>
    <m/>
    <s v="CEMENTO ART"/>
    <x v="11"/>
    <x v="11"/>
    <s v="7999999995CEMENTOARTCemento ART"/>
    <x v="3"/>
    <x v="0"/>
  </r>
  <r>
    <n v="7355250320"/>
    <s v="RTOS VARIA IMPO"/>
    <n v="53411604.22131858"/>
    <n v="35782.3438195294"/>
    <m/>
    <m/>
    <m/>
    <m/>
    <s v="EC01"/>
    <s v="PLACAS Y SEGMENTOS"/>
    <n v="700060"/>
    <x v="4"/>
    <s v="CEMENTO ART"/>
    <m/>
    <m/>
    <s v="CEMENTO ART"/>
    <x v="11"/>
    <x v="11"/>
    <s v="7355250320PLACAS Y SEGMENTOSCemento ART"/>
    <x v="25"/>
    <x v="0"/>
  </r>
  <r>
    <n v="7105330101"/>
    <s v="CTO. MP CALIZAS NAL"/>
    <n v="0"/>
    <n v="0"/>
    <s v="T"/>
    <s v="M"/>
    <s v="1405330101"/>
    <s v="INV.  CALIZAS NAL"/>
    <s v="EC01"/>
    <s v="SALMAR"/>
    <n v="700060"/>
    <x v="5"/>
    <s v="SAL MARINA"/>
    <m/>
    <m/>
    <s v="CEMENTO ART"/>
    <x v="11"/>
    <x v="11"/>
    <s v="7105330101SALMARCemento ART"/>
    <x v="18"/>
    <x v="0"/>
  </r>
  <r>
    <n v="7105330101"/>
    <s v="CTO. MP CALIZAS NAL"/>
    <m/>
    <n v="2165.6363879917694"/>
    <s v="T"/>
    <s v="M"/>
    <s v="1405330101"/>
    <s v="INV.  CALIZAS NAL"/>
    <s v="EC01"/>
    <s v="CALIZATRI"/>
    <n v="700060"/>
    <x v="5"/>
    <s v="CALIZA TRITURADA"/>
    <m/>
    <m/>
    <s v="CEMENTO ART"/>
    <x v="11"/>
    <x v="11"/>
    <s v="7105330101CALIZATRICemento ART"/>
    <x v="19"/>
    <x v="0"/>
  </r>
  <r>
    <n v="7105450101"/>
    <s v="CTO. MP YES/ESCA NAL"/>
    <n v="641035899.40248966"/>
    <n v="2751.4330946394289"/>
    <s v="T"/>
    <s v="M"/>
    <s v="1405450101"/>
    <s v="INV.  YES/ESCA NAL"/>
    <s v="EC01"/>
    <s v="YESO00001"/>
    <n v="700060"/>
    <x v="5"/>
    <s v="YESO"/>
    <m/>
    <m/>
    <s v="CEMENTO ART"/>
    <x v="11"/>
    <x v="11"/>
    <s v="7105450101YESO00001Cemento ART"/>
    <x v="20"/>
    <x v="0"/>
  </r>
  <r>
    <n v="7105400101"/>
    <s v="CTO.MP COMPUESTO NAL"/>
    <n v="76515021.784681424"/>
    <n v="17.404175678215939"/>
    <s v="T"/>
    <s v="M"/>
    <s v="1405330101"/>
    <s v="INV.  CALIZAS NAL"/>
    <s v="EC01"/>
    <s v="ADIMOLIEN"/>
    <n v="700060"/>
    <x v="5"/>
    <s v="ADITIVO DE MOLIENDA"/>
    <m/>
    <m/>
    <s v="CEMENTO ART"/>
    <x v="11"/>
    <x v="11"/>
    <s v="7105400101ADIMOLIENCemento ART"/>
    <x v="21"/>
    <x v="0"/>
  </r>
  <r>
    <n v="7105400101"/>
    <s v="CTO.MP COMPUESTO NAL"/>
    <n v="0"/>
    <n v="0"/>
    <s v="T"/>
    <s v="M"/>
    <s v="1405330101"/>
    <s v="INV.  CALIZAS NAL"/>
    <s v="EC01"/>
    <s v="PUZOLANA"/>
    <n v="700060"/>
    <x v="5"/>
    <s v="PUZOLANA"/>
    <m/>
    <m/>
    <s v="CEMENTO ART"/>
    <x v="11"/>
    <x v="11"/>
    <s v="7105400101PUZOLANACemento ART"/>
    <x v="22"/>
    <x v="0"/>
  </r>
  <r>
    <n v="7105400101"/>
    <s v="CTO.MP COMPUESTO NAL"/>
    <m/>
    <n v="1045.9735540850995"/>
    <s v="T"/>
    <s v="M"/>
    <s v="1405330101"/>
    <s v="INV.  CALIZAS NAL"/>
    <s v="EC01"/>
    <s v="CRUDO"/>
    <n v="700060"/>
    <x v="5"/>
    <s v="HARINA CRUDA"/>
    <m/>
    <m/>
    <s v="CEMENTO ART"/>
    <x v="11"/>
    <x v="11"/>
    <s v="7105400101CRUDOCemento ART"/>
    <x v="23"/>
    <x v="0"/>
  </r>
  <r>
    <n v="7199990001"/>
    <s v="CONSUMOS SEMIELBORAD"/>
    <m/>
    <n v="28890.931625838461"/>
    <s v="T"/>
    <s v="M"/>
    <s v="1410900101"/>
    <s v="INV. SEMIELABORADO"/>
    <s v="EC01"/>
    <s v="CLINKER001"/>
    <n v="700060"/>
    <x v="5"/>
    <s v="CLINKER"/>
    <m/>
    <m/>
    <s v="CEMENTO ART"/>
    <x v="11"/>
    <x v="11"/>
    <s v="7199990001CLINKER001Cemento ART"/>
    <x v="24"/>
    <x v="0"/>
  </r>
  <r>
    <n v="7999999995"/>
    <s v="TRASLADO DE COSTOS"/>
    <m/>
    <n v="-34808.351356431878"/>
    <s v="T"/>
    <s v="M"/>
    <s v="1410900101"/>
    <s v="INV. SEMIELABORADO"/>
    <s v="EC01"/>
    <s v="CEMENTOART"/>
    <n v="700060"/>
    <x v="5"/>
    <s v="CEMENTO ART"/>
    <m/>
    <m/>
    <s v="CEMENTO ART"/>
    <x v="11"/>
    <x v="11"/>
    <s v="7999999995CEMENTOARTCemento ART"/>
    <x v="3"/>
    <x v="0"/>
  </r>
  <r>
    <n v="7355250320"/>
    <s v="RTOS VARIA IMPO"/>
    <n v="51957744.736431539"/>
    <n v="34808.351356431878"/>
    <m/>
    <m/>
    <m/>
    <m/>
    <s v="EC01"/>
    <s v="PLACAS Y SEGMENTOS"/>
    <n v="700060"/>
    <x v="5"/>
    <s v="CEMENTO ART"/>
    <m/>
    <m/>
    <s v="CEMENTO ART"/>
    <x v="11"/>
    <x v="11"/>
    <s v="7355250320PLACAS Y SEGMENTOSCemento ART"/>
    <x v="25"/>
    <x v="0"/>
  </r>
  <r>
    <n v="7105330101"/>
    <s v="CTO. MP CALIZAS NAL"/>
    <n v="0"/>
    <n v="0"/>
    <s v="T"/>
    <s v="M"/>
    <s v="1405330101"/>
    <s v="INV.  CALIZAS NAL"/>
    <s v="EC01"/>
    <s v="SALMAR"/>
    <n v="700060"/>
    <x v="6"/>
    <s v="SAL MARINA"/>
    <m/>
    <m/>
    <s v="CEMENTO ART"/>
    <x v="11"/>
    <x v="11"/>
    <s v="7105330101SALMARCemento ART"/>
    <x v="18"/>
    <x v="0"/>
  </r>
  <r>
    <n v="7105330101"/>
    <s v="CTO. MP CALIZAS NAL"/>
    <m/>
    <n v="2505.8258360969648"/>
    <s v="T"/>
    <s v="M"/>
    <s v="1405330101"/>
    <s v="INV.  CALIZAS NAL"/>
    <s v="EC01"/>
    <s v="CALIZATRI"/>
    <n v="700060"/>
    <x v="6"/>
    <s v="CALIZA TRITURADA"/>
    <m/>
    <m/>
    <s v="CEMENTO ART"/>
    <x v="11"/>
    <x v="11"/>
    <s v="7105330101CALIZATRICemento ART"/>
    <x v="19"/>
    <x v="0"/>
  </r>
  <r>
    <n v="7105450101"/>
    <s v="CTO. MP YES/ESCA NAL"/>
    <n v="740328007.31682599"/>
    <n v="3183.642541781076"/>
    <s v="T"/>
    <s v="M"/>
    <s v="1405450101"/>
    <s v="INV.  YES/ESCA NAL"/>
    <s v="EC01"/>
    <s v="YESO00001"/>
    <n v="700060"/>
    <x v="6"/>
    <s v="YESO"/>
    <m/>
    <m/>
    <s v="CEMENTO ART"/>
    <x v="11"/>
    <x v="11"/>
    <s v="7105450101YESO00001Cemento ART"/>
    <x v="20"/>
    <x v="0"/>
  </r>
  <r>
    <n v="7105400101"/>
    <s v="CTO.MP COMPUESTO NAL"/>
    <n v="88534400.096303478"/>
    <n v="20.138114280064297"/>
    <s v="T"/>
    <s v="M"/>
    <s v="1405330101"/>
    <s v="INV.  CALIZAS NAL"/>
    <s v="EC01"/>
    <s v="ADIMOLIEN"/>
    <n v="700060"/>
    <x v="6"/>
    <s v="ADITIVO DE MOLIENDA"/>
    <m/>
    <m/>
    <s v="CEMENTO ART"/>
    <x v="11"/>
    <x v="11"/>
    <s v="7105400101ADIMOLIENCemento ART"/>
    <x v="21"/>
    <x v="0"/>
  </r>
  <r>
    <n v="7105400101"/>
    <s v="CTO.MP COMPUESTO NAL"/>
    <n v="0"/>
    <n v="0"/>
    <s v="T"/>
    <s v="M"/>
    <s v="1405330101"/>
    <s v="INV.  CALIZAS NAL"/>
    <s v="EC01"/>
    <s v="PUZOLANA"/>
    <n v="700060"/>
    <x v="6"/>
    <s v="PUZOLANA"/>
    <m/>
    <m/>
    <s v="CEMENTO ART"/>
    <x v="11"/>
    <x v="11"/>
    <s v="7105400101PUZOLANACemento ART"/>
    <x v="22"/>
    <x v="0"/>
  </r>
  <r>
    <n v="7105400101"/>
    <s v="CTO.MP COMPUESTO NAL"/>
    <m/>
    <n v="1210.280530117584"/>
    <s v="T"/>
    <s v="M"/>
    <s v="1405330101"/>
    <s v="INV.  CALIZAS NAL"/>
    <s v="EC01"/>
    <s v="CRUDO"/>
    <n v="700060"/>
    <x v="6"/>
    <s v="HARINA CRUDA"/>
    <m/>
    <m/>
    <s v="CEMENTO ART"/>
    <x v="11"/>
    <x v="11"/>
    <s v="7105400101CRUDOCemento ART"/>
    <x v="23"/>
    <x v="0"/>
  </r>
  <r>
    <n v="7199990001"/>
    <s v="CONSUMOS SEMIELBORAD"/>
    <m/>
    <n v="33429.269704906736"/>
    <s v="T"/>
    <s v="M"/>
    <s v="1410900101"/>
    <s v="INV. SEMIELABORADO"/>
    <s v="EC01"/>
    <s v="CLINKER001"/>
    <n v="700060"/>
    <x v="6"/>
    <s v="CLINKER"/>
    <m/>
    <m/>
    <s v="CEMENTO ART"/>
    <x v="11"/>
    <x v="11"/>
    <s v="7199990001CLINKER001Cemento ART"/>
    <x v="24"/>
    <x v="0"/>
  </r>
  <r>
    <n v="7999999995"/>
    <s v="TRASLADO DE COSTOS"/>
    <m/>
    <n v="-40276.228560128591"/>
    <s v="T"/>
    <s v="M"/>
    <s v="1410900101"/>
    <s v="INV. SEMIELABORADO"/>
    <s v="EC01"/>
    <s v="CEMENTOART"/>
    <n v="700060"/>
    <x v="6"/>
    <s v="CEMENTO ART"/>
    <m/>
    <m/>
    <s v="CEMENTO ART"/>
    <x v="11"/>
    <x v="11"/>
    <s v="7999999995CEMENTOARTCemento ART"/>
    <x v="3"/>
    <x v="0"/>
  </r>
  <r>
    <n v="7355250320"/>
    <s v="RTOS VARIA IMPO"/>
    <n v="60119538.011002444"/>
    <n v="40276.228560128591"/>
    <m/>
    <m/>
    <m/>
    <m/>
    <s v="EC01"/>
    <s v="PLACAS Y SEGMENTOS"/>
    <n v="700060"/>
    <x v="6"/>
    <s v="CEMENTO ART"/>
    <m/>
    <m/>
    <s v="CEMENTO ART"/>
    <x v="11"/>
    <x v="11"/>
    <s v="7355250320PLACAS Y SEGMENTOSCemento ART"/>
    <x v="25"/>
    <x v="0"/>
  </r>
  <r>
    <n v="7105330101"/>
    <s v="CTO. MP CALIZAS NAL"/>
    <n v="0"/>
    <n v="0"/>
    <s v="T"/>
    <s v="M"/>
    <s v="1405330101"/>
    <s v="INV.  CALIZAS NAL"/>
    <s v="EC01"/>
    <s v="SALMAR"/>
    <n v="700060"/>
    <x v="7"/>
    <s v="SAL MARINA"/>
    <m/>
    <m/>
    <s v="CEMENTO ART"/>
    <x v="11"/>
    <x v="11"/>
    <s v="7105330101SALMARCemento ART"/>
    <x v="18"/>
    <x v="0"/>
  </r>
  <r>
    <n v="7105330101"/>
    <s v="CTO. MP CALIZAS NAL"/>
    <m/>
    <n v="2307.0294826069885"/>
    <s v="T"/>
    <s v="M"/>
    <s v="1405330101"/>
    <s v="INV.  CALIZAS NAL"/>
    <s v="EC01"/>
    <s v="CALIZATRI"/>
    <n v="700060"/>
    <x v="7"/>
    <s v="CALIZA TRITURADA"/>
    <m/>
    <m/>
    <s v="CEMENTO ART"/>
    <x v="11"/>
    <x v="11"/>
    <s v="7105330101CALIZATRICemento ART"/>
    <x v="19"/>
    <x v="0"/>
  </r>
  <r>
    <n v="7105450101"/>
    <s v="CTO. MP YES/ESCA NAL"/>
    <n v="681388502.04083765"/>
    <n v="2931.0725031915522"/>
    <s v="T"/>
    <s v="M"/>
    <s v="1405450101"/>
    <s v="INV.  YES/ESCA NAL"/>
    <s v="EC01"/>
    <s v="YESO00001"/>
    <n v="700060"/>
    <x v="7"/>
    <s v="YESO"/>
    <m/>
    <m/>
    <s v="CEMENTO ART"/>
    <x v="11"/>
    <x v="11"/>
    <s v="7105450101YESO00001Cemento ART"/>
    <x v="20"/>
    <x v="0"/>
  </r>
  <r>
    <n v="7105400101"/>
    <s v="CTO.MP COMPUESTO NAL"/>
    <n v="81510641.443953663"/>
    <n v="18.540483819330916"/>
    <s v="T"/>
    <s v="M"/>
    <s v="1405330101"/>
    <s v="INV.  CALIZAS NAL"/>
    <s v="EC01"/>
    <s v="ADIMOLIEN"/>
    <n v="700060"/>
    <x v="7"/>
    <s v="ADITIVO DE MOLIENDA"/>
    <m/>
    <m/>
    <s v="CEMENTO ART"/>
    <x v="11"/>
    <x v="11"/>
    <s v="7105400101ADIMOLIENCemento ART"/>
    <x v="21"/>
    <x v="0"/>
  </r>
  <r>
    <n v="7105400101"/>
    <s v="CTO.MP COMPUESTO NAL"/>
    <n v="0"/>
    <n v="0"/>
    <s v="T"/>
    <s v="M"/>
    <s v="1405330101"/>
    <s v="INV.  CALIZAS NAL"/>
    <s v="EC01"/>
    <s v="PUZOLANA"/>
    <n v="700060"/>
    <x v="7"/>
    <s v="PUZOLANA"/>
    <m/>
    <m/>
    <s v="CEMENTO ART"/>
    <x v="11"/>
    <x v="11"/>
    <s v="7105400101PUZOLANACemento ART"/>
    <x v="22"/>
    <x v="0"/>
  </r>
  <r>
    <n v="7105400101"/>
    <s v="CTO.MP COMPUESTO NAL"/>
    <m/>
    <n v="1114.2645370579685"/>
    <s v="T"/>
    <s v="M"/>
    <s v="1405330101"/>
    <s v="INV.  CALIZAS NAL"/>
    <s v="EC01"/>
    <s v="CRUDO"/>
    <n v="700060"/>
    <x v="7"/>
    <s v="HARINA CRUDA"/>
    <m/>
    <m/>
    <s v="CEMENTO ART"/>
    <x v="11"/>
    <x v="11"/>
    <s v="7105400101CRUDOCemento ART"/>
    <x v="23"/>
    <x v="0"/>
  </r>
  <r>
    <n v="7199990001"/>
    <s v="CONSUMOS SEMIELBORAD"/>
    <m/>
    <n v="30777.203140089321"/>
    <s v="T"/>
    <s v="M"/>
    <s v="1410900101"/>
    <s v="INV. SEMIELABORADO"/>
    <s v="EC01"/>
    <s v="CLINKER001"/>
    <n v="700060"/>
    <x v="7"/>
    <s v="CLINKER"/>
    <m/>
    <m/>
    <s v="CEMENTO ART"/>
    <x v="11"/>
    <x v="11"/>
    <s v="7199990001CLINKER001Cemento ART"/>
    <x v="24"/>
    <x v="0"/>
  </r>
  <r>
    <n v="7999999995"/>
    <s v="TRASLADO DE COSTOS"/>
    <m/>
    <n v="-37080.96763866183"/>
    <s v="T"/>
    <s v="M"/>
    <s v="1410900101"/>
    <s v="INV. SEMIELABORADO"/>
    <s v="EC01"/>
    <s v="CEMENTOART"/>
    <n v="700060"/>
    <x v="7"/>
    <s v="CEMENTO ART"/>
    <m/>
    <m/>
    <s v="CEMENTO ART"/>
    <x v="11"/>
    <x v="11"/>
    <s v="7999999995CEMENTOARTCemento ART"/>
    <x v="3"/>
    <x v="0"/>
  </r>
  <r>
    <n v="7355250320"/>
    <s v="RTOS VARIA IMPO"/>
    <n v="55350034.577074714"/>
    <n v="37080.96763866183"/>
    <m/>
    <m/>
    <m/>
    <m/>
    <s v="EC01"/>
    <s v="PLACAS Y SEGMENTOS"/>
    <n v="700060"/>
    <x v="7"/>
    <s v="CEMENTO ART"/>
    <m/>
    <m/>
    <s v="CEMENTO ART"/>
    <x v="11"/>
    <x v="11"/>
    <s v="7355250320PLACAS Y SEGMENTOSCemento ART"/>
    <x v="25"/>
    <x v="0"/>
  </r>
  <r>
    <n v="7105330101"/>
    <s v="CTO. MP CALIZAS NAL"/>
    <n v="0"/>
    <n v="0"/>
    <s v="T"/>
    <s v="M"/>
    <s v="1405330101"/>
    <s v="INV.  CALIZAS NAL"/>
    <s v="EC01"/>
    <s v="SALMAR"/>
    <n v="700060"/>
    <x v="8"/>
    <s v="SAL MARINA"/>
    <m/>
    <m/>
    <s v="CEMENTO ART"/>
    <x v="11"/>
    <x v="11"/>
    <s v="7105330101SALMARCemento ART"/>
    <x v="18"/>
    <x v="0"/>
  </r>
  <r>
    <n v="7105330101"/>
    <s v="CTO. MP CALIZAS NAL"/>
    <m/>
    <n v="2448.7595028505707"/>
    <s v="T"/>
    <s v="M"/>
    <s v="1405330101"/>
    <s v="INV.  CALIZAS NAL"/>
    <s v="EC01"/>
    <s v="CALIZATRI"/>
    <n v="700060"/>
    <x v="8"/>
    <s v="CALIZA TRITURADA"/>
    <m/>
    <m/>
    <s v="CEMENTO ART"/>
    <x v="11"/>
    <x v="11"/>
    <s v="7105330101CALIZATRICemento ART"/>
    <x v="19"/>
    <x v="0"/>
  </r>
  <r>
    <n v="7105450101"/>
    <s v="CTO. MP YES/ESCA NAL"/>
    <n v="723628363.18937826"/>
    <n v="3111.1399745197955"/>
    <s v="T"/>
    <s v="M"/>
    <s v="1405450101"/>
    <s v="INV.  YES/ESCA NAL"/>
    <s v="EC01"/>
    <s v="YESO00001"/>
    <n v="700060"/>
    <x v="8"/>
    <s v="YESO"/>
    <m/>
    <m/>
    <s v="CEMENTO ART"/>
    <x v="11"/>
    <x v="11"/>
    <s v="7105450101YESO00001Cemento ART"/>
    <x v="20"/>
    <x v="0"/>
  </r>
  <r>
    <n v="7105400101"/>
    <s v="CTO.MP COMPUESTO NAL"/>
    <n v="86518165.166131839"/>
    <n v="19.67949966930184"/>
    <s v="T"/>
    <s v="M"/>
    <s v="1405330101"/>
    <s v="INV.  CALIZAS NAL"/>
    <s v="EC01"/>
    <s v="ADIMOLIEN"/>
    <n v="700060"/>
    <x v="8"/>
    <s v="ADITIVO DE MOLIENDA"/>
    <m/>
    <m/>
    <s v="CEMENTO ART"/>
    <x v="11"/>
    <x v="11"/>
    <s v="7105400101ADIMOLIENCemento ART"/>
    <x v="21"/>
    <x v="0"/>
  </r>
  <r>
    <n v="7105400101"/>
    <s v="CTO.MP COMPUESTO NAL"/>
    <n v="0"/>
    <n v="0"/>
    <s v="T"/>
    <s v="M"/>
    <s v="1405330101"/>
    <s v="INV.  CALIZAS NAL"/>
    <s v="EC01"/>
    <s v="PUZOLANA"/>
    <n v="700060"/>
    <x v="8"/>
    <s v="PUZOLANA"/>
    <m/>
    <m/>
    <s v="CEMENTO ART"/>
    <x v="11"/>
    <x v="11"/>
    <s v="7105400101PUZOLANACemento ART"/>
    <x v="22"/>
    <x v="0"/>
  </r>
  <r>
    <n v="7105400101"/>
    <s v="CTO.MP COMPUESTO NAL"/>
    <m/>
    <n v="1182.7182506253712"/>
    <s v="T"/>
    <s v="M"/>
    <s v="1405330101"/>
    <s v="INV.  CALIZAS NAL"/>
    <s v="EC01"/>
    <s v="CRUDO"/>
    <n v="700060"/>
    <x v="8"/>
    <s v="HARINA CRUDA"/>
    <m/>
    <m/>
    <s v="CEMENTO ART"/>
    <x v="11"/>
    <x v="11"/>
    <s v="7105400101CRUDOCemento ART"/>
    <x v="23"/>
    <x v="0"/>
  </r>
  <r>
    <n v="7199990001"/>
    <s v="CONSUMOS SEMIELBORAD"/>
    <m/>
    <n v="32667.969451041059"/>
    <s v="T"/>
    <s v="M"/>
    <s v="1410900101"/>
    <s v="INV. SEMIELABORADO"/>
    <s v="EC01"/>
    <s v="CLINKER001"/>
    <n v="700060"/>
    <x v="8"/>
    <s v="CLINKER"/>
    <m/>
    <m/>
    <s v="CEMENTO ART"/>
    <x v="11"/>
    <x v="11"/>
    <s v="7199990001CLINKER001Cemento ART"/>
    <x v="24"/>
    <x v="0"/>
  </r>
  <r>
    <n v="7999999995"/>
    <s v="TRASLADO DE COSTOS"/>
    <m/>
    <n v="-39358.99933860368"/>
    <s v="T"/>
    <s v="M"/>
    <s v="1410900101"/>
    <s v="INV. SEMIELABORADO"/>
    <s v="EC01"/>
    <s v="CEMENTOART"/>
    <n v="700060"/>
    <x v="8"/>
    <s v="CEMENTO ART"/>
    <m/>
    <m/>
    <s v="CEMENTO ART"/>
    <x v="11"/>
    <x v="11"/>
    <s v="7999999995CEMENTOARTCemento ART"/>
    <x v="3"/>
    <x v="0"/>
  </r>
  <r>
    <n v="7355250320"/>
    <s v="RTOS VARIA IMPO"/>
    <n v="58750407.90573588"/>
    <n v="39358.99933860368"/>
    <m/>
    <m/>
    <m/>
    <m/>
    <s v="EC01"/>
    <s v="PLACAS Y SEGMENTOS"/>
    <n v="700060"/>
    <x v="8"/>
    <s v="CEMENTO ART"/>
    <m/>
    <m/>
    <s v="CEMENTO ART"/>
    <x v="11"/>
    <x v="11"/>
    <s v="7355250320PLACAS Y SEGMENTOSCemento ART"/>
    <x v="25"/>
    <x v="0"/>
  </r>
  <r>
    <n v="7105330101"/>
    <s v="CTO. MP CALIZAS NAL"/>
    <n v="0"/>
    <n v="0"/>
    <s v="T"/>
    <s v="M"/>
    <s v="1405330101"/>
    <s v="INV.  CALIZAS NAL"/>
    <s v="EC01"/>
    <s v="SALMAR"/>
    <n v="700060"/>
    <x v="9"/>
    <s v="SAL MARINA"/>
    <m/>
    <m/>
    <s v="CEMENTO ART"/>
    <x v="11"/>
    <x v="11"/>
    <s v="7105330101SALMARCemento ART"/>
    <x v="18"/>
    <x v="0"/>
  </r>
  <r>
    <n v="7105330101"/>
    <s v="CTO. MP CALIZAS NAL"/>
    <m/>
    <n v="2480.5278849911192"/>
    <s v="T"/>
    <s v="M"/>
    <s v="1405330101"/>
    <s v="INV.  CALIZAS NAL"/>
    <s v="EC01"/>
    <s v="CALIZATRI"/>
    <n v="700060"/>
    <x v="9"/>
    <s v="CALIZA TRITURADA"/>
    <m/>
    <m/>
    <s v="CEMENTO ART"/>
    <x v="11"/>
    <x v="11"/>
    <s v="7105330101CALIZATRICemento ART"/>
    <x v="19"/>
    <x v="0"/>
  </r>
  <r>
    <n v="7105450101"/>
    <s v="CTO. MP YES/ESCA NAL"/>
    <n v="733407416.76809192"/>
    <n v="3151.5015876092916"/>
    <s v="T"/>
    <s v="M"/>
    <s v="1405450101"/>
    <s v="INV.  YES/ESCA NAL"/>
    <s v="EC01"/>
    <s v="YESO00001"/>
    <n v="700060"/>
    <x v="9"/>
    <s v="YESO"/>
    <m/>
    <m/>
    <s v="CEMENTO ART"/>
    <x v="11"/>
    <x v="11"/>
    <s v="7105450101YESO00001Cemento ART"/>
    <x v="20"/>
    <x v="0"/>
  </r>
  <r>
    <n v="7105400101"/>
    <s v="CTO.MP COMPUESTO NAL"/>
    <n v="87640587.408862188"/>
    <n v="19.93480684221997"/>
    <s v="T"/>
    <s v="M"/>
    <s v="1405330101"/>
    <s v="INV.  CALIZAS NAL"/>
    <s v="EC01"/>
    <s v="ADIMOLIEN"/>
    <n v="700060"/>
    <x v="9"/>
    <s v="ADITIVO DE MOLIENDA"/>
    <m/>
    <m/>
    <s v="CEMENTO ART"/>
    <x v="11"/>
    <x v="11"/>
    <s v="7105400101ADIMOLIENCemento ART"/>
    <x v="21"/>
    <x v="0"/>
  </r>
  <r>
    <n v="7105400101"/>
    <s v="CTO.MP COMPUESTO NAL"/>
    <n v="0"/>
    <n v="0"/>
    <s v="T"/>
    <s v="M"/>
    <s v="1405330101"/>
    <s v="INV.  CALIZAS NAL"/>
    <s v="EC01"/>
    <s v="PUZOLANA"/>
    <n v="700060"/>
    <x v="9"/>
    <s v="PUZOLANA"/>
    <m/>
    <m/>
    <s v="CEMENTO ART"/>
    <x v="11"/>
    <x v="11"/>
    <s v="7105400101PUZOLANACemento ART"/>
    <x v="22"/>
    <x v="0"/>
  </r>
  <r>
    <n v="7105400101"/>
    <s v="CTO.MP COMPUESTO NAL"/>
    <m/>
    <n v="1198.0619564105777"/>
    <s v="T"/>
    <s v="M"/>
    <s v="1405330101"/>
    <s v="INV.  CALIZAS NAL"/>
    <s v="EC01"/>
    <s v="CRUDO"/>
    <n v="700060"/>
    <x v="9"/>
    <s v="HARINA CRUDA"/>
    <m/>
    <m/>
    <s v="CEMENTO ART"/>
    <x v="11"/>
    <x v="11"/>
    <s v="7105400101CRUDOCemento ART"/>
    <x v="23"/>
    <x v="0"/>
  </r>
  <r>
    <n v="7199990001"/>
    <s v="CONSUMOS SEMIELBORAD"/>
    <m/>
    <n v="33091.77935808515"/>
    <s v="T"/>
    <s v="M"/>
    <s v="1410900101"/>
    <s v="INV. SEMIELABORADO"/>
    <s v="EC01"/>
    <s v="CLINKER001"/>
    <n v="700060"/>
    <x v="9"/>
    <s v="CLINKER"/>
    <m/>
    <m/>
    <s v="CEMENTO ART"/>
    <x v="11"/>
    <x v="11"/>
    <s v="7199990001CLINKER001Cemento ART"/>
    <x v="24"/>
    <x v="0"/>
  </r>
  <r>
    <n v="7999999995"/>
    <s v="TRASLADO DE COSTOS"/>
    <m/>
    <n v="-39869.613684439937"/>
    <s v="T"/>
    <s v="M"/>
    <s v="1410900101"/>
    <s v="INV. SEMIELABORADO"/>
    <s v="EC01"/>
    <s v="CEMENTOART"/>
    <n v="700060"/>
    <x v="9"/>
    <s v="CEMENTO ART"/>
    <m/>
    <m/>
    <s v="CEMENTO ART"/>
    <x v="11"/>
    <x v="11"/>
    <s v="7999999995CEMENTOARTCemento ART"/>
    <x v="3"/>
    <x v="0"/>
  </r>
  <r>
    <n v="7355250320"/>
    <s v="RTOS VARIA IMPO"/>
    <n v="59512591.945079014"/>
    <n v="39869.613684439937"/>
    <m/>
    <m/>
    <m/>
    <m/>
    <s v="EC01"/>
    <s v="PLACAS Y SEGMENTOS"/>
    <n v="700060"/>
    <x v="9"/>
    <s v="CEMENTO ART"/>
    <m/>
    <m/>
    <s v="CEMENTO ART"/>
    <x v="11"/>
    <x v="11"/>
    <s v="7355250320PLACAS Y SEGMENTOSCemento ART"/>
    <x v="25"/>
    <x v="0"/>
  </r>
  <r>
    <n v="7105330101"/>
    <s v="CTO. MP CALIZAS NAL"/>
    <n v="0"/>
    <n v="0"/>
    <s v="T"/>
    <s v="M"/>
    <s v="1405330101"/>
    <s v="INV.  CALIZAS NAL"/>
    <s v="EC01"/>
    <s v="SALMAR"/>
    <n v="700060"/>
    <x v="10"/>
    <s v="SAL MARINA"/>
    <m/>
    <m/>
    <s v="CEMENTO ART"/>
    <x v="11"/>
    <x v="11"/>
    <s v="7105330101SALMARCemento ART"/>
    <x v="18"/>
    <x v="0"/>
  </r>
  <r>
    <n v="7105330101"/>
    <s v="CTO. MP CALIZAS NAL"/>
    <m/>
    <n v="2271.3018750596048"/>
    <s v="T"/>
    <s v="M"/>
    <s v="1405330101"/>
    <s v="INV.  CALIZAS NAL"/>
    <s v="EC01"/>
    <s v="CALIZATRI"/>
    <n v="700060"/>
    <x v="10"/>
    <s v="CALIZA TRITURADA"/>
    <m/>
    <m/>
    <s v="CEMENTO ART"/>
    <x v="11"/>
    <x v="11"/>
    <s v="7105330101CALIZATRICemento ART"/>
    <x v="19"/>
    <x v="0"/>
  </r>
  <r>
    <n v="7105450101"/>
    <s v="CTO. MP YES/ESCA NAL"/>
    <n v="670884905.64972734"/>
    <n v="2885.6807087318562"/>
    <s v="T"/>
    <s v="M"/>
    <s v="1405450101"/>
    <s v="INV.  YES/ESCA NAL"/>
    <s v="EC01"/>
    <s v="YESO00001"/>
    <n v="700060"/>
    <x v="10"/>
    <s v="YESO"/>
    <m/>
    <m/>
    <s v="CEMENTO ART"/>
    <x v="11"/>
    <x v="11"/>
    <s v="7105450101YESO00001Cemento ART"/>
    <x v="20"/>
    <x v="0"/>
  </r>
  <r>
    <n v="7105400101"/>
    <s v="CTO.MP COMPUESTO NAL"/>
    <n v="80248334.121745437"/>
    <n v="18.253358260412121"/>
    <s v="T"/>
    <s v="M"/>
    <s v="1405330101"/>
    <s v="INV.  CALIZAS NAL"/>
    <s v="EC01"/>
    <s v="ADIMOLIEN"/>
    <n v="700060"/>
    <x v="10"/>
    <s v="ADITIVO DE MOLIENDA"/>
    <m/>
    <m/>
    <s v="CEMENTO ART"/>
    <x v="11"/>
    <x v="11"/>
    <s v="7105400101ADIMOLIENCemento ART"/>
    <x v="21"/>
    <x v="0"/>
  </r>
  <r>
    <n v="7105400101"/>
    <s v="CTO.MP COMPUESTO NAL"/>
    <n v="0"/>
    <n v="0"/>
    <s v="T"/>
    <s v="M"/>
    <s v="1405330101"/>
    <s v="INV.  CALIZAS NAL"/>
    <s v="EC01"/>
    <s v="PUZOLANA"/>
    <n v="700060"/>
    <x v="10"/>
    <s v="PUZOLANA"/>
    <m/>
    <m/>
    <s v="CEMENTO ART"/>
    <x v="11"/>
    <x v="11"/>
    <s v="7105400101PUZOLANACemento ART"/>
    <x v="22"/>
    <x v="0"/>
  </r>
  <r>
    <n v="7105400101"/>
    <s v="CTO.MP COMPUESTO NAL"/>
    <m/>
    <n v="1097.0085780925078"/>
    <s v="T"/>
    <s v="M"/>
    <s v="1405330101"/>
    <s v="INV.  CALIZAS NAL"/>
    <s v="EC01"/>
    <s v="CRUDO"/>
    <n v="700060"/>
    <x v="10"/>
    <s v="HARINA CRUDA"/>
    <m/>
    <m/>
    <s v="CEMENTO ART"/>
    <x v="11"/>
    <x v="11"/>
    <s v="7105400101CRUDOCemento ART"/>
    <x v="23"/>
    <x v="0"/>
  </r>
  <r>
    <n v="7199990001"/>
    <s v="CONSUMOS SEMIELBORAD"/>
    <m/>
    <n v="30300.574712284124"/>
    <s v="T"/>
    <s v="M"/>
    <s v="1410900101"/>
    <s v="INV. SEMIELABORADO"/>
    <s v="EC01"/>
    <s v="CLINKER001"/>
    <n v="700060"/>
    <x v="10"/>
    <s v="CLINKER"/>
    <m/>
    <m/>
    <s v="CEMENTO ART"/>
    <x v="11"/>
    <x v="11"/>
    <s v="7199990001CLINKER001Cemento ART"/>
    <x v="24"/>
    <x v="0"/>
  </r>
  <r>
    <n v="7999999995"/>
    <s v="TRASLADO DE COSTOS"/>
    <m/>
    <n v="-36506.716520824244"/>
    <s v="T"/>
    <s v="M"/>
    <s v="1410900101"/>
    <s v="INV. SEMIELABORADO"/>
    <s v="EC01"/>
    <s v="CEMENTOART"/>
    <n v="700060"/>
    <x v="10"/>
    <s v="CEMENTO ART"/>
    <m/>
    <m/>
    <s v="CEMENTO ART"/>
    <x v="11"/>
    <x v="11"/>
    <s v="7999999995CEMENTOARTCemento ART"/>
    <x v="3"/>
    <x v="0"/>
  </r>
  <r>
    <n v="7355250320"/>
    <s v="RTOS VARIA IMPO"/>
    <n v="54492861.173781581"/>
    <n v="36506.716520824244"/>
    <m/>
    <m/>
    <m/>
    <m/>
    <s v="EC01"/>
    <s v="PLACAS Y SEGMENTOS"/>
    <n v="700060"/>
    <x v="10"/>
    <s v="CEMENTO ART"/>
    <m/>
    <m/>
    <s v="CEMENTO ART"/>
    <x v="11"/>
    <x v="11"/>
    <s v="7355250320PLACAS Y SEGMENTOSCemento ART"/>
    <x v="25"/>
    <x v="0"/>
  </r>
  <r>
    <n v="7105330101"/>
    <s v="CTO. MP CALIZAS NAL"/>
    <n v="0"/>
    <n v="0"/>
    <s v="T"/>
    <s v="M"/>
    <s v="1405330101"/>
    <s v="INV.  CALIZAS NAL"/>
    <s v="EC01"/>
    <s v="SALMAR"/>
    <n v="700060"/>
    <x v="11"/>
    <s v="SAL MARINA"/>
    <m/>
    <m/>
    <s v="CEMENTO ART"/>
    <x v="11"/>
    <x v="11"/>
    <s v="7105330101SALMARCemento ART"/>
    <x v="18"/>
    <x v="0"/>
  </r>
  <r>
    <n v="7105330101"/>
    <s v="CTO. MP CALIZAS NAL"/>
    <m/>
    <n v="2214.4759788776105"/>
    <s v="T"/>
    <s v="M"/>
    <s v="1405330101"/>
    <s v="INV.  CALIZAS NAL"/>
    <s v="EC01"/>
    <s v="CALIZATRI"/>
    <n v="700060"/>
    <x v="11"/>
    <s v="CALIZA TRITURADA"/>
    <m/>
    <m/>
    <s v="CEMENTO ART"/>
    <x v="11"/>
    <x v="11"/>
    <s v="7105330101CALIZATRICemento ART"/>
    <x v="19"/>
    <x v="0"/>
  </r>
  <r>
    <n v="7105450101"/>
    <s v="CTO. MP YES/ESCA NAL"/>
    <n v="654800921.20656407"/>
    <n v="2813.4836158797766"/>
    <s v="T"/>
    <s v="M"/>
    <s v="1405450101"/>
    <s v="INV.  YES/ESCA NAL"/>
    <s v="EC01"/>
    <s v="YESO00001"/>
    <n v="700060"/>
    <x v="11"/>
    <s v="YESO"/>
    <m/>
    <m/>
    <s v="CEMENTO ART"/>
    <x v="11"/>
    <x v="11"/>
    <s v="7105450101YESO00001Cemento ART"/>
    <x v="20"/>
    <x v="0"/>
  </r>
  <r>
    <n v="7105400101"/>
    <s v="CTO.MP COMPUESTO NAL"/>
    <n v="78240594.175922245"/>
    <n v="17.796675926430556"/>
    <s v="T"/>
    <s v="M"/>
    <s v="1405330101"/>
    <s v="INV.  CALIZAS NAL"/>
    <s v="EC01"/>
    <s v="ADIMOLIEN"/>
    <n v="700060"/>
    <x v="11"/>
    <s v="ADITIVO DE MOLIENDA"/>
    <m/>
    <m/>
    <s v="CEMENTO ART"/>
    <x v="11"/>
    <x v="11"/>
    <s v="7105400101ADIMOLIENCemento ART"/>
    <x v="21"/>
    <x v="0"/>
  </r>
  <r>
    <n v="7105400101"/>
    <s v="CTO.MP COMPUESTO NAL"/>
    <n v="0"/>
    <n v="0"/>
    <s v="T"/>
    <s v="M"/>
    <s v="1405330101"/>
    <s v="INV.  CALIZAS NAL"/>
    <s v="EC01"/>
    <s v="PUZOLANA"/>
    <n v="700060"/>
    <x v="11"/>
    <s v="PUZOLANA"/>
    <m/>
    <m/>
    <s v="CEMENTO ART"/>
    <x v="11"/>
    <x v="11"/>
    <s v="7105400101PUZOLANACemento ART"/>
    <x v="22"/>
    <x v="0"/>
  </r>
  <r>
    <n v="7105400101"/>
    <s v="CTO.MP COMPUESTO NAL"/>
    <m/>
    <n v="1069.5624265025499"/>
    <s v="T"/>
    <s v="M"/>
    <s v="1405330101"/>
    <s v="INV.  CALIZAS NAL"/>
    <s v="EC01"/>
    <s v="CRUDO"/>
    <n v="700060"/>
    <x v="11"/>
    <s v="HARINA CRUDA"/>
    <m/>
    <m/>
    <s v="CEMENTO ART"/>
    <x v="11"/>
    <x v="11"/>
    <s v="7105400101CRUDOCemento ART"/>
    <x v="23"/>
    <x v="0"/>
  </r>
  <r>
    <n v="7199990001"/>
    <s v="CONSUMOS SEMIELBORAD"/>
    <m/>
    <n v="29542.482037874724"/>
    <s v="T"/>
    <s v="M"/>
    <s v="1410900101"/>
    <s v="INV. SEMIELABORADO"/>
    <s v="EC01"/>
    <s v="CLINKER001"/>
    <n v="700060"/>
    <x v="11"/>
    <s v="CLINKER"/>
    <m/>
    <m/>
    <s v="CEMENTO ART"/>
    <x v="11"/>
    <x v="11"/>
    <s v="7199990001CLINKER001Cemento ART"/>
    <x v="24"/>
    <x v="0"/>
  </r>
  <r>
    <n v="7999999995"/>
    <s v="TRASLADO DE COSTOS"/>
    <m/>
    <n v="-35593.351852861109"/>
    <s v="T"/>
    <s v="M"/>
    <s v="1410900101"/>
    <s v="INV. SEMIELABORADO"/>
    <s v="EC01"/>
    <s v="CEMENTOART"/>
    <n v="700060"/>
    <x v="11"/>
    <s v="CEMENTO ART"/>
    <m/>
    <m/>
    <s v="CEMENTO ART"/>
    <x v="11"/>
    <x v="11"/>
    <s v="7999999995CEMENTOARTCemento ART"/>
    <x v="3"/>
    <x v="0"/>
  </r>
  <r>
    <n v="7355250320"/>
    <s v="RTOS VARIA IMPO"/>
    <n v="53129499.611972503"/>
    <n v="35593.351852861109"/>
    <m/>
    <m/>
    <m/>
    <m/>
    <s v="EC01"/>
    <s v="PLACAS Y SEGMENTOS"/>
    <n v="700060"/>
    <x v="11"/>
    <s v="CEMENTO ART"/>
    <m/>
    <m/>
    <s v="CEMENTO ART"/>
    <x v="11"/>
    <x v="11"/>
    <s v="7355250320PLACAS Y SEGMENTOSCemento ART"/>
    <x v="25"/>
    <x v="0"/>
  </r>
  <r>
    <n v="7105330101"/>
    <s v="CTO. MP CALIZAS NAL"/>
    <m/>
    <m/>
    <s v="T"/>
    <s v="M"/>
    <s v="1405330101"/>
    <s v="INV.  CALIZAS NAL"/>
    <s v="EC01"/>
    <s v="CALIZATRI"/>
    <n v="700090"/>
    <x v="0"/>
    <s v="CALIZA TRITURADA"/>
    <m/>
    <m/>
    <s v="CEMENTO UG TP"/>
    <x v="12"/>
    <x v="12"/>
    <s v="7105330101CALIZATRICemento UG TP"/>
    <x v="19"/>
    <x v="0"/>
  </r>
  <r>
    <n v="7105450101"/>
    <s v="CTO. MP YES/ESCA NAL"/>
    <m/>
    <m/>
    <s v="T"/>
    <s v="M"/>
    <s v="1405450101"/>
    <s v="INV.  YES/ESCA NAL"/>
    <s v="EC01"/>
    <s v="YESO00001"/>
    <n v="700090"/>
    <x v="0"/>
    <s v="YESO"/>
    <m/>
    <m/>
    <s v="CEMENTO UG TP"/>
    <x v="12"/>
    <x v="12"/>
    <s v="7105450101YESO00001Cemento UG TP"/>
    <x v="20"/>
    <x v="0"/>
  </r>
  <r>
    <n v="7199990001"/>
    <s v="CONSUMOS SEMIELBORAD"/>
    <m/>
    <m/>
    <s v="T"/>
    <s v="M"/>
    <s v="1410900101"/>
    <s v="INV. SEMIELABORADO"/>
    <s v="EC01"/>
    <s v="CLINKER001"/>
    <n v="700090"/>
    <x v="0"/>
    <s v="CLINKER"/>
    <m/>
    <m/>
    <s v="CEMENTO UG TP"/>
    <x v="12"/>
    <x v="12"/>
    <s v="7199990001CLINKER001Cemento UG TP"/>
    <x v="24"/>
    <x v="0"/>
  </r>
  <r>
    <n v="7999999995"/>
    <s v="TRASLADO DE COSTOS"/>
    <m/>
    <m/>
    <s v="T"/>
    <s v="M"/>
    <s v="1410900101"/>
    <s v="INV. SEMIELABORADO"/>
    <s v="EC01"/>
    <s v="CEMENTOUG1"/>
    <n v="700090"/>
    <x v="0"/>
    <s v="CEMENTO UG"/>
    <m/>
    <m/>
    <s v="CEMENTO UG TP"/>
    <x v="12"/>
    <x v="12"/>
    <s v="7999999995CEMENTOUG1Cemento UG TP"/>
    <x v="3"/>
    <x v="0"/>
  </r>
  <r>
    <n v="7355250320"/>
    <s v="RTOS VARIA IMPO"/>
    <m/>
    <m/>
    <m/>
    <m/>
    <m/>
    <m/>
    <s v="EC01"/>
    <s v="PLACAS Y SEGMENTOS"/>
    <n v="700090"/>
    <x v="0"/>
    <s v="CEMENTO UG"/>
    <m/>
    <m/>
    <s v="CEMENTO UG TP"/>
    <x v="12"/>
    <x v="12"/>
    <s v="7355250320PLACAS Y SEGMENTOSCemento UG TP"/>
    <x v="25"/>
    <x v="0"/>
  </r>
  <r>
    <n v="7105330101"/>
    <s v="CTO. MP CALIZAS NAL"/>
    <m/>
    <m/>
    <s v="T"/>
    <s v="M"/>
    <s v="1405330101"/>
    <s v="INV.  CALIZAS NAL"/>
    <s v="EC01"/>
    <s v="SALMAR"/>
    <n v="700090"/>
    <x v="0"/>
    <s v="SAL MARINA"/>
    <m/>
    <m/>
    <s v="CEMENTO UG TP"/>
    <x v="12"/>
    <x v="12"/>
    <s v="7105330101SALMARCemento UG TP"/>
    <x v="18"/>
    <x v="0"/>
  </r>
  <r>
    <n v="7105330101"/>
    <s v="CTO. MP CALIZAS NAL"/>
    <m/>
    <m/>
    <s v="T"/>
    <s v="M"/>
    <s v="1405330101"/>
    <s v="INV.  CALIZAS NAL"/>
    <s v="EC01"/>
    <s v="CALIZATRI"/>
    <n v="700090"/>
    <x v="1"/>
    <s v="CALIZA TRITURADA"/>
    <m/>
    <m/>
    <s v="CEMENTO UG TP"/>
    <x v="12"/>
    <x v="12"/>
    <s v="7105330101CALIZATRICemento UG TP"/>
    <x v="19"/>
    <x v="0"/>
  </r>
  <r>
    <n v="7105450101"/>
    <s v="CTO. MP YES/ESCA NAL"/>
    <m/>
    <m/>
    <s v="T"/>
    <s v="M"/>
    <s v="1405450101"/>
    <s v="INV.  YES/ESCA NAL"/>
    <s v="EC01"/>
    <s v="YESO00001"/>
    <n v="700090"/>
    <x v="1"/>
    <s v="YESO"/>
    <m/>
    <m/>
    <s v="CEMENTO UG TP"/>
    <x v="12"/>
    <x v="12"/>
    <s v="7105450101YESO00001Cemento UG TP"/>
    <x v="20"/>
    <x v="0"/>
  </r>
  <r>
    <n v="7199990001"/>
    <s v="CONSUMOS SEMIELBORAD"/>
    <m/>
    <m/>
    <s v="T"/>
    <s v="M"/>
    <s v="1410900101"/>
    <s v="INV. SEMIELABORADO"/>
    <s v="EC01"/>
    <s v="CLINKER001"/>
    <n v="700090"/>
    <x v="1"/>
    <s v="CLINKER"/>
    <m/>
    <m/>
    <s v="CEMENTO UG TP"/>
    <x v="12"/>
    <x v="12"/>
    <s v="7199990001CLINKER001Cemento UG TP"/>
    <x v="24"/>
    <x v="0"/>
  </r>
  <r>
    <n v="7999999995"/>
    <s v="TRASLADO DE COSTOS"/>
    <m/>
    <m/>
    <s v="T"/>
    <s v="M"/>
    <s v="1410900101"/>
    <s v="INV. SEMIELABORADO"/>
    <s v="EC01"/>
    <s v="CEMENTOUG1"/>
    <n v="700090"/>
    <x v="1"/>
    <s v="CEMENTO UG"/>
    <m/>
    <m/>
    <s v="CEMENTO UG TP"/>
    <x v="12"/>
    <x v="12"/>
    <s v="7999999995CEMENTOUG1Cemento UG TP"/>
    <x v="3"/>
    <x v="0"/>
  </r>
  <r>
    <n v="7355250320"/>
    <s v="RTOS VARIA IMPO"/>
    <m/>
    <m/>
    <m/>
    <m/>
    <m/>
    <m/>
    <s v="EC01"/>
    <s v="PLACAS Y SEGMENTOS"/>
    <n v="700090"/>
    <x v="1"/>
    <s v="CEMENTO UG"/>
    <m/>
    <m/>
    <s v="CEMENTO UG TP"/>
    <x v="12"/>
    <x v="12"/>
    <s v="7355250320PLACAS Y SEGMENTOSCemento UG TP"/>
    <x v="25"/>
    <x v="0"/>
  </r>
  <r>
    <n v="7105330101"/>
    <s v="CTO. MP CALIZAS NAL"/>
    <m/>
    <m/>
    <s v="T"/>
    <s v="M"/>
    <s v="1405330101"/>
    <s v="INV.  CALIZAS NAL"/>
    <s v="EC01"/>
    <s v="SALMAR"/>
    <n v="700090"/>
    <x v="1"/>
    <s v="SAL MARINA"/>
    <m/>
    <m/>
    <s v="CEMENTO UG TP"/>
    <x v="12"/>
    <x v="12"/>
    <s v="7105330101SALMARCemento UG TP"/>
    <x v="18"/>
    <x v="0"/>
  </r>
  <r>
    <n v="7105330101"/>
    <s v="CTO. MP CALIZAS NAL"/>
    <m/>
    <m/>
    <s v="T"/>
    <s v="M"/>
    <s v="1405330101"/>
    <s v="INV.  CALIZAS NAL"/>
    <s v="EC01"/>
    <s v="CALIZATRI"/>
    <n v="700090"/>
    <x v="2"/>
    <s v="CALIZA TRITURADA"/>
    <m/>
    <m/>
    <s v="CEMENTO UG TP"/>
    <x v="12"/>
    <x v="12"/>
    <s v="7105330101CALIZATRICemento UG TP"/>
    <x v="19"/>
    <x v="0"/>
  </r>
  <r>
    <n v="7105450101"/>
    <s v="CTO. MP YES/ESCA NAL"/>
    <m/>
    <m/>
    <s v="T"/>
    <s v="M"/>
    <s v="1405450101"/>
    <s v="INV.  YES/ESCA NAL"/>
    <s v="EC01"/>
    <s v="YESO00001"/>
    <n v="700090"/>
    <x v="2"/>
    <s v="YESO"/>
    <m/>
    <m/>
    <s v="CEMENTO UG TP"/>
    <x v="12"/>
    <x v="12"/>
    <s v="7105450101YESO00001Cemento UG TP"/>
    <x v="20"/>
    <x v="0"/>
  </r>
  <r>
    <n v="7199990001"/>
    <s v="CONSUMOS SEMIELBORAD"/>
    <m/>
    <m/>
    <s v="T"/>
    <s v="M"/>
    <s v="1410900101"/>
    <s v="INV. SEMIELABORADO"/>
    <s v="EC01"/>
    <s v="CLINKER001"/>
    <n v="700090"/>
    <x v="2"/>
    <s v="CLINKER"/>
    <m/>
    <m/>
    <s v="CEMENTO UG TP"/>
    <x v="12"/>
    <x v="12"/>
    <s v="7199990001CLINKER001Cemento UG TP"/>
    <x v="24"/>
    <x v="0"/>
  </r>
  <r>
    <n v="7999999995"/>
    <s v="TRASLADO DE COSTOS"/>
    <m/>
    <m/>
    <s v="T"/>
    <s v="M"/>
    <s v="1410900101"/>
    <s v="INV. SEMIELABORADO"/>
    <s v="EC01"/>
    <s v="CEMENTOUG1"/>
    <n v="700090"/>
    <x v="2"/>
    <s v="CEMENTO UG"/>
    <m/>
    <m/>
    <s v="CEMENTO UG TP"/>
    <x v="12"/>
    <x v="12"/>
    <s v="7999999995CEMENTOUG1Cemento UG TP"/>
    <x v="3"/>
    <x v="0"/>
  </r>
  <r>
    <n v="7355250320"/>
    <s v="RTOS VARIA IMPO"/>
    <m/>
    <m/>
    <m/>
    <m/>
    <m/>
    <m/>
    <s v="EC01"/>
    <s v="PLACAS Y SEGMENTOS"/>
    <n v="700090"/>
    <x v="2"/>
    <s v="CEMENTO UG"/>
    <m/>
    <m/>
    <s v="CEMENTO UG TP"/>
    <x v="12"/>
    <x v="12"/>
    <s v="7355250320PLACAS Y SEGMENTOSCemento UG TP"/>
    <x v="25"/>
    <x v="0"/>
  </r>
  <r>
    <n v="7105330101"/>
    <s v="CTO. MP CALIZAS NAL"/>
    <m/>
    <m/>
    <s v="T"/>
    <s v="M"/>
    <s v="1405330101"/>
    <s v="INV.  CALIZAS NAL"/>
    <s v="EC01"/>
    <s v="SALMAR"/>
    <n v="700090"/>
    <x v="2"/>
    <s v="SAL MARINA"/>
    <m/>
    <m/>
    <s v="CEMENTO UG TP"/>
    <x v="12"/>
    <x v="12"/>
    <s v="7105330101SALMARCemento UG TP"/>
    <x v="18"/>
    <x v="0"/>
  </r>
  <r>
    <n v="7105330101"/>
    <s v="CTO. MP CALIZAS NAL"/>
    <m/>
    <m/>
    <s v="T"/>
    <s v="M"/>
    <s v="1405330101"/>
    <s v="INV.  CALIZAS NAL"/>
    <s v="EC01"/>
    <s v="CALIZATRI"/>
    <n v="700090"/>
    <x v="3"/>
    <s v="CALIZA TRITURADA"/>
    <m/>
    <m/>
    <s v="CEMENTO UG TP"/>
    <x v="12"/>
    <x v="12"/>
    <s v="7105330101CALIZATRICemento UG TP"/>
    <x v="19"/>
    <x v="0"/>
  </r>
  <r>
    <n v="7105450101"/>
    <s v="CTO. MP YES/ESCA NAL"/>
    <m/>
    <m/>
    <s v="T"/>
    <s v="M"/>
    <s v="1405450101"/>
    <s v="INV.  YES/ESCA NAL"/>
    <s v="EC01"/>
    <s v="YESO00001"/>
    <n v="700090"/>
    <x v="3"/>
    <s v="YESO"/>
    <m/>
    <m/>
    <s v="CEMENTO UG TP"/>
    <x v="12"/>
    <x v="12"/>
    <s v="7105450101YESO00001Cemento UG TP"/>
    <x v="20"/>
    <x v="0"/>
  </r>
  <r>
    <n v="7199990001"/>
    <s v="CONSUMOS SEMIELBORAD"/>
    <m/>
    <m/>
    <s v="T"/>
    <s v="M"/>
    <s v="1410900101"/>
    <s v="INV. SEMIELABORADO"/>
    <s v="EC01"/>
    <s v="CLINKER001"/>
    <n v="700090"/>
    <x v="3"/>
    <s v="CLINKER"/>
    <m/>
    <m/>
    <s v="CEMENTO UG TP"/>
    <x v="12"/>
    <x v="12"/>
    <s v="7199990001CLINKER001Cemento UG TP"/>
    <x v="24"/>
    <x v="0"/>
  </r>
  <r>
    <n v="7999999995"/>
    <s v="TRASLADO DE COSTOS"/>
    <m/>
    <m/>
    <s v="T"/>
    <s v="M"/>
    <s v="1410900101"/>
    <s v="INV. SEMIELABORADO"/>
    <s v="EC01"/>
    <s v="CEMENTOUG1"/>
    <n v="700090"/>
    <x v="3"/>
    <s v="CEMENTO UG"/>
    <m/>
    <m/>
    <s v="CEMENTO UG TP"/>
    <x v="12"/>
    <x v="12"/>
    <s v="7999999995CEMENTOUG1Cemento UG TP"/>
    <x v="3"/>
    <x v="0"/>
  </r>
  <r>
    <n v="7355250320"/>
    <s v="RTOS VARIA IMPO"/>
    <m/>
    <m/>
    <m/>
    <m/>
    <m/>
    <m/>
    <s v="EC01"/>
    <s v="PLACAS Y SEGMENTOS"/>
    <n v="700090"/>
    <x v="3"/>
    <s v="CEMENTO UG"/>
    <m/>
    <m/>
    <s v="CEMENTO UG TP"/>
    <x v="12"/>
    <x v="12"/>
    <s v="7355250320PLACAS Y SEGMENTOSCemento UG TP"/>
    <x v="25"/>
    <x v="0"/>
  </r>
  <r>
    <n v="7105330101"/>
    <s v="CTO. MP CALIZAS NAL"/>
    <m/>
    <m/>
    <s v="T"/>
    <s v="M"/>
    <s v="1405330101"/>
    <s v="INV.  CALIZAS NAL"/>
    <s v="EC01"/>
    <s v="SALMAR"/>
    <n v="700090"/>
    <x v="3"/>
    <s v="SAL MARINA"/>
    <m/>
    <m/>
    <s v="CEMENTO UG TP"/>
    <x v="12"/>
    <x v="12"/>
    <s v="7105330101SALMARCemento UG TP"/>
    <x v="18"/>
    <x v="0"/>
  </r>
  <r>
    <n v="7105330101"/>
    <s v="CTO. MP CALIZAS NAL"/>
    <m/>
    <m/>
    <s v="T"/>
    <s v="M"/>
    <s v="1405330101"/>
    <s v="INV.  CALIZAS NAL"/>
    <s v="EC01"/>
    <s v="CALIZATRI"/>
    <n v="700090"/>
    <x v="4"/>
    <s v="CALIZA TRITURADA"/>
    <m/>
    <m/>
    <s v="CEMENTO UG TP"/>
    <x v="12"/>
    <x v="12"/>
    <s v="7105330101CALIZATRICemento UG TP"/>
    <x v="19"/>
    <x v="0"/>
  </r>
  <r>
    <n v="7105450101"/>
    <s v="CTO. MP YES/ESCA NAL"/>
    <m/>
    <m/>
    <s v="T"/>
    <s v="M"/>
    <s v="1405450101"/>
    <s v="INV.  YES/ESCA NAL"/>
    <s v="EC01"/>
    <s v="YESO00001"/>
    <n v="700090"/>
    <x v="4"/>
    <s v="YESO"/>
    <m/>
    <m/>
    <s v="CEMENTO UG TP"/>
    <x v="12"/>
    <x v="12"/>
    <s v="7105450101YESO00001Cemento UG TP"/>
    <x v="20"/>
    <x v="0"/>
  </r>
  <r>
    <n v="7199990001"/>
    <s v="CONSUMOS SEMIELBORAD"/>
    <m/>
    <m/>
    <s v="T"/>
    <s v="M"/>
    <s v="1410900101"/>
    <s v="INV. SEMIELABORADO"/>
    <s v="EC01"/>
    <s v="CLINKER001"/>
    <n v="700090"/>
    <x v="4"/>
    <s v="CLINKER"/>
    <m/>
    <m/>
    <s v="CEMENTO UG TP"/>
    <x v="12"/>
    <x v="12"/>
    <s v="7199990001CLINKER001Cemento UG TP"/>
    <x v="24"/>
    <x v="0"/>
  </r>
  <r>
    <n v="7999999995"/>
    <s v="TRASLADO DE COSTOS"/>
    <m/>
    <m/>
    <s v="T"/>
    <s v="M"/>
    <s v="1410900101"/>
    <s v="INV. SEMIELABORADO"/>
    <s v="EC01"/>
    <s v="CEMENTOUG1"/>
    <n v="700090"/>
    <x v="4"/>
    <s v="CEMENTO UG"/>
    <m/>
    <m/>
    <s v="CEMENTO UG TP"/>
    <x v="12"/>
    <x v="12"/>
    <s v="7999999995CEMENTOUG1Cemento UG TP"/>
    <x v="3"/>
    <x v="0"/>
  </r>
  <r>
    <n v="7355250320"/>
    <s v="RTOS VARIA IMPO"/>
    <m/>
    <m/>
    <m/>
    <m/>
    <m/>
    <m/>
    <s v="EC01"/>
    <s v="PLACAS Y SEGMENTOS"/>
    <n v="700090"/>
    <x v="4"/>
    <s v="CEMENTO UG"/>
    <m/>
    <m/>
    <s v="CEMENTO UG TP"/>
    <x v="12"/>
    <x v="12"/>
    <s v="7355250320PLACAS Y SEGMENTOSCemento UG TP"/>
    <x v="25"/>
    <x v="0"/>
  </r>
  <r>
    <n v="7105330101"/>
    <s v="CTO. MP CALIZAS NAL"/>
    <m/>
    <m/>
    <s v="T"/>
    <s v="M"/>
    <s v="1405330101"/>
    <s v="INV.  CALIZAS NAL"/>
    <s v="EC01"/>
    <s v="SALMAR"/>
    <n v="700090"/>
    <x v="4"/>
    <s v="SAL MARINA"/>
    <m/>
    <m/>
    <s v="CEMENTO UG TP"/>
    <x v="12"/>
    <x v="12"/>
    <s v="7105330101SALMARCemento UG TP"/>
    <x v="18"/>
    <x v="0"/>
  </r>
  <r>
    <n v="7105330101"/>
    <s v="CTO. MP CALIZAS NAL"/>
    <m/>
    <m/>
    <s v="T"/>
    <s v="M"/>
    <s v="1405330101"/>
    <s v="INV.  CALIZAS NAL"/>
    <s v="EC01"/>
    <s v="CALIZATRI"/>
    <n v="700090"/>
    <x v="5"/>
    <s v="CALIZA TRITURADA"/>
    <m/>
    <m/>
    <s v="CEMENTO UG TP"/>
    <x v="12"/>
    <x v="12"/>
    <s v="7105330101CALIZATRICemento UG TP"/>
    <x v="19"/>
    <x v="0"/>
  </r>
  <r>
    <n v="7105450101"/>
    <s v="CTO. MP YES/ESCA NAL"/>
    <m/>
    <m/>
    <s v="T"/>
    <s v="M"/>
    <s v="1405450101"/>
    <s v="INV.  YES/ESCA NAL"/>
    <s v="EC01"/>
    <s v="YESO00001"/>
    <n v="700090"/>
    <x v="5"/>
    <s v="YESO"/>
    <m/>
    <m/>
    <s v="CEMENTO UG TP"/>
    <x v="12"/>
    <x v="12"/>
    <s v="7105450101YESO00001Cemento UG TP"/>
    <x v="20"/>
    <x v="0"/>
  </r>
  <r>
    <n v="7199990001"/>
    <s v="CONSUMOS SEMIELBORAD"/>
    <m/>
    <m/>
    <s v="T"/>
    <s v="M"/>
    <s v="1410900101"/>
    <s v="INV. SEMIELABORADO"/>
    <s v="EC01"/>
    <s v="CLINKER001"/>
    <n v="700090"/>
    <x v="5"/>
    <s v="CLINKER"/>
    <m/>
    <m/>
    <s v="CEMENTO UG TP"/>
    <x v="12"/>
    <x v="12"/>
    <s v="7199990001CLINKER001Cemento UG TP"/>
    <x v="24"/>
    <x v="0"/>
  </r>
  <r>
    <n v="7999999995"/>
    <s v="TRASLADO DE COSTOS"/>
    <m/>
    <m/>
    <s v="T"/>
    <s v="M"/>
    <s v="1410900101"/>
    <s v="INV. SEMIELABORADO"/>
    <s v="EC01"/>
    <s v="CEMENTOUG1"/>
    <n v="700090"/>
    <x v="5"/>
    <s v="CEMENTO UG"/>
    <m/>
    <m/>
    <s v="CEMENTO UG TP"/>
    <x v="12"/>
    <x v="12"/>
    <s v="7999999995CEMENTOUG1Cemento UG TP"/>
    <x v="3"/>
    <x v="0"/>
  </r>
  <r>
    <n v="7355250320"/>
    <s v="RTOS VARIA IMPO"/>
    <m/>
    <m/>
    <m/>
    <m/>
    <m/>
    <m/>
    <s v="EC01"/>
    <s v="PLACAS Y SEGMENTOS"/>
    <n v="700090"/>
    <x v="5"/>
    <s v="CEMENTO UG"/>
    <m/>
    <m/>
    <s v="CEMENTO UG TP"/>
    <x v="12"/>
    <x v="12"/>
    <s v="7355250320PLACAS Y SEGMENTOSCemento UG TP"/>
    <x v="25"/>
    <x v="0"/>
  </r>
  <r>
    <n v="7105330101"/>
    <s v="CTO. MP CALIZAS NAL"/>
    <m/>
    <m/>
    <s v="T"/>
    <s v="M"/>
    <s v="1405330101"/>
    <s v="INV.  CALIZAS NAL"/>
    <s v="EC01"/>
    <s v="SALMAR"/>
    <n v="700090"/>
    <x v="5"/>
    <s v="SAL MARINA"/>
    <m/>
    <m/>
    <s v="CEMENTO UG TP"/>
    <x v="12"/>
    <x v="12"/>
    <s v="7105330101SALMARCemento UG TP"/>
    <x v="18"/>
    <x v="0"/>
  </r>
  <r>
    <n v="7105330101"/>
    <s v="CTO. MP CALIZAS NAL"/>
    <m/>
    <m/>
    <s v="T"/>
    <s v="M"/>
    <s v="1405330101"/>
    <s v="INV.  CALIZAS NAL"/>
    <s v="EC01"/>
    <s v="CALIZATRI"/>
    <n v="700090"/>
    <x v="6"/>
    <s v="CALIZA TRITURADA"/>
    <m/>
    <m/>
    <s v="CEMENTO UG TP"/>
    <x v="12"/>
    <x v="12"/>
    <s v="7105330101CALIZATRICemento UG TP"/>
    <x v="19"/>
    <x v="0"/>
  </r>
  <r>
    <n v="7105450101"/>
    <s v="CTO. MP YES/ESCA NAL"/>
    <m/>
    <m/>
    <s v="T"/>
    <s v="M"/>
    <s v="1405450101"/>
    <s v="INV.  YES/ESCA NAL"/>
    <s v="EC01"/>
    <s v="YESO00001"/>
    <n v="700090"/>
    <x v="6"/>
    <s v="YESO"/>
    <m/>
    <m/>
    <s v="CEMENTO UG TP"/>
    <x v="12"/>
    <x v="12"/>
    <s v="7105450101YESO00001Cemento UG TP"/>
    <x v="20"/>
    <x v="0"/>
  </r>
  <r>
    <n v="7199990001"/>
    <s v="CONSUMOS SEMIELBORAD"/>
    <m/>
    <m/>
    <s v="T"/>
    <s v="M"/>
    <s v="1410900101"/>
    <s v="INV. SEMIELABORADO"/>
    <s v="EC01"/>
    <s v="CLINKER001"/>
    <n v="700090"/>
    <x v="6"/>
    <s v="CLINKER"/>
    <m/>
    <m/>
    <s v="CEMENTO UG TP"/>
    <x v="12"/>
    <x v="12"/>
    <s v="7199990001CLINKER001Cemento UG TP"/>
    <x v="24"/>
    <x v="0"/>
  </r>
  <r>
    <n v="7999999995"/>
    <s v="TRASLADO DE COSTOS"/>
    <m/>
    <m/>
    <s v="T"/>
    <s v="M"/>
    <s v="1410900101"/>
    <s v="INV. SEMIELABORADO"/>
    <s v="EC01"/>
    <s v="CEMENTOUG1"/>
    <n v="700090"/>
    <x v="6"/>
    <s v="CEMENTO UG"/>
    <m/>
    <m/>
    <s v="CEMENTO UG TP"/>
    <x v="12"/>
    <x v="12"/>
    <s v="7999999995CEMENTOUG1Cemento UG TP"/>
    <x v="3"/>
    <x v="0"/>
  </r>
  <r>
    <n v="7355250320"/>
    <s v="RTOS VARIA IMPO"/>
    <m/>
    <m/>
    <m/>
    <m/>
    <m/>
    <m/>
    <s v="EC01"/>
    <s v="PLACAS Y SEGMENTOS"/>
    <n v="700090"/>
    <x v="6"/>
    <s v="CEMENTO UG"/>
    <m/>
    <m/>
    <s v="CEMENTO UG TP"/>
    <x v="12"/>
    <x v="12"/>
    <s v="7355250320PLACAS Y SEGMENTOSCemento UG TP"/>
    <x v="25"/>
    <x v="0"/>
  </r>
  <r>
    <n v="7105330101"/>
    <s v="CTO. MP CALIZAS NAL"/>
    <m/>
    <m/>
    <s v="T"/>
    <s v="M"/>
    <s v="1405330101"/>
    <s v="INV.  CALIZAS NAL"/>
    <s v="EC01"/>
    <s v="SALMAR"/>
    <n v="700090"/>
    <x v="6"/>
    <s v="SAL MARINA"/>
    <m/>
    <m/>
    <s v="CEMENTO UG TP"/>
    <x v="12"/>
    <x v="12"/>
    <s v="7105330101SALMARCemento UG TP"/>
    <x v="18"/>
    <x v="0"/>
  </r>
  <r>
    <n v="7105330101"/>
    <s v="CTO. MP CALIZAS NAL"/>
    <m/>
    <m/>
    <s v="T"/>
    <s v="M"/>
    <s v="1405330101"/>
    <s v="INV.  CALIZAS NAL"/>
    <s v="EC01"/>
    <s v="CALIZATRI"/>
    <n v="700090"/>
    <x v="7"/>
    <s v="CALIZA TRITURADA"/>
    <m/>
    <m/>
    <s v="CEMENTO UG TP"/>
    <x v="12"/>
    <x v="12"/>
    <s v="7105330101CALIZATRICemento UG TP"/>
    <x v="19"/>
    <x v="0"/>
  </r>
  <r>
    <n v="7105450101"/>
    <s v="CTO. MP YES/ESCA NAL"/>
    <m/>
    <m/>
    <s v="T"/>
    <s v="M"/>
    <s v="1405450101"/>
    <s v="INV.  YES/ESCA NAL"/>
    <s v="EC01"/>
    <s v="YESO00001"/>
    <n v="700090"/>
    <x v="7"/>
    <s v="YESO"/>
    <m/>
    <m/>
    <s v="CEMENTO UG TP"/>
    <x v="12"/>
    <x v="12"/>
    <s v="7105450101YESO00001Cemento UG TP"/>
    <x v="20"/>
    <x v="0"/>
  </r>
  <r>
    <n v="7199990001"/>
    <s v="CONSUMOS SEMIELBORAD"/>
    <m/>
    <m/>
    <s v="T"/>
    <s v="M"/>
    <s v="1410900101"/>
    <s v="INV. SEMIELABORADO"/>
    <s v="EC01"/>
    <s v="CLINKER001"/>
    <n v="700090"/>
    <x v="7"/>
    <s v="CLINKER"/>
    <m/>
    <m/>
    <s v="CEMENTO UG TP"/>
    <x v="12"/>
    <x v="12"/>
    <s v="7199990001CLINKER001Cemento UG TP"/>
    <x v="24"/>
    <x v="0"/>
  </r>
  <r>
    <n v="7999999995"/>
    <s v="TRASLADO DE COSTOS"/>
    <m/>
    <m/>
    <s v="T"/>
    <s v="M"/>
    <s v="1410900101"/>
    <s v="INV. SEMIELABORADO"/>
    <s v="EC01"/>
    <s v="CEMENTOUG1"/>
    <n v="700090"/>
    <x v="7"/>
    <s v="CEMENTO UG"/>
    <m/>
    <m/>
    <s v="CEMENTO UG TP"/>
    <x v="12"/>
    <x v="12"/>
    <s v="7999999995CEMENTOUG1Cemento UG TP"/>
    <x v="3"/>
    <x v="0"/>
  </r>
  <r>
    <n v="7355250320"/>
    <s v="RTOS VARIA IMPO"/>
    <m/>
    <m/>
    <m/>
    <m/>
    <m/>
    <m/>
    <s v="EC01"/>
    <s v="PLACAS Y SEGMENTOS"/>
    <n v="700090"/>
    <x v="7"/>
    <s v="CEMENTO UG"/>
    <m/>
    <m/>
    <s v="CEMENTO UG TP"/>
    <x v="12"/>
    <x v="12"/>
    <s v="7355250320PLACAS Y SEGMENTOSCemento UG TP"/>
    <x v="25"/>
    <x v="0"/>
  </r>
  <r>
    <n v="7105330101"/>
    <s v="CTO. MP CALIZAS NAL"/>
    <m/>
    <m/>
    <s v="T"/>
    <s v="M"/>
    <s v="1405330101"/>
    <s v="INV.  CALIZAS NAL"/>
    <s v="EC01"/>
    <s v="SALMAR"/>
    <n v="700090"/>
    <x v="7"/>
    <s v="SAL MARINA"/>
    <m/>
    <m/>
    <s v="CEMENTO UG TP"/>
    <x v="12"/>
    <x v="12"/>
    <s v="7105330101SALMARCemento UG TP"/>
    <x v="18"/>
    <x v="0"/>
  </r>
  <r>
    <n v="7105330101"/>
    <s v="CTO. MP CALIZAS NAL"/>
    <m/>
    <m/>
    <s v="T"/>
    <s v="M"/>
    <s v="1405330101"/>
    <s v="INV.  CALIZAS NAL"/>
    <s v="EC01"/>
    <s v="CALIZATRI"/>
    <n v="700090"/>
    <x v="8"/>
    <s v="CALIZA TRITURADA"/>
    <m/>
    <m/>
    <s v="CEMENTO UG TP"/>
    <x v="12"/>
    <x v="12"/>
    <s v="7105330101CALIZATRICemento UG TP"/>
    <x v="19"/>
    <x v="0"/>
  </r>
  <r>
    <n v="7105450101"/>
    <s v="CTO. MP YES/ESCA NAL"/>
    <m/>
    <m/>
    <s v="T"/>
    <s v="M"/>
    <s v="1405450101"/>
    <s v="INV.  YES/ESCA NAL"/>
    <s v="EC01"/>
    <s v="YESO00001"/>
    <n v="700090"/>
    <x v="8"/>
    <s v="YESO"/>
    <m/>
    <m/>
    <s v="CEMENTO UG TP"/>
    <x v="12"/>
    <x v="12"/>
    <s v="7105450101YESO00001Cemento UG TP"/>
    <x v="20"/>
    <x v="0"/>
  </r>
  <r>
    <n v="7199990001"/>
    <s v="CONSUMOS SEMIELBORAD"/>
    <m/>
    <m/>
    <s v="T"/>
    <s v="M"/>
    <s v="1410900101"/>
    <s v="INV. SEMIELABORADO"/>
    <s v="EC01"/>
    <s v="CLINKER001"/>
    <n v="700090"/>
    <x v="8"/>
    <s v="CLINKER"/>
    <m/>
    <m/>
    <s v="CEMENTO UG TP"/>
    <x v="12"/>
    <x v="12"/>
    <s v="7199990001CLINKER001Cemento UG TP"/>
    <x v="24"/>
    <x v="0"/>
  </r>
  <r>
    <n v="7999999995"/>
    <s v="TRASLADO DE COSTOS"/>
    <m/>
    <m/>
    <s v="T"/>
    <s v="M"/>
    <s v="1410900101"/>
    <s v="INV. SEMIELABORADO"/>
    <s v="EC01"/>
    <s v="CEMENTOUG1"/>
    <n v="700090"/>
    <x v="8"/>
    <s v="CEMENTO UG"/>
    <m/>
    <m/>
    <s v="CEMENTO UG TP"/>
    <x v="12"/>
    <x v="12"/>
    <s v="7999999995CEMENTOUG1Cemento UG TP"/>
    <x v="3"/>
    <x v="0"/>
  </r>
  <r>
    <n v="7355250320"/>
    <s v="RTOS VARIA IMPO"/>
    <m/>
    <m/>
    <m/>
    <m/>
    <m/>
    <m/>
    <s v="EC01"/>
    <s v="PLACAS Y SEGMENTOS"/>
    <n v="700090"/>
    <x v="8"/>
    <s v="CEMENTO UG"/>
    <m/>
    <m/>
    <s v="CEMENTO UG TP"/>
    <x v="12"/>
    <x v="12"/>
    <s v="7355250320PLACAS Y SEGMENTOSCemento UG TP"/>
    <x v="25"/>
    <x v="0"/>
  </r>
  <r>
    <n v="7105330101"/>
    <s v="CTO. MP CALIZAS NAL"/>
    <m/>
    <m/>
    <s v="T"/>
    <s v="M"/>
    <s v="1405330101"/>
    <s v="INV.  CALIZAS NAL"/>
    <s v="EC01"/>
    <s v="SALMAR"/>
    <n v="700090"/>
    <x v="8"/>
    <s v="SAL MARINA"/>
    <m/>
    <m/>
    <s v="CEMENTO UG TP"/>
    <x v="12"/>
    <x v="12"/>
    <s v="7105330101SALMARCemento UG TP"/>
    <x v="18"/>
    <x v="0"/>
  </r>
  <r>
    <n v="7105330101"/>
    <s v="CTO. MP CALIZAS NAL"/>
    <m/>
    <m/>
    <s v="T"/>
    <s v="M"/>
    <s v="1405330101"/>
    <s v="INV.  CALIZAS NAL"/>
    <s v="EC01"/>
    <s v="CALIZATRI"/>
    <n v="700090"/>
    <x v="9"/>
    <s v="CALIZA TRITURADA"/>
    <m/>
    <m/>
    <s v="CEMENTO UG TP"/>
    <x v="12"/>
    <x v="12"/>
    <s v="7105330101CALIZATRICemento UG TP"/>
    <x v="19"/>
    <x v="0"/>
  </r>
  <r>
    <n v="7105450101"/>
    <s v="CTO. MP YES/ESCA NAL"/>
    <m/>
    <m/>
    <s v="T"/>
    <s v="M"/>
    <s v="1405450101"/>
    <s v="INV.  YES/ESCA NAL"/>
    <s v="EC01"/>
    <s v="YESO00001"/>
    <n v="700090"/>
    <x v="9"/>
    <s v="YESO"/>
    <m/>
    <m/>
    <s v="CEMENTO UG TP"/>
    <x v="12"/>
    <x v="12"/>
    <s v="7105450101YESO00001Cemento UG TP"/>
    <x v="20"/>
    <x v="0"/>
  </r>
  <r>
    <n v="7199990001"/>
    <s v="CONSUMOS SEMIELBORAD"/>
    <m/>
    <m/>
    <s v="T"/>
    <s v="M"/>
    <s v="1410900101"/>
    <s v="INV. SEMIELABORADO"/>
    <s v="EC01"/>
    <s v="CLINKER001"/>
    <n v="700090"/>
    <x v="9"/>
    <s v="CLINKER"/>
    <m/>
    <m/>
    <s v="CEMENTO UG TP"/>
    <x v="12"/>
    <x v="12"/>
    <s v="7199990001CLINKER001Cemento UG TP"/>
    <x v="24"/>
    <x v="0"/>
  </r>
  <r>
    <n v="7999999995"/>
    <s v="TRASLADO DE COSTOS"/>
    <m/>
    <m/>
    <s v="T"/>
    <s v="M"/>
    <s v="1410900101"/>
    <s v="INV. SEMIELABORADO"/>
    <s v="EC01"/>
    <s v="CEMENTOUG1"/>
    <n v="700090"/>
    <x v="9"/>
    <s v="CEMENTO UG"/>
    <m/>
    <m/>
    <s v="CEMENTO UG TP"/>
    <x v="12"/>
    <x v="12"/>
    <s v="7999999995CEMENTOUG1Cemento UG TP"/>
    <x v="3"/>
    <x v="0"/>
  </r>
  <r>
    <n v="7355250320"/>
    <s v="RTOS VARIA IMPO"/>
    <m/>
    <m/>
    <m/>
    <m/>
    <m/>
    <m/>
    <s v="EC01"/>
    <s v="PLACAS Y SEGMENTOS"/>
    <n v="700090"/>
    <x v="9"/>
    <s v="CEMENTO UG"/>
    <m/>
    <m/>
    <s v="CEMENTO UG TP"/>
    <x v="12"/>
    <x v="12"/>
    <s v="7355250320PLACAS Y SEGMENTOSCemento UG TP"/>
    <x v="25"/>
    <x v="0"/>
  </r>
  <r>
    <n v="7105330101"/>
    <s v="CTO. MP CALIZAS NAL"/>
    <m/>
    <m/>
    <s v="T"/>
    <s v="M"/>
    <s v="1405330101"/>
    <s v="INV.  CALIZAS NAL"/>
    <s v="EC01"/>
    <s v="SALMAR"/>
    <n v="700090"/>
    <x v="9"/>
    <s v="SAL MARINA"/>
    <m/>
    <m/>
    <s v="CEMENTO UG TP"/>
    <x v="12"/>
    <x v="12"/>
    <s v="7105330101SALMARCemento UG TP"/>
    <x v="18"/>
    <x v="0"/>
  </r>
  <r>
    <n v="7105330101"/>
    <s v="CTO. MP CALIZAS NAL"/>
    <m/>
    <m/>
    <s v="T"/>
    <s v="M"/>
    <s v="1405330101"/>
    <s v="INV.  CALIZAS NAL"/>
    <s v="EC01"/>
    <s v="CALIZATRI"/>
    <n v="700090"/>
    <x v="10"/>
    <s v="CALIZA TRITURADA"/>
    <m/>
    <m/>
    <s v="CEMENTO UG TP"/>
    <x v="12"/>
    <x v="12"/>
    <s v="7105330101CALIZATRICemento UG TP"/>
    <x v="19"/>
    <x v="0"/>
  </r>
  <r>
    <n v="7105450101"/>
    <s v="CTO. MP YES/ESCA NAL"/>
    <m/>
    <m/>
    <s v="T"/>
    <s v="M"/>
    <s v="1405450101"/>
    <s v="INV.  YES/ESCA NAL"/>
    <s v="EC01"/>
    <s v="YESO00001"/>
    <n v="700090"/>
    <x v="10"/>
    <s v="YESO"/>
    <m/>
    <m/>
    <s v="CEMENTO UG TP"/>
    <x v="12"/>
    <x v="12"/>
    <s v="7105450101YESO00001Cemento UG TP"/>
    <x v="20"/>
    <x v="0"/>
  </r>
  <r>
    <n v="7199990001"/>
    <s v="CONSUMOS SEMIELBORAD"/>
    <m/>
    <m/>
    <s v="T"/>
    <s v="M"/>
    <s v="1410900101"/>
    <s v="INV. SEMIELABORADO"/>
    <s v="EC01"/>
    <s v="CLINKER001"/>
    <n v="700090"/>
    <x v="10"/>
    <s v="CLINKER"/>
    <m/>
    <m/>
    <s v="CEMENTO UG TP"/>
    <x v="12"/>
    <x v="12"/>
    <s v="7199990001CLINKER001Cemento UG TP"/>
    <x v="24"/>
    <x v="0"/>
  </r>
  <r>
    <n v="7999999995"/>
    <s v="TRASLADO DE COSTOS"/>
    <m/>
    <m/>
    <s v="T"/>
    <s v="M"/>
    <s v="1410900101"/>
    <s v="INV. SEMIELABORADO"/>
    <s v="EC01"/>
    <s v="CEMENTOUG1"/>
    <n v="700090"/>
    <x v="10"/>
    <s v="CEMENTO UG"/>
    <m/>
    <m/>
    <s v="CEMENTO UG TP"/>
    <x v="12"/>
    <x v="12"/>
    <s v="7999999995CEMENTOUG1Cemento UG TP"/>
    <x v="3"/>
    <x v="0"/>
  </r>
  <r>
    <n v="7355250320"/>
    <s v="RTOS VARIA IMPO"/>
    <m/>
    <m/>
    <m/>
    <m/>
    <m/>
    <m/>
    <s v="EC01"/>
    <s v="PLACAS Y SEGMENTOS"/>
    <n v="700090"/>
    <x v="10"/>
    <s v="CEMENTO UG"/>
    <m/>
    <m/>
    <s v="CEMENTO UG TP"/>
    <x v="12"/>
    <x v="12"/>
    <s v="7355250320PLACAS Y SEGMENTOSCemento UG TP"/>
    <x v="25"/>
    <x v="0"/>
  </r>
  <r>
    <n v="7105330101"/>
    <s v="CTO. MP CALIZAS NAL"/>
    <m/>
    <m/>
    <s v="T"/>
    <s v="M"/>
    <s v="1405330101"/>
    <s v="INV.  CALIZAS NAL"/>
    <s v="EC01"/>
    <s v="SALMAR"/>
    <n v="700090"/>
    <x v="10"/>
    <s v="SAL MARINA"/>
    <m/>
    <m/>
    <s v="CEMENTO UG TP"/>
    <x v="12"/>
    <x v="12"/>
    <s v="7105330101SALMARCemento UG TP"/>
    <x v="18"/>
    <x v="0"/>
  </r>
  <r>
    <n v="7105330101"/>
    <s v="CTO. MP CALIZAS NAL"/>
    <m/>
    <m/>
    <s v="T"/>
    <s v="M"/>
    <s v="1405330101"/>
    <s v="INV.  CALIZAS NAL"/>
    <s v="EC01"/>
    <s v="CALIZATRI"/>
    <n v="700090"/>
    <x v="11"/>
    <s v="CALIZA TRITURADA"/>
    <m/>
    <m/>
    <s v="CEMENTO UG TP"/>
    <x v="12"/>
    <x v="12"/>
    <s v="7105330101CALIZATRICemento UG TP"/>
    <x v="19"/>
    <x v="0"/>
  </r>
  <r>
    <n v="7105450101"/>
    <s v="CTO. MP YES/ESCA NAL"/>
    <m/>
    <m/>
    <s v="T"/>
    <s v="M"/>
    <s v="1405450101"/>
    <s v="INV.  YES/ESCA NAL"/>
    <s v="EC01"/>
    <s v="YESO00001"/>
    <n v="700090"/>
    <x v="11"/>
    <s v="YESO"/>
    <m/>
    <m/>
    <s v="CEMENTO UG TP"/>
    <x v="12"/>
    <x v="12"/>
    <s v="7105450101YESO00001Cemento UG TP"/>
    <x v="20"/>
    <x v="0"/>
  </r>
  <r>
    <n v="7199990001"/>
    <s v="CONSUMOS SEMIELBORAD"/>
    <m/>
    <m/>
    <s v="T"/>
    <s v="M"/>
    <s v="1410900101"/>
    <s v="INV. SEMIELABORADO"/>
    <s v="EC01"/>
    <s v="CLINKER001"/>
    <n v="700090"/>
    <x v="11"/>
    <s v="CLINKER"/>
    <m/>
    <m/>
    <s v="CEMENTO UG TP"/>
    <x v="12"/>
    <x v="12"/>
    <s v="7199990001CLINKER001Cemento UG TP"/>
    <x v="24"/>
    <x v="0"/>
  </r>
  <r>
    <n v="7999999995"/>
    <s v="TRASLADO DE COSTOS"/>
    <m/>
    <m/>
    <s v="T"/>
    <s v="M"/>
    <s v="1410900101"/>
    <s v="INV. SEMIELABORADO"/>
    <s v="EC01"/>
    <s v="CEMENTOUG1"/>
    <n v="700090"/>
    <x v="11"/>
    <s v="CEMENTO UG"/>
    <m/>
    <m/>
    <s v="CEMENTO UG TP"/>
    <x v="12"/>
    <x v="12"/>
    <s v="7999999995CEMENTOUG1Cemento UG TP"/>
    <x v="3"/>
    <x v="0"/>
  </r>
  <r>
    <n v="7355250320"/>
    <s v="RTOS VARIA IMPO"/>
    <m/>
    <m/>
    <m/>
    <m/>
    <m/>
    <m/>
    <s v="EC01"/>
    <s v="PLACAS Y SEGMENTOS"/>
    <n v="700090"/>
    <x v="11"/>
    <s v="CEMENTO UG"/>
    <m/>
    <m/>
    <s v="CEMENTO UG TP"/>
    <x v="12"/>
    <x v="12"/>
    <s v="7355250320PLACAS Y SEGMENTOSCemento UG TP"/>
    <x v="25"/>
    <x v="0"/>
  </r>
  <r>
    <n v="7105330101"/>
    <s v="CTO. MP CALIZAS NAL"/>
    <m/>
    <m/>
    <s v="T"/>
    <s v="M"/>
    <s v="1405330101"/>
    <s v="INV.  CALIZAS NAL"/>
    <s v="EC01"/>
    <s v="SALMAR"/>
    <n v="700090"/>
    <x v="11"/>
    <s v="SAL MARINA"/>
    <m/>
    <m/>
    <s v="CEMENTO UG TP"/>
    <x v="12"/>
    <x v="12"/>
    <s v="7105330101SALMARCemento UG TP"/>
    <x v="18"/>
    <x v="0"/>
  </r>
  <r>
    <n v="7105450101"/>
    <s v="CTO. MP YES/ESCA NAL"/>
    <m/>
    <m/>
    <s v="T"/>
    <s v="M"/>
    <s v="1405450101"/>
    <s v="INV.  YES/ESCA NAL"/>
    <s v="EC01"/>
    <s v="YESO00001"/>
    <n v="700091"/>
    <x v="0"/>
    <s v="YESO"/>
    <m/>
    <m/>
    <s v="FIBROCEMENTO"/>
    <x v="13"/>
    <x v="13"/>
    <s v="7105450101YESO00001Fibrocemento"/>
    <x v="20"/>
    <x v="0"/>
  </r>
  <r>
    <n v="7199990001"/>
    <s v="CONSUMOS SEMIELBORAD"/>
    <m/>
    <m/>
    <s v="T"/>
    <s v="M"/>
    <s v="1410900101"/>
    <s v="INV. SEMIELABORADO"/>
    <s v="EC01"/>
    <s v="CLINKER001"/>
    <n v="700091"/>
    <x v="0"/>
    <s v="CLINKER"/>
    <m/>
    <m/>
    <s v="FIBROCEMENTO"/>
    <x v="13"/>
    <x v="13"/>
    <s v="7199990001CLINKER001Fibrocemento"/>
    <x v="24"/>
    <x v="0"/>
  </r>
  <r>
    <n v="7999999995"/>
    <s v="TRASLADO DE COSTOS"/>
    <m/>
    <m/>
    <s v="T"/>
    <s v="M"/>
    <s v="1410900101"/>
    <s v="INV. SEMIELABORADO"/>
    <s v="EC01"/>
    <s v="CEMENTOFCE"/>
    <n v="700091"/>
    <x v="0"/>
    <s v="FIBROCEMENTO"/>
    <m/>
    <m/>
    <s v="FIBROCEMENTO"/>
    <x v="13"/>
    <x v="13"/>
    <s v="7999999995CEMENTOFCEFibrocemento"/>
    <x v="3"/>
    <x v="0"/>
  </r>
  <r>
    <n v="7355250320"/>
    <s v="RTOS VARIA IMPO"/>
    <m/>
    <m/>
    <m/>
    <m/>
    <m/>
    <m/>
    <s v="EC01"/>
    <s v="PLACAS Y SEGMENTOS"/>
    <n v="700091"/>
    <x v="0"/>
    <s v="FIBROCEMENTO"/>
    <m/>
    <m/>
    <s v="FIBROCEMENTO"/>
    <x v="13"/>
    <x v="13"/>
    <s v="7355250320PLACAS Y SEGMENTOSFibrocemento"/>
    <x v="25"/>
    <x v="0"/>
  </r>
  <r>
    <n v="7105450101"/>
    <s v="CTO. MP YES/ESCA NAL"/>
    <m/>
    <m/>
    <s v="T"/>
    <s v="M"/>
    <s v="1405450101"/>
    <s v="INV.  YES/ESCA NAL"/>
    <s v="EC01"/>
    <s v="YESO00001"/>
    <n v="700091"/>
    <x v="1"/>
    <s v="YESO"/>
    <m/>
    <m/>
    <s v="FIBROCEMENTO"/>
    <x v="13"/>
    <x v="13"/>
    <s v="7105450101YESO00001Fibrocemento"/>
    <x v="20"/>
    <x v="0"/>
  </r>
  <r>
    <n v="7199990001"/>
    <s v="CONSUMOS SEMIELBORAD"/>
    <m/>
    <m/>
    <s v="T"/>
    <s v="M"/>
    <s v="1410900101"/>
    <s v="INV. SEMIELABORADO"/>
    <s v="EC01"/>
    <s v="CLINKER001"/>
    <n v="700091"/>
    <x v="1"/>
    <s v="CLINKER"/>
    <m/>
    <m/>
    <s v="FIBROCEMENTO"/>
    <x v="13"/>
    <x v="13"/>
    <s v="7199990001CLINKER001Fibrocemento"/>
    <x v="24"/>
    <x v="0"/>
  </r>
  <r>
    <n v="7999999995"/>
    <s v="TRASLADO DE COSTOS"/>
    <m/>
    <m/>
    <s v="T"/>
    <s v="M"/>
    <s v="1410900101"/>
    <s v="INV. SEMIELABORADO"/>
    <s v="EC01"/>
    <s v="CEMENTOFCE"/>
    <n v="700091"/>
    <x v="1"/>
    <s v="FIBROCEMENTO"/>
    <m/>
    <m/>
    <s v="FIBROCEMENTO"/>
    <x v="13"/>
    <x v="13"/>
    <s v="7999999995CEMENTOFCEFibrocemento"/>
    <x v="3"/>
    <x v="0"/>
  </r>
  <r>
    <n v="7355250320"/>
    <s v="RTOS VARIA IMPO"/>
    <m/>
    <m/>
    <m/>
    <m/>
    <m/>
    <m/>
    <s v="EC01"/>
    <s v="PLACAS Y SEGMENTOS"/>
    <n v="700091"/>
    <x v="1"/>
    <s v="FIBROCEMENTO"/>
    <m/>
    <m/>
    <s v="FIBROCEMENTO"/>
    <x v="13"/>
    <x v="13"/>
    <s v="7355250320PLACAS Y SEGMENTOSFibrocemento"/>
    <x v="25"/>
    <x v="0"/>
  </r>
  <r>
    <n v="7105450101"/>
    <s v="CTO. MP YES/ESCA NAL"/>
    <m/>
    <m/>
    <s v="T"/>
    <s v="M"/>
    <s v="1405450101"/>
    <s v="INV.  YES/ESCA NAL"/>
    <s v="EC01"/>
    <s v="YESO00001"/>
    <n v="700091"/>
    <x v="2"/>
    <s v="YESO"/>
    <m/>
    <m/>
    <s v="FIBROCEMENTO"/>
    <x v="13"/>
    <x v="13"/>
    <s v="7105450101YESO00001Fibrocemento"/>
    <x v="20"/>
    <x v="0"/>
  </r>
  <r>
    <n v="7199990001"/>
    <s v="CONSUMOS SEMIELBORAD"/>
    <m/>
    <m/>
    <s v="T"/>
    <s v="M"/>
    <s v="1410900101"/>
    <s v="INV. SEMIELABORADO"/>
    <s v="EC01"/>
    <s v="CLINKER001"/>
    <n v="700091"/>
    <x v="2"/>
    <s v="CLINKER"/>
    <m/>
    <m/>
    <s v="FIBROCEMENTO"/>
    <x v="13"/>
    <x v="13"/>
    <s v="7199990001CLINKER001Fibrocemento"/>
    <x v="24"/>
    <x v="0"/>
  </r>
  <r>
    <n v="7999999995"/>
    <s v="TRASLADO DE COSTOS"/>
    <m/>
    <m/>
    <s v="T"/>
    <s v="M"/>
    <s v="1410900101"/>
    <s v="INV. SEMIELABORADO"/>
    <s v="EC01"/>
    <s v="CEMENTOFCE"/>
    <n v="700091"/>
    <x v="2"/>
    <s v="FIBROCEMENTO"/>
    <m/>
    <m/>
    <s v="FIBROCEMENTO"/>
    <x v="13"/>
    <x v="13"/>
    <s v="7999999995CEMENTOFCEFibrocemento"/>
    <x v="3"/>
    <x v="0"/>
  </r>
  <r>
    <n v="7355250320"/>
    <s v="RTOS VARIA IMPO"/>
    <m/>
    <m/>
    <m/>
    <m/>
    <m/>
    <m/>
    <s v="EC01"/>
    <s v="PLACAS Y SEGMENTOS"/>
    <n v="700091"/>
    <x v="2"/>
    <s v="FIBROCEMENTO"/>
    <m/>
    <m/>
    <s v="FIBROCEMENTO"/>
    <x v="13"/>
    <x v="13"/>
    <s v="7355250320PLACAS Y SEGMENTOSFibrocemento"/>
    <x v="25"/>
    <x v="0"/>
  </r>
  <r>
    <n v="7105450101"/>
    <s v="CTO. MP YES/ESCA NAL"/>
    <m/>
    <m/>
    <s v="T"/>
    <s v="M"/>
    <s v="1405450101"/>
    <s v="INV.  YES/ESCA NAL"/>
    <s v="EC01"/>
    <s v="YESO00001"/>
    <n v="700091"/>
    <x v="3"/>
    <s v="YESO"/>
    <m/>
    <m/>
    <s v="FIBROCEMENTO"/>
    <x v="13"/>
    <x v="13"/>
    <s v="7105450101YESO00001Fibrocemento"/>
    <x v="20"/>
    <x v="0"/>
  </r>
  <r>
    <n v="7199990001"/>
    <s v="CONSUMOS SEMIELBORAD"/>
    <m/>
    <m/>
    <s v="T"/>
    <s v="M"/>
    <s v="1410900101"/>
    <s v="INV. SEMIELABORADO"/>
    <s v="EC01"/>
    <s v="CLINKER001"/>
    <n v="700091"/>
    <x v="3"/>
    <s v="CLINKER"/>
    <m/>
    <m/>
    <s v="FIBROCEMENTO"/>
    <x v="13"/>
    <x v="13"/>
    <s v="7199990001CLINKER001Fibrocemento"/>
    <x v="24"/>
    <x v="0"/>
  </r>
  <r>
    <n v="7999999995"/>
    <s v="TRASLADO DE COSTOS"/>
    <m/>
    <m/>
    <s v="T"/>
    <s v="M"/>
    <s v="1410900101"/>
    <s v="INV. SEMIELABORADO"/>
    <s v="EC01"/>
    <s v="CEMENTOFCE"/>
    <n v="700091"/>
    <x v="3"/>
    <s v="FIBROCEMENTO"/>
    <m/>
    <m/>
    <s v="FIBROCEMENTO"/>
    <x v="13"/>
    <x v="13"/>
    <s v="7999999995CEMENTOFCEFibrocemento"/>
    <x v="3"/>
    <x v="0"/>
  </r>
  <r>
    <n v="7355250320"/>
    <s v="RTOS VARIA IMPO"/>
    <m/>
    <m/>
    <m/>
    <m/>
    <m/>
    <m/>
    <s v="EC01"/>
    <s v="PLACAS Y SEGMENTOS"/>
    <n v="700091"/>
    <x v="3"/>
    <s v="FIBROCEMENTO"/>
    <m/>
    <m/>
    <s v="FIBROCEMENTO"/>
    <x v="13"/>
    <x v="13"/>
    <s v="7355250320PLACAS Y SEGMENTOSFibrocemento"/>
    <x v="25"/>
    <x v="0"/>
  </r>
  <r>
    <n v="7105450101"/>
    <s v="CTO. MP YES/ESCA NAL"/>
    <m/>
    <m/>
    <s v="T"/>
    <s v="M"/>
    <s v="1405450101"/>
    <s v="INV.  YES/ESCA NAL"/>
    <s v="EC01"/>
    <s v="YESO00001"/>
    <n v="700091"/>
    <x v="4"/>
    <s v="YESO"/>
    <m/>
    <m/>
    <s v="FIBROCEMENTO"/>
    <x v="13"/>
    <x v="13"/>
    <s v="7105450101YESO00001Fibrocemento"/>
    <x v="20"/>
    <x v="0"/>
  </r>
  <r>
    <n v="7199990001"/>
    <s v="CONSUMOS SEMIELBORAD"/>
    <m/>
    <m/>
    <s v="T"/>
    <s v="M"/>
    <s v="1410900101"/>
    <s v="INV. SEMIELABORADO"/>
    <s v="EC01"/>
    <s v="CLINKER001"/>
    <n v="700091"/>
    <x v="4"/>
    <s v="CLINKER"/>
    <m/>
    <m/>
    <s v="FIBROCEMENTO"/>
    <x v="13"/>
    <x v="13"/>
    <s v="7199990001CLINKER001Fibrocemento"/>
    <x v="24"/>
    <x v="0"/>
  </r>
  <r>
    <n v="7999999995"/>
    <s v="TRASLADO DE COSTOS"/>
    <m/>
    <m/>
    <s v="T"/>
    <s v="M"/>
    <s v="1410900101"/>
    <s v="INV. SEMIELABORADO"/>
    <s v="EC01"/>
    <s v="CEMENTOFCE"/>
    <n v="700091"/>
    <x v="4"/>
    <s v="FIBROCEMENTO"/>
    <m/>
    <m/>
    <s v="FIBROCEMENTO"/>
    <x v="13"/>
    <x v="13"/>
    <s v="7999999995CEMENTOFCEFibrocemento"/>
    <x v="3"/>
    <x v="0"/>
  </r>
  <r>
    <n v="7355250320"/>
    <s v="RTOS VARIA IMPO"/>
    <m/>
    <m/>
    <m/>
    <m/>
    <m/>
    <m/>
    <s v="EC01"/>
    <s v="PLACAS Y SEGMENTOS"/>
    <n v="700091"/>
    <x v="4"/>
    <s v="FIBROCEMENTO"/>
    <m/>
    <m/>
    <s v="FIBROCEMENTO"/>
    <x v="13"/>
    <x v="13"/>
    <s v="7355250320PLACAS Y SEGMENTOSFibrocemento"/>
    <x v="25"/>
    <x v="0"/>
  </r>
  <r>
    <n v="7105450101"/>
    <s v="CTO. MP YES/ESCA NAL"/>
    <m/>
    <m/>
    <s v="T"/>
    <s v="M"/>
    <s v="1405450101"/>
    <s v="INV.  YES/ESCA NAL"/>
    <s v="EC01"/>
    <s v="YESO00001"/>
    <n v="700091"/>
    <x v="5"/>
    <s v="YESO"/>
    <m/>
    <m/>
    <s v="FIBROCEMENTO"/>
    <x v="13"/>
    <x v="13"/>
    <s v="7105450101YESO00001Fibrocemento"/>
    <x v="20"/>
    <x v="0"/>
  </r>
  <r>
    <n v="7199990001"/>
    <s v="CONSUMOS SEMIELBORAD"/>
    <m/>
    <m/>
    <s v="T"/>
    <s v="M"/>
    <s v="1410900101"/>
    <s v="INV. SEMIELABORADO"/>
    <s v="EC01"/>
    <s v="CLINKER001"/>
    <n v="700091"/>
    <x v="5"/>
    <s v="CLINKER"/>
    <m/>
    <m/>
    <s v="FIBROCEMENTO"/>
    <x v="13"/>
    <x v="13"/>
    <s v="7199990001CLINKER001Fibrocemento"/>
    <x v="24"/>
    <x v="0"/>
  </r>
  <r>
    <n v="7999999995"/>
    <s v="TRASLADO DE COSTOS"/>
    <m/>
    <m/>
    <s v="T"/>
    <s v="M"/>
    <s v="1410900101"/>
    <s v="INV. SEMIELABORADO"/>
    <s v="EC01"/>
    <s v="CEMENTOFCE"/>
    <n v="700091"/>
    <x v="5"/>
    <s v="FIBROCEMENTO"/>
    <m/>
    <m/>
    <s v="FIBROCEMENTO"/>
    <x v="13"/>
    <x v="13"/>
    <s v="7999999995CEMENTOFCEFibrocemento"/>
    <x v="3"/>
    <x v="0"/>
  </r>
  <r>
    <n v="7355250320"/>
    <s v="RTOS VARIA IMPO"/>
    <m/>
    <m/>
    <m/>
    <m/>
    <m/>
    <m/>
    <s v="EC01"/>
    <s v="PLACAS Y SEGMENTOS"/>
    <n v="700091"/>
    <x v="5"/>
    <s v="FIBROCEMENTO"/>
    <m/>
    <m/>
    <s v="FIBROCEMENTO"/>
    <x v="13"/>
    <x v="13"/>
    <s v="7355250320PLACAS Y SEGMENTOSFibrocemento"/>
    <x v="25"/>
    <x v="0"/>
  </r>
  <r>
    <n v="7105450101"/>
    <s v="CTO. MP YES/ESCA NAL"/>
    <m/>
    <m/>
    <s v="T"/>
    <s v="M"/>
    <s v="1405450101"/>
    <s v="INV.  YES/ESCA NAL"/>
    <s v="EC01"/>
    <s v="YESO00001"/>
    <n v="700091"/>
    <x v="6"/>
    <s v="YESO"/>
    <m/>
    <m/>
    <s v="FIBROCEMENTO"/>
    <x v="13"/>
    <x v="13"/>
    <s v="7105450101YESO00001Fibrocemento"/>
    <x v="20"/>
    <x v="0"/>
  </r>
  <r>
    <n v="7199990001"/>
    <s v="CONSUMOS SEMIELBORAD"/>
    <m/>
    <m/>
    <s v="T"/>
    <s v="M"/>
    <s v="1410900101"/>
    <s v="INV. SEMIELABORADO"/>
    <s v="EC01"/>
    <s v="CLINKER001"/>
    <n v="700091"/>
    <x v="6"/>
    <s v="CLINKER"/>
    <m/>
    <m/>
    <s v="FIBROCEMENTO"/>
    <x v="13"/>
    <x v="13"/>
    <s v="7199990001CLINKER001Fibrocemento"/>
    <x v="24"/>
    <x v="0"/>
  </r>
  <r>
    <n v="7999999995"/>
    <s v="TRASLADO DE COSTOS"/>
    <m/>
    <m/>
    <s v="T"/>
    <s v="M"/>
    <s v="1410900101"/>
    <s v="INV. SEMIELABORADO"/>
    <s v="EC01"/>
    <s v="CEMENTOFCE"/>
    <n v="700091"/>
    <x v="6"/>
    <s v="FIBROCEMENTO"/>
    <m/>
    <m/>
    <s v="FIBROCEMENTO"/>
    <x v="13"/>
    <x v="13"/>
    <s v="7999999995CEMENTOFCEFibrocemento"/>
    <x v="3"/>
    <x v="0"/>
  </r>
  <r>
    <n v="7355250320"/>
    <s v="RTOS VARIA IMPO"/>
    <m/>
    <m/>
    <m/>
    <m/>
    <m/>
    <m/>
    <s v="EC01"/>
    <s v="PLACAS Y SEGMENTOS"/>
    <n v="700091"/>
    <x v="6"/>
    <s v="FIBROCEMENTO"/>
    <m/>
    <m/>
    <s v="FIBROCEMENTO"/>
    <x v="13"/>
    <x v="13"/>
    <s v="7355250320PLACAS Y SEGMENTOSFibrocemento"/>
    <x v="25"/>
    <x v="0"/>
  </r>
  <r>
    <n v="7105450101"/>
    <s v="CTO. MP YES/ESCA NAL"/>
    <m/>
    <m/>
    <s v="T"/>
    <s v="M"/>
    <s v="1405450101"/>
    <s v="INV.  YES/ESCA NAL"/>
    <s v="EC01"/>
    <s v="YESO00001"/>
    <n v="700091"/>
    <x v="7"/>
    <s v="YESO"/>
    <m/>
    <m/>
    <s v="FIBROCEMENTO"/>
    <x v="13"/>
    <x v="13"/>
    <s v="7105450101YESO00001Fibrocemento"/>
    <x v="20"/>
    <x v="0"/>
  </r>
  <r>
    <n v="7199990001"/>
    <s v="CONSUMOS SEMIELBORAD"/>
    <m/>
    <m/>
    <s v="T"/>
    <s v="M"/>
    <s v="1410900101"/>
    <s v="INV. SEMIELABORADO"/>
    <s v="EC01"/>
    <s v="CLINKER001"/>
    <n v="700091"/>
    <x v="7"/>
    <s v="CLINKER"/>
    <m/>
    <m/>
    <s v="FIBROCEMENTO"/>
    <x v="13"/>
    <x v="13"/>
    <s v="7199990001CLINKER001Fibrocemento"/>
    <x v="24"/>
    <x v="0"/>
  </r>
  <r>
    <n v="7999999995"/>
    <s v="TRASLADO DE COSTOS"/>
    <m/>
    <m/>
    <s v="T"/>
    <s v="M"/>
    <s v="1410900101"/>
    <s v="INV. SEMIELABORADO"/>
    <s v="EC01"/>
    <s v="CEMENTOFCE"/>
    <n v="700091"/>
    <x v="7"/>
    <s v="FIBROCEMENTO"/>
    <m/>
    <m/>
    <s v="FIBROCEMENTO"/>
    <x v="13"/>
    <x v="13"/>
    <s v="7999999995CEMENTOFCEFibrocemento"/>
    <x v="3"/>
    <x v="0"/>
  </r>
  <r>
    <n v="7355250320"/>
    <s v="RTOS VARIA IMPO"/>
    <m/>
    <m/>
    <m/>
    <m/>
    <m/>
    <m/>
    <s v="EC01"/>
    <s v="PLACAS Y SEGMENTOS"/>
    <n v="700091"/>
    <x v="7"/>
    <s v="FIBROCEMENTO"/>
    <m/>
    <m/>
    <s v="FIBROCEMENTO"/>
    <x v="13"/>
    <x v="13"/>
    <s v="7355250320PLACAS Y SEGMENTOSFibrocemento"/>
    <x v="25"/>
    <x v="0"/>
  </r>
  <r>
    <n v="7105450101"/>
    <s v="CTO. MP YES/ESCA NAL"/>
    <m/>
    <m/>
    <s v="T"/>
    <s v="M"/>
    <s v="1405450101"/>
    <s v="INV.  YES/ESCA NAL"/>
    <s v="EC01"/>
    <s v="YESO00001"/>
    <n v="700091"/>
    <x v="8"/>
    <s v="YESO"/>
    <m/>
    <m/>
    <s v="FIBROCEMENTO"/>
    <x v="13"/>
    <x v="13"/>
    <s v="7105450101YESO00001Fibrocemento"/>
    <x v="20"/>
    <x v="0"/>
  </r>
  <r>
    <n v="7199990001"/>
    <s v="CONSUMOS SEMIELBORAD"/>
    <m/>
    <m/>
    <s v="T"/>
    <s v="M"/>
    <s v="1410900101"/>
    <s v="INV. SEMIELABORADO"/>
    <s v="EC01"/>
    <s v="CLINKER001"/>
    <n v="700091"/>
    <x v="8"/>
    <s v="CLINKER"/>
    <m/>
    <m/>
    <s v="FIBROCEMENTO"/>
    <x v="13"/>
    <x v="13"/>
    <s v="7199990001CLINKER001Fibrocemento"/>
    <x v="24"/>
    <x v="0"/>
  </r>
  <r>
    <n v="7999999995"/>
    <s v="TRASLADO DE COSTOS"/>
    <m/>
    <m/>
    <s v="T"/>
    <s v="M"/>
    <s v="1410900101"/>
    <s v="INV. SEMIELABORADO"/>
    <s v="EC01"/>
    <s v="CEMENTOFCE"/>
    <n v="700091"/>
    <x v="8"/>
    <s v="FIBROCEMENTO"/>
    <m/>
    <m/>
    <s v="FIBROCEMENTO"/>
    <x v="13"/>
    <x v="13"/>
    <s v="7999999995CEMENTOFCEFibrocemento"/>
    <x v="3"/>
    <x v="0"/>
  </r>
  <r>
    <n v="7355250320"/>
    <s v="RTOS VARIA IMPO"/>
    <m/>
    <m/>
    <m/>
    <m/>
    <m/>
    <m/>
    <s v="EC01"/>
    <s v="PLACAS Y SEGMENTOS"/>
    <n v="700091"/>
    <x v="8"/>
    <s v="FIBROCEMENTO"/>
    <m/>
    <m/>
    <s v="FIBROCEMENTO"/>
    <x v="13"/>
    <x v="13"/>
    <s v="7355250320PLACAS Y SEGMENTOSFibrocemento"/>
    <x v="25"/>
    <x v="0"/>
  </r>
  <r>
    <n v="7105450101"/>
    <s v="CTO. MP YES/ESCA NAL"/>
    <m/>
    <m/>
    <s v="T"/>
    <s v="M"/>
    <s v="1405450101"/>
    <s v="INV.  YES/ESCA NAL"/>
    <s v="EC01"/>
    <s v="YESO00001"/>
    <n v="700091"/>
    <x v="9"/>
    <s v="YESO"/>
    <m/>
    <m/>
    <s v="FIBROCEMENTO"/>
    <x v="13"/>
    <x v="13"/>
    <s v="7105450101YESO00001Fibrocemento"/>
    <x v="20"/>
    <x v="0"/>
  </r>
  <r>
    <n v="7199990001"/>
    <s v="CONSUMOS SEMIELBORAD"/>
    <m/>
    <m/>
    <s v="T"/>
    <s v="M"/>
    <s v="1410900101"/>
    <s v="INV. SEMIELABORADO"/>
    <s v="EC01"/>
    <s v="CLINKER001"/>
    <n v="700091"/>
    <x v="9"/>
    <s v="CLINKER"/>
    <m/>
    <m/>
    <s v="FIBROCEMENTO"/>
    <x v="13"/>
    <x v="13"/>
    <s v="7199990001CLINKER001Fibrocemento"/>
    <x v="24"/>
    <x v="0"/>
  </r>
  <r>
    <n v="7999999995"/>
    <s v="TRASLADO DE COSTOS"/>
    <m/>
    <m/>
    <s v="T"/>
    <s v="M"/>
    <s v="1410900101"/>
    <s v="INV. SEMIELABORADO"/>
    <s v="EC01"/>
    <s v="CEMENTOFCE"/>
    <n v="700091"/>
    <x v="9"/>
    <s v="FIBROCEMENTO"/>
    <m/>
    <m/>
    <s v="FIBROCEMENTO"/>
    <x v="13"/>
    <x v="13"/>
    <s v="7999999995CEMENTOFCEFibrocemento"/>
    <x v="3"/>
    <x v="0"/>
  </r>
  <r>
    <n v="7355250320"/>
    <s v="RTOS VARIA IMPO"/>
    <m/>
    <m/>
    <m/>
    <m/>
    <m/>
    <m/>
    <s v="EC01"/>
    <s v="PLACAS Y SEGMENTOS"/>
    <n v="700091"/>
    <x v="9"/>
    <s v="FIBROCEMENTO"/>
    <m/>
    <m/>
    <s v="FIBROCEMENTO"/>
    <x v="13"/>
    <x v="13"/>
    <s v="7355250320PLACAS Y SEGMENTOSFibrocemento"/>
    <x v="25"/>
    <x v="0"/>
  </r>
  <r>
    <n v="7105450101"/>
    <s v="CTO. MP YES/ESCA NAL"/>
    <m/>
    <m/>
    <s v="T"/>
    <s v="M"/>
    <s v="1405450101"/>
    <s v="INV.  YES/ESCA NAL"/>
    <s v="EC01"/>
    <s v="YESO00001"/>
    <n v="700091"/>
    <x v="10"/>
    <s v="YESO"/>
    <m/>
    <m/>
    <s v="FIBROCEMENTO"/>
    <x v="13"/>
    <x v="13"/>
    <s v="7105450101YESO00001Fibrocemento"/>
    <x v="20"/>
    <x v="0"/>
  </r>
  <r>
    <n v="7199990001"/>
    <s v="CONSUMOS SEMIELBORAD"/>
    <m/>
    <m/>
    <s v="T"/>
    <s v="M"/>
    <s v="1410900101"/>
    <s v="INV. SEMIELABORADO"/>
    <s v="EC01"/>
    <s v="CLINKER001"/>
    <n v="700091"/>
    <x v="10"/>
    <s v="CLINKER"/>
    <m/>
    <m/>
    <s v="FIBROCEMENTO"/>
    <x v="13"/>
    <x v="13"/>
    <s v="7199990001CLINKER001Fibrocemento"/>
    <x v="24"/>
    <x v="0"/>
  </r>
  <r>
    <n v="7999999995"/>
    <s v="TRASLADO DE COSTOS"/>
    <m/>
    <m/>
    <s v="T"/>
    <s v="M"/>
    <s v="1410900101"/>
    <s v="INV. SEMIELABORADO"/>
    <s v="EC01"/>
    <s v="CEMENTOFCE"/>
    <n v="700091"/>
    <x v="10"/>
    <s v="FIBROCEMENTO"/>
    <m/>
    <m/>
    <s v="FIBROCEMENTO"/>
    <x v="13"/>
    <x v="13"/>
    <s v="7999999995CEMENTOFCEFibrocemento"/>
    <x v="3"/>
    <x v="0"/>
  </r>
  <r>
    <n v="7355250320"/>
    <s v="RTOS VARIA IMPO"/>
    <m/>
    <m/>
    <m/>
    <m/>
    <m/>
    <m/>
    <s v="EC01"/>
    <s v="PLACAS Y SEGMENTOS"/>
    <n v="700091"/>
    <x v="10"/>
    <s v="FIBROCEMENTO"/>
    <m/>
    <m/>
    <s v="FIBROCEMENTO"/>
    <x v="13"/>
    <x v="13"/>
    <s v="7355250320PLACAS Y SEGMENTOSFibrocemento"/>
    <x v="25"/>
    <x v="0"/>
  </r>
  <r>
    <n v="7105450101"/>
    <s v="CTO. MP YES/ESCA NAL"/>
    <m/>
    <m/>
    <s v="T"/>
    <s v="M"/>
    <s v="1405450101"/>
    <s v="INV.  YES/ESCA NAL"/>
    <s v="EC01"/>
    <s v="YESO00001"/>
    <n v="700091"/>
    <x v="11"/>
    <s v="YESO"/>
    <m/>
    <m/>
    <s v="FIBROCEMENTO"/>
    <x v="13"/>
    <x v="13"/>
    <s v="7105450101YESO00001Fibrocemento"/>
    <x v="20"/>
    <x v="0"/>
  </r>
  <r>
    <n v="7199990001"/>
    <s v="CONSUMOS SEMIELBORAD"/>
    <m/>
    <m/>
    <s v="T"/>
    <s v="M"/>
    <s v="1410900101"/>
    <s v="INV. SEMIELABORADO"/>
    <s v="EC01"/>
    <s v="CLINKER001"/>
    <n v="700091"/>
    <x v="11"/>
    <s v="CLINKER"/>
    <m/>
    <m/>
    <s v="FIBROCEMENTO"/>
    <x v="13"/>
    <x v="13"/>
    <s v="7199990001CLINKER001Fibrocemento"/>
    <x v="24"/>
    <x v="0"/>
  </r>
  <r>
    <n v="7999999995"/>
    <s v="TRASLADO DE COSTOS"/>
    <m/>
    <m/>
    <s v="T"/>
    <s v="M"/>
    <s v="1410900101"/>
    <s v="INV. SEMIELABORADO"/>
    <s v="EC01"/>
    <s v="CEMENTOFCE"/>
    <n v="700091"/>
    <x v="11"/>
    <s v="FIBROCEMENTO"/>
    <m/>
    <m/>
    <s v="FIBROCEMENTO"/>
    <x v="13"/>
    <x v="13"/>
    <s v="7999999995CEMENTOFCEFibrocemento"/>
    <x v="3"/>
    <x v="0"/>
  </r>
  <r>
    <n v="7355250320"/>
    <s v="RTOS VARIA IMPO"/>
    <m/>
    <m/>
    <m/>
    <m/>
    <m/>
    <m/>
    <s v="EC01"/>
    <s v="PLACAS Y SEGMENTOS"/>
    <n v="700091"/>
    <x v="11"/>
    <s v="FIBROCEMENTO"/>
    <m/>
    <m/>
    <s v="FIBROCEMENTO"/>
    <x v="13"/>
    <x v="13"/>
    <s v="7355250320PLACAS Y SEGMENTOSFibrocemento"/>
    <x v="25"/>
    <x v="0"/>
  </r>
  <r>
    <n v="7199990001"/>
    <s v="CONSUMOS SEMIELBORAD"/>
    <m/>
    <n v="2631.6700735272484"/>
    <s v="T"/>
    <s v="M"/>
    <s v="1410900101"/>
    <s v="INV. SEMIELABORADO"/>
    <s v="EC01"/>
    <s v="CEMENTO UG TP"/>
    <n v="700080"/>
    <x v="0"/>
    <s v="CEMENTO UG"/>
    <m/>
    <m/>
    <s v="CEMENTO TOPEX 50 KG"/>
    <x v="14"/>
    <x v="14"/>
    <s v="7199990001CEMENTO UG TPCEMENTO TOPEX 50 KG"/>
    <x v="31"/>
    <x v="0"/>
  </r>
  <r>
    <n v="7360050302"/>
    <s v="CTO BOLSAS IMP"/>
    <n v="58786246.102451675"/>
    <n v="53686.069499955869"/>
    <s v="UN"/>
    <s v="M"/>
    <s v="1460050302"/>
    <s v="INV BOLSAS IMP"/>
    <s v="EC01"/>
    <s v="22000000041"/>
    <n v="700080"/>
    <x v="0"/>
    <s v="BOLSA CEMENTO EMPAQUE TOPEX 50 KG UG"/>
    <m/>
    <m/>
    <s v="CEMENTO TOPEX 50 KG"/>
    <x v="14"/>
    <x v="14"/>
    <s v="736005030222000000041CEMENTO TOPEX 50 KG"/>
    <x v="27"/>
    <x v="0"/>
  </r>
  <r>
    <n v="7999999995"/>
    <s v="TRASLADO DE COSTOS"/>
    <m/>
    <n v="-52633.401470544966"/>
    <s v="UN"/>
    <s v="M"/>
    <s v="1430050101"/>
    <s v="INV. PTO MANUFACTURA"/>
    <s v="EC01"/>
    <s v="CEMTUGB50"/>
    <n v="700080"/>
    <x v="0"/>
    <s v="CEMENTO TOPEX USO GENERAL 50KG"/>
    <m/>
    <m/>
    <s v="CEMENTO TOPEX 50 KG"/>
    <x v="14"/>
    <x v="14"/>
    <s v="7999999995CEMTUGB50CEMENTO TOPEX 50 KG"/>
    <x v="3"/>
    <x v="0"/>
  </r>
  <r>
    <n v="7199990001"/>
    <s v="CONSUMOS SEMIELBORAD"/>
    <m/>
    <n v="2731.4721414922278"/>
    <s v="T"/>
    <s v="M"/>
    <s v="1410900101"/>
    <s v="INV. SEMIELABORADO"/>
    <s v="EC01"/>
    <s v="CEMENTO UG TP"/>
    <n v="700080"/>
    <x v="1"/>
    <s v="CEMENTO UG"/>
    <m/>
    <m/>
    <s v="CEMENTO TOPEX 50 KG"/>
    <x v="14"/>
    <x v="14"/>
    <s v="7199990001CEMENTO UG TPCEMENTO TOPEX 50 KG"/>
    <x v="31"/>
    <x v="0"/>
  </r>
  <r>
    <n v="7360050302"/>
    <s v="CTO BOLSAS IMP"/>
    <n v="61015624.696653388"/>
    <n v="55722.031686441449"/>
    <s v="UN"/>
    <s v="M"/>
    <s v="1460050302"/>
    <s v="INV BOLSAS IMP"/>
    <s v="EC01"/>
    <s v="22000000041"/>
    <n v="700080"/>
    <x v="1"/>
    <s v="BOLSA CEMENTO EMPAQUE TOPEX 50 KG UG"/>
    <m/>
    <m/>
    <s v="CEMENTO TOPEX 50 KG"/>
    <x v="14"/>
    <x v="14"/>
    <s v="736005030222000000041CEMENTO TOPEX 50 KG"/>
    <x v="27"/>
    <x v="0"/>
  </r>
  <r>
    <n v="7999999995"/>
    <s v="TRASLADO DE COSTOS"/>
    <m/>
    <n v="-54629.442829844556"/>
    <s v="UN"/>
    <s v="M"/>
    <s v="1430050101"/>
    <s v="INV. PTO MANUFACTURA"/>
    <s v="EC01"/>
    <s v="CEMTUGB50"/>
    <n v="700080"/>
    <x v="1"/>
    <s v="CEMENTO TOPEX USO GENERAL 50KG"/>
    <m/>
    <m/>
    <s v="CEMENTO TOPEX 50 KG"/>
    <x v="14"/>
    <x v="14"/>
    <s v="7999999995CEMTUGB50CEMENTO TOPEX 50 KG"/>
    <x v="3"/>
    <x v="0"/>
  </r>
  <r>
    <n v="7199990001"/>
    <s v="CONSUMOS SEMIELBORAD"/>
    <m/>
    <n v="2941.3163037671056"/>
    <s v="T"/>
    <s v="M"/>
    <s v="1410900101"/>
    <s v="INV. SEMIELABORADO"/>
    <s v="EC01"/>
    <s v="CEMENTO UG TP"/>
    <n v="700080"/>
    <x v="2"/>
    <s v="CEMENTO UG"/>
    <m/>
    <m/>
    <s v="CEMENTO TOPEX 50 KG"/>
    <x v="14"/>
    <x v="14"/>
    <s v="7199990001CEMENTO UG TPCEMENTO TOPEX 50 KG"/>
    <x v="31"/>
    <x v="0"/>
  </r>
  <r>
    <n v="7360050302"/>
    <s v="CTO BOLSAS IMP"/>
    <n v="68223243.402617261"/>
    <n v="60002.852596848956"/>
    <s v="UN"/>
    <s v="M"/>
    <s v="1460050302"/>
    <s v="INV BOLSAS IMP"/>
    <s v="EC01"/>
    <s v="22000000041"/>
    <n v="700080"/>
    <x v="2"/>
    <s v="BOLSA CEMENTO EMPAQUE TOPEX 50 KG UG"/>
    <m/>
    <m/>
    <s v="CEMENTO TOPEX 50 KG"/>
    <x v="14"/>
    <x v="14"/>
    <s v="736005030222000000041CEMENTO TOPEX 50 KG"/>
    <x v="27"/>
    <x v="0"/>
  </r>
  <r>
    <n v="7999999995"/>
    <s v="TRASLADO DE COSTOS"/>
    <m/>
    <n v="-58826.326075342113"/>
    <s v="UN"/>
    <s v="M"/>
    <s v="1430050101"/>
    <s v="INV. PTO MANUFACTURA"/>
    <s v="EC01"/>
    <s v="CEMTUGB50"/>
    <n v="700080"/>
    <x v="2"/>
    <s v="CEMENTO TOPEX USO GENERAL 50KG"/>
    <m/>
    <m/>
    <s v="CEMENTO TOPEX 50 KG"/>
    <x v="14"/>
    <x v="14"/>
    <s v="7999999995CEMTUGB50CEMENTO TOPEX 50 KG"/>
    <x v="3"/>
    <x v="0"/>
  </r>
  <r>
    <n v="7199990001"/>
    <s v="CONSUMOS SEMIELBORAD"/>
    <m/>
    <n v="2800.3952444931665"/>
    <s v="T"/>
    <s v="M"/>
    <s v="1410900101"/>
    <s v="INV. SEMIELABORADO"/>
    <s v="EC01"/>
    <s v="CEMENTO UG TP"/>
    <n v="700080"/>
    <x v="3"/>
    <s v="CEMENTO UG"/>
    <m/>
    <m/>
    <s v="CEMENTO TOPEX 50 KG"/>
    <x v="14"/>
    <x v="14"/>
    <s v="7199990001CEMENTO UG TPCEMENTO TOPEX 50 KG"/>
    <x v="31"/>
    <x v="0"/>
  </r>
  <r>
    <n v="7360050302"/>
    <s v="CTO BOLSAS IMP"/>
    <n v="64954607.616970107"/>
    <n v="57128.062987660604"/>
    <s v="UN"/>
    <s v="M"/>
    <s v="1460050302"/>
    <s v="INV BOLSAS IMP"/>
    <s v="EC01"/>
    <s v="22000000041"/>
    <n v="700080"/>
    <x v="3"/>
    <s v="BOLSA CEMENTO EMPAQUE TOPEX 50 KG UG"/>
    <m/>
    <m/>
    <s v="CEMENTO TOPEX 50 KG"/>
    <x v="14"/>
    <x v="14"/>
    <s v="736005030222000000041CEMENTO TOPEX 50 KG"/>
    <x v="27"/>
    <x v="0"/>
  </r>
  <r>
    <n v="7999999995"/>
    <s v="TRASLADO DE COSTOS"/>
    <m/>
    <n v="-56007.904889863334"/>
    <s v="UN"/>
    <s v="M"/>
    <s v="1430050101"/>
    <s v="INV. PTO MANUFACTURA"/>
    <s v="EC01"/>
    <s v="CEMTUGB50"/>
    <n v="700080"/>
    <x v="3"/>
    <s v="CEMENTO TOPEX USO GENERAL 50KG"/>
    <m/>
    <m/>
    <s v="CEMENTO TOPEX 50 KG"/>
    <x v="14"/>
    <x v="14"/>
    <s v="7999999995CEMTUGB50CEMENTO TOPEX 50 KG"/>
    <x v="3"/>
    <x v="0"/>
  </r>
  <r>
    <n v="7199990001"/>
    <s v="CONSUMOS SEMIELBORAD"/>
    <m/>
    <n v="2622.364884590625"/>
    <s v="T"/>
    <s v="M"/>
    <s v="1410900101"/>
    <s v="INV. SEMIELABORADO"/>
    <s v="EC01"/>
    <s v="CEMENTO UG TP"/>
    <n v="700080"/>
    <x v="4"/>
    <s v="CEMENTO UG"/>
    <m/>
    <m/>
    <s v="CEMENTO TOPEX 50 KG"/>
    <x v="14"/>
    <x v="14"/>
    <s v="7199990001CEMENTO UG TPCEMENTO TOPEX 50 KG"/>
    <x v="31"/>
    <x v="0"/>
  </r>
  <r>
    <n v="7360050302"/>
    <s v="CTO BOLSAS IMP"/>
    <n v="60825229.02510263"/>
    <n v="53496.243645648748"/>
    <s v="UN"/>
    <s v="M"/>
    <s v="1460050302"/>
    <s v="INV BOLSAS IMP"/>
    <s v="EC01"/>
    <s v="22000000041"/>
    <n v="700080"/>
    <x v="4"/>
    <s v="BOLSA CEMENTO EMPAQUE TOPEX 50 KG UG"/>
    <m/>
    <m/>
    <s v="CEMENTO TOPEX 50 KG"/>
    <x v="14"/>
    <x v="14"/>
    <s v="736005030222000000041CEMENTO TOPEX 50 KG"/>
    <x v="27"/>
    <x v="0"/>
  </r>
  <r>
    <n v="7999999995"/>
    <s v="TRASLADO DE COSTOS"/>
    <m/>
    <n v="-52447.297691812499"/>
    <s v="UN"/>
    <s v="M"/>
    <s v="1430050101"/>
    <s v="INV. PTO MANUFACTURA"/>
    <s v="EC01"/>
    <s v="CEMTUGB50"/>
    <n v="700080"/>
    <x v="4"/>
    <s v="CEMENTO TOPEX USO GENERAL 50KG"/>
    <m/>
    <m/>
    <s v="CEMENTO TOPEX 50 KG"/>
    <x v="14"/>
    <x v="14"/>
    <s v="7999999995CEMTUGB50CEMENTO TOPEX 50 KG"/>
    <x v="3"/>
    <x v="0"/>
  </r>
  <r>
    <n v="7199990001"/>
    <s v="CONSUMOS SEMIELBORAD"/>
    <m/>
    <n v="2614.957681993807"/>
    <s v="T"/>
    <s v="M"/>
    <s v="1410900101"/>
    <s v="INV. SEMIELABORADO"/>
    <s v="EC01"/>
    <s v="CEMENTO UG TP"/>
    <n v="700080"/>
    <x v="5"/>
    <s v="CEMENTO UG"/>
    <m/>
    <m/>
    <s v="CEMENTO TOPEX 50 KG"/>
    <x v="14"/>
    <x v="14"/>
    <s v="7199990001CEMENTO UG TPCEMENTO TOPEX 50 KG"/>
    <x v="31"/>
    <x v="0"/>
  </r>
  <r>
    <n v="7360050302"/>
    <s v="CTO BOLSAS IMP"/>
    <n v="60653420.442309953"/>
    <n v="53345.136712673659"/>
    <s v="UN"/>
    <s v="M"/>
    <s v="1460050302"/>
    <s v="INV BOLSAS IMP"/>
    <s v="EC01"/>
    <s v="22000000041"/>
    <n v="700080"/>
    <x v="5"/>
    <s v="BOLSA CEMENTO EMPAQUE TOPEX 50 KG UG"/>
    <m/>
    <m/>
    <s v="CEMENTO TOPEX 50 KG"/>
    <x v="14"/>
    <x v="14"/>
    <s v="736005030222000000041CEMENTO TOPEX 50 KG"/>
    <x v="27"/>
    <x v="0"/>
  </r>
  <r>
    <n v="7999999995"/>
    <s v="TRASLADO DE COSTOS"/>
    <m/>
    <n v="-52299.153639876138"/>
    <s v="UN"/>
    <s v="M"/>
    <s v="1430050101"/>
    <s v="INV. PTO MANUFACTURA"/>
    <s v="EC01"/>
    <s v="CEMTUGB50"/>
    <n v="700080"/>
    <x v="5"/>
    <s v="CEMENTO TOPEX USO GENERAL 50KG"/>
    <m/>
    <m/>
    <s v="CEMENTO TOPEX 50 KG"/>
    <x v="14"/>
    <x v="14"/>
    <s v="7999999995CEMTUGB50CEMENTO TOPEX 50 KG"/>
    <x v="3"/>
    <x v="0"/>
  </r>
  <r>
    <n v="7199990001"/>
    <s v="CONSUMOS SEMIELBORAD"/>
    <m/>
    <n v="3082.8638007769068"/>
    <s v="T"/>
    <s v="M"/>
    <s v="1410900101"/>
    <s v="INV. SEMIELABORADO"/>
    <s v="EC01"/>
    <s v="CEMENTO UG TP"/>
    <n v="700080"/>
    <x v="6"/>
    <s v="CEMENTO UG"/>
    <m/>
    <m/>
    <s v="CEMENTO TOPEX 50 KG"/>
    <x v="14"/>
    <x v="14"/>
    <s v="7199990001CEMENTO UG TPCEMENTO TOPEX 50 KG"/>
    <x v="31"/>
    <x v="0"/>
  </r>
  <r>
    <n v="7360050302"/>
    <s v="CTO BOLSAS IMP"/>
    <n v="71506409.286260203"/>
    <n v="62890.421535848902"/>
    <s v="UN"/>
    <s v="M"/>
    <s v="1460050302"/>
    <s v="INV BOLSAS IMP"/>
    <s v="EC01"/>
    <s v="22000000041"/>
    <n v="700080"/>
    <x v="6"/>
    <s v="BOLSA CEMENTO EMPAQUE TOPEX 50 KG UG"/>
    <m/>
    <m/>
    <s v="CEMENTO TOPEX 50 KG"/>
    <x v="14"/>
    <x v="14"/>
    <s v="736005030222000000041CEMENTO TOPEX 50 KG"/>
    <x v="27"/>
    <x v="0"/>
  </r>
  <r>
    <n v="7999999995"/>
    <s v="TRASLADO DE COSTOS"/>
    <m/>
    <n v="-61657.27601553814"/>
    <s v="UN"/>
    <s v="M"/>
    <s v="1430050101"/>
    <s v="INV. PTO MANUFACTURA"/>
    <s v="EC01"/>
    <s v="CEMTUGB50"/>
    <n v="700080"/>
    <x v="6"/>
    <s v="CEMENTO TOPEX USO GENERAL 50KG"/>
    <m/>
    <m/>
    <s v="CEMENTO TOPEX 50 KG"/>
    <x v="14"/>
    <x v="14"/>
    <s v="7999999995CEMTUGB50CEMENTO TOPEX 50 KG"/>
    <x v="3"/>
    <x v="0"/>
  </r>
  <r>
    <n v="7199990001"/>
    <s v="CONSUMOS SEMIELBORAD"/>
    <m/>
    <n v="2805.341480275883"/>
    <s v="T"/>
    <s v="M"/>
    <s v="1410900101"/>
    <s v="INV. SEMIELABORADO"/>
    <s v="EC01"/>
    <s v="CEMENTO UG TP"/>
    <n v="700080"/>
    <x v="7"/>
    <s v="CEMENTO UG"/>
    <m/>
    <m/>
    <s v="CEMENTO TOPEX 50 KG"/>
    <x v="14"/>
    <x v="14"/>
    <s v="7199990001CEMENTO UG TPCEMENTO TOPEX 50 KG"/>
    <x v="31"/>
    <x v="0"/>
  </r>
  <r>
    <n v="7360050302"/>
    <s v="CTO BOLSAS IMP"/>
    <n v="65069334.566703059"/>
    <n v="57228.966197628019"/>
    <s v="UN"/>
    <s v="M"/>
    <s v="1460050302"/>
    <s v="INV BOLSAS IMP"/>
    <s v="EC01"/>
    <s v="22000000041"/>
    <n v="700080"/>
    <x v="7"/>
    <s v="BOLSA CEMENTO EMPAQUE TOPEX 50 KG UG"/>
    <m/>
    <m/>
    <s v="CEMENTO TOPEX 50 KG"/>
    <x v="14"/>
    <x v="14"/>
    <s v="736005030222000000041CEMENTO TOPEX 50 KG"/>
    <x v="27"/>
    <x v="0"/>
  </r>
  <r>
    <n v="7999999995"/>
    <s v="TRASLADO DE COSTOS"/>
    <m/>
    <n v="-56106.829605517662"/>
    <s v="UN"/>
    <s v="M"/>
    <s v="1430050101"/>
    <s v="INV. PTO MANUFACTURA"/>
    <s v="EC01"/>
    <s v="CEMTUGB50"/>
    <n v="700080"/>
    <x v="7"/>
    <s v="CEMENTO TOPEX USO GENERAL 50KG"/>
    <m/>
    <m/>
    <s v="CEMENTO TOPEX 50 KG"/>
    <x v="14"/>
    <x v="14"/>
    <s v="7999999995CEMTUGB50CEMENTO TOPEX 50 KG"/>
    <x v="3"/>
    <x v="0"/>
  </r>
  <r>
    <n v="7199990001"/>
    <s v="CONSUMOS SEMIELBORAD"/>
    <m/>
    <n v="2971.6549575565587"/>
    <s v="T"/>
    <s v="M"/>
    <s v="1410900101"/>
    <s v="INV. SEMIELABORADO"/>
    <s v="EC01"/>
    <s v="CEMENTO UG TP"/>
    <n v="700080"/>
    <x v="8"/>
    <s v="CEMENTO UG"/>
    <m/>
    <m/>
    <s v="CEMENTO TOPEX 50 KG"/>
    <x v="14"/>
    <x v="14"/>
    <s v="7199990001CEMENTO UG TPCEMENTO TOPEX 50 KG"/>
    <x v="31"/>
    <x v="0"/>
  </r>
  <r>
    <n v="7360050302"/>
    <s v="CTO BOLSAS IMP"/>
    <n v="71169947.571496561"/>
    <n v="60621.7611341538"/>
    <s v="UN"/>
    <s v="M"/>
    <s v="1460050302"/>
    <s v="INV BOLSAS IMP"/>
    <s v="EC01"/>
    <s v="22000000041"/>
    <n v="700080"/>
    <x v="8"/>
    <s v="BOLSA CEMENTO EMPAQUE TOPEX 50 KG UG"/>
    <m/>
    <m/>
    <s v="CEMENTO TOPEX 50 KG"/>
    <x v="14"/>
    <x v="14"/>
    <s v="736005030222000000041CEMENTO TOPEX 50 KG"/>
    <x v="27"/>
    <x v="0"/>
  </r>
  <r>
    <n v="7999999995"/>
    <s v="TRASLADO DE COSTOS"/>
    <m/>
    <n v="-59433.099151131173"/>
    <s v="UN"/>
    <s v="M"/>
    <s v="1430050101"/>
    <s v="INV. PTO MANUFACTURA"/>
    <s v="EC01"/>
    <s v="CEMTUGB50"/>
    <n v="700080"/>
    <x v="8"/>
    <s v="CEMENTO TOPEX USO GENERAL 50KG"/>
    <m/>
    <m/>
    <s v="CEMENTO TOPEX 50 KG"/>
    <x v="14"/>
    <x v="14"/>
    <s v="7999999995CEMTUGB50CEMENTO TOPEX 50 KG"/>
    <x v="3"/>
    <x v="0"/>
  </r>
  <r>
    <n v="7199990001"/>
    <s v="CONSUMOS SEMIELBORAD"/>
    <m/>
    <n v="3019.4125391609223"/>
    <s v="T"/>
    <s v="M"/>
    <s v="1410900101"/>
    <s v="INV. SEMIELABORADO"/>
    <s v="EC01"/>
    <s v="CEMENTO UG TP"/>
    <n v="700080"/>
    <x v="9"/>
    <s v="CEMENTO UG"/>
    <m/>
    <m/>
    <s v="CEMENTO TOPEX 50 KG"/>
    <x v="14"/>
    <x v="14"/>
    <s v="7199990001CEMENTO UG TPCEMENTO TOPEX 50 KG"/>
    <x v="31"/>
    <x v="0"/>
  </r>
  <r>
    <n v="7360050302"/>
    <s v="CTO BOLSAS IMP"/>
    <n v="72313722.547888428"/>
    <n v="61596.015798882821"/>
    <s v="UN"/>
    <s v="M"/>
    <s v="1460050302"/>
    <s v="INV BOLSAS IMP"/>
    <s v="EC01"/>
    <s v="22000000041"/>
    <n v="700080"/>
    <x v="9"/>
    <s v="BOLSA CEMENTO EMPAQUE TOPEX 50 KG UG"/>
    <m/>
    <m/>
    <s v="CEMENTO TOPEX 50 KG"/>
    <x v="14"/>
    <x v="14"/>
    <s v="736005030222000000041CEMENTO TOPEX 50 KG"/>
    <x v="27"/>
    <x v="0"/>
  </r>
  <r>
    <n v="7999999995"/>
    <s v="TRASLADO DE COSTOS"/>
    <m/>
    <n v="-60388.250783218449"/>
    <s v="UN"/>
    <s v="M"/>
    <s v="1430050101"/>
    <s v="INV. PTO MANUFACTURA"/>
    <s v="EC01"/>
    <s v="CEMTUGB50"/>
    <n v="700080"/>
    <x v="9"/>
    <s v="CEMENTO TOPEX USO GENERAL 50KG"/>
    <m/>
    <m/>
    <s v="CEMENTO TOPEX 50 KG"/>
    <x v="14"/>
    <x v="14"/>
    <s v="7999999995CEMTUGB50CEMENTO TOPEX 50 KG"/>
    <x v="3"/>
    <x v="0"/>
  </r>
  <r>
    <n v="7199990001"/>
    <s v="CONSUMOS SEMIELBORAD"/>
    <m/>
    <n v="2830.0941471040696"/>
    <s v="T"/>
    <s v="M"/>
    <s v="1410900101"/>
    <s v="INV. SEMIELABORADO"/>
    <s v="EC01"/>
    <s v="CEMENTO UG TP"/>
    <n v="700080"/>
    <x v="10"/>
    <s v="CEMENTO UG"/>
    <m/>
    <m/>
    <s v="CEMENTO TOPEX 50 KG"/>
    <x v="14"/>
    <x v="14"/>
    <s v="7199990001CEMENTO UG TPCEMENTO TOPEX 50 KG"/>
    <x v="31"/>
    <x v="0"/>
  </r>
  <r>
    <n v="7360050302"/>
    <s v="CTO BOLSAS IMP"/>
    <n v="67779622.785483629"/>
    <n v="57733.920600923018"/>
    <s v="UN"/>
    <s v="M"/>
    <s v="1460050302"/>
    <s v="INV BOLSAS IMP"/>
    <s v="EC01"/>
    <s v="22000000041"/>
    <n v="700080"/>
    <x v="10"/>
    <s v="BOLSA CEMENTO EMPAQUE TOPEX 50 KG UG"/>
    <m/>
    <m/>
    <s v="CEMENTO TOPEX 50 KG"/>
    <x v="14"/>
    <x v="14"/>
    <s v="736005030222000000041CEMENTO TOPEX 50 KG"/>
    <x v="27"/>
    <x v="0"/>
  </r>
  <r>
    <n v="7999999995"/>
    <s v="TRASLADO DE COSTOS"/>
    <m/>
    <n v="-56601.882942081393"/>
    <s v="UN"/>
    <s v="M"/>
    <s v="1430050101"/>
    <s v="INV. PTO MANUFACTURA"/>
    <s v="EC01"/>
    <s v="CEMTUGB50"/>
    <n v="700080"/>
    <x v="10"/>
    <s v="CEMENTO TOPEX USO GENERAL 50KG"/>
    <m/>
    <m/>
    <s v="CEMENTO TOPEX 50 KG"/>
    <x v="14"/>
    <x v="14"/>
    <s v="7999999995CEMTUGB50CEMENTO TOPEX 50 KG"/>
    <x v="3"/>
    <x v="0"/>
  </r>
  <r>
    <n v="7199990001"/>
    <s v="CONSUMOS SEMIELBORAD"/>
    <m/>
    <n v="2929.1771288361251"/>
    <s v="T"/>
    <s v="M"/>
    <s v="1410900101"/>
    <s v="INV. SEMIELABORADO"/>
    <s v="EC01"/>
    <s v="CEMENTO UG TP"/>
    <n v="700080"/>
    <x v="11"/>
    <s v="CEMENTO UG"/>
    <m/>
    <m/>
    <s v="CEMENTO TOPEX 50 KG"/>
    <x v="14"/>
    <x v="14"/>
    <s v="7199990001CEMENTO UG TPCEMENTO TOPEX 50 KG"/>
    <x v="31"/>
    <x v="0"/>
  </r>
  <r>
    <n v="7360050302"/>
    <s v="CTO BOLSAS IMP"/>
    <n v="70152620.564773664"/>
    <n v="59755.213428256953"/>
    <s v="UN"/>
    <s v="M"/>
    <s v="1460050302"/>
    <s v="INV BOLSAS IMP"/>
    <s v="EC01"/>
    <s v="22000000041"/>
    <n v="700080"/>
    <x v="11"/>
    <s v="BOLSA CEMENTO EMPAQUE TOPEX 50 KG UG"/>
    <m/>
    <m/>
    <s v="CEMENTO TOPEX 50 KG"/>
    <x v="14"/>
    <x v="14"/>
    <s v="736005030222000000041CEMENTO TOPEX 50 KG"/>
    <x v="27"/>
    <x v="0"/>
  </r>
  <r>
    <n v="7999999995"/>
    <s v="TRASLADO DE COSTOS"/>
    <m/>
    <n v="-58583.542576722502"/>
    <s v="UN"/>
    <s v="M"/>
    <s v="1430050101"/>
    <s v="INV. PTO MANUFACTURA"/>
    <s v="EC01"/>
    <s v="CEMTUGB50"/>
    <n v="700080"/>
    <x v="11"/>
    <s v="CEMENTO TOPEX USO GENERAL 50KG"/>
    <m/>
    <m/>
    <s v="CEMENTO TOPEX 50 KG"/>
    <x v="14"/>
    <x v="14"/>
    <s v="7999999995CEMTUGB50CEMENTO TOPEX 50 KG"/>
    <x v="3"/>
    <x v="0"/>
  </r>
  <r>
    <n v="7355050105"/>
    <s v="CTO COMBUS LIQ NAC"/>
    <m/>
    <n v="63731.152561772156"/>
    <s v="UN"/>
    <s v="M"/>
    <s v="1455050105"/>
    <s v="INV COMBUST LIQ NAC"/>
    <s v="EC01"/>
    <n v="70000000000"/>
    <n v="700003"/>
    <x v="0"/>
    <s v="GASOIL"/>
    <m/>
    <m/>
    <s v="CEMENTO UG"/>
    <x v="4"/>
    <x v="4"/>
    <s v="735505010570000000000Cemento UG"/>
    <x v="14"/>
    <x v="0"/>
  </r>
  <r>
    <n v="7355050105"/>
    <s v="CTO COMBUS LIQ NAC"/>
    <m/>
    <n v="66456.6469464072"/>
    <s v="UN"/>
    <s v="M"/>
    <s v="1455050105"/>
    <s v="INV COMBUST LIQ NAC"/>
    <s v="EC01"/>
    <n v="70000000000"/>
    <n v="700003"/>
    <x v="1"/>
    <s v="GASOIL"/>
    <m/>
    <m/>
    <s v="CEMENTO UG"/>
    <x v="4"/>
    <x v="4"/>
    <s v="735505010570000000000Cemento UG"/>
    <x v="14"/>
    <x v="0"/>
  </r>
  <r>
    <n v="7355050105"/>
    <s v="CTO COMBUS LIQ NAC"/>
    <m/>
    <n v="71409.856412643057"/>
    <s v="UN"/>
    <s v="M"/>
    <s v="1455050105"/>
    <s v="INV COMBUST LIQ NAC"/>
    <s v="EC01"/>
    <n v="70000000000"/>
    <n v="700003"/>
    <x v="2"/>
    <s v="GASOIL"/>
    <m/>
    <m/>
    <s v="CEMENTO UG"/>
    <x v="4"/>
    <x v="4"/>
    <s v="735505010570000000000Cemento UG"/>
    <x v="14"/>
    <x v="0"/>
  </r>
  <r>
    <n v="7355050105"/>
    <s v="CTO COMBUS LIQ NAC"/>
    <m/>
    <n v="67940.826865046984"/>
    <s v="UN"/>
    <s v="M"/>
    <s v="1455050105"/>
    <s v="INV COMBUST LIQ NAC"/>
    <s v="EC01"/>
    <n v="70000000000"/>
    <n v="700003"/>
    <x v="3"/>
    <s v="GASOIL"/>
    <m/>
    <m/>
    <s v="CEMENTO UG"/>
    <x v="4"/>
    <x v="4"/>
    <s v="735505010570000000000Cemento UG"/>
    <x v="14"/>
    <x v="0"/>
  </r>
  <r>
    <n v="7355050105"/>
    <s v="CTO COMBUS LIQ NAC"/>
    <m/>
    <n v="63854.671700831204"/>
    <s v="UN"/>
    <s v="M"/>
    <s v="1455050105"/>
    <s v="INV COMBUST LIQ NAC"/>
    <s v="EC01"/>
    <n v="70000000000"/>
    <n v="700003"/>
    <x v="4"/>
    <s v="GASOIL"/>
    <m/>
    <m/>
    <s v="CEMENTO UG"/>
    <x v="4"/>
    <x v="4"/>
    <s v="735505010570000000000Cemento UG"/>
    <x v="14"/>
    <x v="0"/>
  </r>
  <r>
    <n v="7355050105"/>
    <s v="CTO COMBUS LIQ NAC"/>
    <m/>
    <n v="63612.938176708434"/>
    <s v="UN"/>
    <s v="M"/>
    <s v="1455050105"/>
    <s v="INV COMBUST LIQ NAC"/>
    <s v="EC01"/>
    <n v="70000000000"/>
    <n v="700003"/>
    <x v="5"/>
    <s v="GASOIL"/>
    <m/>
    <m/>
    <s v="CEMENTO UG"/>
    <x v="4"/>
    <x v="4"/>
    <s v="735505010570000000000Cemento UG"/>
    <x v="14"/>
    <x v="0"/>
  </r>
  <r>
    <n v="7355050105"/>
    <s v="CTO COMBUS LIQ NAC"/>
    <m/>
    <n v="74927.824736596915"/>
    <s v="UN"/>
    <s v="M"/>
    <s v="1455050105"/>
    <s v="INV COMBUST LIQ NAC"/>
    <s v="EC01"/>
    <n v="70000000000"/>
    <n v="700003"/>
    <x v="6"/>
    <s v="GASOIL"/>
    <m/>
    <m/>
    <s v="CEMENTO UG"/>
    <x v="4"/>
    <x v="4"/>
    <s v="735505010570000000000Cemento UG"/>
    <x v="14"/>
    <x v="0"/>
  </r>
  <r>
    <n v="7355050105"/>
    <s v="CTO COMBUS LIQ NAC"/>
    <m/>
    <n v="68265.054047201353"/>
    <s v="UN"/>
    <s v="M"/>
    <s v="1455050105"/>
    <s v="INV COMBUST LIQ NAC"/>
    <s v="EC01"/>
    <n v="70000000000"/>
    <n v="700003"/>
    <x v="7"/>
    <s v="GASOIL"/>
    <m/>
    <m/>
    <s v="CEMENTO UG"/>
    <x v="4"/>
    <x v="4"/>
    <s v="735505010570000000000Cemento UG"/>
    <x v="14"/>
    <x v="0"/>
  </r>
  <r>
    <n v="7355050105"/>
    <s v="CTO COMBUS LIQ NAC"/>
    <m/>
    <n v="72309.490473675105"/>
    <s v="UN"/>
    <s v="M"/>
    <s v="1455050105"/>
    <s v="INV COMBUST LIQ NAC"/>
    <s v="EC01"/>
    <n v="70000000000"/>
    <n v="700003"/>
    <x v="8"/>
    <s v="GASOIL"/>
    <m/>
    <m/>
    <s v="CEMENTO UG"/>
    <x v="4"/>
    <x v="4"/>
    <s v="735505010570000000000Cemento UG"/>
    <x v="14"/>
    <x v="0"/>
  </r>
  <r>
    <n v="7355050105"/>
    <s v="CTO COMBUS LIQ NAC"/>
    <m/>
    <n v="73431.13078925325"/>
    <s v="UN"/>
    <s v="M"/>
    <s v="1455050105"/>
    <s v="INV COMBUST LIQ NAC"/>
    <s v="EC01"/>
    <n v="70000000000"/>
    <n v="700003"/>
    <x v="9"/>
    <s v="GASOIL"/>
    <m/>
    <m/>
    <s v="CEMENTO UG"/>
    <x v="4"/>
    <x v="4"/>
    <s v="735505010570000000000Cemento UG"/>
    <x v="14"/>
    <x v="0"/>
  </r>
  <r>
    <n v="7355050105"/>
    <s v="CTO COMBUS LIQ NAC"/>
    <m/>
    <n v="68703.19032957239"/>
    <s v="UN"/>
    <s v="M"/>
    <s v="1455050105"/>
    <s v="INV COMBUST LIQ NAC"/>
    <s v="EC01"/>
    <n v="70000000000"/>
    <n v="700003"/>
    <x v="10"/>
    <s v="GASOIL"/>
    <m/>
    <m/>
    <s v="CEMENTO UG"/>
    <x v="4"/>
    <x v="4"/>
    <s v="735505010570000000000Cemento UG"/>
    <x v="14"/>
    <x v="0"/>
  </r>
  <r>
    <n v="7355050105"/>
    <s v="CTO COMBUS LIQ NAC"/>
    <m/>
    <n v="70769.251018944269"/>
    <s v="UN"/>
    <s v="M"/>
    <s v="1455050105"/>
    <s v="INV COMBUST LIQ NAC"/>
    <s v="EC01"/>
    <n v="70000000000"/>
    <n v="700003"/>
    <x v="11"/>
    <s v="GASOIL"/>
    <m/>
    <m/>
    <s v="CEMENTO UG"/>
    <x v="4"/>
    <x v="4"/>
    <s v="735505010570000000000Cemento UG"/>
    <x v="14"/>
    <x v="0"/>
  </r>
  <r>
    <n v="7355050105"/>
    <s v="CTO COMBUS LIQ NAC"/>
    <m/>
    <n v="32219.359509544607"/>
    <s v="UN"/>
    <s v="M"/>
    <s v="1455050105"/>
    <s v="INV COMBUST LIQ NAC"/>
    <s v="EC01"/>
    <n v="70000000000"/>
    <n v="700060"/>
    <x v="0"/>
    <s v="GASOIL"/>
    <m/>
    <m/>
    <s v="CEMENTO ART"/>
    <x v="11"/>
    <x v="11"/>
    <s v="735505010570000000000Cemento ART"/>
    <x v="14"/>
    <x v="0"/>
  </r>
  <r>
    <n v="7355050105"/>
    <s v="CTO COMBUS LIQ NAC"/>
    <m/>
    <n v="36356.069050377082"/>
    <s v="UN"/>
    <s v="M"/>
    <s v="1455050105"/>
    <s v="INV COMBUST LIQ NAC"/>
    <s v="EC01"/>
    <n v="70000000000"/>
    <n v="700060"/>
    <x v="1"/>
    <s v="GASOIL"/>
    <m/>
    <m/>
    <s v="CEMENTO ART"/>
    <x v="11"/>
    <x v="11"/>
    <s v="735505010570000000000Cemento ART"/>
    <x v="14"/>
    <x v="0"/>
  </r>
  <r>
    <n v="7355050105"/>
    <s v="CTO COMBUS LIQ NAC"/>
    <m/>
    <n v="38003.686811371874"/>
    <s v="UN"/>
    <s v="M"/>
    <s v="1455050105"/>
    <s v="INV COMBUST LIQ NAC"/>
    <s v="EC01"/>
    <n v="70000000000"/>
    <n v="700060"/>
    <x v="2"/>
    <s v="GASOIL"/>
    <m/>
    <m/>
    <s v="CEMENTO ART"/>
    <x v="11"/>
    <x v="11"/>
    <s v="735505010570000000000Cemento ART"/>
    <x v="14"/>
    <x v="0"/>
  </r>
  <r>
    <n v="7355050105"/>
    <s v="CTO COMBUS LIQ NAC"/>
    <m/>
    <n v="34991.405170921906"/>
    <s v="UN"/>
    <s v="M"/>
    <s v="1455050105"/>
    <s v="INV COMBUST LIQ NAC"/>
    <s v="EC01"/>
    <n v="70000000000"/>
    <n v="700060"/>
    <x v="3"/>
    <s v="GASOIL"/>
    <m/>
    <m/>
    <s v="CEMENTO ART"/>
    <x v="11"/>
    <x v="11"/>
    <s v="735505010570000000000Cemento ART"/>
    <x v="14"/>
    <x v="0"/>
  </r>
  <r>
    <n v="7355050105"/>
    <s v="CTO COMBUS LIQ NAC"/>
    <m/>
    <n v="35782.3438195294"/>
    <s v="UN"/>
    <s v="M"/>
    <s v="1455050105"/>
    <s v="INV COMBUST LIQ NAC"/>
    <s v="EC01"/>
    <n v="70000000000"/>
    <n v="700060"/>
    <x v="4"/>
    <s v="GASOIL"/>
    <m/>
    <m/>
    <s v="CEMENTO ART"/>
    <x v="11"/>
    <x v="11"/>
    <s v="735505010570000000000Cemento ART"/>
    <x v="14"/>
    <x v="0"/>
  </r>
  <r>
    <n v="7355050105"/>
    <s v="CTO COMBUS LIQ NAC"/>
    <m/>
    <n v="34808.351356431878"/>
    <s v="UN"/>
    <s v="M"/>
    <s v="1455050105"/>
    <s v="INV COMBUST LIQ NAC"/>
    <s v="EC01"/>
    <n v="70000000000"/>
    <n v="700060"/>
    <x v="5"/>
    <s v="GASOIL"/>
    <m/>
    <m/>
    <s v="CEMENTO ART"/>
    <x v="11"/>
    <x v="11"/>
    <s v="735505010570000000000Cemento ART"/>
    <x v="14"/>
    <x v="0"/>
  </r>
  <r>
    <n v="7355050105"/>
    <s v="CTO COMBUS LIQ NAC"/>
    <m/>
    <n v="40276.228560128591"/>
    <s v="UN"/>
    <s v="M"/>
    <s v="1455050105"/>
    <s v="INV COMBUST LIQ NAC"/>
    <s v="EC01"/>
    <n v="70000000000"/>
    <n v="700060"/>
    <x v="6"/>
    <s v="GASOIL"/>
    <m/>
    <m/>
    <s v="CEMENTO ART"/>
    <x v="11"/>
    <x v="11"/>
    <s v="735505010570000000000Cemento ART"/>
    <x v="14"/>
    <x v="0"/>
  </r>
  <r>
    <n v="7355050105"/>
    <s v="CTO COMBUS LIQ NAC"/>
    <m/>
    <n v="37080.96763866183"/>
    <s v="UN"/>
    <s v="M"/>
    <s v="1455050105"/>
    <s v="INV COMBUST LIQ NAC"/>
    <s v="EC01"/>
    <n v="70000000000"/>
    <n v="700060"/>
    <x v="7"/>
    <s v="GASOIL"/>
    <m/>
    <m/>
    <s v="CEMENTO ART"/>
    <x v="11"/>
    <x v="11"/>
    <s v="735505010570000000000Cemento ART"/>
    <x v="14"/>
    <x v="0"/>
  </r>
  <r>
    <n v="7355050105"/>
    <s v="CTO COMBUS LIQ NAC"/>
    <m/>
    <n v="39358.99933860368"/>
    <s v="UN"/>
    <s v="M"/>
    <s v="1455050105"/>
    <s v="INV COMBUST LIQ NAC"/>
    <s v="EC01"/>
    <n v="70000000000"/>
    <n v="700060"/>
    <x v="8"/>
    <s v="GASOIL"/>
    <m/>
    <m/>
    <s v="CEMENTO ART"/>
    <x v="11"/>
    <x v="11"/>
    <s v="735505010570000000000Cemento ART"/>
    <x v="14"/>
    <x v="0"/>
  </r>
  <r>
    <n v="7355050105"/>
    <s v="CTO COMBUS LIQ NAC"/>
    <m/>
    <n v="39869.613684439937"/>
    <s v="UN"/>
    <s v="M"/>
    <s v="1455050105"/>
    <s v="INV COMBUST LIQ NAC"/>
    <s v="EC01"/>
    <n v="70000000000"/>
    <n v="700060"/>
    <x v="9"/>
    <s v="GASOIL"/>
    <m/>
    <m/>
    <s v="CEMENTO ART"/>
    <x v="11"/>
    <x v="11"/>
    <s v="735505010570000000000Cemento ART"/>
    <x v="14"/>
    <x v="0"/>
  </r>
  <r>
    <n v="7355050105"/>
    <s v="CTO COMBUS LIQ NAC"/>
    <m/>
    <n v="36506.716520824244"/>
    <s v="UN"/>
    <s v="M"/>
    <s v="1455050105"/>
    <s v="INV COMBUST LIQ NAC"/>
    <s v="EC01"/>
    <n v="70000000000"/>
    <n v="700060"/>
    <x v="10"/>
    <s v="GASOIL"/>
    <m/>
    <m/>
    <s v="CEMENTO ART"/>
    <x v="11"/>
    <x v="11"/>
    <s v="735505010570000000000Cemento ART"/>
    <x v="14"/>
    <x v="0"/>
  </r>
  <r>
    <n v="7355050105"/>
    <s v="CTO COMBUS LIQ NAC"/>
    <m/>
    <n v="35593.351852861109"/>
    <s v="UN"/>
    <s v="M"/>
    <s v="1455050105"/>
    <s v="INV COMBUST LIQ NAC"/>
    <s v="EC01"/>
    <n v="70000000000"/>
    <n v="700060"/>
    <x v="11"/>
    <s v="GASOIL"/>
    <m/>
    <m/>
    <s v="CEMENTO ART"/>
    <x v="11"/>
    <x v="11"/>
    <s v="735505010570000000000Cemento ART"/>
    <x v="14"/>
    <x v="0"/>
  </r>
  <r>
    <n v="7355050105"/>
    <s v="CTO COMBUS LIQ NAC"/>
    <m/>
    <m/>
    <s v="UN"/>
    <s v="M"/>
    <s v="1455050105"/>
    <s v="INV COMBUST LIQ NAC"/>
    <s v="EC01"/>
    <n v="70000000000"/>
    <n v="700090"/>
    <x v="0"/>
    <s v="GASOIL"/>
    <m/>
    <m/>
    <s v="CEMENTO UG TP"/>
    <x v="12"/>
    <x v="12"/>
    <s v="735505010570000000000Cemento UG TP"/>
    <x v="14"/>
    <x v="0"/>
  </r>
  <r>
    <n v="7355050105"/>
    <s v="CTO COMBUS LIQ NAC"/>
    <m/>
    <m/>
    <s v="UN"/>
    <s v="M"/>
    <s v="1455050105"/>
    <s v="INV COMBUST LIQ NAC"/>
    <s v="EC01"/>
    <n v="70000000000"/>
    <n v="700090"/>
    <x v="1"/>
    <s v="GASOIL"/>
    <m/>
    <m/>
    <s v="CEMENTO UG TP"/>
    <x v="12"/>
    <x v="12"/>
    <s v="735505010570000000000Cemento UG TP"/>
    <x v="14"/>
    <x v="0"/>
  </r>
  <r>
    <n v="7355050105"/>
    <s v="CTO COMBUS LIQ NAC"/>
    <m/>
    <m/>
    <s v="UN"/>
    <s v="M"/>
    <s v="1455050105"/>
    <s v="INV COMBUST LIQ NAC"/>
    <s v="EC01"/>
    <n v="70000000000"/>
    <n v="700090"/>
    <x v="2"/>
    <s v="GASOIL"/>
    <m/>
    <m/>
    <s v="CEMENTO UG TP"/>
    <x v="12"/>
    <x v="12"/>
    <s v="735505010570000000000Cemento UG TP"/>
    <x v="14"/>
    <x v="0"/>
  </r>
  <r>
    <n v="7355050105"/>
    <s v="CTO COMBUS LIQ NAC"/>
    <m/>
    <m/>
    <s v="UN"/>
    <s v="M"/>
    <s v="1455050105"/>
    <s v="INV COMBUST LIQ NAC"/>
    <s v="EC01"/>
    <n v="70000000000"/>
    <n v="700090"/>
    <x v="3"/>
    <s v="GASOIL"/>
    <m/>
    <m/>
    <s v="CEMENTO UG TP"/>
    <x v="12"/>
    <x v="12"/>
    <s v="735505010570000000000Cemento UG TP"/>
    <x v="14"/>
    <x v="0"/>
  </r>
  <r>
    <n v="7355050105"/>
    <s v="CTO COMBUS LIQ NAC"/>
    <m/>
    <m/>
    <s v="UN"/>
    <s v="M"/>
    <s v="1455050105"/>
    <s v="INV COMBUST LIQ NAC"/>
    <s v="EC01"/>
    <n v="70000000000"/>
    <n v="700090"/>
    <x v="4"/>
    <s v="GASOIL"/>
    <m/>
    <m/>
    <s v="CEMENTO UG TP"/>
    <x v="12"/>
    <x v="12"/>
    <s v="735505010570000000000Cemento UG TP"/>
    <x v="14"/>
    <x v="0"/>
  </r>
  <r>
    <n v="7355050105"/>
    <s v="CTO COMBUS LIQ NAC"/>
    <m/>
    <m/>
    <s v="UN"/>
    <s v="M"/>
    <s v="1455050105"/>
    <s v="INV COMBUST LIQ NAC"/>
    <s v="EC01"/>
    <n v="70000000000"/>
    <n v="700090"/>
    <x v="5"/>
    <s v="GASOIL"/>
    <m/>
    <m/>
    <s v="CEMENTO UG TP"/>
    <x v="12"/>
    <x v="12"/>
    <s v="735505010570000000000Cemento UG TP"/>
    <x v="14"/>
    <x v="0"/>
  </r>
  <r>
    <n v="7355050105"/>
    <s v="CTO COMBUS LIQ NAC"/>
    <m/>
    <m/>
    <s v="UN"/>
    <s v="M"/>
    <s v="1455050105"/>
    <s v="INV COMBUST LIQ NAC"/>
    <s v="EC01"/>
    <n v="70000000000"/>
    <n v="700090"/>
    <x v="6"/>
    <s v="GASOIL"/>
    <m/>
    <m/>
    <s v="CEMENTO UG TP"/>
    <x v="12"/>
    <x v="12"/>
    <s v="735505010570000000000Cemento UG TP"/>
    <x v="14"/>
    <x v="0"/>
  </r>
  <r>
    <n v="7355050105"/>
    <s v="CTO COMBUS LIQ NAC"/>
    <m/>
    <m/>
    <s v="UN"/>
    <s v="M"/>
    <s v="1455050105"/>
    <s v="INV COMBUST LIQ NAC"/>
    <s v="EC01"/>
    <n v="70000000000"/>
    <n v="700090"/>
    <x v="7"/>
    <s v="GASOIL"/>
    <m/>
    <m/>
    <s v="CEMENTO UG TP"/>
    <x v="12"/>
    <x v="12"/>
    <s v="735505010570000000000Cemento UG TP"/>
    <x v="14"/>
    <x v="0"/>
  </r>
  <r>
    <n v="7355050105"/>
    <s v="CTO COMBUS LIQ NAC"/>
    <m/>
    <m/>
    <s v="UN"/>
    <s v="M"/>
    <s v="1455050105"/>
    <s v="INV COMBUST LIQ NAC"/>
    <s v="EC01"/>
    <n v="70000000000"/>
    <n v="700090"/>
    <x v="8"/>
    <s v="GASOIL"/>
    <m/>
    <m/>
    <s v="CEMENTO UG TP"/>
    <x v="12"/>
    <x v="12"/>
    <s v="735505010570000000000Cemento UG TP"/>
    <x v="14"/>
    <x v="0"/>
  </r>
  <r>
    <n v="7355050105"/>
    <s v="CTO COMBUS LIQ NAC"/>
    <m/>
    <m/>
    <s v="UN"/>
    <s v="M"/>
    <s v="1455050105"/>
    <s v="INV COMBUST LIQ NAC"/>
    <s v="EC01"/>
    <n v="70000000000"/>
    <n v="700090"/>
    <x v="9"/>
    <s v="GASOIL"/>
    <m/>
    <m/>
    <s v="CEMENTO UG TP"/>
    <x v="12"/>
    <x v="12"/>
    <s v="735505010570000000000Cemento UG TP"/>
    <x v="14"/>
    <x v="0"/>
  </r>
  <r>
    <n v="7355050105"/>
    <s v="CTO COMBUS LIQ NAC"/>
    <m/>
    <m/>
    <s v="UN"/>
    <s v="M"/>
    <s v="1455050105"/>
    <s v="INV COMBUST LIQ NAC"/>
    <s v="EC01"/>
    <n v="70000000000"/>
    <n v="700090"/>
    <x v="10"/>
    <s v="GASOIL"/>
    <m/>
    <m/>
    <s v="CEMENTO UG TP"/>
    <x v="12"/>
    <x v="12"/>
    <s v="735505010570000000000Cemento UG TP"/>
    <x v="14"/>
    <x v="0"/>
  </r>
  <r>
    <n v="7355050105"/>
    <s v="CTO COMBUS LIQ NAC"/>
    <m/>
    <m/>
    <s v="UN"/>
    <s v="M"/>
    <s v="1455050105"/>
    <s v="INV COMBUST LIQ NAC"/>
    <s v="EC01"/>
    <n v="70000000000"/>
    <n v="700090"/>
    <x v="11"/>
    <s v="GASOIL"/>
    <m/>
    <m/>
    <s v="CEMENTO UG TP"/>
    <x v="12"/>
    <x v="12"/>
    <s v="735505010570000000000Cemento UG TP"/>
    <x v="14"/>
    <x v="0"/>
  </r>
  <r>
    <n v="7355050105"/>
    <s v="CTO COMBUS LIQ NAC"/>
    <m/>
    <m/>
    <s v="UN"/>
    <s v="M"/>
    <s v="1455050105"/>
    <s v="INV COMBUST LIQ NAC"/>
    <s v="EC01"/>
    <n v="70000000000"/>
    <n v="700091"/>
    <x v="0"/>
    <s v="GASOIL"/>
    <m/>
    <m/>
    <s v="FIBROCEMENTO"/>
    <x v="13"/>
    <x v="13"/>
    <s v="735505010570000000000Fibrocemento"/>
    <x v="14"/>
    <x v="0"/>
  </r>
  <r>
    <n v="7355050105"/>
    <s v="CTO COMBUS LIQ NAC"/>
    <m/>
    <m/>
    <s v="UN"/>
    <s v="M"/>
    <s v="1455050105"/>
    <s v="INV COMBUST LIQ NAC"/>
    <s v="EC01"/>
    <n v="70000000000"/>
    <n v="700091"/>
    <x v="1"/>
    <s v="GASOIL"/>
    <m/>
    <m/>
    <s v="FIBROCEMENTO"/>
    <x v="13"/>
    <x v="13"/>
    <s v="735505010570000000000Fibrocemento"/>
    <x v="14"/>
    <x v="0"/>
  </r>
  <r>
    <n v="7355050105"/>
    <s v="CTO COMBUS LIQ NAC"/>
    <m/>
    <m/>
    <s v="UN"/>
    <s v="M"/>
    <s v="1455050105"/>
    <s v="INV COMBUST LIQ NAC"/>
    <s v="EC01"/>
    <n v="70000000000"/>
    <n v="700091"/>
    <x v="2"/>
    <s v="GASOIL"/>
    <m/>
    <m/>
    <s v="FIBROCEMENTO"/>
    <x v="13"/>
    <x v="13"/>
    <s v="735505010570000000000Fibrocemento"/>
    <x v="14"/>
    <x v="0"/>
  </r>
  <r>
    <n v="7355050105"/>
    <s v="CTO COMBUS LIQ NAC"/>
    <m/>
    <m/>
    <s v="UN"/>
    <s v="M"/>
    <s v="1455050105"/>
    <s v="INV COMBUST LIQ NAC"/>
    <s v="EC01"/>
    <n v="70000000000"/>
    <n v="700091"/>
    <x v="3"/>
    <s v="GASOIL"/>
    <m/>
    <m/>
    <s v="FIBROCEMENTO"/>
    <x v="13"/>
    <x v="13"/>
    <s v="735505010570000000000Fibrocemento"/>
    <x v="14"/>
    <x v="0"/>
  </r>
  <r>
    <n v="7355050105"/>
    <s v="CTO COMBUS LIQ NAC"/>
    <m/>
    <m/>
    <s v="UN"/>
    <s v="M"/>
    <s v="1455050105"/>
    <s v="INV COMBUST LIQ NAC"/>
    <s v="EC01"/>
    <n v="70000000000"/>
    <n v="700091"/>
    <x v="4"/>
    <s v="GASOIL"/>
    <m/>
    <m/>
    <s v="FIBROCEMENTO"/>
    <x v="13"/>
    <x v="13"/>
    <s v="735505010570000000000Fibrocemento"/>
    <x v="14"/>
    <x v="0"/>
  </r>
  <r>
    <n v="7355050105"/>
    <s v="CTO COMBUS LIQ NAC"/>
    <m/>
    <m/>
    <s v="UN"/>
    <s v="M"/>
    <s v="1455050105"/>
    <s v="INV COMBUST LIQ NAC"/>
    <s v="EC01"/>
    <n v="70000000000"/>
    <n v="700091"/>
    <x v="5"/>
    <s v="GASOIL"/>
    <m/>
    <m/>
    <s v="FIBROCEMENTO"/>
    <x v="13"/>
    <x v="13"/>
    <s v="735505010570000000000Fibrocemento"/>
    <x v="14"/>
    <x v="0"/>
  </r>
  <r>
    <n v="7355050105"/>
    <s v="CTO COMBUS LIQ NAC"/>
    <m/>
    <m/>
    <s v="UN"/>
    <s v="M"/>
    <s v="1455050105"/>
    <s v="INV COMBUST LIQ NAC"/>
    <s v="EC01"/>
    <n v="70000000000"/>
    <n v="700091"/>
    <x v="6"/>
    <s v="GASOIL"/>
    <m/>
    <m/>
    <s v="FIBROCEMENTO"/>
    <x v="13"/>
    <x v="13"/>
    <s v="735505010570000000000Fibrocemento"/>
    <x v="14"/>
    <x v="0"/>
  </r>
  <r>
    <n v="7355050105"/>
    <s v="CTO COMBUS LIQ NAC"/>
    <m/>
    <m/>
    <s v="UN"/>
    <s v="M"/>
    <s v="1455050105"/>
    <s v="INV COMBUST LIQ NAC"/>
    <s v="EC01"/>
    <n v="70000000000"/>
    <n v="700091"/>
    <x v="7"/>
    <s v="GASOIL"/>
    <m/>
    <m/>
    <s v="FIBROCEMENTO"/>
    <x v="13"/>
    <x v="13"/>
    <s v="735505010570000000000Fibrocemento"/>
    <x v="14"/>
    <x v="0"/>
  </r>
  <r>
    <n v="7355050105"/>
    <s v="CTO COMBUS LIQ NAC"/>
    <m/>
    <m/>
    <s v="UN"/>
    <s v="M"/>
    <s v="1455050105"/>
    <s v="INV COMBUST LIQ NAC"/>
    <s v="EC01"/>
    <n v="70000000000"/>
    <n v="700091"/>
    <x v="8"/>
    <s v="GASOIL"/>
    <m/>
    <m/>
    <s v="FIBROCEMENTO"/>
    <x v="13"/>
    <x v="13"/>
    <s v="735505010570000000000Fibrocemento"/>
    <x v="14"/>
    <x v="0"/>
  </r>
  <r>
    <n v="7355050105"/>
    <s v="CTO COMBUS LIQ NAC"/>
    <m/>
    <m/>
    <s v="UN"/>
    <s v="M"/>
    <s v="1455050105"/>
    <s v="INV COMBUST LIQ NAC"/>
    <s v="EC01"/>
    <n v="70000000000"/>
    <n v="700091"/>
    <x v="9"/>
    <s v="GASOIL"/>
    <m/>
    <m/>
    <s v="FIBROCEMENTO"/>
    <x v="13"/>
    <x v="13"/>
    <s v="735505010570000000000Fibrocemento"/>
    <x v="14"/>
    <x v="0"/>
  </r>
  <r>
    <n v="7355050105"/>
    <s v="CTO COMBUS LIQ NAC"/>
    <m/>
    <m/>
    <s v="UN"/>
    <s v="M"/>
    <s v="1455050105"/>
    <s v="INV COMBUST LIQ NAC"/>
    <s v="EC01"/>
    <n v="70000000000"/>
    <n v="700091"/>
    <x v="10"/>
    <s v="GASOIL"/>
    <m/>
    <m/>
    <s v="FIBROCEMENTO"/>
    <x v="13"/>
    <x v="13"/>
    <s v="735505010570000000000Fibrocemento"/>
    <x v="14"/>
    <x v="0"/>
  </r>
  <r>
    <n v="7355050105"/>
    <s v="CTO COMBUS LIQ NAC"/>
    <m/>
    <m/>
    <s v="UN"/>
    <s v="M"/>
    <s v="1455050105"/>
    <s v="INV COMBUST LIQ NAC"/>
    <s v="EC01"/>
    <n v="70000000000"/>
    <n v="700091"/>
    <x v="11"/>
    <s v="GASOIL"/>
    <m/>
    <m/>
    <s v="FIBROCEMENTO"/>
    <x v="13"/>
    <x v="13"/>
    <s v="735505010570000000000Fibrocemento"/>
    <x v="14"/>
    <x v="0"/>
  </r>
  <r>
    <n v="7105450101"/>
    <s v="CTO. MP YES/ESCA NAL"/>
    <n v="56765664.241145872"/>
    <n v="244.09097245940526"/>
    <s v="T"/>
    <s v="M"/>
    <s v="1405450101"/>
    <s v="INV.  YES/ESCA NAL"/>
    <s v="EC01"/>
    <s v="YESO00001"/>
    <n v="700064"/>
    <x v="0"/>
    <s v="YESO"/>
    <m/>
    <m/>
    <s v="FIBROCEMENTO"/>
    <x v="13"/>
    <x v="13"/>
    <s v="7105450101YESO00001Fibrocemento"/>
    <x v="20"/>
    <x v="0"/>
  </r>
  <r>
    <n v="7105330101"/>
    <s v="CTO. MP CALIZAS NAL"/>
    <m/>
    <n v="0"/>
    <s v="T"/>
    <s v="M"/>
    <s v="1405330101"/>
    <s v="INV.  CALIZAS NAL"/>
    <s v="EC01"/>
    <s v="CALIZATRI"/>
    <n v="700064"/>
    <x v="0"/>
    <s v="CALIZA TRITURADA"/>
    <m/>
    <m/>
    <s v="FIBROCEMENTO"/>
    <x v="13"/>
    <x v="13"/>
    <s v="7105330101CALIZATRIFibrocemento"/>
    <x v="19"/>
    <x v="0"/>
  </r>
  <r>
    <n v="7199990001"/>
    <s v="CONSUMOS SEMIELBORAD"/>
    <m/>
    <n v="2559.8738397094803"/>
    <s v="T"/>
    <s v="M"/>
    <s v="1410900101"/>
    <s v="INV. SEMIELABORADO"/>
    <s v="EC01"/>
    <s v="CLINKER001"/>
    <n v="700064"/>
    <x v="0"/>
    <s v="CLINKER"/>
    <m/>
    <m/>
    <s v="FIBROCEMENTO"/>
    <x v="13"/>
    <x v="13"/>
    <s v="7199990001CLINKER001Fibrocemento"/>
    <x v="24"/>
    <x v="0"/>
  </r>
  <r>
    <n v="7999999995"/>
    <s v="TRASLADO DE COSTOS"/>
    <m/>
    <n v="-2800.7372425705471"/>
    <s v="T"/>
    <s v="M"/>
    <s v="1410900101"/>
    <s v="INV. SEMIELABORADO"/>
    <s v="EC01"/>
    <s v="CEMENTOFCE"/>
    <n v="700064"/>
    <x v="0"/>
    <s v="FIBROCEMENTO"/>
    <m/>
    <m/>
    <s v="FIBROCEMENTO"/>
    <x v="13"/>
    <x v="13"/>
    <s v="7999999995CEMENTOFCEFibrocemento"/>
    <x v="3"/>
    <x v="0"/>
  </r>
  <r>
    <n v="7355250320"/>
    <s v="RTOS VARIA IMPO"/>
    <n v="4180605.6607851516"/>
    <n v="2800.7372425705471"/>
    <m/>
    <m/>
    <m/>
    <m/>
    <s v="EC01"/>
    <s v="PLACAS Y SEGMENTOS"/>
    <n v="700064"/>
    <x v="0"/>
    <s v="FIBROCEMENTO"/>
    <m/>
    <m/>
    <s v="FIBROCEMENTO"/>
    <x v="13"/>
    <x v="13"/>
    <s v="7355250320PLACAS Y SEGMENTOSFibrocemento"/>
    <x v="25"/>
    <x v="0"/>
  </r>
  <r>
    <n v="7105450101"/>
    <s v="CTO. MP YES/ESCA NAL"/>
    <n v="57501155.153518975"/>
    <n v="247.28358891879955"/>
    <s v="T"/>
    <s v="M"/>
    <s v="1405450101"/>
    <s v="INV.  YES/ESCA NAL"/>
    <s v="EC01"/>
    <s v="YESO00001"/>
    <n v="700064"/>
    <x v="1"/>
    <s v="YESO"/>
    <m/>
    <m/>
    <s v="FIBROCEMENTO"/>
    <x v="13"/>
    <x v="13"/>
    <s v="7105450101YESO00001Fibrocemento"/>
    <x v="20"/>
    <x v="0"/>
  </r>
  <r>
    <n v="7105330101"/>
    <s v="CTO. MP CALIZAS NAL"/>
    <m/>
    <n v="0"/>
    <s v="T"/>
    <s v="M"/>
    <s v="1405330101"/>
    <s v="INV.  CALIZAS NAL"/>
    <s v="EC01"/>
    <s v="CALIZATRI"/>
    <n v="700064"/>
    <x v="1"/>
    <s v="CALIZA TRITURADA"/>
    <m/>
    <m/>
    <s v="FIBROCEMENTO"/>
    <x v="13"/>
    <x v="13"/>
    <s v="7105330101CALIZATRIFibrocemento"/>
    <x v="19"/>
    <x v="0"/>
  </r>
  <r>
    <n v="7199990001"/>
    <s v="CONSUMOS SEMIELBORAD"/>
    <m/>
    <n v="2593.356009378776"/>
    <s v="T"/>
    <s v="M"/>
    <s v="1410900101"/>
    <s v="INV. SEMIELABORADO"/>
    <s v="EC01"/>
    <s v="CLINKER001"/>
    <n v="700064"/>
    <x v="1"/>
    <s v="CLINKER"/>
    <m/>
    <m/>
    <s v="FIBROCEMENTO"/>
    <x v="13"/>
    <x v="13"/>
    <s v="7199990001CLINKER001Fibrocemento"/>
    <x v="24"/>
    <x v="0"/>
  </r>
  <r>
    <n v="7999999995"/>
    <s v="TRASLADO DE COSTOS"/>
    <m/>
    <n v="-2837.3698133247003"/>
    <s v="T"/>
    <s v="M"/>
    <s v="1410900101"/>
    <s v="INV. SEMIELABORADO"/>
    <s v="EC01"/>
    <s v="CEMENTOFCE"/>
    <n v="700064"/>
    <x v="1"/>
    <s v="FIBROCEMENTO"/>
    <m/>
    <m/>
    <s v="FIBROCEMENTO"/>
    <x v="13"/>
    <x v="13"/>
    <s v="7999999995CEMENTOFCEFibrocemento"/>
    <x v="3"/>
    <x v="0"/>
  </r>
  <r>
    <n v="7355250320"/>
    <s v="RTOS VARIA IMPO"/>
    <n v="4235286.3821095722"/>
    <n v="2837.3698133247003"/>
    <m/>
    <m/>
    <m/>
    <m/>
    <s v="EC01"/>
    <s v="PLACAS Y SEGMENTOS"/>
    <n v="700064"/>
    <x v="1"/>
    <s v="FIBROCEMENTO"/>
    <m/>
    <m/>
    <s v="FIBROCEMENTO"/>
    <x v="13"/>
    <x v="13"/>
    <s v="7355250320PLACAS Y SEGMENTOSFibrocemento"/>
    <x v="25"/>
    <x v="0"/>
  </r>
  <r>
    <n v="7105450101"/>
    <s v="CTO. MP YES/ESCA NAL"/>
    <n v="58297947.825787671"/>
    <n v="250.52570256659453"/>
    <s v="T"/>
    <s v="M"/>
    <s v="1405450101"/>
    <s v="INV.  YES/ESCA NAL"/>
    <s v="EC01"/>
    <s v="YESO00001"/>
    <n v="700064"/>
    <x v="2"/>
    <s v="YESO"/>
    <m/>
    <m/>
    <s v="FIBROCEMENTO"/>
    <x v="13"/>
    <x v="13"/>
    <s v="7105450101YESO00001Fibrocemento"/>
    <x v="20"/>
    <x v="0"/>
  </r>
  <r>
    <n v="7105330101"/>
    <s v="CTO. MP CALIZAS NAL"/>
    <m/>
    <n v="0"/>
    <s v="T"/>
    <s v="M"/>
    <s v="1405330101"/>
    <s v="INV.  CALIZAS NAL"/>
    <s v="EC01"/>
    <s v="CALIZATRI"/>
    <n v="700064"/>
    <x v="2"/>
    <s v="CALIZA TRITURADA"/>
    <m/>
    <m/>
    <s v="FIBROCEMENTO"/>
    <x v="13"/>
    <x v="13"/>
    <s v="7105330101CALIZATRIFibrocemento"/>
    <x v="19"/>
    <x v="0"/>
  </r>
  <r>
    <n v="7199990001"/>
    <s v="CONSUMOS SEMIELBORAD"/>
    <m/>
    <n v="2627.3572746805307"/>
    <s v="T"/>
    <s v="M"/>
    <s v="1410900101"/>
    <s v="INV. SEMIELABORADO"/>
    <s v="EC01"/>
    <s v="CLINKER001"/>
    <n v="700064"/>
    <x v="2"/>
    <s v="CLINKER"/>
    <m/>
    <m/>
    <s v="FIBROCEMENTO"/>
    <x v="13"/>
    <x v="13"/>
    <s v="7199990001CLINKER001Fibrocemento"/>
    <x v="24"/>
    <x v="0"/>
  </r>
  <r>
    <n v="7999999995"/>
    <s v="TRASLADO DE COSTOS"/>
    <m/>
    <n v="-2874.5703224075828"/>
    <s v="T"/>
    <s v="M"/>
    <s v="1410900101"/>
    <s v="INV. SEMIELABORADO"/>
    <s v="EC01"/>
    <s v="CEMENTOFCE"/>
    <n v="700064"/>
    <x v="2"/>
    <s v="FIBROCEMENTO"/>
    <m/>
    <m/>
    <s v="FIBROCEMENTO"/>
    <x v="13"/>
    <x v="13"/>
    <s v="7999999995CEMENTOFCEFibrocemento"/>
    <x v="3"/>
    <x v="0"/>
  </r>
  <r>
    <n v="7355250320"/>
    <s v="RTOS VARIA IMPO"/>
    <n v="4290814.8538605487"/>
    <n v="2874.5703224075828"/>
    <m/>
    <m/>
    <m/>
    <m/>
    <s v="EC01"/>
    <s v="PLACAS Y SEGMENTOS"/>
    <n v="700064"/>
    <x v="2"/>
    <s v="FIBROCEMENTO"/>
    <m/>
    <m/>
    <s v="FIBROCEMENTO"/>
    <x v="13"/>
    <x v="13"/>
    <s v="7355250320PLACAS Y SEGMENTOSFibrocemento"/>
    <x v="25"/>
    <x v="0"/>
  </r>
  <r>
    <n v="7105450101"/>
    <s v="CTO. MP YES/ESCA NAL"/>
    <n v="53392097.117234007"/>
    <n v="229.43650290355174"/>
    <s v="T"/>
    <s v="M"/>
    <s v="1405450101"/>
    <s v="INV.  YES/ESCA NAL"/>
    <s v="EC01"/>
    <s v="YESO00001"/>
    <n v="700064"/>
    <x v="3"/>
    <s v="YESO"/>
    <m/>
    <m/>
    <s v="FIBROCEMENTO"/>
    <x v="13"/>
    <x v="13"/>
    <s v="7105450101YESO00001Fibrocemento"/>
    <x v="20"/>
    <x v="0"/>
  </r>
  <r>
    <n v="7105330101"/>
    <s v="CTO. MP CALIZAS NAL"/>
    <m/>
    <n v="0"/>
    <s v="T"/>
    <s v="M"/>
    <s v="1405330101"/>
    <s v="INV.  CALIZAS NAL"/>
    <s v="EC01"/>
    <s v="CALIZATRI"/>
    <n v="700064"/>
    <x v="3"/>
    <s v="CALIZA TRITURADA"/>
    <m/>
    <m/>
    <s v="FIBROCEMENTO"/>
    <x v="13"/>
    <x v="13"/>
    <s v="7105330101CALIZATRIFibrocemento"/>
    <x v="19"/>
    <x v="0"/>
  </r>
  <r>
    <n v="7199990001"/>
    <s v="CONSUMOS SEMIELBORAD"/>
    <m/>
    <n v="2406.1869053961377"/>
    <s v="T"/>
    <s v="M"/>
    <s v="1410900101"/>
    <s v="INV. SEMIELABORADO"/>
    <s v="EC01"/>
    <s v="CLINKER001"/>
    <n v="700064"/>
    <x v="3"/>
    <s v="CLINKER"/>
    <m/>
    <m/>
    <s v="FIBROCEMENTO"/>
    <x v="13"/>
    <x v="13"/>
    <s v="7199990001CLINKER001Fibrocemento"/>
    <x v="24"/>
    <x v="0"/>
  </r>
  <r>
    <n v="7999999995"/>
    <s v="TRASLADO DE COSTOS"/>
    <m/>
    <n v="-2632.5896120307852"/>
    <s v="T"/>
    <s v="M"/>
    <s v="1410900101"/>
    <s v="INV. SEMIELABORADO"/>
    <s v="EC01"/>
    <s v="CEMENTOFCE"/>
    <n v="700064"/>
    <x v="3"/>
    <s v="FIBROCEMENTO"/>
    <m/>
    <m/>
    <s v="FIBROCEMENTO"/>
    <x v="13"/>
    <x v="13"/>
    <s v="7999999995CEMENTOFCEFibrocemento"/>
    <x v="3"/>
    <x v="0"/>
  </r>
  <r>
    <n v="7355250320"/>
    <s v="RTOS VARIA IMPO"/>
    <n v="3929614.9839743003"/>
    <n v="2632.5896120307852"/>
    <m/>
    <m/>
    <m/>
    <m/>
    <s v="EC01"/>
    <s v="PLACAS Y SEGMENTOS"/>
    <n v="700064"/>
    <x v="3"/>
    <s v="FIBROCEMENTO"/>
    <m/>
    <m/>
    <s v="FIBROCEMENTO"/>
    <x v="13"/>
    <x v="13"/>
    <s v="7355250320PLACAS Y SEGMENTOSFibrocemento"/>
    <x v="25"/>
    <x v="0"/>
  </r>
  <r>
    <n v="7105450101"/>
    <s v="CTO. MP YES/ESCA NAL"/>
    <n v="52821738.187578179"/>
    <n v="227.20490578455755"/>
    <s v="T"/>
    <s v="M"/>
    <s v="1405450101"/>
    <s v="INV.  YES/ESCA NAL"/>
    <s v="EC01"/>
    <s v="YESO00001"/>
    <n v="700064"/>
    <x v="4"/>
    <s v="YESO"/>
    <m/>
    <m/>
    <s v="FIBROCEMENTO"/>
    <x v="13"/>
    <x v="13"/>
    <s v="7105450101YESO00001Fibrocemento"/>
    <x v="20"/>
    <x v="0"/>
  </r>
  <r>
    <n v="7105330101"/>
    <s v="CTO. MP CALIZAS NAL"/>
    <m/>
    <n v="0"/>
    <s v="T"/>
    <s v="M"/>
    <s v="1405330101"/>
    <s v="INV.  CALIZAS NAL"/>
    <s v="EC01"/>
    <s v="CALIZATRI"/>
    <n v="700064"/>
    <x v="4"/>
    <s v="CALIZA TRITURADA"/>
    <m/>
    <m/>
    <s v="FIBROCEMENTO"/>
    <x v="13"/>
    <x v="13"/>
    <s v="7105330101CALIZATRIFibrocemento"/>
    <x v="19"/>
    <x v="0"/>
  </r>
  <r>
    <n v="7199990001"/>
    <s v="CONSUMOS SEMIELBORAD"/>
    <m/>
    <n v="2382.7833070240827"/>
    <s v="T"/>
    <s v="M"/>
    <s v="1410900101"/>
    <s v="INV. SEMIELABORADO"/>
    <s v="EC01"/>
    <s v="CLINKER001"/>
    <n v="700064"/>
    <x v="4"/>
    <s v="CLINKER"/>
    <m/>
    <m/>
    <s v="FIBROCEMENTO"/>
    <x v="13"/>
    <x v="13"/>
    <s v="7199990001CLINKER001Fibrocemento"/>
    <x v="24"/>
    <x v="0"/>
  </r>
  <r>
    <n v="7999999995"/>
    <s v="TRASLADO DE COSTOS"/>
    <m/>
    <n v="-2606.9839245340072"/>
    <s v="T"/>
    <s v="M"/>
    <s v="1410900101"/>
    <s v="INV. SEMIELABORADO"/>
    <s v="EC01"/>
    <s v="CEMENTOFCE"/>
    <n v="700064"/>
    <x v="4"/>
    <s v="FIBROCEMENTO"/>
    <m/>
    <m/>
    <s v="FIBROCEMENTO"/>
    <x v="13"/>
    <x v="13"/>
    <s v="7999999995CEMENTOFCEFibrocemento"/>
    <x v="3"/>
    <x v="0"/>
  </r>
  <r>
    <n v="7355250320"/>
    <s v="RTOS VARIA IMPO"/>
    <n v="3891393.8754496477"/>
    <n v="2606.9839245340072"/>
    <m/>
    <m/>
    <m/>
    <m/>
    <s v="EC01"/>
    <s v="PLACAS Y SEGMENTOS"/>
    <n v="700064"/>
    <x v="4"/>
    <s v="FIBROCEMENTO"/>
    <m/>
    <m/>
    <s v="FIBROCEMENTO"/>
    <x v="13"/>
    <x v="13"/>
    <s v="7355250320PLACAS Y SEGMENTOSFibrocemento"/>
    <x v="25"/>
    <x v="0"/>
  </r>
  <r>
    <n v="7105450101"/>
    <s v="CTO. MP YES/ESCA NAL"/>
    <n v="53181857.166528247"/>
    <n v="228.26540912726392"/>
    <s v="T"/>
    <s v="M"/>
    <s v="1405450101"/>
    <s v="INV.  YES/ESCA NAL"/>
    <s v="EC01"/>
    <s v="YESO00001"/>
    <n v="700064"/>
    <x v="5"/>
    <s v="YESO"/>
    <m/>
    <m/>
    <s v="FIBROCEMENTO"/>
    <x v="13"/>
    <x v="13"/>
    <s v="7105450101YESO00001Fibrocemento"/>
    <x v="20"/>
    <x v="0"/>
  </r>
  <r>
    <n v="7105330101"/>
    <s v="CTO. MP CALIZAS NAL"/>
    <m/>
    <n v="0"/>
    <s v="T"/>
    <s v="M"/>
    <s v="1405330101"/>
    <s v="INV.  CALIZAS NAL"/>
    <s v="EC01"/>
    <s v="CALIZATRI"/>
    <n v="700064"/>
    <x v="5"/>
    <s v="CALIZA TRITURADA"/>
    <m/>
    <m/>
    <s v="FIBROCEMENTO"/>
    <x v="13"/>
    <x v="13"/>
    <s v="7105330101CALIZATRIFibrocemento"/>
    <x v="19"/>
    <x v="0"/>
  </r>
  <r>
    <n v="7199990001"/>
    <s v="CONSUMOS SEMIELBORAD"/>
    <m/>
    <n v="2393.9052044730761"/>
    <s v="T"/>
    <s v="M"/>
    <s v="1410900101"/>
    <s v="INV. SEMIELABORADO"/>
    <s v="EC01"/>
    <s v="CLINKER001"/>
    <n v="700064"/>
    <x v="5"/>
    <s v="CLINKER"/>
    <m/>
    <m/>
    <s v="FIBROCEMENTO"/>
    <x v="13"/>
    <x v="13"/>
    <s v="7199990001CLINKER001Fibrocemento"/>
    <x v="24"/>
    <x v="0"/>
  </r>
  <r>
    <n v="7999999995"/>
    <s v="TRASLADO DE COSTOS"/>
    <m/>
    <n v="-2619.1523024869539"/>
    <s v="T"/>
    <s v="M"/>
    <s v="1410900101"/>
    <s v="INV. SEMIELABORADO"/>
    <s v="EC01"/>
    <s v="CEMENTOFCE"/>
    <n v="700064"/>
    <x v="5"/>
    <s v="FIBROCEMENTO"/>
    <m/>
    <m/>
    <s v="FIBROCEMENTO"/>
    <x v="13"/>
    <x v="13"/>
    <s v="7999999995CEMENTOFCEFibrocemento"/>
    <x v="3"/>
    <x v="0"/>
  </r>
  <r>
    <n v="7355250320"/>
    <s v="RTOS VARIA IMPO"/>
    <n v="3909557.3750380529"/>
    <n v="2619.1523024869539"/>
    <m/>
    <m/>
    <m/>
    <m/>
    <s v="EC01"/>
    <s v="PLACAS Y SEGMENTOS"/>
    <n v="700064"/>
    <x v="5"/>
    <s v="FIBROCEMENTO"/>
    <m/>
    <m/>
    <s v="FIBROCEMENTO"/>
    <x v="13"/>
    <x v="13"/>
    <s v="7355250320PLACAS Y SEGMENTOSFibrocemento"/>
    <x v="25"/>
    <x v="0"/>
  </r>
  <r>
    <n v="7105450101"/>
    <s v="CTO. MP YES/ESCA NAL"/>
    <n v="61610271.779477954"/>
    <n v="264.94348492734935"/>
    <s v="T"/>
    <s v="M"/>
    <s v="1405450101"/>
    <s v="INV.  YES/ESCA NAL"/>
    <s v="EC01"/>
    <s v="YESO00001"/>
    <n v="700064"/>
    <x v="6"/>
    <s v="YESO"/>
    <m/>
    <m/>
    <s v="FIBROCEMENTO"/>
    <x v="13"/>
    <x v="13"/>
    <s v="7105450101YESO00001Fibrocemento"/>
    <x v="20"/>
    <x v="0"/>
  </r>
  <r>
    <n v="7105330101"/>
    <s v="CTO. MP CALIZAS NAL"/>
    <m/>
    <n v="0"/>
    <s v="T"/>
    <s v="M"/>
    <s v="1405330101"/>
    <s v="INV.  CALIZAS NAL"/>
    <s v="EC01"/>
    <s v="CALIZATRI"/>
    <n v="700064"/>
    <x v="6"/>
    <s v="CALIZA TRITURADA"/>
    <m/>
    <m/>
    <s v="FIBROCEMENTO"/>
    <x v="13"/>
    <x v="13"/>
    <s v="7105330101CALIZATRIFibrocemento"/>
    <x v="19"/>
    <x v="0"/>
  </r>
  <r>
    <n v="7199990001"/>
    <s v="CONSUMOS SEMIELBORAD"/>
    <m/>
    <n v="2778.5619813521762"/>
    <s v="T"/>
    <s v="M"/>
    <s v="1410900101"/>
    <s v="INV. SEMIELABORADO"/>
    <s v="EC01"/>
    <s v="CLINKER001"/>
    <n v="700064"/>
    <x v="6"/>
    <s v="CLINKER"/>
    <m/>
    <m/>
    <s v="FIBROCEMENTO"/>
    <x v="13"/>
    <x v="13"/>
    <s v="7199990001CLINKER001Fibrocemento"/>
    <x v="24"/>
    <x v="0"/>
  </r>
  <r>
    <n v="7999999995"/>
    <s v="TRASLADO DE COSTOS"/>
    <m/>
    <n v="-3040.0021677813743"/>
    <s v="T"/>
    <s v="M"/>
    <s v="1410900101"/>
    <s v="INV. SEMIELABORADO"/>
    <s v="EC01"/>
    <s v="CEMENTOFCE"/>
    <n v="700064"/>
    <x v="6"/>
    <s v="FIBROCEMENTO"/>
    <m/>
    <m/>
    <s v="FIBROCEMENTO"/>
    <x v="13"/>
    <x v="13"/>
    <s v="7999999995CEMENTOFCEFibrocemento"/>
    <x v="3"/>
    <x v="0"/>
  </r>
  <r>
    <n v="7355250320"/>
    <s v="RTOS VARIA IMPO"/>
    <n v="4537751.7313125171"/>
    <n v="3040.0021677813743"/>
    <m/>
    <m/>
    <m/>
    <m/>
    <s v="EC01"/>
    <s v="PLACAS Y SEGMENTOS"/>
    <n v="700064"/>
    <x v="6"/>
    <s v="FIBROCEMENTO"/>
    <m/>
    <m/>
    <s v="FIBROCEMENTO"/>
    <x v="13"/>
    <x v="13"/>
    <s v="7355250320PLACAS Y SEGMENTOSFibrocemento"/>
    <x v="25"/>
    <x v="0"/>
  </r>
  <r>
    <n v="7105450101"/>
    <s v="CTO. MP YES/ESCA NAL"/>
    <n v="55964882.15552143"/>
    <n v="240.73949991685245"/>
    <s v="T"/>
    <s v="M"/>
    <s v="1405450101"/>
    <s v="INV.  YES/ESCA NAL"/>
    <s v="EC01"/>
    <s v="YESO00001"/>
    <n v="700064"/>
    <x v="7"/>
    <s v="YESO"/>
    <m/>
    <m/>
    <s v="FIBROCEMENTO"/>
    <x v="13"/>
    <x v="13"/>
    <s v="7105450101YESO00001Fibrocemento"/>
    <x v="20"/>
    <x v="0"/>
  </r>
  <r>
    <n v="7105330101"/>
    <s v="CTO. MP CALIZAS NAL"/>
    <m/>
    <n v="0"/>
    <s v="T"/>
    <s v="M"/>
    <s v="1405330101"/>
    <s v="INV.  CALIZAS NAL"/>
    <s v="EC01"/>
    <s v="CALIZATRI"/>
    <n v="700064"/>
    <x v="7"/>
    <s v="CALIZA TRITURADA"/>
    <m/>
    <m/>
    <s v="FIBROCEMENTO"/>
    <x v="13"/>
    <x v="13"/>
    <s v="7105330101CALIZATRIFibrocemento"/>
    <x v="19"/>
    <x v="0"/>
  </r>
  <r>
    <n v="7199990001"/>
    <s v="CONSUMOS SEMIELBORAD"/>
    <m/>
    <n v="2524.7256865445265"/>
    <s v="T"/>
    <s v="M"/>
    <s v="1410900101"/>
    <s v="INV. SEMIELABORADO"/>
    <s v="EC01"/>
    <s v="CLINKER001"/>
    <n v="700064"/>
    <x v="7"/>
    <s v="CLINKER"/>
    <m/>
    <m/>
    <s v="FIBROCEMENTO"/>
    <x v="13"/>
    <x v="13"/>
    <s v="7199990001CLINKER001Fibrocemento"/>
    <x v="24"/>
    <x v="0"/>
  </r>
  <r>
    <n v="7999999995"/>
    <s v="TRASLADO DE COSTOS"/>
    <m/>
    <n v="-2762.2819327620641"/>
    <s v="T"/>
    <s v="M"/>
    <s v="1410900101"/>
    <s v="INV. SEMIELABORADO"/>
    <s v="EC01"/>
    <s v="CEMENTOFCE"/>
    <n v="700064"/>
    <x v="7"/>
    <s v="FIBROCEMENTO"/>
    <m/>
    <m/>
    <s v="FIBROCEMENTO"/>
    <x v="13"/>
    <x v="13"/>
    <s v="7999999995CEMENTOFCEFibrocemento"/>
    <x v="3"/>
    <x v="0"/>
  </r>
  <r>
    <n v="7355250320"/>
    <s v="RTOS VARIA IMPO"/>
    <n v="4123204.1725523472"/>
    <n v="2762.2819327620641"/>
    <m/>
    <m/>
    <m/>
    <m/>
    <s v="EC01"/>
    <s v="PLACAS Y SEGMENTOS"/>
    <n v="700064"/>
    <x v="7"/>
    <s v="FIBROCEMENTO"/>
    <m/>
    <m/>
    <s v="FIBROCEMENTO"/>
    <x v="13"/>
    <x v="13"/>
    <s v="7355250320PLACAS Y SEGMENTOSFibrocemento"/>
    <x v="25"/>
    <x v="0"/>
  </r>
  <r>
    <n v="7105450101"/>
    <s v="CTO. MP YES/ESCA NAL"/>
    <n v="59192130.221985012"/>
    <n v="254.48836982969985"/>
    <s v="T"/>
    <s v="M"/>
    <s v="1405450101"/>
    <s v="INV.  YES/ESCA NAL"/>
    <s v="EC01"/>
    <s v="YESO00001"/>
    <n v="700064"/>
    <x v="8"/>
    <s v="YESO"/>
    <m/>
    <m/>
    <s v="FIBROCEMENTO"/>
    <x v="13"/>
    <x v="13"/>
    <s v="7105450101YESO00001Fibrocemento"/>
    <x v="20"/>
    <x v="0"/>
  </r>
  <r>
    <n v="7105330101"/>
    <s v="CTO. MP CALIZAS NAL"/>
    <m/>
    <n v="0"/>
    <s v="T"/>
    <s v="M"/>
    <s v="1405330101"/>
    <s v="INV.  CALIZAS NAL"/>
    <s v="EC01"/>
    <s v="CALIZATRI"/>
    <n v="700064"/>
    <x v="8"/>
    <s v="CALIZA TRITURADA"/>
    <m/>
    <m/>
    <s v="FIBROCEMENTO"/>
    <x v="13"/>
    <x v="13"/>
    <s v="7105330101CALIZATRIFibrocemento"/>
    <x v="19"/>
    <x v="0"/>
  </r>
  <r>
    <n v="7199990001"/>
    <s v="CONSUMOS SEMIELBORAD"/>
    <m/>
    <n v="2668.91525677257"/>
    <s v="T"/>
    <s v="M"/>
    <s v="1410900101"/>
    <s v="INV. SEMIELABORADO"/>
    <s v="EC01"/>
    <s v="CLINKER001"/>
    <n v="700064"/>
    <x v="8"/>
    <s v="CLINKER"/>
    <m/>
    <m/>
    <s v="FIBROCEMENTO"/>
    <x v="13"/>
    <x v="13"/>
    <s v="7199990001CLINKER001Fibrocemento"/>
    <x v="24"/>
    <x v="0"/>
  </r>
  <r>
    <n v="7999999995"/>
    <s v="TRASLADO DE COSTOS"/>
    <m/>
    <n v="-2920.0385741494201"/>
    <s v="T"/>
    <s v="M"/>
    <s v="1410900101"/>
    <s v="INV. SEMIELABORADO"/>
    <s v="EC01"/>
    <s v="CEMENTOFCE"/>
    <n v="700064"/>
    <x v="8"/>
    <s v="FIBROCEMENTO"/>
    <m/>
    <m/>
    <s v="FIBROCEMENTO"/>
    <x v="13"/>
    <x v="13"/>
    <s v="7999999995CEMENTOFCEFibrocemento"/>
    <x v="3"/>
    <x v="0"/>
  </r>
  <r>
    <n v="7355250320"/>
    <s v="RTOS VARIA IMPO"/>
    <n v="4358684.4232470253"/>
    <n v="2920.0385741494201"/>
    <m/>
    <m/>
    <m/>
    <m/>
    <s v="EC01"/>
    <s v="PLACAS Y SEGMENTOS"/>
    <n v="700064"/>
    <x v="8"/>
    <s v="FIBROCEMENTO"/>
    <m/>
    <m/>
    <s v="FIBROCEMENTO"/>
    <x v="13"/>
    <x v="13"/>
    <s v="7355250320PLACAS Y SEGMENTOSFibrocemento"/>
    <x v="25"/>
    <x v="0"/>
  </r>
  <r>
    <n v="7105450101"/>
    <s v="CTO. MP YES/ESCA NAL"/>
    <n v="62426116.483601362"/>
    <n v="268.24927142584579"/>
    <s v="T"/>
    <s v="M"/>
    <s v="1405450101"/>
    <s v="INV.  YES/ESCA NAL"/>
    <s v="EC01"/>
    <s v="YESO00001"/>
    <n v="700064"/>
    <x v="9"/>
    <s v="YESO"/>
    <m/>
    <m/>
    <s v="FIBROCEMENTO"/>
    <x v="13"/>
    <x v="13"/>
    <s v="7105450101YESO00001Fibrocemento"/>
    <x v="20"/>
    <x v="0"/>
  </r>
  <r>
    <n v="7105330101"/>
    <s v="CTO. MP CALIZAS NAL"/>
    <m/>
    <n v="0"/>
    <s v="T"/>
    <s v="M"/>
    <s v="1405330101"/>
    <s v="INV.  CALIZAS NAL"/>
    <s v="EC01"/>
    <s v="CALIZATRI"/>
    <n v="700064"/>
    <x v="9"/>
    <s v="CALIZA TRITURADA"/>
    <m/>
    <m/>
    <s v="FIBROCEMENTO"/>
    <x v="13"/>
    <x v="13"/>
    <s v="7105330101CALIZATRIFibrocemento"/>
    <x v="19"/>
    <x v="0"/>
  </r>
  <r>
    <n v="7199990001"/>
    <s v="CONSUMOS SEMIELBORAD"/>
    <m/>
    <n v="2813.2310077889206"/>
    <s v="T"/>
    <s v="M"/>
    <s v="1410900101"/>
    <s v="INV. SEMIELABORADO"/>
    <s v="EC01"/>
    <s v="CLINKER001"/>
    <n v="700064"/>
    <x v="9"/>
    <s v="CLINKER"/>
    <m/>
    <m/>
    <s v="FIBROCEMENTO"/>
    <x v="13"/>
    <x v="13"/>
    <s v="7199990001CLINKER001Fibrocemento"/>
    <x v="24"/>
    <x v="0"/>
  </r>
  <r>
    <n v="7999999995"/>
    <s v="TRASLADO DE COSTOS"/>
    <m/>
    <n v="-3077.9332689156681"/>
    <s v="T"/>
    <s v="M"/>
    <s v="1410900101"/>
    <s v="INV. SEMIELABORADO"/>
    <s v="EC01"/>
    <s v="CEMENTOFCE"/>
    <n v="700064"/>
    <x v="9"/>
    <s v="FIBROCEMENTO"/>
    <m/>
    <m/>
    <s v="FIBROCEMENTO"/>
    <x v="13"/>
    <x v="13"/>
    <s v="7999999995CEMENTOFCEFibrocemento"/>
    <x v="3"/>
    <x v="0"/>
  </r>
  <r>
    <n v="7355250320"/>
    <s v="RTOS VARIA IMPO"/>
    <n v="4594370.7435181392"/>
    <n v="3077.9332689156681"/>
    <m/>
    <m/>
    <m/>
    <m/>
    <s v="EC01"/>
    <s v="PLACAS Y SEGMENTOS"/>
    <n v="700064"/>
    <x v="9"/>
    <s v="FIBROCEMENTO"/>
    <m/>
    <m/>
    <s v="FIBROCEMENTO"/>
    <x v="13"/>
    <x v="13"/>
    <s v="7355250320PLACAS Y SEGMENTOSFibrocemento"/>
    <x v="25"/>
    <x v="0"/>
  </r>
  <r>
    <n v="7105450101"/>
    <s v="CTO. MP YES/ESCA NAL"/>
    <n v="57762311.37075609"/>
    <n v="248.45332815011938"/>
    <s v="T"/>
    <s v="M"/>
    <s v="1405450101"/>
    <s v="INV.  YES/ESCA NAL"/>
    <s v="EC01"/>
    <s v="YESO00001"/>
    <n v="700064"/>
    <x v="10"/>
    <s v="YESO"/>
    <m/>
    <m/>
    <s v="FIBROCEMENTO"/>
    <x v="13"/>
    <x v="13"/>
    <s v="7105450101YESO00001Fibrocemento"/>
    <x v="20"/>
    <x v="0"/>
  </r>
  <r>
    <n v="7105330101"/>
    <s v="CTO. MP CALIZAS NAL"/>
    <m/>
    <n v="0"/>
    <s v="T"/>
    <s v="M"/>
    <s v="1405330101"/>
    <s v="INV.  CALIZAS NAL"/>
    <s v="EC01"/>
    <s v="CALIZATRI"/>
    <n v="700064"/>
    <x v="10"/>
    <s v="CALIZA TRITURADA"/>
    <m/>
    <m/>
    <s v="FIBROCEMENTO"/>
    <x v="13"/>
    <x v="13"/>
    <s v="7105330101CALIZATRIFibrocemento"/>
    <x v="19"/>
    <x v="0"/>
  </r>
  <r>
    <n v="7199990001"/>
    <s v="CONSUMOS SEMIELBORAD"/>
    <m/>
    <n v="2605.6235046792654"/>
    <s v="T"/>
    <s v="M"/>
    <s v="1410900101"/>
    <s v="INV. SEMIELABORADO"/>
    <s v="EC01"/>
    <s v="CLINKER001"/>
    <n v="700064"/>
    <x v="10"/>
    <s v="CLINKER"/>
    <m/>
    <m/>
    <s v="FIBROCEMENTO"/>
    <x v="13"/>
    <x v="13"/>
    <s v="7199990001CLINKER001Fibrocemento"/>
    <x v="24"/>
    <x v="0"/>
  </r>
  <r>
    <n v="7999999995"/>
    <s v="TRASLADO DE COSTOS"/>
    <m/>
    <n v="-2850.7915806118876"/>
    <s v="T"/>
    <s v="M"/>
    <s v="1410900101"/>
    <s v="INV. SEMIELABORADO"/>
    <s v="EC01"/>
    <s v="CEMENTOFCE"/>
    <n v="700064"/>
    <x v="10"/>
    <s v="FIBROCEMENTO"/>
    <m/>
    <m/>
    <s v="FIBROCEMENTO"/>
    <x v="13"/>
    <x v="13"/>
    <s v="7999999995CEMENTOFCEFibrocemento"/>
    <x v="3"/>
    <x v="0"/>
  </r>
  <r>
    <n v="7355250320"/>
    <s v="RTOS VARIA IMPO"/>
    <n v="4255320.791423548"/>
    <n v="2850.7915806118876"/>
    <m/>
    <m/>
    <m/>
    <m/>
    <s v="EC01"/>
    <s v="PLACAS Y SEGMENTOS"/>
    <n v="700064"/>
    <x v="10"/>
    <s v="FIBROCEMENTO"/>
    <m/>
    <m/>
    <s v="FIBROCEMENTO"/>
    <x v="13"/>
    <x v="13"/>
    <s v="7355250320PLACAS Y SEGMENTOSFibrocemento"/>
    <x v="25"/>
    <x v="0"/>
  </r>
  <r>
    <n v="7105450101"/>
    <s v="CTO. MP YES/ESCA NAL"/>
    <n v="55139281.232407533"/>
    <n v="236.91699158411433"/>
    <s v="T"/>
    <s v="M"/>
    <s v="1405450101"/>
    <s v="INV.  YES/ESCA NAL"/>
    <s v="EC01"/>
    <s v="YESO00001"/>
    <n v="700064"/>
    <x v="11"/>
    <s v="YESO"/>
    <m/>
    <m/>
    <s v="FIBROCEMENTO"/>
    <x v="13"/>
    <x v="13"/>
    <s v="7105450101YESO00001Fibrocemento"/>
    <x v="20"/>
    <x v="0"/>
  </r>
  <r>
    <n v="7105330101"/>
    <s v="CTO. MP CALIZAS NAL"/>
    <m/>
    <n v="0"/>
    <s v="T"/>
    <s v="M"/>
    <s v="1405330101"/>
    <s v="INV.  CALIZAS NAL"/>
    <s v="EC01"/>
    <s v="CALIZATRI"/>
    <n v="700064"/>
    <x v="11"/>
    <s v="CALIZA TRITURADA"/>
    <m/>
    <m/>
    <s v="FIBROCEMENTO"/>
    <x v="13"/>
    <x v="13"/>
    <s v="7105330101CALIZATRIFibrocemento"/>
    <x v="19"/>
    <x v="0"/>
  </r>
  <r>
    <n v="7199990001"/>
    <s v="CONSUMOS SEMIELBORAD"/>
    <m/>
    <n v="2484.6376038741396"/>
    <s v="T"/>
    <s v="M"/>
    <s v="1410900101"/>
    <s v="INV. SEMIELABORADO"/>
    <s v="EC01"/>
    <s v="CLINKER001"/>
    <n v="700064"/>
    <x v="11"/>
    <s v="CLINKER"/>
    <m/>
    <m/>
    <s v="FIBROCEMENTO"/>
    <x v="13"/>
    <x v="13"/>
    <s v="7199990001CLINKER001Fibrocemento"/>
    <x v="24"/>
    <x v="0"/>
  </r>
  <r>
    <n v="7999999995"/>
    <s v="TRASLADO DE COSTOS"/>
    <m/>
    <n v="-2718.4218860767392"/>
    <s v="T"/>
    <s v="M"/>
    <s v="1410900101"/>
    <s v="INV. SEMIELABORADO"/>
    <s v="EC01"/>
    <s v="CEMENTOFCE"/>
    <n v="700064"/>
    <x v="11"/>
    <s v="FIBROCEMENTO"/>
    <m/>
    <m/>
    <s v="FIBROCEMENTO"/>
    <x v="13"/>
    <x v="13"/>
    <s v="7999999995CEMENTOFCEFibrocemento"/>
    <x v="3"/>
    <x v="0"/>
  </r>
  <r>
    <n v="7355250320"/>
    <s v="RTOS VARIA IMPO"/>
    <n v="4057735.1393749686"/>
    <n v="2718.4218860767392"/>
    <m/>
    <m/>
    <m/>
    <m/>
    <s v="EC01"/>
    <s v="PLACAS Y SEGMENTOS"/>
    <n v="700064"/>
    <x v="11"/>
    <s v="FIBROCEMENTO"/>
    <m/>
    <m/>
    <s v="FIBROCEMENTO"/>
    <x v="13"/>
    <x v="13"/>
    <s v="7355250320PLACAS Y SEGMENTOSFibrocemento"/>
    <x v="25"/>
    <x v="0"/>
  </r>
  <r>
    <n v="7355050105"/>
    <s v="CTO COMBUS LIQ NAC"/>
    <m/>
    <n v="2800.7372425705471"/>
    <s v="UN"/>
    <s v="M"/>
    <s v="1455050105"/>
    <s v="INV COMBUST LIQ NAC"/>
    <s v="EC01"/>
    <n v="70000000000"/>
    <n v="700064"/>
    <x v="0"/>
    <s v="GASOIL"/>
    <m/>
    <m/>
    <s v="FIBROCEMENTO"/>
    <x v="13"/>
    <x v="13"/>
    <s v="735505010570000000000Fibrocemento"/>
    <x v="14"/>
    <x v="0"/>
  </r>
  <r>
    <n v="7355050105"/>
    <s v="CTO COMBUS LIQ NAC"/>
    <m/>
    <n v="2837.3698133247003"/>
    <s v="UN"/>
    <s v="M"/>
    <s v="1455050105"/>
    <s v="INV COMBUST LIQ NAC"/>
    <s v="EC01"/>
    <n v="70000000000"/>
    <n v="700064"/>
    <x v="1"/>
    <s v="GASOIL"/>
    <m/>
    <m/>
    <s v="FIBROCEMENTO"/>
    <x v="13"/>
    <x v="13"/>
    <s v="735505010570000000000Fibrocemento"/>
    <x v="14"/>
    <x v="0"/>
  </r>
  <r>
    <n v="7355050105"/>
    <s v="CTO COMBUS LIQ NAC"/>
    <m/>
    <n v="2874.5703224075828"/>
    <s v="UN"/>
    <s v="M"/>
    <s v="1455050105"/>
    <s v="INV COMBUST LIQ NAC"/>
    <s v="EC01"/>
    <n v="70000000000"/>
    <n v="700064"/>
    <x v="2"/>
    <s v="GASOIL"/>
    <m/>
    <m/>
    <s v="FIBROCEMENTO"/>
    <x v="13"/>
    <x v="13"/>
    <s v="735505010570000000000Fibrocemento"/>
    <x v="14"/>
    <x v="0"/>
  </r>
  <r>
    <n v="7355050105"/>
    <s v="CTO COMBUS LIQ NAC"/>
    <m/>
    <n v="2632.5896120307852"/>
    <s v="UN"/>
    <s v="M"/>
    <s v="1455050105"/>
    <s v="INV COMBUST LIQ NAC"/>
    <s v="EC01"/>
    <n v="70000000000"/>
    <n v="700064"/>
    <x v="3"/>
    <s v="GASOIL"/>
    <m/>
    <m/>
    <s v="FIBROCEMENTO"/>
    <x v="13"/>
    <x v="13"/>
    <s v="735505010570000000000Fibrocemento"/>
    <x v="14"/>
    <x v="0"/>
  </r>
  <r>
    <n v="7355050105"/>
    <s v="CTO COMBUS LIQ NAC"/>
    <m/>
    <n v="2606.9839245340072"/>
    <s v="UN"/>
    <s v="M"/>
    <s v="1455050105"/>
    <s v="INV COMBUST LIQ NAC"/>
    <s v="EC01"/>
    <n v="70000000000"/>
    <n v="700064"/>
    <x v="4"/>
    <s v="GASOIL"/>
    <m/>
    <m/>
    <s v="FIBROCEMENTO"/>
    <x v="13"/>
    <x v="13"/>
    <s v="735505010570000000000Fibrocemento"/>
    <x v="14"/>
    <x v="0"/>
  </r>
  <r>
    <n v="7355050105"/>
    <s v="CTO COMBUS LIQ NAC"/>
    <m/>
    <n v="2619.1523024869539"/>
    <s v="UN"/>
    <s v="M"/>
    <s v="1455050105"/>
    <s v="INV COMBUST LIQ NAC"/>
    <s v="EC01"/>
    <n v="70000000000"/>
    <n v="700064"/>
    <x v="5"/>
    <s v="GASOIL"/>
    <m/>
    <m/>
    <s v="FIBROCEMENTO"/>
    <x v="13"/>
    <x v="13"/>
    <s v="735505010570000000000Fibrocemento"/>
    <x v="14"/>
    <x v="0"/>
  </r>
  <r>
    <n v="7355050105"/>
    <s v="CTO COMBUS LIQ NAC"/>
    <m/>
    <n v="3040.0021677813743"/>
    <s v="UN"/>
    <s v="M"/>
    <s v="1455050105"/>
    <s v="INV COMBUST LIQ NAC"/>
    <s v="EC01"/>
    <n v="70000000000"/>
    <n v="700064"/>
    <x v="6"/>
    <s v="GASOIL"/>
    <m/>
    <m/>
    <s v="FIBROCEMENTO"/>
    <x v="13"/>
    <x v="13"/>
    <s v="735505010570000000000Fibrocemento"/>
    <x v="14"/>
    <x v="0"/>
  </r>
  <r>
    <n v="7355050105"/>
    <s v="CTO COMBUS LIQ NAC"/>
    <m/>
    <n v="2762.2819327620641"/>
    <s v="UN"/>
    <s v="M"/>
    <s v="1455050105"/>
    <s v="INV COMBUST LIQ NAC"/>
    <s v="EC01"/>
    <n v="70000000000"/>
    <n v="700064"/>
    <x v="7"/>
    <s v="GASOIL"/>
    <m/>
    <m/>
    <s v="FIBROCEMENTO"/>
    <x v="13"/>
    <x v="13"/>
    <s v="735505010570000000000Fibrocemento"/>
    <x v="14"/>
    <x v="0"/>
  </r>
  <r>
    <n v="7355050105"/>
    <s v="CTO COMBUS LIQ NAC"/>
    <m/>
    <n v="2920.0385741494201"/>
    <s v="UN"/>
    <s v="M"/>
    <s v="1455050105"/>
    <s v="INV COMBUST LIQ NAC"/>
    <s v="EC01"/>
    <n v="70000000000"/>
    <n v="700064"/>
    <x v="8"/>
    <s v="GASOIL"/>
    <m/>
    <m/>
    <s v="FIBROCEMENTO"/>
    <x v="13"/>
    <x v="13"/>
    <s v="735505010570000000000Fibrocemento"/>
    <x v="14"/>
    <x v="0"/>
  </r>
  <r>
    <n v="7355050105"/>
    <s v="CTO COMBUS LIQ NAC"/>
    <m/>
    <n v="3077.9332689156681"/>
    <s v="UN"/>
    <s v="M"/>
    <s v="1455050105"/>
    <s v="INV COMBUST LIQ NAC"/>
    <s v="EC01"/>
    <n v="70000000000"/>
    <n v="700064"/>
    <x v="9"/>
    <s v="GASOIL"/>
    <m/>
    <m/>
    <s v="FIBROCEMENTO"/>
    <x v="13"/>
    <x v="13"/>
    <s v="735505010570000000000Fibrocemento"/>
    <x v="14"/>
    <x v="0"/>
  </r>
  <r>
    <n v="7355050105"/>
    <s v="CTO COMBUS LIQ NAC"/>
    <m/>
    <n v="2850.7915806118876"/>
    <s v="UN"/>
    <s v="M"/>
    <s v="1455050105"/>
    <s v="INV COMBUST LIQ NAC"/>
    <s v="EC01"/>
    <n v="70000000000"/>
    <n v="700064"/>
    <x v="10"/>
    <s v="GASOIL"/>
    <m/>
    <m/>
    <s v="FIBROCEMENTO"/>
    <x v="13"/>
    <x v="13"/>
    <s v="735505010570000000000Fibrocemento"/>
    <x v="14"/>
    <x v="0"/>
  </r>
  <r>
    <n v="7355050105"/>
    <s v="CTO COMBUS LIQ NAC"/>
    <m/>
    <n v="2718.4218860767392"/>
    <s v="UN"/>
    <s v="M"/>
    <s v="1455050105"/>
    <s v="INV COMBUST LIQ NAC"/>
    <s v="EC01"/>
    <n v="70000000000"/>
    <n v="700064"/>
    <x v="11"/>
    <s v="GASOIL"/>
    <m/>
    <m/>
    <s v="FIBROCEMENTO"/>
    <x v="13"/>
    <x v="13"/>
    <s v="735505010570000000000Fibrocemento"/>
    <x v="14"/>
    <x v="0"/>
  </r>
  <r>
    <n v="7199990001"/>
    <s v="CONSUMOS SEMIELBORAD"/>
    <m/>
    <m/>
    <s v="T"/>
    <s v="M"/>
    <s v="1410900101"/>
    <s v="INV. SEMIELABORADO"/>
    <s v="EC01"/>
    <s v="CEMENTOART"/>
    <n v="700100"/>
    <x v="0"/>
    <s v="CEMENTO ART"/>
    <m/>
    <m/>
    <s v="CEMENTO BIG BAG 1,5 TONELADAS"/>
    <x v="15"/>
    <x v="15"/>
    <s v="7199990001CEMENTOARTCEMENTO BIG BAG 1,5 TONELADAS"/>
    <x v="30"/>
    <x v="0"/>
  </r>
  <r>
    <n v="7360050302"/>
    <s v="BIG BAG 1,5 TONELADAS"/>
    <m/>
    <m/>
    <s v="UN"/>
    <s v="M"/>
    <s v="1460050302"/>
    <s v="INV BOLSAS IMP"/>
    <s v="EC01"/>
    <n v="22000000001"/>
    <n v="700100"/>
    <x v="0"/>
    <s v="CEMENTO EMPACADO EN BIG BAG 1,5 TONELADAS"/>
    <m/>
    <m/>
    <s v="CEMENTO BIG BAG 1,5 TONELADAS"/>
    <x v="15"/>
    <x v="15"/>
    <s v="736005030222000000001CEMENTO BIG BAG 1,5 TONELADAS"/>
    <x v="27"/>
    <x v="0"/>
  </r>
  <r>
    <n v="7999999995"/>
    <s v="TRASLADO DE COSTOS"/>
    <m/>
    <m/>
    <s v="UN"/>
    <s v="M"/>
    <s v="1430050101"/>
    <s v="INV. PTO MANUFACTURA"/>
    <s v="EC01"/>
    <s v="CEMARTBB"/>
    <n v="700100"/>
    <x v="0"/>
    <s v="CEMENTO BIGBAG ART"/>
    <m/>
    <m/>
    <s v="CEMENTO BIG BAG 1,5 TONELADAS"/>
    <x v="15"/>
    <x v="15"/>
    <s v="7999999995CEMARTBBCEMENTO BIG BAG 1,5 TONELADAS"/>
    <x v="3"/>
    <x v="0"/>
  </r>
  <r>
    <n v="7199990001"/>
    <s v="CONSUMOS SEMIELBORAD"/>
    <m/>
    <m/>
    <s v="T"/>
    <s v="M"/>
    <s v="1410900101"/>
    <s v="INV. SEMIELABORADO"/>
    <s v="EC01"/>
    <s v="CEMENTOART"/>
    <n v="700100"/>
    <x v="1"/>
    <s v="CEMENTO ART"/>
    <m/>
    <m/>
    <s v="CEMENTO BIG BAG 1,5 TONELADAS"/>
    <x v="15"/>
    <x v="15"/>
    <s v="7199990001CEMENTOARTCEMENTO BIG BAG 1,5 TONELADAS"/>
    <x v="30"/>
    <x v="0"/>
  </r>
  <r>
    <n v="7360050302"/>
    <s v="CTO BOLSAS IMP"/>
    <m/>
    <m/>
    <s v="UN"/>
    <s v="M"/>
    <s v="1460050302"/>
    <s v="INV BOLSAS IMP"/>
    <s v="EC01"/>
    <n v="22000000001"/>
    <n v="700100"/>
    <x v="1"/>
    <s v="CEMENTO EMPACADO EN BIG BAG 1,5 TONELADAS"/>
    <m/>
    <m/>
    <s v="CEMENTO BIG BAG 1,5 TONELADAS"/>
    <x v="15"/>
    <x v="15"/>
    <s v="736005030222000000001CEMENTO BIG BAG 1,5 TONELADAS"/>
    <x v="27"/>
    <x v="0"/>
  </r>
  <r>
    <n v="7999999995"/>
    <s v="TRASLADO DE COSTOS"/>
    <m/>
    <m/>
    <s v="UN"/>
    <s v="M"/>
    <s v="1430050101"/>
    <s v="INV. PTO MANUFACTURA"/>
    <s v="EC01"/>
    <s v="CEMARTBB"/>
    <n v="700100"/>
    <x v="1"/>
    <s v="CEMENTO BIGBAG ART"/>
    <m/>
    <m/>
    <s v="CEMENTO BIG BAG 1,5 TONELADAS"/>
    <x v="15"/>
    <x v="15"/>
    <s v="7999999995CEMARTBBCEMENTO BIG BAG 1,5 TONELADAS"/>
    <x v="3"/>
    <x v="0"/>
  </r>
  <r>
    <n v="7199990001"/>
    <s v="CONSUMOS SEMIELBORAD"/>
    <m/>
    <m/>
    <s v="T"/>
    <s v="M"/>
    <s v="1410900101"/>
    <s v="INV. SEMIELABORADO"/>
    <s v="EC01"/>
    <s v="CEMENTOART"/>
    <n v="700100"/>
    <x v="2"/>
    <s v="CEMENTO ART"/>
    <m/>
    <m/>
    <s v="CEMENTO BIG BAG 1,5 TONELADAS"/>
    <x v="15"/>
    <x v="15"/>
    <s v="7199990001CEMENTOARTCEMENTO BIG BAG 1,5 TONELADAS"/>
    <x v="30"/>
    <x v="0"/>
  </r>
  <r>
    <n v="7360050302"/>
    <s v="CTO BOLSAS IMP"/>
    <m/>
    <m/>
    <s v="UN"/>
    <s v="M"/>
    <s v="1460050302"/>
    <s v="INV BOLSAS IMP"/>
    <s v="EC01"/>
    <n v="22000000001"/>
    <n v="700100"/>
    <x v="2"/>
    <s v="CEMENTO EMPACADO EN BIG BAG 1,5 TONELADAS"/>
    <m/>
    <m/>
    <s v="CEMENTO BIG BAG 1,5 TONELADAS"/>
    <x v="15"/>
    <x v="15"/>
    <s v="736005030222000000001CEMENTO BIG BAG 1,5 TONELADAS"/>
    <x v="27"/>
    <x v="0"/>
  </r>
  <r>
    <n v="7999999995"/>
    <s v="TRASLADO DE COSTOS"/>
    <m/>
    <m/>
    <s v="UN"/>
    <s v="M"/>
    <s v="1430050101"/>
    <s v="INV. PTO MANUFACTURA"/>
    <s v="EC01"/>
    <s v="CEMARTBB"/>
    <n v="700100"/>
    <x v="2"/>
    <s v="CEMENTO BIGBAG ART"/>
    <m/>
    <m/>
    <s v="CEMENTO BIG BAG 1,5 TONELADAS"/>
    <x v="15"/>
    <x v="15"/>
    <s v="7999999995CEMARTBBCEMENTO BIG BAG 1,5 TONELADAS"/>
    <x v="3"/>
    <x v="0"/>
  </r>
  <r>
    <n v="7199990001"/>
    <s v="CONSUMOS SEMIELBORAD"/>
    <m/>
    <m/>
    <s v="T"/>
    <s v="M"/>
    <s v="1410900101"/>
    <s v="INV. SEMIELABORADO"/>
    <s v="EC01"/>
    <s v="CEMENTOART"/>
    <n v="700100"/>
    <x v="3"/>
    <s v="CEMENTO ART"/>
    <m/>
    <m/>
    <s v="CEMENTO BIG BAG 1,5 TONELADAS"/>
    <x v="15"/>
    <x v="15"/>
    <s v="7199990001CEMENTOARTCEMENTO BIG BAG 1,5 TONELADAS"/>
    <x v="30"/>
    <x v="0"/>
  </r>
  <r>
    <n v="7360050302"/>
    <s v="CTO BOLSAS IMP"/>
    <m/>
    <m/>
    <s v="UN"/>
    <s v="M"/>
    <s v="1460050302"/>
    <s v="INV BOLSAS IMP"/>
    <s v="EC01"/>
    <n v="22000000001"/>
    <n v="700100"/>
    <x v="3"/>
    <s v="CEMENTO EMPACADO EN BIG BAG 1,5 TONELADAS"/>
    <m/>
    <m/>
    <s v="CEMENTO BIG BAG 1,5 TONELADAS"/>
    <x v="15"/>
    <x v="15"/>
    <s v="736005030222000000001CEMENTO BIG BAG 1,5 TONELADAS"/>
    <x v="27"/>
    <x v="0"/>
  </r>
  <r>
    <n v="7999999995"/>
    <s v="TRASLADO DE COSTOS"/>
    <m/>
    <m/>
    <s v="UN"/>
    <s v="M"/>
    <s v="1430050101"/>
    <s v="INV. PTO MANUFACTURA"/>
    <s v="EC01"/>
    <s v="CEMARTBB"/>
    <n v="700100"/>
    <x v="3"/>
    <s v="CEMENTO BIGBAG ART"/>
    <m/>
    <m/>
    <s v="CEMENTO BIG BAG 1,5 TONELADAS"/>
    <x v="15"/>
    <x v="15"/>
    <s v="7999999995CEMARTBBCEMENTO BIG BAG 1,5 TONELADAS"/>
    <x v="3"/>
    <x v="0"/>
  </r>
  <r>
    <n v="7199990001"/>
    <s v="CONSUMOS SEMIELBORAD"/>
    <m/>
    <m/>
    <s v="T"/>
    <s v="M"/>
    <s v="1410900101"/>
    <s v="INV. SEMIELABORADO"/>
    <s v="EC01"/>
    <s v="CEMENTOART"/>
    <n v="700100"/>
    <x v="4"/>
    <s v="CEMENTO ART"/>
    <m/>
    <m/>
    <s v="CEMENTO BIG BAG 1,5 TONELADAS"/>
    <x v="15"/>
    <x v="15"/>
    <s v="7199990001CEMENTOARTCEMENTO BIG BAG 1,5 TONELADAS"/>
    <x v="30"/>
    <x v="0"/>
  </r>
  <r>
    <n v="7360050302"/>
    <s v="CTO BOLSAS IMP"/>
    <m/>
    <m/>
    <s v="UN"/>
    <s v="M"/>
    <s v="1460050302"/>
    <s v="INV BOLSAS IMP"/>
    <s v="EC01"/>
    <n v="22000000001"/>
    <n v="700100"/>
    <x v="4"/>
    <s v="CEMENTO EMPACADO EN BIG BAG 1,5 TONELADAS"/>
    <m/>
    <m/>
    <s v="CEMENTO BIG BAG 1,5 TONELADAS"/>
    <x v="15"/>
    <x v="15"/>
    <s v="736005030222000000001CEMENTO BIG BAG 1,5 TONELADAS"/>
    <x v="27"/>
    <x v="0"/>
  </r>
  <r>
    <n v="7999999995"/>
    <s v="TRASLADO DE COSTOS"/>
    <m/>
    <m/>
    <s v="UN"/>
    <s v="M"/>
    <s v="1430050101"/>
    <s v="INV. PTO MANUFACTURA"/>
    <s v="EC01"/>
    <s v="CEMARTBB"/>
    <n v="700100"/>
    <x v="4"/>
    <s v="CEMENTO BIGBAG ART"/>
    <m/>
    <m/>
    <s v="CEMENTO BIG BAG 1,5 TONELADAS"/>
    <x v="15"/>
    <x v="15"/>
    <s v="7999999995CEMARTBBCEMENTO BIG BAG 1,5 TONELADAS"/>
    <x v="3"/>
    <x v="0"/>
  </r>
  <r>
    <n v="7199990001"/>
    <s v="CONSUMOS SEMIELBORAD"/>
    <m/>
    <m/>
    <s v="T"/>
    <s v="M"/>
    <s v="1410900101"/>
    <s v="INV. SEMIELABORADO"/>
    <s v="EC01"/>
    <s v="CEMENTOART"/>
    <n v="700100"/>
    <x v="5"/>
    <s v="CEMENTO ART"/>
    <m/>
    <m/>
    <s v="CEMENTO BIG BAG 1,5 TONELADAS"/>
    <x v="15"/>
    <x v="15"/>
    <s v="7199990001CEMENTOARTCEMENTO BIG BAG 1,5 TONELADAS"/>
    <x v="30"/>
    <x v="0"/>
  </r>
  <r>
    <n v="7360050302"/>
    <s v="CTO BOLSAS IMP"/>
    <m/>
    <m/>
    <s v="UN"/>
    <s v="M"/>
    <s v="1460050302"/>
    <s v="INV BOLSAS IMP"/>
    <s v="EC01"/>
    <n v="22000000001"/>
    <n v="700100"/>
    <x v="5"/>
    <s v="CEMENTO EMPACADO EN BIG BAG 1,5 TONELADAS"/>
    <m/>
    <m/>
    <s v="CEMENTO BIG BAG 1,5 TONELADAS"/>
    <x v="15"/>
    <x v="15"/>
    <s v="736005030222000000001CEMENTO BIG BAG 1,5 TONELADAS"/>
    <x v="27"/>
    <x v="0"/>
  </r>
  <r>
    <n v="7999999995"/>
    <s v="TRASLADO DE COSTOS"/>
    <m/>
    <m/>
    <s v="UN"/>
    <s v="M"/>
    <s v="1430050101"/>
    <s v="INV. PTO MANUFACTURA"/>
    <s v="EC01"/>
    <s v="CEMARTBB"/>
    <n v="700100"/>
    <x v="5"/>
    <s v="CEMENTO BIGBAG ART"/>
    <m/>
    <m/>
    <s v="CEMENTO BIG BAG 1,5 TONELADAS"/>
    <x v="15"/>
    <x v="15"/>
    <s v="7999999995CEMARTBBCEMENTO BIG BAG 1,5 TONELADAS"/>
    <x v="3"/>
    <x v="0"/>
  </r>
  <r>
    <n v="7199990001"/>
    <s v="CONSUMOS SEMIELBORAD"/>
    <m/>
    <m/>
    <s v="T"/>
    <s v="M"/>
    <s v="1410900101"/>
    <s v="INV. SEMIELABORADO"/>
    <s v="EC01"/>
    <s v="CEMENTOART"/>
    <n v="700100"/>
    <x v="6"/>
    <s v="CEMENTO ART"/>
    <m/>
    <m/>
    <s v="CEMENTO BIG BAG 1,5 TONELADAS"/>
    <x v="15"/>
    <x v="15"/>
    <s v="7199990001CEMENTOARTCEMENTO BIG BAG 1,5 TONELADAS"/>
    <x v="30"/>
    <x v="0"/>
  </r>
  <r>
    <n v="7360050302"/>
    <s v="CTO BOLSAS IMP"/>
    <m/>
    <m/>
    <s v="UN"/>
    <s v="M"/>
    <s v="1460050302"/>
    <s v="INV BOLSAS IMP"/>
    <s v="EC01"/>
    <n v="22000000001"/>
    <n v="700100"/>
    <x v="6"/>
    <s v="CEMENTO EMPACADO EN BIG BAG 1,5 TONELADAS"/>
    <m/>
    <m/>
    <s v="CEMENTO BIG BAG 1,5 TONELADAS"/>
    <x v="15"/>
    <x v="15"/>
    <s v="736005030222000000001CEMENTO BIG BAG 1,5 TONELADAS"/>
    <x v="27"/>
    <x v="0"/>
  </r>
  <r>
    <n v="7999999995"/>
    <s v="TRASLADO DE COSTOS"/>
    <m/>
    <m/>
    <s v="UN"/>
    <s v="M"/>
    <s v="1430050101"/>
    <s v="INV. PTO MANUFACTURA"/>
    <s v="EC01"/>
    <s v="CEMARTBB"/>
    <n v="700100"/>
    <x v="6"/>
    <s v="CEMENTO BIGBAG ART"/>
    <m/>
    <m/>
    <s v="CEMENTO BIG BAG 1,5 TONELADAS"/>
    <x v="15"/>
    <x v="15"/>
    <s v="7999999995CEMARTBBCEMENTO BIG BAG 1,5 TONELADAS"/>
    <x v="3"/>
    <x v="0"/>
  </r>
  <r>
    <n v="7199990001"/>
    <s v="CONSUMOS SEMIELBORAD"/>
    <m/>
    <m/>
    <s v="T"/>
    <s v="M"/>
    <s v="1410900101"/>
    <s v="INV. SEMIELABORADO"/>
    <s v="EC01"/>
    <s v="CEMENTOART"/>
    <n v="700100"/>
    <x v="7"/>
    <s v="CEMENTO ART"/>
    <m/>
    <m/>
    <s v="CEMENTO BIG BAG 1,5 TONELADAS"/>
    <x v="15"/>
    <x v="15"/>
    <s v="7199990001CEMENTOARTCEMENTO BIG BAG 1,5 TONELADAS"/>
    <x v="30"/>
    <x v="0"/>
  </r>
  <r>
    <n v="7360050302"/>
    <s v="CTO BOLSAS IMP"/>
    <m/>
    <m/>
    <s v="UN"/>
    <s v="M"/>
    <s v="1460050302"/>
    <s v="INV BOLSAS IMP"/>
    <s v="EC01"/>
    <n v="22000000001"/>
    <n v="700100"/>
    <x v="7"/>
    <s v="CEMENTO EMPACADO EN BIG BAG 1,5 TONELADAS"/>
    <m/>
    <m/>
    <s v="CEMENTO BIG BAG 1,5 TONELADAS"/>
    <x v="15"/>
    <x v="15"/>
    <s v="736005030222000000001CEMENTO BIG BAG 1,5 TONELADAS"/>
    <x v="27"/>
    <x v="0"/>
  </r>
  <r>
    <n v="7999999995"/>
    <s v="TRASLADO DE COSTOS"/>
    <m/>
    <m/>
    <s v="UN"/>
    <s v="M"/>
    <s v="1430050101"/>
    <s v="INV. PTO MANUFACTURA"/>
    <s v="EC01"/>
    <s v="CEMARTBB"/>
    <n v="700100"/>
    <x v="7"/>
    <s v="CEMENTO BIGBAG ART"/>
    <m/>
    <m/>
    <s v="CEMENTO BIG BAG 1,5 TONELADAS"/>
    <x v="15"/>
    <x v="15"/>
    <s v="7999999995CEMARTBBCEMENTO BIG BAG 1,5 TONELADAS"/>
    <x v="3"/>
    <x v="0"/>
  </r>
  <r>
    <n v="7199990001"/>
    <s v="CONSUMOS SEMIELBORAD"/>
    <m/>
    <m/>
    <s v="T"/>
    <s v="M"/>
    <s v="1410900101"/>
    <s v="INV. SEMIELABORADO"/>
    <s v="EC01"/>
    <s v="CEMENTOART"/>
    <n v="700100"/>
    <x v="8"/>
    <s v="CEMENTO ART"/>
    <m/>
    <m/>
    <s v="CEMENTO BIG BAG 1,5 TONELADAS"/>
    <x v="15"/>
    <x v="15"/>
    <s v="7199990001CEMENTOARTCEMENTO BIG BAG 1,5 TONELADAS"/>
    <x v="30"/>
    <x v="0"/>
  </r>
  <r>
    <n v="7360050302"/>
    <s v="CTO BOLSAS IMP"/>
    <m/>
    <m/>
    <s v="UN"/>
    <s v="M"/>
    <s v="1460050302"/>
    <s v="INV BOLSAS IMP"/>
    <s v="EC01"/>
    <n v="22000000001"/>
    <n v="700100"/>
    <x v="8"/>
    <s v="CEMENTO EMPACADO EN BIG BAG 1,5 TONELADAS"/>
    <m/>
    <m/>
    <s v="CEMENTO BIG BAG 1,5 TONELADAS"/>
    <x v="15"/>
    <x v="15"/>
    <s v="736005030222000000001CEMENTO BIG BAG 1,5 TONELADAS"/>
    <x v="27"/>
    <x v="0"/>
  </r>
  <r>
    <n v="7999999995"/>
    <s v="TRASLADO DE COSTOS"/>
    <m/>
    <m/>
    <s v="UN"/>
    <s v="M"/>
    <s v="1430050101"/>
    <s v="INV. PTO MANUFACTURA"/>
    <s v="EC01"/>
    <s v="CEMARTBB"/>
    <n v="700100"/>
    <x v="8"/>
    <s v="CEMENTO BIGBAG ART"/>
    <m/>
    <m/>
    <s v="CEMENTO BIG BAG 1,5 TONELADAS"/>
    <x v="15"/>
    <x v="15"/>
    <s v="7999999995CEMARTBBCEMENTO BIG BAG 1,5 TONELADAS"/>
    <x v="3"/>
    <x v="0"/>
  </r>
  <r>
    <n v="7199990001"/>
    <s v="CONSUMOS SEMIELBORAD"/>
    <m/>
    <m/>
    <s v="T"/>
    <s v="M"/>
    <s v="1410900101"/>
    <s v="INV. SEMIELABORADO"/>
    <s v="EC01"/>
    <s v="CEMENTOART"/>
    <n v="700100"/>
    <x v="9"/>
    <s v="CEMENTO ART"/>
    <m/>
    <m/>
    <s v="CEMENTO BIG BAG 1,5 TONELADAS"/>
    <x v="15"/>
    <x v="15"/>
    <s v="7199990001CEMENTOARTCEMENTO BIG BAG 1,5 TONELADAS"/>
    <x v="30"/>
    <x v="0"/>
  </r>
  <r>
    <n v="7360050302"/>
    <s v="CTO BOLSAS IMP"/>
    <m/>
    <m/>
    <s v="UN"/>
    <s v="M"/>
    <s v="1460050302"/>
    <s v="INV BOLSAS IMP"/>
    <s v="EC01"/>
    <n v="22000000001"/>
    <n v="700100"/>
    <x v="9"/>
    <s v="CEMENTO EMPACADO EN BIG BAG 1,5 TONELADAS"/>
    <m/>
    <m/>
    <s v="CEMENTO BIG BAG 1,5 TONELADAS"/>
    <x v="15"/>
    <x v="15"/>
    <s v="736005030222000000001CEMENTO BIG BAG 1,5 TONELADAS"/>
    <x v="27"/>
    <x v="0"/>
  </r>
  <r>
    <n v="7999999995"/>
    <s v="TRASLADO DE COSTOS"/>
    <m/>
    <m/>
    <s v="UN"/>
    <s v="M"/>
    <s v="1430050101"/>
    <s v="INV. PTO MANUFACTURA"/>
    <s v="EC01"/>
    <s v="CEMARTBB"/>
    <n v="700100"/>
    <x v="9"/>
    <s v="CEMENTO BIGBAG ART"/>
    <m/>
    <m/>
    <s v="CEMENTO BIG BAG 1,5 TONELADAS"/>
    <x v="15"/>
    <x v="15"/>
    <s v="7999999995CEMARTBBCEMENTO BIG BAG 1,5 TONELADAS"/>
    <x v="3"/>
    <x v="0"/>
  </r>
  <r>
    <n v="7199990001"/>
    <s v="CONSUMOS SEMIELBORAD"/>
    <m/>
    <m/>
    <s v="T"/>
    <s v="M"/>
    <s v="1410900101"/>
    <s v="INV. SEMIELABORADO"/>
    <s v="EC01"/>
    <s v="CEMENTOART"/>
    <n v="700100"/>
    <x v="10"/>
    <s v="CEMENTO ART"/>
    <m/>
    <m/>
    <s v="CEMENTO BIG BAG 1,5 TONELADAS"/>
    <x v="15"/>
    <x v="15"/>
    <s v="7199990001CEMENTOARTCEMENTO BIG BAG 1,5 TONELADAS"/>
    <x v="30"/>
    <x v="0"/>
  </r>
  <r>
    <n v="7360050302"/>
    <s v="CTO BOLSAS IMP"/>
    <m/>
    <m/>
    <s v="UN"/>
    <s v="M"/>
    <s v="1460050302"/>
    <s v="INV BOLSAS IMP"/>
    <s v="EC01"/>
    <n v="22000000001"/>
    <n v="700100"/>
    <x v="10"/>
    <s v="CEMENTO EMPACADO EN BIG BAG 1,5 TONELADAS"/>
    <m/>
    <m/>
    <s v="CEMENTO BIG BAG 1,5 TONELADAS"/>
    <x v="15"/>
    <x v="15"/>
    <s v="736005030222000000001CEMENTO BIG BAG 1,5 TONELADAS"/>
    <x v="27"/>
    <x v="0"/>
  </r>
  <r>
    <n v="7999999995"/>
    <s v="TRASLADO DE COSTOS"/>
    <m/>
    <m/>
    <s v="UN"/>
    <s v="M"/>
    <s v="1430050101"/>
    <s v="INV. PTO MANUFACTURA"/>
    <s v="EC01"/>
    <s v="CEMARTBB"/>
    <n v="700100"/>
    <x v="10"/>
    <s v="CEMENTO BIGBAG ART"/>
    <m/>
    <m/>
    <s v="CEMENTO BIG BAG 1,5 TONELADAS"/>
    <x v="15"/>
    <x v="15"/>
    <s v="7999999995CEMARTBBCEMENTO BIG BAG 1,5 TONELADAS"/>
    <x v="3"/>
    <x v="0"/>
  </r>
  <r>
    <n v="7199990001"/>
    <s v="CONSUMOS SEMIELBORAD"/>
    <m/>
    <m/>
    <s v="T"/>
    <s v="M"/>
    <s v="1410900101"/>
    <s v="INV. SEMIELABORADO"/>
    <s v="EC01"/>
    <s v="CEMENTOART"/>
    <n v="700100"/>
    <x v="11"/>
    <s v="CEMENTO ART"/>
    <m/>
    <m/>
    <s v="CEMENTO BIG BAG 1,5 TONELADAS"/>
    <x v="15"/>
    <x v="15"/>
    <s v="7199990001CEMENTOARTCEMENTO BIG BAG 1,5 TONELADAS"/>
    <x v="30"/>
    <x v="0"/>
  </r>
  <r>
    <n v="7360050302"/>
    <s v="CTO BOLSAS IMP"/>
    <m/>
    <m/>
    <s v="UN"/>
    <s v="M"/>
    <s v="1460050302"/>
    <s v="INV BOLSAS IMP"/>
    <s v="EC01"/>
    <n v="22000000001"/>
    <n v="700100"/>
    <x v="11"/>
    <s v="CEMENTO EMPACADO EN BIG BAG 1,5 TONELADAS"/>
    <m/>
    <m/>
    <s v="CEMENTO BIG BAG 1,5 TONELADAS"/>
    <x v="15"/>
    <x v="15"/>
    <s v="736005030222000000001CEMENTO BIG BAG 1,5 TONELADAS"/>
    <x v="27"/>
    <x v="0"/>
  </r>
  <r>
    <n v="7999999995"/>
    <s v="TRASLADO DE COSTOS"/>
    <m/>
    <m/>
    <s v="UN"/>
    <s v="M"/>
    <s v="1430050101"/>
    <s v="INV. PTO MANUFACTURA"/>
    <s v="EC01"/>
    <s v="CEMARTBB"/>
    <n v="700100"/>
    <x v="11"/>
    <s v="CEMENTO BIGBAG ART"/>
    <m/>
    <m/>
    <s v="CEMENTO BIG BAG 1,5 TONELADAS"/>
    <x v="15"/>
    <x v="15"/>
    <s v="7999999995CEMARTBBCEMENTO BIG BAG 1,5 TONELADAS"/>
    <x v="3"/>
    <x v="0"/>
  </r>
  <r>
    <n v="7355250321"/>
    <s v="RTOS VARIA IMPO"/>
    <n v="17053348.701444525"/>
    <n v="1960.1550231545432"/>
    <m/>
    <m/>
    <m/>
    <m/>
    <s v="EC01"/>
    <s v="DESCARGUE FINOS CARBON"/>
    <n v="700002"/>
    <x v="0"/>
    <s v="FINOS DE CARBON"/>
    <m/>
    <m/>
    <s v="CARBON MOLIDO"/>
    <x v="2"/>
    <x v="2"/>
    <s v="7355250321DESCARGUE FINOS CARBONMolienda de Carbón"/>
    <x v="32"/>
    <x v="0"/>
  </r>
  <r>
    <n v="7355250321"/>
    <s v="RTOS VARIA IMPO"/>
    <n v="17264082.293682568"/>
    <n v="1984.3772751359272"/>
    <m/>
    <m/>
    <m/>
    <m/>
    <s v="EC01"/>
    <s v="DESCARGUE FINOS CARBON"/>
    <n v="700002"/>
    <x v="1"/>
    <s v="FINOS DE CARBON"/>
    <m/>
    <m/>
    <s v="CARBON MOLIDO"/>
    <x v="2"/>
    <x v="2"/>
    <s v="7355250321DESCARGUE FINOS CARBONMolienda de Carbón"/>
    <x v="32"/>
    <x v="0"/>
  </r>
  <r>
    <n v="7355250321"/>
    <s v="RTOS VARIA IMPO"/>
    <n v="11995742.487731516"/>
    <n v="1378.8209756013237"/>
    <m/>
    <m/>
    <m/>
    <m/>
    <s v="EC01"/>
    <s v="DESCARGUE FINOS CARBON"/>
    <n v="700002"/>
    <x v="2"/>
    <s v="FINOS DE CARBON"/>
    <m/>
    <m/>
    <s v="CARBON MOLIDO"/>
    <x v="2"/>
    <x v="2"/>
    <s v="7355250321DESCARGUE FINOS CARBONMolienda de Carbón"/>
    <x v="32"/>
    <x v="0"/>
  </r>
  <r>
    <n v="7355250321"/>
    <s v="RTOS VARIA IMPO"/>
    <n v="12547581.915261235"/>
    <n v="1442.2507948576133"/>
    <m/>
    <m/>
    <m/>
    <m/>
    <s v="EC01"/>
    <s v="DESCARGUE FINOS CARBON"/>
    <n v="700002"/>
    <x v="3"/>
    <s v="FINOS DE CARBON"/>
    <m/>
    <m/>
    <s v="CARBON MOLIDO"/>
    <x v="2"/>
    <x v="2"/>
    <s v="7355250321DESCARGUE FINOS CARBONMolienda de Carbón"/>
    <x v="32"/>
    <x v="0"/>
  </r>
  <r>
    <n v="7355250321"/>
    <s v="RTOS VARIA IMPO"/>
    <n v="19160684.623824947"/>
    <n v="2202.3775429683847"/>
    <m/>
    <m/>
    <m/>
    <m/>
    <s v="EC01"/>
    <s v="DESCARGUE FINOS CARBON"/>
    <n v="700002"/>
    <x v="4"/>
    <s v="FINOS DE CARBON"/>
    <m/>
    <m/>
    <s v="CARBON MOLIDO"/>
    <x v="2"/>
    <x v="2"/>
    <s v="7355250321DESCARGUE FINOS CARBONMolienda de Carbón"/>
    <x v="32"/>
    <x v="0"/>
  </r>
  <r>
    <n v="7355250321"/>
    <s v="RTOS VARIA IMPO"/>
    <n v="8202537.8274467597"/>
    <n v="942.82043993640912"/>
    <m/>
    <m/>
    <m/>
    <m/>
    <s v="EC01"/>
    <s v="DESCARGUE FINOS CARBON"/>
    <n v="700002"/>
    <x v="5"/>
    <s v="FINOS DE CARBON"/>
    <m/>
    <m/>
    <s v="CARBON MOLIDO"/>
    <x v="2"/>
    <x v="2"/>
    <s v="7355250321DESCARGUE FINOS CARBONMolienda de Carbón"/>
    <x v="32"/>
    <x v="0"/>
  </r>
  <r>
    <n v="7355250321"/>
    <s v="RTOS VARIA IMPO"/>
    <n v="15708585.79883186"/>
    <n v="1805.5845745783747"/>
    <m/>
    <m/>
    <m/>
    <m/>
    <s v="EC01"/>
    <s v="DESCARGUE FINOS CARBON"/>
    <n v="700002"/>
    <x v="6"/>
    <s v="FINOS DE CARBON"/>
    <m/>
    <m/>
    <s v="CARBON MOLIDO"/>
    <x v="2"/>
    <x v="2"/>
    <s v="7355250321DESCARGUE FINOS CARBONMolienda de Carbón"/>
    <x v="32"/>
    <x v="0"/>
  </r>
  <r>
    <n v="7355250321"/>
    <s v="RTOS VARIA IMPO"/>
    <n v="19160684.623824947"/>
    <n v="2202.3775429683847"/>
    <m/>
    <m/>
    <m/>
    <m/>
    <s v="EC01"/>
    <s v="DESCARGUE FINOS CARBON"/>
    <n v="700002"/>
    <x v="7"/>
    <s v="FINOS DE CARBON"/>
    <m/>
    <m/>
    <s v="CARBON MOLIDO"/>
    <x v="2"/>
    <x v="2"/>
    <s v="7355250321DESCARGUE FINOS CARBONMolienda de Carbón"/>
    <x v="32"/>
    <x v="0"/>
  </r>
  <r>
    <n v="7355250321"/>
    <s v="RTOS VARIA IMPO"/>
    <n v="14524545.594588017"/>
    <n v="1669.487999377933"/>
    <m/>
    <m/>
    <m/>
    <m/>
    <s v="EC01"/>
    <s v="DESCARGUE FINOS CARBON"/>
    <n v="700002"/>
    <x v="8"/>
    <s v="FINOS DE CARBON"/>
    <m/>
    <m/>
    <s v="CARBON MOLIDO"/>
    <x v="2"/>
    <x v="2"/>
    <s v="7355250321DESCARGUE FINOS CARBONMolienda de Carbón"/>
    <x v="32"/>
    <x v="0"/>
  </r>
  <r>
    <n v="7355250321"/>
    <s v="RTOS VARIA IMPO"/>
    <n v="11283180.361832982"/>
    <n v="1296.9172829693082"/>
    <m/>
    <m/>
    <m/>
    <m/>
    <s v="EC01"/>
    <s v="DESCARGUE FINOS CARBON"/>
    <n v="700002"/>
    <x v="9"/>
    <s v="FINOS DE CARBON"/>
    <m/>
    <m/>
    <s v="CARBON MOLIDO"/>
    <x v="2"/>
    <x v="2"/>
    <s v="7355250321DESCARGUE FINOS CARBONMolienda de Carbón"/>
    <x v="32"/>
    <x v="0"/>
  </r>
  <r>
    <n v="7355250321"/>
    <s v="RTOS VARIA IMPO"/>
    <n v="18528483.847110819"/>
    <n v="2129.7107870242321"/>
    <m/>
    <m/>
    <m/>
    <m/>
    <s v="EC01"/>
    <s v="DESCARGUE FINOS CARBON"/>
    <n v="700002"/>
    <x v="10"/>
    <s v="FINOS DE CARBON"/>
    <m/>
    <m/>
    <s v="CARBON MOLIDO"/>
    <x v="2"/>
    <x v="2"/>
    <s v="7355250321DESCARGUE FINOS CARBONMolienda de Carbón"/>
    <x v="32"/>
    <x v="0"/>
  </r>
  <r>
    <n v="7355250321"/>
    <s v="RTOS VARIA IMPO"/>
    <n v="11602891.424935792"/>
    <n v="1333.6656810271024"/>
    <m/>
    <m/>
    <m/>
    <m/>
    <s v="EC01"/>
    <s v="DESCARGUE FINOS CARBON"/>
    <n v="700002"/>
    <x v="11"/>
    <s v="FINOS DE CARBON"/>
    <m/>
    <m/>
    <s v="CARBON MOLIDO"/>
    <x v="2"/>
    <x v="2"/>
    <s v="7355250321DESCARGUE FINOS CARBONMolienda de Carbón"/>
    <x v="32"/>
    <x v="0"/>
  </r>
  <r>
    <n v="7355250324"/>
    <s v="RTOS VARIA IMPO"/>
    <n v="15400000"/>
    <n v="2500"/>
    <m/>
    <m/>
    <m/>
    <m/>
    <s v="EC01"/>
    <s v="CARGUE CLINKER"/>
    <n v="700001"/>
    <x v="0"/>
    <s v="CLINKER"/>
    <m/>
    <m/>
    <s v="CLINKER"/>
    <x v="1"/>
    <x v="1"/>
    <s v="7355250324CARGUE CLINKERClinkerización"/>
    <x v="33"/>
    <x v="0"/>
  </r>
  <r>
    <n v="7355250324"/>
    <s v="RTOS VARIA IMPO"/>
    <n v="15400000"/>
    <n v="2500"/>
    <m/>
    <m/>
    <m/>
    <m/>
    <s v="EC01"/>
    <s v="CARGUE CLINKER"/>
    <n v="700001"/>
    <x v="1"/>
    <s v="CLINKER"/>
    <m/>
    <m/>
    <s v="CLINKER"/>
    <x v="1"/>
    <x v="1"/>
    <s v="7355250324CARGUE CLINKERClinkerización"/>
    <x v="33"/>
    <x v="0"/>
  </r>
  <r>
    <n v="7355250324"/>
    <s v="RTOS VARIA IMPO"/>
    <n v="15400000"/>
    <n v="2500"/>
    <m/>
    <m/>
    <m/>
    <m/>
    <s v="EC01"/>
    <s v="CARGUE CLINKER"/>
    <n v="700001"/>
    <x v="2"/>
    <s v="CLINKER"/>
    <m/>
    <m/>
    <s v="CLINKER"/>
    <x v="1"/>
    <x v="1"/>
    <s v="7355250324CARGUE CLINKERClinkerización"/>
    <x v="33"/>
    <x v="0"/>
  </r>
  <r>
    <n v="7355250324"/>
    <s v="RTOS VARIA IMPO"/>
    <n v="15400000"/>
    <n v="2500"/>
    <m/>
    <m/>
    <m/>
    <m/>
    <s v="EC01"/>
    <s v="CARGUE CLINKER"/>
    <n v="700001"/>
    <x v="3"/>
    <s v="CLINKER"/>
    <m/>
    <m/>
    <s v="CLINKER"/>
    <x v="1"/>
    <x v="1"/>
    <s v="7355250324CARGUE CLINKERClinkerización"/>
    <x v="33"/>
    <x v="0"/>
  </r>
  <r>
    <n v="7355250324"/>
    <s v="RTOS VARIA IMPO"/>
    <n v="15400000"/>
    <n v="2500"/>
    <m/>
    <m/>
    <m/>
    <m/>
    <s v="EC01"/>
    <s v="CARGUE CLINKER"/>
    <n v="700001"/>
    <x v="4"/>
    <s v="CLINKER"/>
    <m/>
    <m/>
    <s v="CLINKER"/>
    <x v="1"/>
    <x v="1"/>
    <s v="7355250324CARGUE CLINKERClinkerización"/>
    <x v="33"/>
    <x v="0"/>
  </r>
  <r>
    <n v="7355250324"/>
    <s v="RTOS VARIA IMPO"/>
    <n v="15400000"/>
    <n v="2500"/>
    <m/>
    <m/>
    <m/>
    <m/>
    <s v="EC01"/>
    <s v="CARGUE CLINKER"/>
    <n v="700001"/>
    <x v="5"/>
    <s v="CLINKER"/>
    <m/>
    <m/>
    <s v="CLINKER"/>
    <x v="1"/>
    <x v="1"/>
    <s v="7355250324CARGUE CLINKERClinkerización"/>
    <x v="33"/>
    <x v="0"/>
  </r>
  <r>
    <n v="7355250324"/>
    <s v="RTOS VARIA IMPO"/>
    <n v="15400000"/>
    <n v="2500"/>
    <m/>
    <m/>
    <m/>
    <m/>
    <s v="EC01"/>
    <s v="CARGUE CLINKER"/>
    <n v="700001"/>
    <x v="6"/>
    <s v="CLINKER"/>
    <m/>
    <m/>
    <s v="CLINKER"/>
    <x v="1"/>
    <x v="1"/>
    <s v="7355250324CARGUE CLINKERClinkerización"/>
    <x v="33"/>
    <x v="0"/>
  </r>
  <r>
    <n v="7355250324"/>
    <s v="RTOS VARIA IMPO"/>
    <n v="15400000"/>
    <n v="2500"/>
    <m/>
    <m/>
    <m/>
    <m/>
    <s v="EC01"/>
    <s v="CARGUE CLINKER"/>
    <n v="700001"/>
    <x v="7"/>
    <s v="CLINKER"/>
    <m/>
    <m/>
    <s v="CLINKER"/>
    <x v="1"/>
    <x v="1"/>
    <s v="7355250324CARGUE CLINKERClinkerización"/>
    <x v="33"/>
    <x v="0"/>
  </r>
  <r>
    <n v="7355250324"/>
    <s v="RTOS VARIA IMPO"/>
    <n v="15400000"/>
    <n v="2500"/>
    <m/>
    <m/>
    <m/>
    <m/>
    <s v="EC01"/>
    <s v="CARGUE CLINKER"/>
    <n v="700001"/>
    <x v="8"/>
    <s v="CLINKER"/>
    <m/>
    <m/>
    <s v="CLINKER"/>
    <x v="1"/>
    <x v="1"/>
    <s v="7355250324CARGUE CLINKERClinkerización"/>
    <x v="33"/>
    <x v="0"/>
  </r>
  <r>
    <n v="7355250324"/>
    <s v="RTOS VARIA IMPO"/>
    <n v="15400000"/>
    <n v="2500"/>
    <m/>
    <m/>
    <m/>
    <m/>
    <s v="EC01"/>
    <s v="CARGUE CLINKER"/>
    <n v="700001"/>
    <x v="9"/>
    <s v="CLINKER"/>
    <m/>
    <m/>
    <s v="CLINKER"/>
    <x v="1"/>
    <x v="1"/>
    <s v="7355250324CARGUE CLINKERClinkerización"/>
    <x v="33"/>
    <x v="0"/>
  </r>
  <r>
    <n v="7355250324"/>
    <s v="RTOS VARIA IMPO"/>
    <n v="15400000"/>
    <n v="2500"/>
    <m/>
    <m/>
    <m/>
    <m/>
    <s v="EC01"/>
    <s v="CARGUE CLINKER"/>
    <n v="700001"/>
    <x v="10"/>
    <s v="CLINKER"/>
    <m/>
    <m/>
    <s v="CLINKER"/>
    <x v="1"/>
    <x v="1"/>
    <s v="7355250324CARGUE CLINKERClinkerización"/>
    <x v="33"/>
    <x v="0"/>
  </r>
  <r>
    <n v="7355250324"/>
    <s v="RTOS VARIA IMPO"/>
    <n v="15400000"/>
    <n v="2500"/>
    <m/>
    <m/>
    <m/>
    <m/>
    <s v="EC01"/>
    <s v="CARGUE CLINKER"/>
    <n v="700001"/>
    <x v="11"/>
    <s v="CLINKER"/>
    <m/>
    <m/>
    <s v="CLINKER"/>
    <x v="1"/>
    <x v="1"/>
    <s v="7355250324CARGUE CLINKERClinkerización"/>
    <x v="33"/>
    <x v="0"/>
  </r>
  <r>
    <n v="7355250321"/>
    <s v="RTOS VARIA IMPO"/>
    <n v="0"/>
    <n v="0"/>
    <m/>
    <m/>
    <m/>
    <m/>
    <s v="EC01"/>
    <s v="DOSIFICADOR DE SAL"/>
    <n v="700003"/>
    <x v="0"/>
    <s v="CEMENTO UG"/>
    <m/>
    <m/>
    <s v="CEMENTO UG"/>
    <x v="4"/>
    <x v="4"/>
    <s v="7355250321DOSIFICADOR DE SALCemento UG"/>
    <x v="34"/>
    <x v="0"/>
  </r>
  <r>
    <n v="7355250321"/>
    <s v="RTOS VARIA IMPO"/>
    <n v="0"/>
    <n v="0"/>
    <m/>
    <m/>
    <m/>
    <m/>
    <s v="EC01"/>
    <s v="DOSIFICADOR DE SAL"/>
    <n v="700003"/>
    <x v="1"/>
    <s v="CEMENTO UG"/>
    <m/>
    <m/>
    <s v="CEMENTO UG"/>
    <x v="4"/>
    <x v="4"/>
    <s v="7355250321DOSIFICADOR DE SALCemento UG"/>
    <x v="34"/>
    <x v="0"/>
  </r>
  <r>
    <n v="7355250321"/>
    <s v="RTOS VARIA IMPO"/>
    <n v="0"/>
    <n v="0"/>
    <m/>
    <m/>
    <m/>
    <m/>
    <s v="EC01"/>
    <s v="DOSIFICADOR DE SAL"/>
    <n v="700003"/>
    <x v="2"/>
    <s v="CEMENTO UG"/>
    <m/>
    <m/>
    <s v="CEMENTO UG"/>
    <x v="4"/>
    <x v="4"/>
    <s v="7355250321DOSIFICADOR DE SALCemento UG"/>
    <x v="34"/>
    <x v="0"/>
  </r>
  <r>
    <n v="7355250321"/>
    <s v="RTOS VARIA IMPO"/>
    <n v="0"/>
    <n v="0"/>
    <m/>
    <m/>
    <m/>
    <m/>
    <s v="EC01"/>
    <s v="DOSIFICADOR DE SAL"/>
    <n v="700003"/>
    <x v="3"/>
    <s v="CEMENTO UG"/>
    <m/>
    <m/>
    <s v="CEMENTO UG"/>
    <x v="4"/>
    <x v="4"/>
    <s v="7355250321DOSIFICADOR DE SALCemento UG"/>
    <x v="34"/>
    <x v="0"/>
  </r>
  <r>
    <n v="7355250321"/>
    <s v="RTOS VARIA IMPO"/>
    <n v="0"/>
    <n v="0"/>
    <m/>
    <m/>
    <m/>
    <m/>
    <s v="EC01"/>
    <s v="DOSIFICADOR DE SAL"/>
    <n v="700003"/>
    <x v="4"/>
    <s v="CEMENTO UG"/>
    <m/>
    <m/>
    <s v="CEMENTO UG"/>
    <x v="4"/>
    <x v="4"/>
    <s v="7355250321DOSIFICADOR DE SALCemento UG"/>
    <x v="34"/>
    <x v="0"/>
  </r>
  <r>
    <n v="7355250321"/>
    <s v="RTOS VARIA IMPO"/>
    <n v="0"/>
    <n v="0"/>
    <m/>
    <m/>
    <m/>
    <m/>
    <s v="EC01"/>
    <s v="DOSIFICADOR DE SAL"/>
    <n v="700003"/>
    <x v="5"/>
    <s v="CEMENTO UG"/>
    <m/>
    <m/>
    <s v="CEMENTO UG"/>
    <x v="4"/>
    <x v="4"/>
    <s v="7355250321DOSIFICADOR DE SALCemento UG"/>
    <x v="34"/>
    <x v="0"/>
  </r>
  <r>
    <n v="7355250321"/>
    <s v="RTOS VARIA IMPO"/>
    <n v="0"/>
    <n v="0"/>
    <m/>
    <m/>
    <m/>
    <m/>
    <s v="EC01"/>
    <s v="DOSIFICADOR DE SAL"/>
    <n v="700003"/>
    <x v="6"/>
    <s v="CEMENTO UG"/>
    <m/>
    <m/>
    <s v="CEMENTO UG"/>
    <x v="4"/>
    <x v="4"/>
    <s v="7355250321DOSIFICADOR DE SALCemento UG"/>
    <x v="34"/>
    <x v="0"/>
  </r>
  <r>
    <n v="7355250321"/>
    <s v="RTOS VARIA IMPO"/>
    <n v="0"/>
    <n v="0"/>
    <m/>
    <m/>
    <m/>
    <m/>
    <s v="EC01"/>
    <s v="DOSIFICADOR DE SAL"/>
    <n v="700003"/>
    <x v="7"/>
    <s v="CEMENTO UG"/>
    <m/>
    <m/>
    <s v="CEMENTO UG"/>
    <x v="4"/>
    <x v="4"/>
    <s v="7355250321DOSIFICADOR DE SALCemento UG"/>
    <x v="34"/>
    <x v="0"/>
  </r>
  <r>
    <n v="7355250321"/>
    <s v="RTOS VARIA IMPO"/>
    <n v="0"/>
    <n v="0"/>
    <m/>
    <m/>
    <m/>
    <m/>
    <s v="EC01"/>
    <s v="DOSIFICADOR DE SAL"/>
    <n v="700003"/>
    <x v="8"/>
    <s v="CEMENTO UG"/>
    <m/>
    <m/>
    <s v="CEMENTO UG"/>
    <x v="4"/>
    <x v="4"/>
    <s v="7355250321DOSIFICADOR DE SALCemento UG"/>
    <x v="34"/>
    <x v="0"/>
  </r>
  <r>
    <n v="7355250321"/>
    <s v="RTOS VARIA IMPO"/>
    <n v="0"/>
    <n v="0"/>
    <m/>
    <m/>
    <m/>
    <m/>
    <s v="EC01"/>
    <s v="DOSIFICADOR DE SAL"/>
    <n v="700003"/>
    <x v="9"/>
    <s v="CEMENTO UG"/>
    <m/>
    <m/>
    <s v="CEMENTO UG"/>
    <x v="4"/>
    <x v="4"/>
    <s v="7355250321DOSIFICADOR DE SALCemento UG"/>
    <x v="34"/>
    <x v="0"/>
  </r>
  <r>
    <n v="7355250321"/>
    <s v="RTOS VARIA IMPO"/>
    <n v="0"/>
    <n v="0"/>
    <m/>
    <m/>
    <m/>
    <m/>
    <s v="EC01"/>
    <s v="DOSIFICADOR DE SAL"/>
    <n v="700003"/>
    <x v="10"/>
    <s v="CEMENTO UG"/>
    <m/>
    <m/>
    <s v="CEMENTO UG"/>
    <x v="4"/>
    <x v="4"/>
    <s v="7355250321DOSIFICADOR DE SALCemento UG"/>
    <x v="34"/>
    <x v="0"/>
  </r>
  <r>
    <n v="7355250321"/>
    <s v="RTOS VARIA IMPO"/>
    <n v="0"/>
    <n v="0"/>
    <m/>
    <m/>
    <m/>
    <m/>
    <s v="EC01"/>
    <s v="DOSIFICADOR DE SAL"/>
    <n v="700003"/>
    <x v="11"/>
    <s v="CEMENTO UG"/>
    <m/>
    <m/>
    <s v="CEMENTO UG"/>
    <x v="4"/>
    <x v="4"/>
    <s v="7355250321DOSIFICADOR DE SALCemento UG"/>
    <x v="34"/>
    <x v="0"/>
  </r>
  <r>
    <n v="7355250321"/>
    <s v="RTOS VARIA IMPO"/>
    <n v="0"/>
    <n v="0"/>
    <m/>
    <m/>
    <m/>
    <m/>
    <s v="EC01"/>
    <s v="DOSIFICADOR DE SAL"/>
    <n v="700060"/>
    <x v="0"/>
    <s v="CEMENTO ART"/>
    <m/>
    <m/>
    <s v="CEMENTO ART"/>
    <x v="11"/>
    <x v="11"/>
    <s v="7355250321DOSIFICADOR DE SALCemento ART"/>
    <x v="34"/>
    <x v="0"/>
  </r>
  <r>
    <n v="7355250321"/>
    <s v="RTOS VARIA IMPO"/>
    <n v="0"/>
    <n v="0"/>
    <m/>
    <m/>
    <m/>
    <m/>
    <s v="EC01"/>
    <s v="DOSIFICADOR DE SAL"/>
    <n v="700060"/>
    <x v="1"/>
    <s v="CEMENTO ART"/>
    <m/>
    <m/>
    <s v="CEMENTO ART"/>
    <x v="11"/>
    <x v="11"/>
    <s v="7355250321DOSIFICADOR DE SALCemento ART"/>
    <x v="34"/>
    <x v="0"/>
  </r>
  <r>
    <n v="7355250321"/>
    <s v="RTOS VARIA IMPO"/>
    <n v="0"/>
    <n v="0"/>
    <m/>
    <m/>
    <m/>
    <m/>
    <s v="EC01"/>
    <s v="DOSIFICADOR DE SAL"/>
    <n v="700060"/>
    <x v="2"/>
    <s v="CEMENTO ART"/>
    <m/>
    <m/>
    <s v="CEMENTO ART"/>
    <x v="11"/>
    <x v="11"/>
    <s v="7355250321DOSIFICADOR DE SALCemento ART"/>
    <x v="34"/>
    <x v="0"/>
  </r>
  <r>
    <n v="7355250321"/>
    <s v="RTOS VARIA IMPO"/>
    <n v="0"/>
    <n v="0"/>
    <m/>
    <m/>
    <m/>
    <m/>
    <s v="EC01"/>
    <s v="DOSIFICADOR DE SAL"/>
    <n v="700060"/>
    <x v="3"/>
    <s v="CEMENTO ART"/>
    <m/>
    <m/>
    <s v="CEMENTO ART"/>
    <x v="11"/>
    <x v="11"/>
    <s v="7355250321DOSIFICADOR DE SALCemento ART"/>
    <x v="34"/>
    <x v="0"/>
  </r>
  <r>
    <n v="7355250321"/>
    <s v="RTOS VARIA IMPO"/>
    <n v="0"/>
    <n v="0"/>
    <m/>
    <m/>
    <m/>
    <m/>
    <s v="EC01"/>
    <s v="DOSIFICADOR DE SAL"/>
    <n v="700060"/>
    <x v="4"/>
    <s v="CEMENTO ART"/>
    <m/>
    <m/>
    <s v="CEMENTO ART"/>
    <x v="11"/>
    <x v="11"/>
    <s v="7355250321DOSIFICADOR DE SALCemento ART"/>
    <x v="34"/>
    <x v="0"/>
  </r>
  <r>
    <n v="7355250321"/>
    <s v="RTOS VARIA IMPO"/>
    <n v="0"/>
    <n v="0"/>
    <m/>
    <m/>
    <m/>
    <m/>
    <s v="EC01"/>
    <s v="DOSIFICADOR DE SAL"/>
    <n v="700060"/>
    <x v="5"/>
    <s v="CEMENTO ART"/>
    <m/>
    <m/>
    <s v="CEMENTO ART"/>
    <x v="11"/>
    <x v="11"/>
    <s v="7355250321DOSIFICADOR DE SALCemento ART"/>
    <x v="34"/>
    <x v="0"/>
  </r>
  <r>
    <n v="7355250321"/>
    <s v="RTOS VARIA IMPO"/>
    <n v="0"/>
    <n v="0"/>
    <m/>
    <m/>
    <m/>
    <m/>
    <s v="EC01"/>
    <s v="DOSIFICADOR DE SAL"/>
    <n v="700060"/>
    <x v="6"/>
    <s v="CEMENTO ART"/>
    <m/>
    <m/>
    <s v="CEMENTO ART"/>
    <x v="11"/>
    <x v="11"/>
    <s v="7355250321DOSIFICADOR DE SALCemento ART"/>
    <x v="34"/>
    <x v="0"/>
  </r>
  <r>
    <n v="7355250321"/>
    <s v="RTOS VARIA IMPO"/>
    <n v="0"/>
    <n v="0"/>
    <m/>
    <m/>
    <m/>
    <m/>
    <s v="EC01"/>
    <s v="DOSIFICADOR DE SAL"/>
    <n v="700060"/>
    <x v="7"/>
    <s v="CEMENTO ART"/>
    <m/>
    <m/>
    <s v="CEMENTO ART"/>
    <x v="11"/>
    <x v="11"/>
    <s v="7355250321DOSIFICADOR DE SALCemento ART"/>
    <x v="34"/>
    <x v="0"/>
  </r>
  <r>
    <n v="7355250321"/>
    <s v="RTOS VARIA IMPO"/>
    <n v="0"/>
    <n v="0"/>
    <m/>
    <m/>
    <m/>
    <m/>
    <s v="EC01"/>
    <s v="DOSIFICADOR DE SAL"/>
    <n v="700060"/>
    <x v="8"/>
    <s v="CEMENTO ART"/>
    <m/>
    <m/>
    <s v="CEMENTO ART"/>
    <x v="11"/>
    <x v="11"/>
    <s v="7355250321DOSIFICADOR DE SALCemento ART"/>
    <x v="34"/>
    <x v="0"/>
  </r>
  <r>
    <n v="7355250321"/>
    <s v="RTOS VARIA IMPO"/>
    <n v="0"/>
    <n v="0"/>
    <m/>
    <m/>
    <m/>
    <m/>
    <s v="EC01"/>
    <s v="DOSIFICADOR DE SAL"/>
    <n v="700060"/>
    <x v="9"/>
    <s v="CEMENTO ART"/>
    <m/>
    <m/>
    <s v="CEMENTO ART"/>
    <x v="11"/>
    <x v="11"/>
    <s v="7355250321DOSIFICADOR DE SALCemento ART"/>
    <x v="34"/>
    <x v="0"/>
  </r>
  <r>
    <n v="7355250321"/>
    <s v="RTOS VARIA IMPO"/>
    <n v="0"/>
    <n v="0"/>
    <m/>
    <m/>
    <m/>
    <m/>
    <s v="EC01"/>
    <s v="DOSIFICADOR DE SAL"/>
    <n v="700060"/>
    <x v="10"/>
    <s v="CEMENTO ART"/>
    <m/>
    <m/>
    <s v="CEMENTO ART"/>
    <x v="11"/>
    <x v="11"/>
    <s v="7355250321DOSIFICADOR DE SALCemento ART"/>
    <x v="34"/>
    <x v="0"/>
  </r>
  <r>
    <n v="7355250321"/>
    <s v="RTOS VARIA IMPO"/>
    <n v="0"/>
    <n v="0"/>
    <m/>
    <m/>
    <m/>
    <m/>
    <s v="EC01"/>
    <s v="DOSIFICADOR DE SAL"/>
    <n v="700060"/>
    <x v="11"/>
    <s v="CEMENTO ART"/>
    <m/>
    <m/>
    <s v="CEMENTO ART"/>
    <x v="11"/>
    <x v="11"/>
    <s v="7355250321DOSIFICADOR DE SALCemento ART"/>
    <x v="34"/>
    <x v="0"/>
  </r>
  <r>
    <n v="7355250325"/>
    <s v="RTOS VARIA IMPO"/>
    <n v="0"/>
    <n v="0"/>
    <m/>
    <m/>
    <m/>
    <m/>
    <s v="EC01"/>
    <s v="CARGUE CK TOLVA"/>
    <n v="700001"/>
    <x v="0"/>
    <s v="CLINKER"/>
    <m/>
    <m/>
    <s v="CLINKER"/>
    <x v="1"/>
    <x v="1"/>
    <s v="7355250325CARGUE CK TOLVAClinkerización"/>
    <x v="35"/>
    <x v="0"/>
  </r>
  <r>
    <n v="7355250325"/>
    <s v="RTOS VARIA IMPO"/>
    <n v="0"/>
    <n v="0"/>
    <m/>
    <m/>
    <m/>
    <m/>
    <s v="EC01"/>
    <s v="CARGUE CK TOLVA"/>
    <n v="700001"/>
    <x v="1"/>
    <s v="CLINKER"/>
    <m/>
    <m/>
    <s v="CLINKER"/>
    <x v="1"/>
    <x v="1"/>
    <s v="7355250325CARGUE CK TOLVAClinkerización"/>
    <x v="35"/>
    <x v="0"/>
  </r>
  <r>
    <n v="7355250325"/>
    <s v="RTOS VARIA IMPO"/>
    <n v="0"/>
    <n v="0"/>
    <m/>
    <m/>
    <m/>
    <m/>
    <s v="EC01"/>
    <s v="CARGUE CK TOLVA"/>
    <n v="700001"/>
    <x v="2"/>
    <s v="CLINKER"/>
    <m/>
    <m/>
    <s v="CLINKER"/>
    <x v="1"/>
    <x v="1"/>
    <s v="7355250325CARGUE CK TOLVAClinkerización"/>
    <x v="35"/>
    <x v="0"/>
  </r>
  <r>
    <n v="7355250325"/>
    <s v="RTOS VARIA IMPO"/>
    <n v="0"/>
    <n v="0"/>
    <m/>
    <m/>
    <m/>
    <m/>
    <s v="EC01"/>
    <s v="CARGUE CK TOLVA"/>
    <n v="700001"/>
    <x v="3"/>
    <s v="CLINKER"/>
    <m/>
    <m/>
    <s v="CLINKER"/>
    <x v="1"/>
    <x v="1"/>
    <s v="7355250325CARGUE CK TOLVAClinkerización"/>
    <x v="35"/>
    <x v="0"/>
  </r>
  <r>
    <n v="7355250325"/>
    <s v="RTOS VARIA IMPO"/>
    <n v="0"/>
    <n v="0"/>
    <m/>
    <m/>
    <m/>
    <m/>
    <s v="EC01"/>
    <s v="CARGUE CK TOLVA"/>
    <n v="700001"/>
    <x v="4"/>
    <s v="CLINKER"/>
    <m/>
    <m/>
    <s v="CLINKER"/>
    <x v="1"/>
    <x v="1"/>
    <s v="7355250325CARGUE CK TOLVAClinkerización"/>
    <x v="35"/>
    <x v="0"/>
  </r>
  <r>
    <n v="7355250325"/>
    <s v="RTOS VARIA IMPO"/>
    <n v="0"/>
    <n v="0"/>
    <m/>
    <m/>
    <m/>
    <m/>
    <s v="EC01"/>
    <s v="CARGUE CK TOLVA"/>
    <n v="700001"/>
    <x v="5"/>
    <s v="CLINKER"/>
    <m/>
    <m/>
    <s v="CLINKER"/>
    <x v="1"/>
    <x v="1"/>
    <s v="7355250325CARGUE CK TOLVAClinkerización"/>
    <x v="35"/>
    <x v="0"/>
  </r>
  <r>
    <n v="7355250325"/>
    <s v="RTOS VARIA IMPO"/>
    <n v="0"/>
    <n v="0"/>
    <m/>
    <m/>
    <m/>
    <m/>
    <s v="EC01"/>
    <s v="CARGUE CK TOLVA"/>
    <n v="700001"/>
    <x v="6"/>
    <s v="CLINKER"/>
    <m/>
    <m/>
    <s v="CLINKER"/>
    <x v="1"/>
    <x v="1"/>
    <s v="7355250325CARGUE CK TOLVAClinkerización"/>
    <x v="35"/>
    <x v="0"/>
  </r>
  <r>
    <n v="7355250325"/>
    <s v="RTOS VARIA IMPO"/>
    <n v="0"/>
    <n v="0"/>
    <m/>
    <m/>
    <m/>
    <m/>
    <s v="EC01"/>
    <s v="CARGUE CK TOLVA"/>
    <n v="700001"/>
    <x v="7"/>
    <s v="CLINKER"/>
    <m/>
    <m/>
    <s v="CLINKER"/>
    <x v="1"/>
    <x v="1"/>
    <s v="7355250325CARGUE CK TOLVAClinkerización"/>
    <x v="35"/>
    <x v="0"/>
  </r>
  <r>
    <n v="7355250325"/>
    <s v="RTOS VARIA IMPO"/>
    <n v="0"/>
    <n v="0"/>
    <m/>
    <m/>
    <m/>
    <m/>
    <s v="EC01"/>
    <s v="CARGUE CK TOLVA"/>
    <n v="700001"/>
    <x v="8"/>
    <s v="CLINKER"/>
    <m/>
    <m/>
    <s v="CLINKER"/>
    <x v="1"/>
    <x v="1"/>
    <s v="7355250325CARGUE CK TOLVAClinkerización"/>
    <x v="35"/>
    <x v="0"/>
  </r>
  <r>
    <n v="7355250325"/>
    <s v="RTOS VARIA IMPO"/>
    <n v="0"/>
    <n v="0"/>
    <m/>
    <m/>
    <m/>
    <m/>
    <s v="EC01"/>
    <s v="CARGUE CK TOLVA"/>
    <n v="700001"/>
    <x v="9"/>
    <s v="CLINKER"/>
    <m/>
    <m/>
    <s v="CLINKER"/>
    <x v="1"/>
    <x v="1"/>
    <s v="7355250325CARGUE CK TOLVAClinkerización"/>
    <x v="35"/>
    <x v="0"/>
  </r>
  <r>
    <n v="7355250325"/>
    <s v="RTOS VARIA IMPO"/>
    <n v="0"/>
    <n v="0"/>
    <m/>
    <m/>
    <m/>
    <m/>
    <s v="EC01"/>
    <s v="CARGUE CK TOLVA"/>
    <n v="700001"/>
    <x v="10"/>
    <s v="CLINKER"/>
    <m/>
    <m/>
    <s v="CLINKER"/>
    <x v="1"/>
    <x v="1"/>
    <s v="7355250325CARGUE CK TOLVAClinkerización"/>
    <x v="35"/>
    <x v="0"/>
  </r>
  <r>
    <n v="7355250325"/>
    <s v="RTOS VARIA IMPO"/>
    <n v="0"/>
    <n v="0"/>
    <m/>
    <m/>
    <m/>
    <m/>
    <s v="EC01"/>
    <s v="CARGUE CK TOLVA"/>
    <n v="700001"/>
    <x v="11"/>
    <s v="CLINKER"/>
    <m/>
    <m/>
    <s v="CLINKER"/>
    <x v="1"/>
    <x v="1"/>
    <s v="7355250325CARGUE CK TOLVAClinkerización"/>
    <x v="35"/>
    <x v="0"/>
  </r>
  <r>
    <n v="7105240101"/>
    <s v="MP ADICIO ACTIVA NAL"/>
    <n v="0"/>
    <n v="0"/>
    <s v="T"/>
    <s v="M"/>
    <s v="1405240101"/>
    <s v="IN ADICIO ACTIVA NAL"/>
    <s v="EC01"/>
    <s v="BIOBRIQPAP"/>
    <n v="700120"/>
    <x v="0"/>
    <s v="BIOMASA BRIQUETAS DE PAPEL"/>
    <m/>
    <m/>
    <s v="COMBUSTIBLES ALTERNOS"/>
    <x v="3"/>
    <x v="3"/>
    <s v="7105240101BIOBRIQPAPCOMBUSTIBLES ALTERNOS"/>
    <x v="36"/>
    <x v="0"/>
  </r>
  <r>
    <n v="7105240101"/>
    <s v="MP ADICIO ACTIVA NAL"/>
    <n v="0"/>
    <n v="0"/>
    <s v="T"/>
    <s v="M"/>
    <s v="1405240101"/>
    <s v="IN ADICIO ACTIVA NAL"/>
    <s v="EC01"/>
    <s v="BIOCHIPMAD"/>
    <n v="700120"/>
    <x v="0"/>
    <s v="BIOMASA BRIQUETAS DE PAPEL"/>
    <m/>
    <m/>
    <s v="COMBUSTIBLES ALTERNOS"/>
    <x v="3"/>
    <x v="3"/>
    <s v="7105240101BIOCHIPMADCOMBUSTIBLES ALTERNOS"/>
    <x v="37"/>
    <x v="0"/>
  </r>
  <r>
    <n v="7355050101"/>
    <s v="CTO. COMBUSTIBLES"/>
    <n v="409202092.42749763"/>
    <n v="1285.8700408163234"/>
    <s v="T"/>
    <s v="M"/>
    <s v="1455050101"/>
    <s v="INV. COMBUSTIBLES"/>
    <s v="EC01"/>
    <s v="COMBURESID"/>
    <n v="700120"/>
    <x v="0"/>
    <s v="COMBUSTIBLE DERIVADO RESIDUOS"/>
    <m/>
    <m/>
    <s v="COMBUSTIBLES ALTERNOS"/>
    <x v="3"/>
    <x v="3"/>
    <s v="7355050101COMBURESIDCOMBUSTIBLES ALTERNOS"/>
    <x v="38"/>
    <x v="0"/>
  </r>
  <r>
    <n v="7355050101"/>
    <s v="CTO. COMBUSTIBLES"/>
    <n v="93299173.145321995"/>
    <n v="293.00424107142777"/>
    <s v="T"/>
    <s v="M"/>
    <s v="1455050101"/>
    <s v="INV. COMBUSTIBLES"/>
    <s v="EC01"/>
    <s v="LLANTAPICA"/>
    <n v="700120"/>
    <x v="0"/>
    <s v="COMBUSTIBLE LLANTAS PICADAS"/>
    <m/>
    <m/>
    <s v="COMBUSTIBLES ALTERNOS"/>
    <x v="3"/>
    <x v="3"/>
    <s v="7355050101LLANTAPICACOMBUSTIBLES ALTERNOS"/>
    <x v="39"/>
    <x v="0"/>
  </r>
  <r>
    <n v="7999999995"/>
    <s v="TRASLADO DE COSTOS"/>
    <m/>
    <n v="-1578.8742818877511"/>
    <s v="T"/>
    <s v="M"/>
    <s v="1410900101"/>
    <s v="INV. SEMIELABORADO"/>
    <s v="EC01"/>
    <s v="COMBALTER"/>
    <n v="700120"/>
    <x v="0"/>
    <s v="COMBUSTIBLES ALTERNOS"/>
    <m/>
    <m/>
    <s v="COMBUSTIBLES ALTERNOS"/>
    <x v="3"/>
    <x v="3"/>
    <s v="7999999995COMBALTERCOMBUSTIBLES ALTERNOS"/>
    <x v="3"/>
    <x v="0"/>
  </r>
  <r>
    <n v="7105240101"/>
    <s v="MP ADICIO ACTIVA NAL"/>
    <n v="0"/>
    <n v="0"/>
    <s v="T"/>
    <s v="M"/>
    <s v="1405240101"/>
    <s v="IN ADICIO ACTIVA NAL"/>
    <s v="EC01"/>
    <s v="BIOBRIQPAP"/>
    <n v="700120"/>
    <x v="1"/>
    <s v="BIOMASA BRIQUETAS DE PAPEL"/>
    <m/>
    <m/>
    <s v="COMBUSTIBLES ALTERNOS"/>
    <x v="3"/>
    <x v="3"/>
    <s v="7105240101BIOBRIQPAPCOMBUSTIBLES ALTERNOS"/>
    <x v="36"/>
    <x v="0"/>
  </r>
  <r>
    <n v="7105240101"/>
    <s v="MP ADICIO ACTIVA NAL"/>
    <n v="0"/>
    <n v="0"/>
    <s v="T"/>
    <s v="M"/>
    <s v="1405240101"/>
    <s v="IN ADICIO ACTIVA NAL"/>
    <s v="EC01"/>
    <s v="BIOCHIPMAD"/>
    <n v="700120"/>
    <x v="1"/>
    <s v="BIOMASA BRIQUETAS DE PAPEL"/>
    <m/>
    <m/>
    <s v="COMBUSTIBLES ALTERNOS"/>
    <x v="3"/>
    <x v="3"/>
    <s v="7105240101BIOCHIPMADCOMBUSTIBLES ALTERNOS"/>
    <x v="37"/>
    <x v="0"/>
  </r>
  <r>
    <n v="7355050101"/>
    <s v="CTO. COMBUSTIBLES"/>
    <n v="414253970.11178774"/>
    <n v="1301.7449795918335"/>
    <s v="T"/>
    <s v="M"/>
    <s v="1455050101"/>
    <s v="INV. COMBUSTIBLES"/>
    <s v="EC01"/>
    <s v="COMBURESID"/>
    <n v="700120"/>
    <x v="1"/>
    <s v="COMBUSTIBLE DERIVADO RESIDUOS"/>
    <m/>
    <m/>
    <s v="COMBUSTIBLES ALTERNOS"/>
    <x v="3"/>
    <x v="3"/>
    <s v="7355050101COMBURESIDCOMBUSTIBLES ALTERNOS"/>
    <x v="38"/>
    <x v="0"/>
  </r>
  <r>
    <n v="7355050101"/>
    <s v="CTO. COMBUSTIBLES"/>
    <n v="94451014.789091408"/>
    <n v="296.62157738095158"/>
    <s v="T"/>
    <s v="M"/>
    <s v="1455050101"/>
    <s v="INV. COMBUSTIBLES"/>
    <s v="EC01"/>
    <s v="LLANTAPICA"/>
    <n v="700120"/>
    <x v="1"/>
    <s v="COMBUSTIBLE LLANTAS PICADAS"/>
    <m/>
    <m/>
    <s v="COMBUSTIBLES ALTERNOS"/>
    <x v="3"/>
    <x v="3"/>
    <s v="7355050101LLANTAPICACOMBUSTIBLES ALTERNOS"/>
    <x v="39"/>
    <x v="0"/>
  </r>
  <r>
    <n v="7999999995"/>
    <s v="TRASLADO DE COSTOS"/>
    <m/>
    <n v="-1598.366556972785"/>
    <s v="T"/>
    <s v="M"/>
    <s v="1410900101"/>
    <s v="INV. SEMIELABORADO"/>
    <s v="EC01"/>
    <s v="COMBALTER"/>
    <n v="700120"/>
    <x v="1"/>
    <s v="COMBUSTIBLES ALTERNOS"/>
    <m/>
    <m/>
    <s v="COMBUSTIBLES ALTERNOS"/>
    <x v="3"/>
    <x v="3"/>
    <s v="7999999995COMBALTERCOMBUSTIBLES ALTERNOS"/>
    <x v="3"/>
    <x v="0"/>
  </r>
  <r>
    <n v="7105240101"/>
    <s v="MP ADICIO ACTIVA NAL"/>
    <n v="0"/>
    <n v="0"/>
    <s v="T"/>
    <s v="M"/>
    <s v="1405240101"/>
    <s v="IN ADICIO ACTIVA NAL"/>
    <s v="EC01"/>
    <s v="BIOBRIQPAP"/>
    <n v="700120"/>
    <x v="2"/>
    <s v="BIOMASA BRIQUETAS DE PAPEL"/>
    <m/>
    <m/>
    <s v="COMBUSTIBLES ALTERNOS"/>
    <x v="3"/>
    <x v="3"/>
    <s v="7105240101BIOBRIQPAPCOMBUSTIBLES ALTERNOS"/>
    <x v="36"/>
    <x v="0"/>
  </r>
  <r>
    <n v="7105240101"/>
    <s v="MP ADICIO ACTIVA NAL"/>
    <n v="0"/>
    <n v="0"/>
    <s v="T"/>
    <s v="M"/>
    <s v="1405240101"/>
    <s v="IN ADICIO ACTIVA NAL"/>
    <s v="EC01"/>
    <s v="BIOCHIPMAD"/>
    <n v="700120"/>
    <x v="2"/>
    <s v="BIOMASA BRIQUETAS DE PAPEL"/>
    <m/>
    <m/>
    <s v="COMBUSTIBLES ALTERNOS"/>
    <x v="3"/>
    <x v="3"/>
    <s v="7105240101BIOCHIPMADCOMBUSTIBLES ALTERNOS"/>
    <x v="37"/>
    <x v="0"/>
  </r>
  <r>
    <n v="7355050101"/>
    <s v="CTO. COMBUSTIBLES"/>
    <n v="287957028.00453538"/>
    <n v="904.87151020407941"/>
    <s v="T"/>
    <s v="M"/>
    <s v="1455050101"/>
    <s v="INV. COMBUSTIBLES"/>
    <s v="EC01"/>
    <s v="COMBURESID"/>
    <n v="700120"/>
    <x v="2"/>
    <s v="COMBUSTIBLE DERIVADO RESIDUOS"/>
    <m/>
    <m/>
    <s v="COMBUSTIBLES ALTERNOS"/>
    <x v="3"/>
    <x v="3"/>
    <s v="7355050101COMBURESIDCOMBUSTIBLES ALTERNOS"/>
    <x v="38"/>
    <x v="0"/>
  </r>
  <r>
    <n v="7355050101"/>
    <s v="CTO. COMBUSTIBLES"/>
    <n v="65654973.694856219"/>
    <n v="206.18816964285656"/>
    <s v="T"/>
    <s v="M"/>
    <s v="1455050101"/>
    <s v="INV. COMBUSTIBLES"/>
    <s v="EC01"/>
    <s v="LLANTAPICA"/>
    <n v="700120"/>
    <x v="2"/>
    <s v="COMBUSTIBLE LLANTAS PICADAS"/>
    <m/>
    <m/>
    <s v="COMBUSTIBLES ALTERNOS"/>
    <x v="3"/>
    <x v="3"/>
    <s v="7355050101LLANTAPICACOMBUSTIBLES ALTERNOS"/>
    <x v="39"/>
    <x v="0"/>
  </r>
  <r>
    <n v="7999999995"/>
    <s v="TRASLADO DE COSTOS"/>
    <m/>
    <n v="-1111.059679846936"/>
    <s v="T"/>
    <s v="M"/>
    <s v="1410900101"/>
    <s v="INV. SEMIELABORADO"/>
    <s v="EC01"/>
    <s v="COMBALTER"/>
    <n v="700120"/>
    <x v="2"/>
    <s v="COMBUSTIBLES ALTERNOS"/>
    <m/>
    <m/>
    <s v="COMBUSTIBLES ALTERNOS"/>
    <x v="3"/>
    <x v="3"/>
    <s v="7999999995COMBALTERCOMBUSTIBLES ALTERNOS"/>
    <x v="3"/>
    <x v="0"/>
  </r>
  <r>
    <n v="7105240101"/>
    <s v="MP ADICIO ACTIVA NAL"/>
    <n v="0"/>
    <n v="0"/>
    <s v="T"/>
    <s v="M"/>
    <s v="1405240101"/>
    <s v="IN ADICIO ACTIVA NAL"/>
    <s v="EC01"/>
    <s v="BIOBRIQPAP"/>
    <n v="700120"/>
    <x v="3"/>
    <s v="BIOMASA BRIQUETAS DE PAPEL"/>
    <m/>
    <m/>
    <s v="COMBUSTIBLES ALTERNOS"/>
    <x v="3"/>
    <x v="3"/>
    <s v="7105240101BIOBRIQPAPCOMBUSTIBLES ALTERNOS"/>
    <x v="36"/>
    <x v="0"/>
  </r>
  <r>
    <n v="7105240101"/>
    <s v="MP ADICIO ACTIVA NAL"/>
    <n v="0"/>
    <n v="0"/>
    <s v="T"/>
    <s v="M"/>
    <s v="1405240101"/>
    <s v="IN ADICIO ACTIVA NAL"/>
    <s v="EC01"/>
    <s v="BIOCHIPMAD"/>
    <n v="700120"/>
    <x v="3"/>
    <s v="BIOMASA BRIQUETAS DE PAPEL"/>
    <m/>
    <m/>
    <s v="COMBUSTIBLES ALTERNOS"/>
    <x v="3"/>
    <x v="3"/>
    <s v="7105240101BIOCHIPMADCOMBUSTIBLES ALTERNOS"/>
    <x v="37"/>
    <x v="0"/>
  </r>
  <r>
    <n v="7355050101"/>
    <s v="CTO. COMBUSTIBLES"/>
    <n v="303112661.05740565"/>
    <n v="952.49632653060996"/>
    <s v="T"/>
    <s v="M"/>
    <s v="1455050101"/>
    <s v="INV. COMBUSTIBLES"/>
    <s v="EC01"/>
    <s v="COMBURESID"/>
    <n v="700120"/>
    <x v="3"/>
    <s v="COMBUSTIBLE DERIVADO RESIDUOS"/>
    <m/>
    <m/>
    <s v="COMBUSTIBLES ALTERNOS"/>
    <x v="3"/>
    <x v="3"/>
    <s v="7355050101COMBURESIDCOMBUSTIBLES ALTERNOS"/>
    <x v="38"/>
    <x v="0"/>
  </r>
  <r>
    <n v="7355050101"/>
    <s v="CTO. COMBUSTIBLES"/>
    <n v="69110498.626164436"/>
    <n v="217.04017857142796"/>
    <s v="T"/>
    <s v="M"/>
    <s v="1455050101"/>
    <s v="INV. COMBUSTIBLES"/>
    <s v="EC01"/>
    <s v="LLANTAPICA"/>
    <n v="700120"/>
    <x v="3"/>
    <s v="COMBUSTIBLE LLANTAS PICADAS"/>
    <m/>
    <m/>
    <s v="COMBUSTIBLES ALTERNOS"/>
    <x v="3"/>
    <x v="3"/>
    <s v="7355050101LLANTAPICACOMBUSTIBLES ALTERNOS"/>
    <x v="39"/>
    <x v="0"/>
  </r>
  <r>
    <n v="7999999995"/>
    <s v="TRASLADO DE COSTOS"/>
    <m/>
    <n v="-1169.5365051020378"/>
    <s v="T"/>
    <s v="M"/>
    <s v="1410900101"/>
    <s v="INV. SEMIELABORADO"/>
    <s v="EC01"/>
    <s v="COMBALTER"/>
    <n v="700120"/>
    <x v="3"/>
    <s v="COMBUSTIBLES ALTERNOS"/>
    <m/>
    <m/>
    <s v="COMBUSTIBLES ALTERNOS"/>
    <x v="3"/>
    <x v="3"/>
    <s v="7999999995COMBALTERCOMBUSTIBLES ALTERNOS"/>
    <x v="3"/>
    <x v="0"/>
  </r>
  <r>
    <n v="7105240101"/>
    <s v="MP ADICIO ACTIVA NAL"/>
    <n v="0"/>
    <n v="0"/>
    <s v="T"/>
    <s v="M"/>
    <s v="1405240101"/>
    <s v="IN ADICIO ACTIVA NAL"/>
    <s v="EC01"/>
    <s v="BIOBRIQPAP"/>
    <n v="700120"/>
    <x v="4"/>
    <s v="BIOMASA BRIQUETAS DE PAPEL"/>
    <m/>
    <m/>
    <s v="COMBUSTIBLES ALTERNOS"/>
    <x v="3"/>
    <x v="3"/>
    <s v="7105240101BIOBRIQPAPCOMBUSTIBLES ALTERNOS"/>
    <x v="36"/>
    <x v="0"/>
  </r>
  <r>
    <n v="7105240101"/>
    <s v="MP ADICIO ACTIVA NAL"/>
    <n v="0"/>
    <n v="0"/>
    <s v="T"/>
    <s v="M"/>
    <s v="1405240101"/>
    <s v="IN ADICIO ACTIVA NAL"/>
    <s v="EC01"/>
    <s v="BIOCHIPMAD"/>
    <n v="700120"/>
    <x v="4"/>
    <s v="BIOMASA BRIQUETAS DE PAPEL"/>
    <m/>
    <m/>
    <s v="COMBUSTIBLES ALTERNOS"/>
    <x v="3"/>
    <x v="3"/>
    <s v="7105240101BIOCHIPMADCOMBUSTIBLES ALTERNOS"/>
    <x v="37"/>
    <x v="0"/>
  </r>
  <r>
    <n v="7355050101"/>
    <s v="CTO. COMBUSTIBLES"/>
    <n v="459720869.2703985"/>
    <n v="1444.6194285714248"/>
    <s v="T"/>
    <s v="M"/>
    <s v="1455050101"/>
    <s v="INV. COMBUSTIBLES"/>
    <s v="EC01"/>
    <s v="COMBURESID"/>
    <n v="700120"/>
    <x v="4"/>
    <s v="COMBUSTIBLE DERIVADO RESIDUOS"/>
    <m/>
    <m/>
    <s v="COMBUSTIBLES ALTERNOS"/>
    <x v="3"/>
    <x v="3"/>
    <s v="7355050101COMBURESIDCOMBUSTIBLES ALTERNOS"/>
    <x v="38"/>
    <x v="0"/>
  </r>
  <r>
    <n v="7355050101"/>
    <s v="CTO. COMBUSTIBLES"/>
    <n v="104817589.58301604"/>
    <n v="329.17760416666567"/>
    <s v="T"/>
    <s v="M"/>
    <s v="1455050101"/>
    <s v="INV. COMBUSTIBLES"/>
    <s v="EC01"/>
    <s v="LLANTAPICA"/>
    <n v="700120"/>
    <x v="4"/>
    <s v="COMBUSTIBLE LLANTAS PICADAS"/>
    <m/>
    <m/>
    <s v="COMBUSTIBLES ALTERNOS"/>
    <x v="3"/>
    <x v="3"/>
    <s v="7355050101LLANTAPICACOMBUSTIBLES ALTERNOS"/>
    <x v="39"/>
    <x v="0"/>
  </r>
  <r>
    <n v="7999999995"/>
    <s v="TRASLADO DE COSTOS"/>
    <m/>
    <n v="-1773.7970327380904"/>
    <s v="T"/>
    <s v="M"/>
    <s v="1410900101"/>
    <s v="INV. SEMIELABORADO"/>
    <s v="EC01"/>
    <s v="COMBALTER"/>
    <n v="700120"/>
    <x v="4"/>
    <s v="COMBUSTIBLES ALTERNOS"/>
    <m/>
    <m/>
    <s v="COMBUSTIBLES ALTERNOS"/>
    <x v="3"/>
    <x v="3"/>
    <s v="7999999995COMBALTERCOMBUSTIBLES ALTERNOS"/>
    <x v="3"/>
    <x v="0"/>
  </r>
  <r>
    <n v="7105240101"/>
    <s v="MP ADICIO ACTIVA NAL"/>
    <n v="0"/>
    <n v="0"/>
    <s v="T"/>
    <s v="M"/>
    <s v="1405240101"/>
    <s v="IN ADICIO ACTIVA NAL"/>
    <s v="EC01"/>
    <s v="BIOBRIQPAP"/>
    <n v="700120"/>
    <x v="5"/>
    <s v="BIOMASA BRIQUETAS DE PAPEL"/>
    <m/>
    <m/>
    <s v="COMBUSTIBLES ALTERNOS"/>
    <x v="3"/>
    <x v="3"/>
    <s v="7105240101BIOBRIQPAPCOMBUSTIBLES ALTERNOS"/>
    <x v="36"/>
    <x v="0"/>
  </r>
  <r>
    <n v="7105240101"/>
    <s v="MP ADICIO ACTIVA NAL"/>
    <n v="0"/>
    <n v="0"/>
    <s v="T"/>
    <s v="M"/>
    <s v="1405240101"/>
    <s v="IN ADICIO ACTIVA NAL"/>
    <s v="EC01"/>
    <s v="BIOCHIPMAD"/>
    <n v="700120"/>
    <x v="5"/>
    <s v="BIOMASA BRIQUETAS DE PAPEL"/>
    <m/>
    <m/>
    <s v="COMBUSTIBLES ALTERNOS"/>
    <x v="3"/>
    <x v="3"/>
    <s v="7105240101BIOCHIPMADCOMBUSTIBLES ALTERNOS"/>
    <x v="37"/>
    <x v="0"/>
  </r>
  <r>
    <n v="7355050101"/>
    <s v="CTO. COMBUSTIBLES"/>
    <n v="197023229.68731368"/>
    <n v="619.12261224489646"/>
    <s v="T"/>
    <s v="M"/>
    <s v="1455050101"/>
    <s v="INV. COMBUSTIBLES"/>
    <s v="EC01"/>
    <s v="COMBURESID"/>
    <n v="700120"/>
    <x v="5"/>
    <s v="COMBUSTIBLE DERIVADO RESIDUOS"/>
    <m/>
    <m/>
    <s v="COMBUSTIBLES ALTERNOS"/>
    <x v="3"/>
    <x v="3"/>
    <s v="7355050101COMBURESIDCOMBUSTIBLES ALTERNOS"/>
    <x v="38"/>
    <x v="0"/>
  </r>
  <r>
    <n v="7355050101"/>
    <s v="CTO. COMBUSTIBLES"/>
    <n v="44921824.107006885"/>
    <n v="141.07611607142817"/>
    <s v="T"/>
    <s v="M"/>
    <s v="1455050101"/>
    <s v="INV. COMBUSTIBLES"/>
    <s v="EC01"/>
    <s v="LLANTAPICA"/>
    <n v="700120"/>
    <x v="5"/>
    <s v="COMBUSTIBLE LLANTAS PICADAS"/>
    <m/>
    <m/>
    <s v="COMBUSTIBLES ALTERNOS"/>
    <x v="3"/>
    <x v="3"/>
    <s v="7355050101LLANTAPICACOMBUSTIBLES ALTERNOS"/>
    <x v="39"/>
    <x v="0"/>
  </r>
  <r>
    <n v="7999999995"/>
    <s v="TRASLADO DE COSTOS"/>
    <m/>
    <n v="-760.1987283163246"/>
    <s v="T"/>
    <s v="M"/>
    <s v="1410900101"/>
    <s v="INV. SEMIELABORADO"/>
    <s v="EC01"/>
    <s v="COMBALTER"/>
    <n v="700120"/>
    <x v="5"/>
    <s v="COMBUSTIBLES ALTERNOS"/>
    <m/>
    <m/>
    <s v="COMBUSTIBLES ALTERNOS"/>
    <x v="3"/>
    <x v="3"/>
    <s v="7999999995COMBALTERCOMBUSTIBLES ALTERNOS"/>
    <x v="3"/>
    <x v="0"/>
  </r>
  <r>
    <n v="7105240101"/>
    <s v="MP ADICIO ACTIVA NAL"/>
    <n v="0"/>
    <n v="0"/>
    <s v="T"/>
    <s v="M"/>
    <s v="1405240101"/>
    <s v="IN ADICIO ACTIVA NAL"/>
    <s v="EC01"/>
    <s v="BIOBRIQPAP"/>
    <n v="700120"/>
    <x v="6"/>
    <s v="BIOMASA BRIQUETAS DE PAPEL"/>
    <m/>
    <m/>
    <s v="COMBUSTIBLES ALTERNOS"/>
    <x v="3"/>
    <x v="3"/>
    <s v="7105240101BIOBRIQPAPCOMBUSTIBLES ALTERNOS"/>
    <x v="36"/>
    <x v="0"/>
  </r>
  <r>
    <n v="7105240101"/>
    <s v="MP ADICIO ACTIVA NAL"/>
    <n v="0"/>
    <n v="0"/>
    <s v="T"/>
    <s v="M"/>
    <s v="1405240101"/>
    <s v="IN ADICIO ACTIVA NAL"/>
    <s v="EC01"/>
    <s v="BIOCHIPMAD"/>
    <n v="700120"/>
    <x v="6"/>
    <s v="BIOMASA BRIQUETAS DE PAPEL"/>
    <m/>
    <m/>
    <s v="COMBUSTIBLES ALTERNOS"/>
    <x v="3"/>
    <x v="3"/>
    <s v="7105240101BIOCHIPMADCOMBUSTIBLES ALTERNOS"/>
    <x v="37"/>
    <x v="0"/>
  </r>
  <r>
    <n v="7355050101"/>
    <s v="CTO. COMBUSTIBLES"/>
    <n v="378890826.32175702"/>
    <n v="1190.6204081632623"/>
    <s v="T"/>
    <s v="M"/>
    <s v="1455050101"/>
    <s v="INV. COMBUSTIBLES"/>
    <s v="EC01"/>
    <s v="COMBURESID"/>
    <n v="700120"/>
    <x v="6"/>
    <s v="COMBUSTIBLE DERIVADO RESIDUOS"/>
    <m/>
    <m/>
    <s v="COMBUSTIBLES ALTERNOS"/>
    <x v="3"/>
    <x v="3"/>
    <s v="7355050101COMBURESIDCOMBUSTIBLES ALTERNOS"/>
    <x v="38"/>
    <x v="0"/>
  </r>
  <r>
    <n v="7355050101"/>
    <s v="CTO. COMBUSTIBLES"/>
    <n v="86388123.282705516"/>
    <n v="271.30022321428487"/>
    <s v="T"/>
    <s v="M"/>
    <s v="1455050101"/>
    <s v="INV. COMBUSTIBLES"/>
    <s v="EC01"/>
    <s v="LLANTAPICA"/>
    <n v="700120"/>
    <x v="6"/>
    <s v="COMBUSTIBLE LLANTAS PICADAS"/>
    <m/>
    <m/>
    <s v="COMBUSTIBLES ALTERNOS"/>
    <x v="3"/>
    <x v="3"/>
    <s v="7355050101LLANTAPICACOMBUSTIBLES ALTERNOS"/>
    <x v="39"/>
    <x v="0"/>
  </r>
  <r>
    <n v="7999999995"/>
    <s v="TRASLADO DE COSTOS"/>
    <m/>
    <n v="-1461.9206313775471"/>
    <s v="T"/>
    <s v="M"/>
    <s v="1410900101"/>
    <s v="INV. SEMIELABORADO"/>
    <s v="EC01"/>
    <s v="COMBALTER"/>
    <n v="700120"/>
    <x v="6"/>
    <s v="COMBUSTIBLES ALTERNOS"/>
    <m/>
    <m/>
    <s v="COMBUSTIBLES ALTERNOS"/>
    <x v="3"/>
    <x v="3"/>
    <s v="7999999995COMBALTERCOMBUSTIBLES ALTERNOS"/>
    <x v="3"/>
    <x v="0"/>
  </r>
  <r>
    <n v="7105240101"/>
    <s v="MP ADICIO ACTIVA NAL"/>
    <n v="0"/>
    <n v="0"/>
    <s v="T"/>
    <s v="M"/>
    <s v="1405240101"/>
    <s v="IN ADICIO ACTIVA NAL"/>
    <s v="EC01"/>
    <s v="BIOBRIQPAP"/>
    <n v="700120"/>
    <x v="7"/>
    <s v="BIOMASA BRIQUETAS DE PAPEL"/>
    <m/>
    <m/>
    <s v="COMBUSTIBLES ALTERNOS"/>
    <x v="3"/>
    <x v="3"/>
    <s v="7105240101BIOBRIQPAPCOMBUSTIBLES ALTERNOS"/>
    <x v="36"/>
    <x v="0"/>
  </r>
  <r>
    <n v="7105240101"/>
    <s v="MP ADICIO ACTIVA NAL"/>
    <n v="0"/>
    <n v="0"/>
    <s v="T"/>
    <s v="M"/>
    <s v="1405240101"/>
    <s v="IN ADICIO ACTIVA NAL"/>
    <s v="EC01"/>
    <s v="BIOCHIPMAD"/>
    <n v="700120"/>
    <x v="7"/>
    <s v="BIOMASA BRIQUETAS DE PAPEL"/>
    <m/>
    <m/>
    <s v="COMBUSTIBLES ALTERNOS"/>
    <x v="3"/>
    <x v="3"/>
    <s v="7105240101BIOCHIPMADCOMBUSTIBLES ALTERNOS"/>
    <x v="37"/>
    <x v="0"/>
  </r>
  <r>
    <n v="7355050101"/>
    <s v="CTO. COMBUSTIBLES"/>
    <n v="459720869.2703985"/>
    <n v="1444.6194285714248"/>
    <s v="T"/>
    <s v="M"/>
    <s v="1455050101"/>
    <s v="INV. COMBUSTIBLES"/>
    <s v="EC01"/>
    <s v="COMBURESID"/>
    <n v="700120"/>
    <x v="7"/>
    <s v="COMBUSTIBLE DERIVADO RESIDUOS"/>
    <m/>
    <m/>
    <s v="COMBUSTIBLES ALTERNOS"/>
    <x v="3"/>
    <x v="3"/>
    <s v="7355050101COMBURESIDCOMBUSTIBLES ALTERNOS"/>
    <x v="38"/>
    <x v="0"/>
  </r>
  <r>
    <n v="7355050101"/>
    <s v="CTO. COMBUSTIBLES"/>
    <n v="104817589.58301604"/>
    <n v="329.17760416666567"/>
    <s v="T"/>
    <s v="M"/>
    <s v="1455050101"/>
    <s v="INV. COMBUSTIBLES"/>
    <s v="EC01"/>
    <s v="LLANTAPICA"/>
    <n v="700120"/>
    <x v="7"/>
    <s v="COMBUSTIBLE LLANTAS PICADAS"/>
    <m/>
    <m/>
    <s v="COMBUSTIBLES ALTERNOS"/>
    <x v="3"/>
    <x v="3"/>
    <s v="7355050101LLANTAPICACOMBUSTIBLES ALTERNOS"/>
    <x v="39"/>
    <x v="0"/>
  </r>
  <r>
    <n v="7999999995"/>
    <s v="TRASLADO DE COSTOS"/>
    <m/>
    <n v="-1773.7970327380904"/>
    <s v="T"/>
    <s v="M"/>
    <s v="1410900101"/>
    <s v="INV. SEMIELABORADO"/>
    <s v="EC01"/>
    <s v="COMBALTER"/>
    <n v="700120"/>
    <x v="7"/>
    <s v="COMBUSTIBLES ALTERNOS"/>
    <m/>
    <m/>
    <s v="COMBUSTIBLES ALTERNOS"/>
    <x v="3"/>
    <x v="3"/>
    <s v="7999999995COMBALTERCOMBUSTIBLES ALTERNOS"/>
    <x v="3"/>
    <x v="0"/>
  </r>
  <r>
    <n v="7105240101"/>
    <s v="MP ADICIO ACTIVA NAL"/>
    <n v="0"/>
    <n v="0"/>
    <s v="T"/>
    <s v="M"/>
    <s v="1405240101"/>
    <s v="IN ADICIO ACTIVA NAL"/>
    <s v="EC01"/>
    <s v="BIOBRIQPAP"/>
    <n v="700120"/>
    <x v="8"/>
    <s v="BIOMASA BRIQUETAS DE PAPEL"/>
    <m/>
    <m/>
    <s v="COMBUSTIBLES ALTERNOS"/>
    <x v="3"/>
    <x v="3"/>
    <s v="7105240101BIOBRIQPAPCOMBUSTIBLES ALTERNOS"/>
    <x v="36"/>
    <x v="0"/>
  </r>
  <r>
    <n v="7105240101"/>
    <s v="MP ADICIO ACTIVA NAL"/>
    <n v="0"/>
    <n v="0"/>
    <s v="T"/>
    <s v="M"/>
    <s v="1405240101"/>
    <s v="IN ADICIO ACTIVA NAL"/>
    <s v="EC01"/>
    <s v="BIOCHIPMAD"/>
    <n v="700120"/>
    <x v="8"/>
    <s v="BIOMASA BRIQUETAS DE PAPEL"/>
    <m/>
    <m/>
    <s v="COMBUSTIBLES ALTERNOS"/>
    <x v="3"/>
    <x v="3"/>
    <s v="7105240101BIOCHIPMADCOMBUSTIBLES ALTERNOS"/>
    <x v="37"/>
    <x v="0"/>
  </r>
  <r>
    <n v="7355050101"/>
    <s v="CTO. COMBUSTIBLES"/>
    <n v="348579560.21601653"/>
    <n v="1095.3707755102014"/>
    <s v="T"/>
    <s v="M"/>
    <s v="1455050101"/>
    <s v="INV. COMBUSTIBLES"/>
    <s v="EC01"/>
    <s v="COMBURESID"/>
    <n v="700120"/>
    <x v="8"/>
    <s v="COMBUSTIBLE DERIVADO RESIDUOS"/>
    <m/>
    <m/>
    <s v="COMBUSTIBLES ALTERNOS"/>
    <x v="3"/>
    <x v="3"/>
    <s v="7355050101COMBURESIDCOMBUSTIBLES ALTERNOS"/>
    <x v="38"/>
    <x v="0"/>
  </r>
  <r>
    <n v="7355050101"/>
    <s v="CTO. COMBUSTIBLES"/>
    <n v="79477073.420089111"/>
    <n v="249.59620535714217"/>
    <s v="T"/>
    <s v="M"/>
    <s v="1455050101"/>
    <s v="INV. COMBUSTIBLES"/>
    <s v="EC01"/>
    <s v="LLANTAPICA"/>
    <n v="700120"/>
    <x v="8"/>
    <s v="COMBUSTIBLE LLANTAS PICADAS"/>
    <m/>
    <m/>
    <s v="COMBUSTIBLES ALTERNOS"/>
    <x v="3"/>
    <x v="3"/>
    <s v="7355050101LLANTAPICACOMBUSTIBLES ALTERNOS"/>
    <x v="39"/>
    <x v="0"/>
  </r>
  <r>
    <n v="7999999995"/>
    <s v="TRASLADO DE COSTOS"/>
    <m/>
    <n v="-1344.9669808673436"/>
    <s v="T"/>
    <s v="M"/>
    <s v="1410900101"/>
    <s v="INV. SEMIELABORADO"/>
    <s v="EC01"/>
    <s v="COMBALTER"/>
    <n v="700120"/>
    <x v="8"/>
    <s v="COMBUSTIBLES ALTERNOS"/>
    <m/>
    <m/>
    <s v="COMBUSTIBLES ALTERNOS"/>
    <x v="3"/>
    <x v="3"/>
    <s v="7999999995COMBALTERCOMBUSTIBLES ALTERNOS"/>
    <x v="3"/>
    <x v="0"/>
  </r>
  <r>
    <n v="7105240101"/>
    <s v="MP ADICIO ACTIVA NAL"/>
    <n v="0"/>
    <n v="0"/>
    <s v="T"/>
    <s v="M"/>
    <s v="1405240101"/>
    <s v="IN ADICIO ACTIVA NAL"/>
    <s v="EC01"/>
    <s v="BIOBRIQPAP"/>
    <n v="700120"/>
    <x v="9"/>
    <s v="BIOMASA BRIQUETAS DE PAPEL"/>
    <m/>
    <m/>
    <s v="COMBUSTIBLES ALTERNOS"/>
    <x v="3"/>
    <x v="3"/>
    <s v="7105240101BIOBRIQPAPCOMBUSTIBLES ALTERNOS"/>
    <x v="36"/>
    <x v="0"/>
  </r>
  <r>
    <n v="7105240101"/>
    <s v="MP ADICIO ACTIVA NAL"/>
    <n v="0"/>
    <n v="0"/>
    <s v="T"/>
    <s v="M"/>
    <s v="1405240101"/>
    <s v="IN ADICIO ACTIVA NAL"/>
    <s v="EC01"/>
    <s v="BIOCHIPMAD"/>
    <n v="700120"/>
    <x v="9"/>
    <s v="BIOMASA BRIQUETAS DE PAPEL"/>
    <m/>
    <m/>
    <s v="COMBUSTIBLES ALTERNOS"/>
    <x v="3"/>
    <x v="3"/>
    <s v="7105240101BIOCHIPMADCOMBUSTIBLES ALTERNOS"/>
    <x v="37"/>
    <x v="0"/>
  </r>
  <r>
    <n v="7355050101"/>
    <s v="CTO. COMBUSTIBLES"/>
    <n v="272801394.9516651"/>
    <n v="857.24669387754886"/>
    <s v="T"/>
    <s v="M"/>
    <s v="1455050101"/>
    <s v="INV. COMBUSTIBLES"/>
    <s v="EC01"/>
    <s v="COMBURESID"/>
    <n v="700120"/>
    <x v="9"/>
    <s v="COMBUSTIBLE DERIVADO RESIDUOS"/>
    <m/>
    <m/>
    <s v="COMBUSTIBLES ALTERNOS"/>
    <x v="3"/>
    <x v="3"/>
    <s v="7355050101COMBURESIDCOMBUSTIBLES ALTERNOS"/>
    <x v="38"/>
    <x v="0"/>
  </r>
  <r>
    <n v="7355050101"/>
    <s v="CTO. COMBUSTIBLES"/>
    <n v="62199448.763547979"/>
    <n v="195.33616071428511"/>
    <s v="T"/>
    <s v="M"/>
    <s v="1455050101"/>
    <s v="INV. COMBUSTIBLES"/>
    <s v="EC01"/>
    <s v="LLANTAPICA"/>
    <n v="700120"/>
    <x v="9"/>
    <s v="COMBUSTIBLE LLANTAS PICADAS"/>
    <m/>
    <m/>
    <s v="COMBUSTIBLES ALTERNOS"/>
    <x v="3"/>
    <x v="3"/>
    <s v="7355050101LLANTAPICACOMBUSTIBLES ALTERNOS"/>
    <x v="39"/>
    <x v="0"/>
  </r>
  <r>
    <n v="7999999995"/>
    <s v="TRASLADO DE COSTOS"/>
    <m/>
    <n v="-1052.5828545918339"/>
    <s v="T"/>
    <s v="M"/>
    <s v="1410900101"/>
    <s v="INV. SEMIELABORADO"/>
    <s v="EC01"/>
    <s v="COMBALTER"/>
    <n v="700120"/>
    <x v="9"/>
    <s v="COMBUSTIBLES ALTERNOS"/>
    <m/>
    <m/>
    <s v="COMBUSTIBLES ALTERNOS"/>
    <x v="3"/>
    <x v="3"/>
    <s v="7999999995COMBALTERCOMBUSTIBLES ALTERNOS"/>
    <x v="3"/>
    <x v="0"/>
  </r>
  <r>
    <n v="7105240101"/>
    <s v="MP ADICIO ACTIVA NAL"/>
    <n v="0"/>
    <n v="0"/>
    <s v="T"/>
    <s v="M"/>
    <s v="1405240101"/>
    <s v="IN ADICIO ACTIVA NAL"/>
    <s v="EC01"/>
    <s v="BIOBRIQPAP"/>
    <n v="700120"/>
    <x v="10"/>
    <s v="BIOMASA BRIQUETAS DE PAPEL"/>
    <m/>
    <m/>
    <s v="COMBUSTIBLES ALTERNOS"/>
    <x v="3"/>
    <x v="3"/>
    <s v="7105240101BIOBRIQPAPCOMBUSTIBLES ALTERNOS"/>
    <x v="36"/>
    <x v="0"/>
  </r>
  <r>
    <n v="7105240101"/>
    <s v="MP ADICIO ACTIVA NAL"/>
    <n v="0"/>
    <n v="0"/>
    <s v="T"/>
    <s v="M"/>
    <s v="1405240101"/>
    <s v="IN ADICIO ACTIVA NAL"/>
    <s v="EC01"/>
    <s v="BIOCHIPMAD"/>
    <n v="700120"/>
    <x v="10"/>
    <s v="BIOMASA BRIQUETAS DE PAPEL"/>
    <m/>
    <m/>
    <s v="COMBUSTIBLES ALTERNOS"/>
    <x v="3"/>
    <x v="3"/>
    <s v="7105240101BIOCHIPMADCOMBUSTIBLES ALTERNOS"/>
    <x v="37"/>
    <x v="0"/>
  </r>
  <r>
    <n v="7355050101"/>
    <s v="CTO. COMBUSTIBLES"/>
    <n v="444565236.21752834"/>
    <n v="1396.9946122448946"/>
    <s v="T"/>
    <s v="M"/>
    <s v="1455050101"/>
    <s v="INV. COMBUSTIBLES"/>
    <s v="EC01"/>
    <s v="COMBURESID"/>
    <n v="700120"/>
    <x v="10"/>
    <s v="COMBUSTIBLE DERIVADO RESIDUOS"/>
    <m/>
    <m/>
    <s v="COMBUSTIBLES ALTERNOS"/>
    <x v="3"/>
    <x v="3"/>
    <s v="7355050101COMBURESIDCOMBUSTIBLES ALTERNOS"/>
    <x v="38"/>
    <x v="0"/>
  </r>
  <r>
    <n v="7355050101"/>
    <s v="CTO. COMBUSTIBLES"/>
    <n v="101362064.65170784"/>
    <n v="318.32559523809437"/>
    <s v="T"/>
    <s v="M"/>
    <s v="1455050101"/>
    <s v="INV. COMBUSTIBLES"/>
    <s v="EC01"/>
    <s v="LLANTAPICA"/>
    <n v="700120"/>
    <x v="10"/>
    <s v="COMBUSTIBLE LLANTAS PICADAS"/>
    <m/>
    <m/>
    <s v="COMBUSTIBLES ALTERNOS"/>
    <x v="3"/>
    <x v="3"/>
    <s v="7355050101LLANTAPICACOMBUSTIBLES ALTERNOS"/>
    <x v="39"/>
    <x v="0"/>
  </r>
  <r>
    <n v="7999999995"/>
    <s v="TRASLADO DE COSTOS"/>
    <m/>
    <n v="-1715.320207482989"/>
    <s v="T"/>
    <s v="M"/>
    <s v="1410900101"/>
    <s v="INV. SEMIELABORADO"/>
    <s v="EC01"/>
    <s v="COMBALTER"/>
    <n v="700120"/>
    <x v="10"/>
    <s v="COMBUSTIBLES ALTERNOS"/>
    <m/>
    <m/>
    <s v="COMBUSTIBLES ALTERNOS"/>
    <x v="3"/>
    <x v="3"/>
    <s v="7999999995COMBALTERCOMBUSTIBLES ALTERNOS"/>
    <x v="3"/>
    <x v="0"/>
  </r>
  <r>
    <n v="7105240101"/>
    <s v="MP ADICIO ACTIVA NAL"/>
    <n v="0"/>
    <n v="0"/>
    <s v="T"/>
    <s v="M"/>
    <s v="1405240101"/>
    <s v="IN ADICIO ACTIVA NAL"/>
    <s v="EC01"/>
    <s v="BIOBRIQPAP"/>
    <n v="700120"/>
    <x v="11"/>
    <s v="BIOMASA BRIQUETAS DE PAPEL"/>
    <m/>
    <m/>
    <s v="COMBUSTIBLES ALTERNOS"/>
    <x v="3"/>
    <x v="3"/>
    <s v="7105240101BIOBRIQPAPCOMBUSTIBLES ALTERNOS"/>
    <x v="36"/>
    <x v="0"/>
  </r>
  <r>
    <n v="7105240101"/>
    <s v="MP ADICIO ACTIVA NAL"/>
    <n v="0"/>
    <n v="0"/>
    <s v="T"/>
    <s v="M"/>
    <s v="1405240101"/>
    <s v="IN ADICIO ACTIVA NAL"/>
    <s v="EC01"/>
    <s v="BIOCHIPMAD"/>
    <n v="700120"/>
    <x v="11"/>
    <s v="BIOMASA BRIQUETAS DE PAPEL"/>
    <m/>
    <m/>
    <s v="COMBUSTIBLES ALTERNOS"/>
    <x v="3"/>
    <x v="3"/>
    <s v="7105240101BIOCHIPMADCOMBUSTIBLES ALTERNOS"/>
    <x v="37"/>
    <x v="0"/>
  </r>
  <r>
    <n v="7355050101"/>
    <s v="CTO. COMBUSTIBLES"/>
    <n v="280465769.52031618"/>
    <n v="881.33110063353126"/>
    <s v="T"/>
    <s v="M"/>
    <s v="1455050101"/>
    <s v="INV. COMBUSTIBLES"/>
    <s v="EC01"/>
    <s v="COMBURESID"/>
    <n v="700120"/>
    <x v="11"/>
    <s v="COMBUSTIBLE DERIVADO RESIDUOS"/>
    <m/>
    <m/>
    <s v="COMBUSTIBLES ALTERNOS"/>
    <x v="3"/>
    <x v="3"/>
    <s v="7355050101COMBURESIDCOMBUSTIBLES ALTERNOS"/>
    <x v="38"/>
    <x v="0"/>
  </r>
  <r>
    <n v="7355050101"/>
    <s v="CTO. COMBUSTIBLES"/>
    <n v="63946946.69467815"/>
    <n v="200.82414402456763"/>
    <s v="T"/>
    <s v="M"/>
    <s v="1455050101"/>
    <s v="INV. COMBUSTIBLES"/>
    <s v="EC01"/>
    <s v="LLANTAPICA"/>
    <n v="700120"/>
    <x v="11"/>
    <s v="COMBUSTIBLE LLANTAS PICADAS"/>
    <m/>
    <m/>
    <s v="COMBUSTIBLES ALTERNOS"/>
    <x v="3"/>
    <x v="3"/>
    <s v="7355050101LLANTAPICACOMBUSTIBLES ALTERNOS"/>
    <x v="39"/>
    <x v="0"/>
  </r>
  <r>
    <n v="7999999995"/>
    <s v="TRASLADO DE COSTOS"/>
    <m/>
    <n v="-1082.1552446580988"/>
    <s v="T"/>
    <s v="M"/>
    <s v="1410900101"/>
    <s v="INV. SEMIELABORADO"/>
    <s v="EC01"/>
    <s v="COMBALTER"/>
    <n v="700120"/>
    <x v="11"/>
    <s v="COMBUSTIBLES ALTERNOS"/>
    <m/>
    <m/>
    <s v="COMBUSTIBLES ALTERNOS"/>
    <x v="3"/>
    <x v="3"/>
    <s v="7999999995COMBALTERCOMBUSTIBLES ALTERNOS"/>
    <x v="3"/>
    <x v="0"/>
  </r>
  <r>
    <n v="7355250321"/>
    <s v="RTOS VARIA IMPO"/>
    <n v="40201909.660598077"/>
    <n v="108900"/>
    <m/>
    <m/>
    <m/>
    <m/>
    <s v="IA01"/>
    <s v="MATERIAL DIQUE"/>
    <n v="700007"/>
    <x v="0"/>
    <s v="MEZCLA PREHOMO"/>
    <m/>
    <m/>
    <s v="MEZCLA PREHOMO"/>
    <x v="6"/>
    <x v="6"/>
    <s v="7355250321MATERIAL DIQUETrituración"/>
    <x v="40"/>
    <x v="0"/>
  </r>
  <r>
    <n v="7355250321"/>
    <s v="RTOS VARIA IMPO"/>
    <n v="40811029.503940478"/>
    <n v="110550"/>
    <m/>
    <m/>
    <m/>
    <m/>
    <s v="IA01"/>
    <s v="MATERIAL DIQUE"/>
    <n v="700007"/>
    <x v="1"/>
    <s v="MEZCLA PREHOMO"/>
    <m/>
    <m/>
    <s v="MEZCLA PREHOMO"/>
    <x v="6"/>
    <x v="6"/>
    <s v="7355250321MATERIAL DIQUETrituración"/>
    <x v="40"/>
    <x v="0"/>
  </r>
  <r>
    <n v="7355250321"/>
    <s v="RTOS VARIA IMPO"/>
    <n v="30455992.167119756"/>
    <n v="82500"/>
    <m/>
    <m/>
    <m/>
    <m/>
    <s v="IA01"/>
    <s v="MATERIAL DIQUE"/>
    <n v="700007"/>
    <x v="2"/>
    <s v="MEZCLA PREHOMO"/>
    <m/>
    <m/>
    <s v="MEZCLA PREHOMO"/>
    <x v="6"/>
    <x v="6"/>
    <s v="7355250321MATERIAL DIQUETrituración"/>
    <x v="40"/>
    <x v="0"/>
  </r>
  <r>
    <n v="7355250321"/>
    <s v="RTOS VARIA IMPO"/>
    <n v="29846872.323777363"/>
    <n v="80850"/>
    <m/>
    <m/>
    <m/>
    <m/>
    <s v="IA01"/>
    <s v="MATERIAL DIQUE"/>
    <n v="700007"/>
    <x v="3"/>
    <s v="MEZCLA PREHOMO"/>
    <m/>
    <m/>
    <s v="MEZCLA PREHOMO"/>
    <x v="6"/>
    <x v="6"/>
    <s v="7355250321MATERIAL DIQUETrituración"/>
    <x v="40"/>
    <x v="0"/>
  </r>
  <r>
    <n v="7355250321"/>
    <s v="RTOS VARIA IMPO"/>
    <n v="45074868.407337241"/>
    <n v="122100"/>
    <m/>
    <m/>
    <m/>
    <m/>
    <s v="IA01"/>
    <s v="MATERIAL DIQUE"/>
    <n v="700007"/>
    <x v="4"/>
    <s v="MEZCLA PREHOMO"/>
    <m/>
    <m/>
    <s v="MEZCLA PREHOMO"/>
    <x v="6"/>
    <x v="6"/>
    <s v="7355250321MATERIAL DIQUETrituración"/>
    <x v="40"/>
    <x v="0"/>
  </r>
  <r>
    <n v="7355250321"/>
    <s v="RTOS VARIA IMPO"/>
    <n v="19796394.908627842"/>
    <n v="53625"/>
    <m/>
    <m/>
    <m/>
    <m/>
    <s v="IA01"/>
    <s v="MATERIAL DIQUE"/>
    <n v="700007"/>
    <x v="5"/>
    <s v="MEZCLA PREHOMO"/>
    <m/>
    <m/>
    <s v="MEZCLA PREHOMO"/>
    <x v="6"/>
    <x v="6"/>
    <s v="7355250321MATERIAL DIQUETrituración"/>
    <x v="40"/>
    <x v="0"/>
  </r>
  <r>
    <n v="7355250321"/>
    <s v="RTOS VARIA IMPO"/>
    <n v="37156310.443886101"/>
    <n v="100650"/>
    <m/>
    <m/>
    <m/>
    <m/>
    <s v="IA01"/>
    <s v="MATERIAL DIQUE"/>
    <n v="700007"/>
    <x v="6"/>
    <s v="MEZCLA PREHOMO"/>
    <m/>
    <m/>
    <s v="MEZCLA PREHOMO"/>
    <x v="6"/>
    <x v="6"/>
    <s v="7355250321MATERIAL DIQUETrituración"/>
    <x v="40"/>
    <x v="0"/>
  </r>
  <r>
    <n v="7355250321"/>
    <s v="RTOS VARIA IMPO"/>
    <n v="45683988.250679635"/>
    <n v="123750"/>
    <m/>
    <m/>
    <m/>
    <m/>
    <s v="IA01"/>
    <s v="MATERIAL DIQUE"/>
    <n v="700007"/>
    <x v="7"/>
    <s v="MEZCLA PREHOMO"/>
    <m/>
    <m/>
    <s v="MEZCLA PREHOMO"/>
    <x v="6"/>
    <x v="6"/>
    <s v="7355250321MATERIAL DIQUETrituración"/>
    <x v="40"/>
    <x v="0"/>
  </r>
  <r>
    <n v="7355250321"/>
    <s v="RTOS VARIA IMPO"/>
    <n v="35024390.992187724"/>
    <n v="94875"/>
    <m/>
    <m/>
    <m/>
    <m/>
    <s v="IA01"/>
    <s v="MATERIAL DIQUE"/>
    <n v="700007"/>
    <x v="8"/>
    <s v="MEZCLA PREHOMO"/>
    <m/>
    <m/>
    <s v="MEZCLA PREHOMO"/>
    <x v="6"/>
    <x v="6"/>
    <s v="7355250321MATERIAL DIQUETrituración"/>
    <x v="40"/>
    <x v="0"/>
  </r>
  <r>
    <n v="7355250321"/>
    <s v="RTOS VARIA IMPO"/>
    <n v="27410392.950407781"/>
    <n v="74250"/>
    <m/>
    <m/>
    <m/>
    <m/>
    <s v="IA01"/>
    <s v="MATERIAL DIQUE"/>
    <n v="700007"/>
    <x v="9"/>
    <s v="MEZCLA PREHOMO"/>
    <m/>
    <m/>
    <s v="MEZCLA PREHOMO"/>
    <x v="6"/>
    <x v="6"/>
    <s v="7355250321MATERIAL DIQUETrituración"/>
    <x v="40"/>
    <x v="0"/>
  </r>
  <r>
    <n v="7355250321"/>
    <s v="RTOS VARIA IMPO"/>
    <n v="43856628.720652454"/>
    <n v="118800"/>
    <m/>
    <m/>
    <m/>
    <m/>
    <s v="IA01"/>
    <s v="MATERIAL DIQUE"/>
    <n v="700007"/>
    <x v="10"/>
    <s v="MEZCLA PREHOMO"/>
    <m/>
    <m/>
    <s v="MEZCLA PREHOMO"/>
    <x v="6"/>
    <x v="6"/>
    <s v="7355250321MATERIAL DIQUETrituración"/>
    <x v="40"/>
    <x v="0"/>
  </r>
  <r>
    <n v="7355250321"/>
    <s v="RTOS VARIA IMPO"/>
    <n v="27962171.716042437"/>
    <n v="75744.672966655286"/>
    <m/>
    <m/>
    <m/>
    <m/>
    <s v="IA01"/>
    <s v="MATERIAL DIQUE"/>
    <n v="700007"/>
    <x v="11"/>
    <s v="MEZCLA PREHOMO"/>
    <m/>
    <m/>
    <s v="MEZCLA PREHOMO"/>
    <x v="6"/>
    <x v="6"/>
    <s v="7355250321MATERIAL DIQUETrituración"/>
    <x v="40"/>
    <x v="0"/>
  </r>
  <r>
    <n v="7355250321"/>
    <s v="RTOS VARIA IMPO"/>
    <n v="18547726.64291019"/>
    <n v="50242.574257425731"/>
    <m/>
    <m/>
    <m/>
    <m/>
    <s v="IA01"/>
    <s v="MATERIAL DIQUE"/>
    <n v="700005"/>
    <x v="0"/>
    <s v="CALIZA TRITURADA"/>
    <m/>
    <m/>
    <s v="CALIZA PARA ADICIONES"/>
    <x v="7"/>
    <x v="7"/>
    <s v="7355250321MATERIAL DIQUEAdiciones"/>
    <x v="40"/>
    <x v="0"/>
  </r>
  <r>
    <n v="7355250321"/>
    <s v="RTOS VARIA IMPO"/>
    <n v="19357327.874835428"/>
    <n v="52435.643564356425"/>
    <m/>
    <m/>
    <m/>
    <m/>
    <s v="IA01"/>
    <s v="MATERIAL DIQUE"/>
    <n v="700005"/>
    <x v="1"/>
    <s v="CALIZA TRITURADA"/>
    <m/>
    <m/>
    <s v="CALIZA PARA ADICIONES"/>
    <x v="7"/>
    <x v="7"/>
    <s v="7355250321MATERIAL DIQUEAdiciones"/>
    <x v="40"/>
    <x v="0"/>
  </r>
  <r>
    <n v="7355250321"/>
    <s v="RTOS VARIA IMPO"/>
    <n v="17739587.444812365"/>
    <n v="48053.465346534649"/>
    <m/>
    <m/>
    <m/>
    <m/>
    <s v="IA01"/>
    <s v="MATERIAL DIQUE"/>
    <n v="700005"/>
    <x v="2"/>
    <s v="CALIZA TRITURADA"/>
    <m/>
    <m/>
    <s v="CALIZA PARA ADICIONES"/>
    <x v="7"/>
    <x v="7"/>
    <s v="7355250321MATERIAL DIQUEAdiciones"/>
    <x v="40"/>
    <x v="0"/>
  </r>
  <r>
    <n v="7355250321"/>
    <s v="RTOS VARIA IMPO"/>
    <n v="16413157.254899643"/>
    <n v="44460.396039603962"/>
    <m/>
    <m/>
    <m/>
    <m/>
    <s v="IA01"/>
    <s v="MATERIAL DIQUE"/>
    <n v="700005"/>
    <x v="3"/>
    <s v="CALIZA TRITURADA"/>
    <m/>
    <m/>
    <s v="CALIZA PARA ADICIONES"/>
    <x v="7"/>
    <x v="7"/>
    <s v="7355250321MATERIAL DIQUEAdiciones"/>
    <x v="40"/>
    <x v="0"/>
  </r>
  <r>
    <n v="7355250321"/>
    <s v="RTOS VARIA IMPO"/>
    <n v="20373075.8764247"/>
    <n v="55187.128712871287"/>
    <m/>
    <m/>
    <m/>
    <m/>
    <s v="IA01"/>
    <s v="MATERIAL DIQUE"/>
    <n v="700005"/>
    <x v="4"/>
    <s v="CALIZA TRITURADA"/>
    <m/>
    <m/>
    <s v="CALIZA PARA ADICIONES"/>
    <x v="7"/>
    <x v="7"/>
    <s v="7355250321MATERIAL DIQUEAdiciones"/>
    <x v="40"/>
    <x v="0"/>
  </r>
  <r>
    <n v="7355250321"/>
    <s v="RTOS VARIA IMPO"/>
    <n v="15071010.20134232"/>
    <n v="40824.752475247522"/>
    <m/>
    <m/>
    <m/>
    <m/>
    <s v="IA01"/>
    <s v="MATERIAL DIQUE"/>
    <n v="700005"/>
    <x v="5"/>
    <s v="CALIZA TRITURADA"/>
    <m/>
    <m/>
    <s v="CALIZA PARA ADICIONES"/>
    <x v="7"/>
    <x v="7"/>
    <s v="7355250321MATERIAL DIQUEAdiciones"/>
    <x v="40"/>
    <x v="0"/>
  </r>
  <r>
    <n v="7355250321"/>
    <s v="RTOS VARIA IMPO"/>
    <n v="19151181.105171401"/>
    <n v="51877.227722772281"/>
    <m/>
    <m/>
    <m/>
    <m/>
    <s v="IA01"/>
    <s v="MATERIAL DIQUE"/>
    <n v="700005"/>
    <x v="6"/>
    <s v="CALIZA TRITURADA"/>
    <m/>
    <m/>
    <s v="CALIZA PARA ADICIONES"/>
    <x v="7"/>
    <x v="7"/>
    <s v="7355250321MATERIAL DIQUEAdiciones"/>
    <x v="40"/>
    <x v="0"/>
  </r>
  <r>
    <n v="7355250321"/>
    <s v="RTOS VARIA IMPO"/>
    <n v="20665848.150362447"/>
    <n v="55980.198019801974"/>
    <m/>
    <m/>
    <m/>
    <m/>
    <s v="IA01"/>
    <s v="MATERIAL DIQUE"/>
    <n v="700005"/>
    <x v="7"/>
    <s v="CALIZA TRITURADA"/>
    <m/>
    <m/>
    <s v="CALIZA PARA ADICIONES"/>
    <x v="7"/>
    <x v="7"/>
    <s v="7355250321MATERIAL DIQUEAdiciones"/>
    <x v="40"/>
    <x v="0"/>
  </r>
  <r>
    <n v="7355250321"/>
    <s v="RTOS VARIA IMPO"/>
    <n v="18772514.343873639"/>
    <n v="50851.485148514854"/>
    <m/>
    <m/>
    <m/>
    <m/>
    <s v="IA01"/>
    <s v="MATERIAL DIQUE"/>
    <n v="700005"/>
    <x v="8"/>
    <s v="CALIZA TRITURADA"/>
    <m/>
    <m/>
    <s v="CALIZA PARA ADICIONES"/>
    <x v="7"/>
    <x v="7"/>
    <s v="7355250321MATERIAL DIQUEAdiciones"/>
    <x v="40"/>
    <x v="0"/>
  </r>
  <r>
    <n v="7355250321"/>
    <s v="RTOS VARIA IMPO"/>
    <n v="17826212.949086078"/>
    <n v="48288.118811881184"/>
    <m/>
    <m/>
    <m/>
    <m/>
    <s v="IA01"/>
    <s v="MATERIAL DIQUE"/>
    <n v="700005"/>
    <x v="9"/>
    <s v="CALIZA TRITURADA"/>
    <m/>
    <m/>
    <s v="CALIZA PARA ADICIONES"/>
    <x v="7"/>
    <x v="7"/>
    <s v="7355250321MATERIAL DIQUEAdiciones"/>
    <x v="40"/>
    <x v="0"/>
  </r>
  <r>
    <n v="7355250321"/>
    <s v="RTOS VARIA IMPO"/>
    <n v="20821189.244524173"/>
    <n v="56400.990099009898"/>
    <m/>
    <m/>
    <m/>
    <m/>
    <s v="IA01"/>
    <s v="MATERIAL DIQUE"/>
    <n v="700005"/>
    <x v="10"/>
    <s v="CALIZA TRITURADA"/>
    <m/>
    <m/>
    <s v="CALIZA PARA ADICIONES"/>
    <x v="7"/>
    <x v="7"/>
    <s v="7355250321MATERIAL DIQUEAdiciones"/>
    <x v="40"/>
    <x v="0"/>
  </r>
  <r>
    <n v="7355250321"/>
    <s v="RTOS VARIA IMPO"/>
    <n v="17548218.86650072"/>
    <n v="47535.08106195517"/>
    <m/>
    <m/>
    <m/>
    <m/>
    <s v="IA01"/>
    <s v="MATERIAL DIQUE"/>
    <n v="700005"/>
    <x v="11"/>
    <s v="CALIZA TRITURADA"/>
    <m/>
    <m/>
    <s v="CALIZA PARA ADICIONES"/>
    <x v="7"/>
    <x v="7"/>
    <s v="7355250321MATERIAL DIQUEAdiciones"/>
    <x v="40"/>
    <x v="0"/>
  </r>
  <r>
    <n v="7355250322"/>
    <s v="RTOS VARIA IMPO"/>
    <n v="35498552.100000001"/>
    <n v="9193.1270585948077"/>
    <m/>
    <m/>
    <m/>
    <m/>
    <s v="EC01"/>
    <s v="DESATASQUE DE CARBON"/>
    <n v="700002"/>
    <x v="0"/>
    <s v="DESATASQUE DE CARBÓN"/>
    <m/>
    <m/>
    <s v="CARBON MOLIDO"/>
    <x v="2"/>
    <x v="2"/>
    <s v="7355250322DESATASQUE DE CARBONMolienda de Carbón"/>
    <x v="41"/>
    <x v="0"/>
  </r>
  <r>
    <n v="7355250322"/>
    <s v="RTOS VARIA IMPO"/>
    <n v="35498552.100000001"/>
    <n v="9306.729420387499"/>
    <m/>
    <m/>
    <m/>
    <m/>
    <s v="EC01"/>
    <s v="DESATASQUE DE CARBON"/>
    <n v="700002"/>
    <x v="1"/>
    <s v="DESATASQUE DE CARBÓN"/>
    <m/>
    <m/>
    <s v="CARBON MOLIDO"/>
    <x v="2"/>
    <x v="2"/>
    <s v="7355250322DESATASQUE DE CARBONMolienda de Carbón"/>
    <x v="41"/>
    <x v="0"/>
  </r>
  <r>
    <n v="7355250322"/>
    <s v="RTOS VARIA IMPO"/>
    <n v="35498552.100000001"/>
    <n v="6466.6703755702074"/>
    <m/>
    <m/>
    <m/>
    <m/>
    <s v="EC01"/>
    <s v="DESATASQUE DE CARBON"/>
    <n v="700002"/>
    <x v="2"/>
    <s v="DESATASQUE DE CARBÓN"/>
    <m/>
    <m/>
    <s v="CARBON MOLIDO"/>
    <x v="2"/>
    <x v="2"/>
    <s v="7355250322DESATASQUE DE CARBONMolienda de Carbón"/>
    <x v="41"/>
    <x v="0"/>
  </r>
  <r>
    <n v="7355250322"/>
    <s v="RTOS VARIA IMPO"/>
    <n v="35498552.100000001"/>
    <n v="6764.1562278822057"/>
    <m/>
    <m/>
    <m/>
    <m/>
    <s v="EC01"/>
    <s v="DESATASQUE DE CARBON"/>
    <n v="700002"/>
    <x v="3"/>
    <s v="DESATASQUE DE CARBÓN"/>
    <m/>
    <m/>
    <s v="CARBON MOLIDO"/>
    <x v="2"/>
    <x v="2"/>
    <s v="7355250322DESATASQUE DE CARBONMolienda de Carbón"/>
    <x v="41"/>
    <x v="0"/>
  </r>
  <r>
    <n v="7355250322"/>
    <s v="RTOS VARIA IMPO"/>
    <n v="35498552.100000001"/>
    <n v="10329.150676521722"/>
    <m/>
    <m/>
    <m/>
    <m/>
    <s v="EC01"/>
    <s v="DESATASQUE DE CARBON"/>
    <n v="700002"/>
    <x v="4"/>
    <s v="DESATASQUE DE CARBÓN"/>
    <m/>
    <m/>
    <s v="CARBON MOLIDO"/>
    <x v="2"/>
    <x v="2"/>
    <s v="7355250322DESATASQUE DE CARBONMolienda de Carbón"/>
    <x v="41"/>
    <x v="0"/>
  </r>
  <r>
    <n v="7355250322"/>
    <s v="RTOS VARIA IMPO"/>
    <n v="35498552.100000001"/>
    <n v="4421.827863301759"/>
    <m/>
    <m/>
    <m/>
    <m/>
    <s v="EC01"/>
    <s v="DESATASQUE DE CARBON"/>
    <n v="700002"/>
    <x v="5"/>
    <s v="DESATASQUE DE CARBÓN"/>
    <m/>
    <m/>
    <s v="CARBON MOLIDO"/>
    <x v="2"/>
    <x v="2"/>
    <s v="7355250322DESATASQUE DE CARBONMolienda de Carbón"/>
    <x v="41"/>
    <x v="0"/>
  </r>
  <r>
    <n v="7355250322"/>
    <s v="RTOS VARIA IMPO"/>
    <n v="35498552.100000001"/>
    <n v="8468.1916547725796"/>
    <m/>
    <m/>
    <m/>
    <m/>
    <s v="EC01"/>
    <s v="DESATASQUE DE CARBON"/>
    <n v="700002"/>
    <x v="6"/>
    <s v="DESATASQUE DE CARBÓN"/>
    <m/>
    <m/>
    <s v="CARBON MOLIDO"/>
    <x v="2"/>
    <x v="2"/>
    <s v="7355250322DESATASQUE DE CARBONMolienda de Carbón"/>
    <x v="41"/>
    <x v="0"/>
  </r>
  <r>
    <n v="7355250322"/>
    <s v="RTOS VARIA IMPO"/>
    <n v="35498552.100000001"/>
    <n v="10329.150676521722"/>
    <m/>
    <m/>
    <m/>
    <m/>
    <s v="EC01"/>
    <s v="DESATASQUE DE CARBON"/>
    <n v="700002"/>
    <x v="7"/>
    <s v="DESATASQUE DE CARBÓN"/>
    <m/>
    <m/>
    <s v="CARBON MOLIDO"/>
    <x v="2"/>
    <x v="2"/>
    <s v="7355250322DESATASQUE DE CARBONMolienda de Carbón"/>
    <x v="41"/>
    <x v="0"/>
  </r>
  <r>
    <n v="7355250322"/>
    <s v="RTOS VARIA IMPO"/>
    <n v="35498552.100000001"/>
    <n v="7829.8987170825058"/>
    <m/>
    <m/>
    <m/>
    <m/>
    <s v="EC01"/>
    <s v="DESATASQUE DE CARBON"/>
    <n v="700002"/>
    <x v="8"/>
    <s v="DESATASQUE DE CARBÓN"/>
    <m/>
    <m/>
    <s v="CARBON MOLIDO"/>
    <x v="2"/>
    <x v="2"/>
    <s v="7355250322DESATASQUE DE CARBONMolienda de Carbón"/>
    <x v="41"/>
    <x v="0"/>
  </r>
  <r>
    <n v="7355250322"/>
    <s v="RTOS VARIA IMPO"/>
    <n v="35498552.100000001"/>
    <n v="6082.5420571260565"/>
    <m/>
    <m/>
    <m/>
    <m/>
    <s v="EC01"/>
    <s v="DESATASQUE DE CARBON"/>
    <n v="700002"/>
    <x v="9"/>
    <s v="DESATASQUE DE CARBÓN"/>
    <m/>
    <m/>
    <s v="CARBON MOLIDO"/>
    <x v="2"/>
    <x v="2"/>
    <s v="7355250322DESATASQUE DE CARBONMolienda de Carbón"/>
    <x v="41"/>
    <x v="0"/>
  </r>
  <r>
    <n v="7355250322"/>
    <s v="RTOS VARIA IMPO"/>
    <n v="35498552.100000001"/>
    <n v="9988.3435911436482"/>
    <m/>
    <m/>
    <m/>
    <m/>
    <s v="EC01"/>
    <s v="DESATASQUE DE CARBON"/>
    <n v="700002"/>
    <x v="10"/>
    <s v="DESATASQUE DE CARBÓN"/>
    <m/>
    <m/>
    <s v="CARBON MOLIDO"/>
    <x v="2"/>
    <x v="2"/>
    <s v="7355250322DESATASQUE DE CARBONMolienda de Carbón"/>
    <x v="41"/>
    <x v="0"/>
  </r>
  <r>
    <n v="7355250322"/>
    <s v="RTOS VARIA IMPO"/>
    <n v="35498552.100000001"/>
    <n v="6254.8920440171096"/>
    <m/>
    <m/>
    <m/>
    <m/>
    <s v="EC01"/>
    <s v="DESATASQUE DE CARBON"/>
    <n v="700002"/>
    <x v="11"/>
    <s v="DESATASQUE DE CARBÓN"/>
    <m/>
    <m/>
    <s v="CARBON MOLIDO"/>
    <x v="2"/>
    <x v="2"/>
    <s v="7355250322DESATASQUE DE CARBONMolienda de Carbón"/>
    <x v="41"/>
    <x v="0"/>
  </r>
  <r>
    <n v="7355050103"/>
    <s v="CTO COMBUS SOL NAC"/>
    <n v="0"/>
    <n v="0"/>
    <s v="T"/>
    <s v="M"/>
    <s v="1455050103"/>
    <s v="INV COMBUST SOL NAC"/>
    <s v="EC01"/>
    <s v="FINOSCARB"/>
    <n v="700002"/>
    <x v="0"/>
    <s v="CARBONES FINOS"/>
    <m/>
    <m/>
    <s v="CARBON MOLIDO"/>
    <x v="2"/>
    <x v="2"/>
    <s v="7355050103FINOSCARBMolienda de Carbón"/>
    <x v="15"/>
    <x v="0"/>
  </r>
  <r>
    <n v="7355050103"/>
    <s v="CTO COMBUS SOL NAC"/>
    <n v="0"/>
    <n v="0"/>
    <s v="T"/>
    <s v="M"/>
    <s v="1455050103"/>
    <s v="INV COMBUST SOL NAC"/>
    <s v="EC01"/>
    <s v="FINOSCARB"/>
    <n v="700002"/>
    <x v="1"/>
    <s v="CARBONES FINOS"/>
    <m/>
    <m/>
    <s v="CARBON MOLIDO"/>
    <x v="2"/>
    <x v="2"/>
    <s v="7355050103FINOSCARBMolienda de Carbón"/>
    <x v="15"/>
    <x v="0"/>
  </r>
  <r>
    <n v="7355050103"/>
    <s v="CTO COMBUS SOL NAC"/>
    <n v="0"/>
    <n v="0"/>
    <s v="T"/>
    <s v="M"/>
    <s v="1455050103"/>
    <s v="INV COMBUST SOL NAC"/>
    <s v="EC01"/>
    <s v="FINOSCARB"/>
    <n v="700002"/>
    <x v="2"/>
    <s v="CARBONES FINOS"/>
    <m/>
    <m/>
    <s v="CARBON MOLIDO"/>
    <x v="2"/>
    <x v="2"/>
    <s v="7355050103FINOSCARBMolienda de Carbón"/>
    <x v="15"/>
    <x v="0"/>
  </r>
  <r>
    <n v="7355050103"/>
    <s v="CTO COMBUS SOL NAC"/>
    <n v="0"/>
    <n v="0"/>
    <s v="T"/>
    <s v="M"/>
    <s v="1455050103"/>
    <s v="INV COMBUST SOL NAC"/>
    <s v="EC01"/>
    <s v="FINOSCARB"/>
    <n v="700002"/>
    <x v="3"/>
    <s v="CARBONES FINOS"/>
    <m/>
    <m/>
    <s v="CARBON MOLIDO"/>
    <x v="2"/>
    <x v="2"/>
    <s v="7355050103FINOSCARBMolienda de Carbón"/>
    <x v="15"/>
    <x v="0"/>
  </r>
  <r>
    <n v="7355050103"/>
    <s v="CTO COMBUS SOL NAC"/>
    <n v="0"/>
    <n v="0"/>
    <s v="T"/>
    <s v="M"/>
    <s v="1455050103"/>
    <s v="INV COMBUST SOL NAC"/>
    <s v="EC01"/>
    <s v="FINOSCARB"/>
    <n v="700002"/>
    <x v="4"/>
    <s v="CARBONES FINOS"/>
    <m/>
    <m/>
    <s v="CARBON MOLIDO"/>
    <x v="2"/>
    <x v="2"/>
    <s v="7355050103FINOSCARBMolienda de Carbón"/>
    <x v="15"/>
    <x v="0"/>
  </r>
  <r>
    <n v="7355050103"/>
    <s v="CTO COMBUS SOL NAC"/>
    <n v="0"/>
    <n v="0"/>
    <s v="T"/>
    <s v="M"/>
    <s v="1455050103"/>
    <s v="INV COMBUST SOL NAC"/>
    <s v="EC01"/>
    <s v="FINOSCARB"/>
    <n v="700002"/>
    <x v="5"/>
    <s v="CARBONES FINOS"/>
    <m/>
    <m/>
    <s v="CARBON MOLIDO"/>
    <x v="2"/>
    <x v="2"/>
    <s v="7355050103FINOSCARBMolienda de Carbón"/>
    <x v="15"/>
    <x v="0"/>
  </r>
  <r>
    <n v="7355050103"/>
    <s v="CTO COMBUS SOL NAC"/>
    <n v="0"/>
    <n v="0"/>
    <s v="T"/>
    <s v="M"/>
    <s v="1455050103"/>
    <s v="INV COMBUST SOL NAC"/>
    <s v="EC01"/>
    <s v="FINOSCARB"/>
    <n v="700002"/>
    <x v="6"/>
    <s v="CARBONES FINOS"/>
    <m/>
    <m/>
    <s v="CARBON MOLIDO"/>
    <x v="2"/>
    <x v="2"/>
    <s v="7355050103FINOSCARBMolienda de Carbón"/>
    <x v="15"/>
    <x v="0"/>
  </r>
  <r>
    <n v="7355050103"/>
    <s v="CTO COMBUS SOL NAC"/>
    <n v="0"/>
    <n v="0"/>
    <s v="T"/>
    <s v="M"/>
    <s v="1455050103"/>
    <s v="INV COMBUST SOL NAC"/>
    <s v="EC01"/>
    <s v="FINOSCARB"/>
    <n v="700002"/>
    <x v="7"/>
    <s v="CARBONES FINOS"/>
    <m/>
    <m/>
    <s v="CARBON MOLIDO"/>
    <x v="2"/>
    <x v="2"/>
    <s v="7355050103FINOSCARBMolienda de Carbón"/>
    <x v="15"/>
    <x v="0"/>
  </r>
  <r>
    <n v="7355050103"/>
    <s v="CTO COMBUS SOL NAC"/>
    <n v="0"/>
    <n v="0"/>
    <s v="T"/>
    <s v="M"/>
    <s v="1455050103"/>
    <s v="INV COMBUST SOL NAC"/>
    <s v="EC01"/>
    <s v="FINOSCARB"/>
    <n v="700002"/>
    <x v="8"/>
    <s v="CARBONES FINOS"/>
    <m/>
    <m/>
    <s v="CARBON MOLIDO"/>
    <x v="2"/>
    <x v="2"/>
    <s v="7355050103FINOSCARBMolienda de Carbón"/>
    <x v="15"/>
    <x v="0"/>
  </r>
  <r>
    <n v="7355050103"/>
    <s v="CTO COMBUS SOL NAC"/>
    <n v="0"/>
    <n v="0"/>
    <s v="T"/>
    <s v="M"/>
    <s v="1455050103"/>
    <s v="INV COMBUST SOL NAC"/>
    <s v="EC01"/>
    <s v="FINOSCARB"/>
    <n v="700002"/>
    <x v="9"/>
    <s v="CARBONES FINOS"/>
    <m/>
    <m/>
    <s v="CARBON MOLIDO"/>
    <x v="2"/>
    <x v="2"/>
    <s v="7355050103FINOSCARBMolienda de Carbón"/>
    <x v="15"/>
    <x v="0"/>
  </r>
  <r>
    <n v="7355050103"/>
    <s v="CTO COMBUS SOL NAC"/>
    <n v="0"/>
    <n v="0"/>
    <s v="T"/>
    <s v="M"/>
    <s v="1455050103"/>
    <s v="INV COMBUST SOL NAC"/>
    <s v="EC01"/>
    <s v="FINOSCARB"/>
    <n v="700002"/>
    <x v="10"/>
    <s v="CARBONES FINOS"/>
    <m/>
    <m/>
    <s v="CARBON MOLIDO"/>
    <x v="2"/>
    <x v="2"/>
    <s v="7355050103FINOSCARBMolienda de Carbón"/>
    <x v="15"/>
    <x v="0"/>
  </r>
  <r>
    <n v="7355050103"/>
    <s v="CTO COMBUS SOL NAC"/>
    <n v="0"/>
    <n v="0"/>
    <s v="T"/>
    <s v="M"/>
    <s v="1455050103"/>
    <s v="INV COMBUST SOL NAC"/>
    <s v="EC01"/>
    <s v="FINOSCARB"/>
    <n v="700002"/>
    <x v="11"/>
    <s v="CARBONES FINOS"/>
    <m/>
    <m/>
    <s v="CARBON MOLIDO"/>
    <x v="2"/>
    <x v="2"/>
    <s v="7355050103FINOSCARBMolienda de Carbón"/>
    <x v="15"/>
    <x v="0"/>
  </r>
  <r>
    <n v="7105330101"/>
    <s v="CTO. MP CALIZAS NAL"/>
    <n v="0"/>
    <n v="0"/>
    <s v="T"/>
    <s v="M"/>
    <s v="1405330101"/>
    <s v="INV.  CALIZAS NAL"/>
    <s v="EC01"/>
    <s v="SALMAR"/>
    <n v="700064"/>
    <x v="0"/>
    <s v="SAL MARINA"/>
    <m/>
    <m/>
    <s v="FIBROCEMENTO"/>
    <x v="13"/>
    <x v="13"/>
    <s v="7105330101SALMARFibrocemento"/>
    <x v="18"/>
    <x v="0"/>
  </r>
  <r>
    <n v="7105400101"/>
    <s v="CTO.MP COMPUESTO NAL"/>
    <n v="0"/>
    <n v="0"/>
    <s v="T"/>
    <s v="M"/>
    <s v="1405330101"/>
    <s v="INV.  CALIZAS NAL"/>
    <s v="EC01"/>
    <s v="ADIMOLIEN"/>
    <n v="700064"/>
    <x v="0"/>
    <s v="ADITIVO DE MOLIENDA"/>
    <m/>
    <m/>
    <s v="FIBROCEMENTO"/>
    <x v="13"/>
    <x v="13"/>
    <s v="7105400101ADIMOLIENFibrocemento"/>
    <x v="21"/>
    <x v="0"/>
  </r>
  <r>
    <n v="7105400101"/>
    <s v="CTO.MP COMPUESTO NAL"/>
    <n v="0"/>
    <n v="0"/>
    <s v="T"/>
    <s v="M"/>
    <s v="1405330101"/>
    <s v="INV.  CALIZAS NAL"/>
    <s v="EC01"/>
    <s v="PUZOLANA"/>
    <n v="700064"/>
    <x v="0"/>
    <s v="PUZOLANA"/>
    <m/>
    <m/>
    <s v="FIBROCEMENTO"/>
    <x v="13"/>
    <x v="13"/>
    <s v="7105400101PUZOLANAFibrocemento"/>
    <x v="22"/>
    <x v="0"/>
  </r>
  <r>
    <n v="7105400101"/>
    <s v="CTO.MP COMPUESTO NAL"/>
    <m/>
    <n v="0"/>
    <s v="T"/>
    <s v="M"/>
    <s v="1405330101"/>
    <s v="INV.  CALIZAS NAL"/>
    <s v="EC01"/>
    <s v="CRUDO"/>
    <n v="700064"/>
    <x v="0"/>
    <s v="HARINA CRUDA"/>
    <m/>
    <m/>
    <s v="FIBROCEMENTO"/>
    <x v="13"/>
    <x v="13"/>
    <s v="7105400101CRUDOFibrocemento"/>
    <x v="23"/>
    <x v="0"/>
  </r>
  <r>
    <n v="7105330101"/>
    <s v="CTO. MP CALIZAS NAL"/>
    <n v="0"/>
    <n v="0"/>
    <s v="T"/>
    <s v="M"/>
    <s v="1405330101"/>
    <s v="INV.  CALIZAS NAL"/>
    <s v="EC01"/>
    <s v="SALMAR"/>
    <n v="700064"/>
    <x v="1"/>
    <s v="SAL MARINA"/>
    <m/>
    <m/>
    <s v="FIBROCEMENTO"/>
    <x v="13"/>
    <x v="13"/>
    <s v="7105330101SALMARFibrocemento"/>
    <x v="18"/>
    <x v="0"/>
  </r>
  <r>
    <n v="7105400101"/>
    <s v="CTO.MP COMPUESTO NAL"/>
    <n v="0"/>
    <n v="0"/>
    <s v="T"/>
    <s v="M"/>
    <s v="1405330101"/>
    <s v="INV.  CALIZAS NAL"/>
    <s v="EC01"/>
    <s v="ADIMOLIEN"/>
    <n v="700064"/>
    <x v="1"/>
    <s v="ADITIVO DE MOLIENDA"/>
    <m/>
    <m/>
    <s v="FIBROCEMENTO"/>
    <x v="13"/>
    <x v="13"/>
    <s v="7105400101ADIMOLIENFibrocemento"/>
    <x v="21"/>
    <x v="0"/>
  </r>
  <r>
    <n v="7105400101"/>
    <s v="CTO.MP COMPUESTO NAL"/>
    <n v="0"/>
    <n v="0"/>
    <s v="T"/>
    <s v="M"/>
    <s v="1405330101"/>
    <s v="INV.  CALIZAS NAL"/>
    <s v="EC01"/>
    <s v="PUZOLANA"/>
    <n v="700064"/>
    <x v="1"/>
    <s v="PUZOLANA"/>
    <m/>
    <m/>
    <s v="FIBROCEMENTO"/>
    <x v="13"/>
    <x v="13"/>
    <s v="7105400101PUZOLANAFibrocemento"/>
    <x v="22"/>
    <x v="0"/>
  </r>
  <r>
    <n v="7105400101"/>
    <s v="CTO.MP COMPUESTO NAL"/>
    <m/>
    <n v="0"/>
    <s v="T"/>
    <s v="M"/>
    <s v="1405330101"/>
    <s v="INV.  CALIZAS NAL"/>
    <s v="EC01"/>
    <s v="CRUDO"/>
    <n v="700064"/>
    <x v="1"/>
    <s v="HARINA CRUDA"/>
    <m/>
    <m/>
    <s v="FIBROCEMENTO"/>
    <x v="13"/>
    <x v="13"/>
    <s v="7105400101CRUDOFibrocemento"/>
    <x v="23"/>
    <x v="0"/>
  </r>
  <r>
    <n v="7105330101"/>
    <s v="CTO. MP CALIZAS NAL"/>
    <n v="0"/>
    <n v="0"/>
    <s v="T"/>
    <s v="M"/>
    <s v="1405330101"/>
    <s v="INV.  CALIZAS NAL"/>
    <s v="EC01"/>
    <s v="SALMAR"/>
    <n v="700064"/>
    <x v="2"/>
    <s v="SAL MARINA"/>
    <m/>
    <m/>
    <s v="FIBROCEMENTO"/>
    <x v="13"/>
    <x v="13"/>
    <s v="7105330101SALMARFibrocemento"/>
    <x v="18"/>
    <x v="0"/>
  </r>
  <r>
    <n v="7105400101"/>
    <s v="CTO.MP COMPUESTO NAL"/>
    <n v="0"/>
    <n v="0"/>
    <s v="T"/>
    <s v="M"/>
    <s v="1405330101"/>
    <s v="INV.  CALIZAS NAL"/>
    <s v="EC01"/>
    <s v="ADIMOLIEN"/>
    <n v="700064"/>
    <x v="2"/>
    <s v="ADITIVO DE MOLIENDA"/>
    <m/>
    <m/>
    <s v="FIBROCEMENTO"/>
    <x v="13"/>
    <x v="13"/>
    <s v="7105400101ADIMOLIENFibrocemento"/>
    <x v="21"/>
    <x v="0"/>
  </r>
  <r>
    <n v="7105400101"/>
    <s v="CTO.MP COMPUESTO NAL"/>
    <n v="0"/>
    <n v="0"/>
    <s v="T"/>
    <s v="M"/>
    <s v="1405330101"/>
    <s v="INV.  CALIZAS NAL"/>
    <s v="EC01"/>
    <s v="PUZOLANA"/>
    <n v="700064"/>
    <x v="2"/>
    <s v="PUZOLANA"/>
    <m/>
    <m/>
    <s v="FIBROCEMENTO"/>
    <x v="13"/>
    <x v="13"/>
    <s v="7105400101PUZOLANAFibrocemento"/>
    <x v="22"/>
    <x v="0"/>
  </r>
  <r>
    <n v="7105400101"/>
    <s v="CTO.MP COMPUESTO NAL"/>
    <m/>
    <n v="0"/>
    <s v="T"/>
    <s v="M"/>
    <s v="1405330101"/>
    <s v="INV.  CALIZAS NAL"/>
    <s v="EC01"/>
    <s v="CRUDO"/>
    <n v="700064"/>
    <x v="2"/>
    <s v="HARINA CRUDA"/>
    <m/>
    <m/>
    <s v="FIBROCEMENTO"/>
    <x v="13"/>
    <x v="13"/>
    <s v="7105400101CRUDOFibrocemento"/>
    <x v="23"/>
    <x v="0"/>
  </r>
  <r>
    <n v="7105330101"/>
    <s v="CTO. MP CALIZAS NAL"/>
    <n v="0"/>
    <n v="0"/>
    <s v="T"/>
    <s v="M"/>
    <s v="1405330101"/>
    <s v="INV.  CALIZAS NAL"/>
    <s v="EC01"/>
    <s v="SALMAR"/>
    <n v="700064"/>
    <x v="3"/>
    <s v="SAL MARINA"/>
    <m/>
    <m/>
    <s v="FIBROCEMENTO"/>
    <x v="13"/>
    <x v="13"/>
    <s v="7105330101SALMARFibrocemento"/>
    <x v="18"/>
    <x v="0"/>
  </r>
  <r>
    <n v="7105400101"/>
    <s v="CTO.MP COMPUESTO NAL"/>
    <n v="0"/>
    <n v="0"/>
    <s v="T"/>
    <s v="M"/>
    <s v="1405330101"/>
    <s v="INV.  CALIZAS NAL"/>
    <s v="EC01"/>
    <s v="ADIMOLIEN"/>
    <n v="700064"/>
    <x v="3"/>
    <s v="ADITIVO DE MOLIENDA"/>
    <m/>
    <m/>
    <s v="FIBROCEMENTO"/>
    <x v="13"/>
    <x v="13"/>
    <s v="7105400101ADIMOLIENFibrocemento"/>
    <x v="21"/>
    <x v="0"/>
  </r>
  <r>
    <n v="7105400101"/>
    <s v="CTO.MP COMPUESTO NAL"/>
    <n v="0"/>
    <n v="0"/>
    <s v="T"/>
    <s v="M"/>
    <s v="1405330101"/>
    <s v="INV.  CALIZAS NAL"/>
    <s v="EC01"/>
    <s v="PUZOLANA"/>
    <n v="700064"/>
    <x v="3"/>
    <s v="PUZOLANA"/>
    <m/>
    <m/>
    <s v="FIBROCEMENTO"/>
    <x v="13"/>
    <x v="13"/>
    <s v="7105400101PUZOLANAFibrocemento"/>
    <x v="22"/>
    <x v="0"/>
  </r>
  <r>
    <n v="7105400101"/>
    <s v="CTO.MP COMPUESTO NAL"/>
    <m/>
    <n v="0"/>
    <s v="T"/>
    <s v="M"/>
    <s v="1405330101"/>
    <s v="INV.  CALIZAS NAL"/>
    <s v="EC01"/>
    <s v="CRUDO"/>
    <n v="700064"/>
    <x v="3"/>
    <s v="HARINA CRUDA"/>
    <m/>
    <m/>
    <s v="FIBROCEMENTO"/>
    <x v="13"/>
    <x v="13"/>
    <s v="7105400101CRUDOFibrocemento"/>
    <x v="23"/>
    <x v="0"/>
  </r>
  <r>
    <n v="7105330101"/>
    <s v="CTO. MP CALIZAS NAL"/>
    <n v="0"/>
    <n v="0"/>
    <s v="T"/>
    <s v="M"/>
    <s v="1405330101"/>
    <s v="INV.  CALIZAS NAL"/>
    <s v="EC01"/>
    <s v="SALMAR"/>
    <n v="700064"/>
    <x v="4"/>
    <s v="SAL MARINA"/>
    <m/>
    <m/>
    <s v="FIBROCEMENTO"/>
    <x v="13"/>
    <x v="13"/>
    <s v="7105330101SALMARFibrocemento"/>
    <x v="18"/>
    <x v="0"/>
  </r>
  <r>
    <n v="7105400101"/>
    <s v="CTO.MP COMPUESTO NAL"/>
    <n v="0"/>
    <n v="0"/>
    <s v="T"/>
    <s v="M"/>
    <s v="1405330101"/>
    <s v="INV.  CALIZAS NAL"/>
    <s v="EC01"/>
    <s v="ADIMOLIEN"/>
    <n v="700064"/>
    <x v="4"/>
    <s v="ADITIVO DE MOLIENDA"/>
    <m/>
    <m/>
    <s v="FIBROCEMENTO"/>
    <x v="13"/>
    <x v="13"/>
    <s v="7105400101ADIMOLIENFibrocemento"/>
    <x v="21"/>
    <x v="0"/>
  </r>
  <r>
    <n v="7105400101"/>
    <s v="CTO.MP COMPUESTO NAL"/>
    <n v="0"/>
    <n v="0"/>
    <s v="T"/>
    <s v="M"/>
    <s v="1405330101"/>
    <s v="INV.  CALIZAS NAL"/>
    <s v="EC01"/>
    <s v="PUZOLANA"/>
    <n v="700064"/>
    <x v="4"/>
    <s v="PUZOLANA"/>
    <m/>
    <m/>
    <s v="FIBROCEMENTO"/>
    <x v="13"/>
    <x v="13"/>
    <s v="7105400101PUZOLANAFibrocemento"/>
    <x v="22"/>
    <x v="0"/>
  </r>
  <r>
    <n v="7105400101"/>
    <s v="CTO.MP COMPUESTO NAL"/>
    <m/>
    <n v="0"/>
    <s v="T"/>
    <s v="M"/>
    <s v="1405330101"/>
    <s v="INV.  CALIZAS NAL"/>
    <s v="EC01"/>
    <s v="CRUDO"/>
    <n v="700064"/>
    <x v="4"/>
    <s v="HARINA CRUDA"/>
    <m/>
    <m/>
    <s v="FIBROCEMENTO"/>
    <x v="13"/>
    <x v="13"/>
    <s v="7105400101CRUDOFibrocemento"/>
    <x v="23"/>
    <x v="0"/>
  </r>
  <r>
    <n v="7105330101"/>
    <s v="CTO. MP CALIZAS NAL"/>
    <n v="0"/>
    <n v="0"/>
    <s v="T"/>
    <s v="M"/>
    <s v="1405330101"/>
    <s v="INV.  CALIZAS NAL"/>
    <s v="EC01"/>
    <s v="SALMAR"/>
    <n v="700064"/>
    <x v="5"/>
    <s v="SAL MARINA"/>
    <m/>
    <m/>
    <s v="FIBROCEMENTO"/>
    <x v="13"/>
    <x v="13"/>
    <s v="7105330101SALMARFibrocemento"/>
    <x v="18"/>
    <x v="0"/>
  </r>
  <r>
    <n v="7105400101"/>
    <s v="CTO.MP COMPUESTO NAL"/>
    <n v="0"/>
    <n v="0"/>
    <s v="T"/>
    <s v="M"/>
    <s v="1405330101"/>
    <s v="INV.  CALIZAS NAL"/>
    <s v="EC01"/>
    <s v="ADIMOLIEN"/>
    <n v="700064"/>
    <x v="5"/>
    <s v="ADITIVO DE MOLIENDA"/>
    <m/>
    <m/>
    <s v="FIBROCEMENTO"/>
    <x v="13"/>
    <x v="13"/>
    <s v="7105400101ADIMOLIENFibrocemento"/>
    <x v="21"/>
    <x v="0"/>
  </r>
  <r>
    <n v="7105400101"/>
    <s v="CTO.MP COMPUESTO NAL"/>
    <n v="0"/>
    <n v="0"/>
    <s v="T"/>
    <s v="M"/>
    <s v="1405330101"/>
    <s v="INV.  CALIZAS NAL"/>
    <s v="EC01"/>
    <s v="PUZOLANA"/>
    <n v="700064"/>
    <x v="5"/>
    <s v="PUZOLANA"/>
    <m/>
    <m/>
    <s v="FIBROCEMENTO"/>
    <x v="13"/>
    <x v="13"/>
    <s v="7105400101PUZOLANAFibrocemento"/>
    <x v="22"/>
    <x v="0"/>
  </r>
  <r>
    <n v="7105400101"/>
    <s v="CTO.MP COMPUESTO NAL"/>
    <m/>
    <n v="0"/>
    <s v="T"/>
    <s v="M"/>
    <s v="1405330101"/>
    <s v="INV.  CALIZAS NAL"/>
    <s v="EC01"/>
    <s v="CRUDO"/>
    <n v="700064"/>
    <x v="5"/>
    <s v="HARINA CRUDA"/>
    <m/>
    <m/>
    <s v="FIBROCEMENTO"/>
    <x v="13"/>
    <x v="13"/>
    <s v="7105400101CRUDOFibrocemento"/>
    <x v="23"/>
    <x v="0"/>
  </r>
  <r>
    <n v="7105330101"/>
    <s v="CTO. MP CALIZAS NAL"/>
    <n v="0"/>
    <n v="0"/>
    <s v="T"/>
    <s v="M"/>
    <s v="1405330101"/>
    <s v="INV.  CALIZAS NAL"/>
    <s v="EC01"/>
    <s v="SALMAR"/>
    <n v="700064"/>
    <x v="6"/>
    <s v="SAL MARINA"/>
    <m/>
    <m/>
    <s v="FIBROCEMENTO"/>
    <x v="13"/>
    <x v="13"/>
    <s v="7105330101SALMARFibrocemento"/>
    <x v="18"/>
    <x v="0"/>
  </r>
  <r>
    <n v="7105400101"/>
    <s v="CTO.MP COMPUESTO NAL"/>
    <n v="0"/>
    <n v="0"/>
    <s v="T"/>
    <s v="M"/>
    <s v="1405330101"/>
    <s v="INV.  CALIZAS NAL"/>
    <s v="EC01"/>
    <s v="ADIMOLIEN"/>
    <n v="700064"/>
    <x v="6"/>
    <s v="ADITIVO DE MOLIENDA"/>
    <m/>
    <m/>
    <s v="FIBROCEMENTO"/>
    <x v="13"/>
    <x v="13"/>
    <s v="7105400101ADIMOLIENFibrocemento"/>
    <x v="21"/>
    <x v="0"/>
  </r>
  <r>
    <n v="7105400101"/>
    <s v="CTO.MP COMPUESTO NAL"/>
    <n v="0"/>
    <n v="0"/>
    <s v="T"/>
    <s v="M"/>
    <s v="1405330101"/>
    <s v="INV.  CALIZAS NAL"/>
    <s v="EC01"/>
    <s v="PUZOLANA"/>
    <n v="700064"/>
    <x v="6"/>
    <s v="PUZOLANA"/>
    <m/>
    <m/>
    <s v="FIBROCEMENTO"/>
    <x v="13"/>
    <x v="13"/>
    <s v="7105400101PUZOLANAFibrocemento"/>
    <x v="22"/>
    <x v="0"/>
  </r>
  <r>
    <n v="7105400101"/>
    <s v="CTO.MP COMPUESTO NAL"/>
    <m/>
    <n v="0"/>
    <s v="T"/>
    <s v="M"/>
    <s v="1405330101"/>
    <s v="INV.  CALIZAS NAL"/>
    <s v="EC01"/>
    <s v="CRUDO"/>
    <n v="700064"/>
    <x v="6"/>
    <s v="HARINA CRUDA"/>
    <m/>
    <m/>
    <s v="FIBROCEMENTO"/>
    <x v="13"/>
    <x v="13"/>
    <s v="7105400101CRUDOFibrocemento"/>
    <x v="23"/>
    <x v="0"/>
  </r>
  <r>
    <n v="7105330101"/>
    <s v="CTO. MP CALIZAS NAL"/>
    <n v="0"/>
    <n v="0"/>
    <s v="T"/>
    <s v="M"/>
    <s v="1405330101"/>
    <s v="INV.  CALIZAS NAL"/>
    <s v="EC01"/>
    <s v="SALMAR"/>
    <n v="700064"/>
    <x v="7"/>
    <s v="SAL MARINA"/>
    <m/>
    <m/>
    <s v="FIBROCEMENTO"/>
    <x v="13"/>
    <x v="13"/>
    <s v="7105330101SALMARFibrocemento"/>
    <x v="18"/>
    <x v="0"/>
  </r>
  <r>
    <n v="7105400101"/>
    <s v="CTO.MP COMPUESTO NAL"/>
    <n v="0"/>
    <n v="0"/>
    <s v="T"/>
    <s v="M"/>
    <s v="1405330101"/>
    <s v="INV.  CALIZAS NAL"/>
    <s v="EC01"/>
    <s v="ADIMOLIEN"/>
    <n v="700064"/>
    <x v="7"/>
    <s v="ADITIVO DE MOLIENDA"/>
    <m/>
    <m/>
    <s v="FIBROCEMENTO"/>
    <x v="13"/>
    <x v="13"/>
    <s v="7105400101ADIMOLIENFibrocemento"/>
    <x v="21"/>
    <x v="0"/>
  </r>
  <r>
    <n v="7105400101"/>
    <s v="CTO.MP COMPUESTO NAL"/>
    <n v="0"/>
    <n v="0"/>
    <s v="T"/>
    <s v="M"/>
    <s v="1405330101"/>
    <s v="INV.  CALIZAS NAL"/>
    <s v="EC01"/>
    <s v="PUZOLANA"/>
    <n v="700064"/>
    <x v="7"/>
    <s v="PUZOLANA"/>
    <m/>
    <m/>
    <s v="FIBROCEMENTO"/>
    <x v="13"/>
    <x v="13"/>
    <s v="7105400101PUZOLANAFibrocemento"/>
    <x v="22"/>
    <x v="0"/>
  </r>
  <r>
    <n v="7105400101"/>
    <s v="CTO.MP COMPUESTO NAL"/>
    <m/>
    <n v="0"/>
    <s v="T"/>
    <s v="M"/>
    <s v="1405330101"/>
    <s v="INV.  CALIZAS NAL"/>
    <s v="EC01"/>
    <s v="CRUDO"/>
    <n v="700064"/>
    <x v="7"/>
    <s v="HARINA CRUDA"/>
    <m/>
    <m/>
    <s v="FIBROCEMENTO"/>
    <x v="13"/>
    <x v="13"/>
    <s v="7105400101CRUDOFibrocemento"/>
    <x v="23"/>
    <x v="0"/>
  </r>
  <r>
    <n v="7105330101"/>
    <s v="CTO. MP CALIZAS NAL"/>
    <n v="0"/>
    <n v="0"/>
    <s v="T"/>
    <s v="M"/>
    <s v="1405330101"/>
    <s v="INV.  CALIZAS NAL"/>
    <s v="EC01"/>
    <s v="SALMAR"/>
    <n v="700064"/>
    <x v="8"/>
    <s v="SAL MARINA"/>
    <m/>
    <m/>
    <s v="FIBROCEMENTO"/>
    <x v="13"/>
    <x v="13"/>
    <s v="7105330101SALMARFibrocemento"/>
    <x v="18"/>
    <x v="0"/>
  </r>
  <r>
    <n v="7105400101"/>
    <s v="CTO.MP COMPUESTO NAL"/>
    <n v="0"/>
    <n v="0"/>
    <s v="T"/>
    <s v="M"/>
    <s v="1405330101"/>
    <s v="INV.  CALIZAS NAL"/>
    <s v="EC01"/>
    <s v="ADIMOLIEN"/>
    <n v="700064"/>
    <x v="8"/>
    <s v="ADITIVO DE MOLIENDA"/>
    <m/>
    <m/>
    <s v="FIBROCEMENTO"/>
    <x v="13"/>
    <x v="13"/>
    <s v="7105400101ADIMOLIENFibrocemento"/>
    <x v="21"/>
    <x v="0"/>
  </r>
  <r>
    <n v="7105400101"/>
    <s v="CTO.MP COMPUESTO NAL"/>
    <n v="0"/>
    <n v="0"/>
    <s v="T"/>
    <s v="M"/>
    <s v="1405330101"/>
    <s v="INV.  CALIZAS NAL"/>
    <s v="EC01"/>
    <s v="PUZOLANA"/>
    <n v="700064"/>
    <x v="8"/>
    <s v="PUZOLANA"/>
    <m/>
    <m/>
    <s v="FIBROCEMENTO"/>
    <x v="13"/>
    <x v="13"/>
    <s v="7105400101PUZOLANAFibrocemento"/>
    <x v="22"/>
    <x v="0"/>
  </r>
  <r>
    <n v="7105400101"/>
    <s v="CTO.MP COMPUESTO NAL"/>
    <m/>
    <n v="0"/>
    <s v="T"/>
    <s v="M"/>
    <s v="1405330101"/>
    <s v="INV.  CALIZAS NAL"/>
    <s v="EC01"/>
    <s v="CRUDO"/>
    <n v="700064"/>
    <x v="8"/>
    <s v="HARINA CRUDA"/>
    <m/>
    <m/>
    <s v="FIBROCEMENTO"/>
    <x v="13"/>
    <x v="13"/>
    <s v="7105400101CRUDOFibrocemento"/>
    <x v="23"/>
    <x v="0"/>
  </r>
  <r>
    <n v="7105330101"/>
    <s v="CTO. MP CALIZAS NAL"/>
    <n v="0"/>
    <n v="0"/>
    <s v="T"/>
    <s v="M"/>
    <s v="1405330101"/>
    <s v="INV.  CALIZAS NAL"/>
    <s v="EC01"/>
    <s v="SALMAR"/>
    <n v="700064"/>
    <x v="9"/>
    <s v="SAL MARINA"/>
    <m/>
    <m/>
    <s v="FIBROCEMENTO"/>
    <x v="13"/>
    <x v="13"/>
    <s v="7105330101SALMARFibrocemento"/>
    <x v="18"/>
    <x v="0"/>
  </r>
  <r>
    <n v="7105400101"/>
    <s v="CTO.MP COMPUESTO NAL"/>
    <n v="0"/>
    <n v="0"/>
    <s v="T"/>
    <s v="M"/>
    <s v="1405330101"/>
    <s v="INV.  CALIZAS NAL"/>
    <s v="EC01"/>
    <s v="ADIMOLIEN"/>
    <n v="700064"/>
    <x v="9"/>
    <s v="ADITIVO DE MOLIENDA"/>
    <m/>
    <m/>
    <s v="FIBROCEMENTO"/>
    <x v="13"/>
    <x v="13"/>
    <s v="7105400101ADIMOLIENFibrocemento"/>
    <x v="21"/>
    <x v="0"/>
  </r>
  <r>
    <n v="7105400101"/>
    <s v="CTO.MP COMPUESTO NAL"/>
    <n v="0"/>
    <n v="0"/>
    <s v="T"/>
    <s v="M"/>
    <s v="1405330101"/>
    <s v="INV.  CALIZAS NAL"/>
    <s v="EC01"/>
    <s v="PUZOLANA"/>
    <n v="700064"/>
    <x v="9"/>
    <s v="PUZOLANA"/>
    <m/>
    <m/>
    <s v="FIBROCEMENTO"/>
    <x v="13"/>
    <x v="13"/>
    <s v="7105400101PUZOLANAFibrocemento"/>
    <x v="22"/>
    <x v="0"/>
  </r>
  <r>
    <n v="7105400101"/>
    <s v="CTO.MP COMPUESTO NAL"/>
    <m/>
    <n v="0"/>
    <s v="T"/>
    <s v="M"/>
    <s v="1405330101"/>
    <s v="INV.  CALIZAS NAL"/>
    <s v="EC01"/>
    <s v="CRUDO"/>
    <n v="700064"/>
    <x v="9"/>
    <s v="HARINA CRUDA"/>
    <m/>
    <m/>
    <s v="FIBROCEMENTO"/>
    <x v="13"/>
    <x v="13"/>
    <s v="7105400101CRUDOFibrocemento"/>
    <x v="23"/>
    <x v="0"/>
  </r>
  <r>
    <n v="7105330101"/>
    <s v="CTO. MP CALIZAS NAL"/>
    <n v="0"/>
    <n v="0"/>
    <s v="T"/>
    <s v="M"/>
    <s v="1405330101"/>
    <s v="INV.  CALIZAS NAL"/>
    <s v="EC01"/>
    <s v="SALMAR"/>
    <n v="700064"/>
    <x v="10"/>
    <s v="SAL MARINA"/>
    <m/>
    <m/>
    <s v="FIBROCEMENTO"/>
    <x v="13"/>
    <x v="13"/>
    <s v="7105330101SALMARFibrocemento"/>
    <x v="18"/>
    <x v="0"/>
  </r>
  <r>
    <n v="7105400101"/>
    <s v="CTO.MP COMPUESTO NAL"/>
    <n v="0"/>
    <n v="0"/>
    <s v="T"/>
    <s v="M"/>
    <s v="1405330101"/>
    <s v="INV.  CALIZAS NAL"/>
    <s v="EC01"/>
    <s v="ADIMOLIEN"/>
    <n v="700064"/>
    <x v="10"/>
    <s v="ADITIVO DE MOLIENDA"/>
    <m/>
    <m/>
    <s v="FIBROCEMENTO"/>
    <x v="13"/>
    <x v="13"/>
    <s v="7105400101ADIMOLIENFibrocemento"/>
    <x v="21"/>
    <x v="0"/>
  </r>
  <r>
    <n v="7105400101"/>
    <s v="CTO.MP COMPUESTO NAL"/>
    <n v="0"/>
    <n v="0"/>
    <s v="T"/>
    <s v="M"/>
    <s v="1405330101"/>
    <s v="INV.  CALIZAS NAL"/>
    <s v="EC01"/>
    <s v="PUZOLANA"/>
    <n v="700064"/>
    <x v="10"/>
    <s v="PUZOLANA"/>
    <m/>
    <m/>
    <s v="FIBROCEMENTO"/>
    <x v="13"/>
    <x v="13"/>
    <s v="7105400101PUZOLANAFibrocemento"/>
    <x v="22"/>
    <x v="0"/>
  </r>
  <r>
    <n v="7105400101"/>
    <s v="CTO.MP COMPUESTO NAL"/>
    <m/>
    <n v="0"/>
    <s v="T"/>
    <s v="M"/>
    <s v="1405330101"/>
    <s v="INV.  CALIZAS NAL"/>
    <s v="EC01"/>
    <s v="CRUDO"/>
    <n v="700064"/>
    <x v="10"/>
    <s v="HARINA CRUDA"/>
    <m/>
    <m/>
    <s v="FIBROCEMENTO"/>
    <x v="13"/>
    <x v="13"/>
    <s v="7105400101CRUDOFibrocemento"/>
    <x v="23"/>
    <x v="0"/>
  </r>
  <r>
    <n v="7105330101"/>
    <s v="CTO. MP CALIZAS NAL"/>
    <n v="0"/>
    <n v="0"/>
    <s v="T"/>
    <s v="M"/>
    <s v="1405330101"/>
    <s v="INV.  CALIZAS NAL"/>
    <s v="EC01"/>
    <s v="SALMAR"/>
    <n v="700064"/>
    <x v="11"/>
    <s v="SAL MARINA"/>
    <m/>
    <m/>
    <s v="FIBROCEMENTO"/>
    <x v="13"/>
    <x v="13"/>
    <s v="7105330101SALMARFibrocemento"/>
    <x v="18"/>
    <x v="0"/>
  </r>
  <r>
    <n v="7105400101"/>
    <s v="CTO.MP COMPUESTO NAL"/>
    <n v="0"/>
    <n v="0"/>
    <s v="T"/>
    <s v="M"/>
    <s v="1405330101"/>
    <s v="INV.  CALIZAS NAL"/>
    <s v="EC01"/>
    <s v="ADIMOLIEN"/>
    <n v="700064"/>
    <x v="11"/>
    <s v="ADITIVO DE MOLIENDA"/>
    <m/>
    <m/>
    <s v="FIBROCEMENTO"/>
    <x v="13"/>
    <x v="13"/>
    <s v="7105400101ADIMOLIENFibrocemento"/>
    <x v="21"/>
    <x v="0"/>
  </r>
  <r>
    <n v="7105400101"/>
    <s v="CTO.MP COMPUESTO NAL"/>
    <n v="0"/>
    <n v="0"/>
    <s v="T"/>
    <s v="M"/>
    <s v="1405330101"/>
    <s v="INV.  CALIZAS NAL"/>
    <s v="EC01"/>
    <s v="PUZOLANA"/>
    <n v="700064"/>
    <x v="11"/>
    <s v="PUZOLANA"/>
    <m/>
    <m/>
    <s v="FIBROCEMENTO"/>
    <x v="13"/>
    <x v="13"/>
    <s v="7105400101PUZOLANAFibrocemento"/>
    <x v="22"/>
    <x v="0"/>
  </r>
  <r>
    <n v="7105400101"/>
    <s v="CTO.MP COMPUESTO NAL"/>
    <m/>
    <n v="0"/>
    <s v="T"/>
    <s v="M"/>
    <s v="1405330101"/>
    <s v="INV.  CALIZAS NAL"/>
    <s v="EC01"/>
    <s v="CRUDO"/>
    <n v="700064"/>
    <x v="11"/>
    <s v="HARINA CRUDA"/>
    <m/>
    <m/>
    <s v="FIBROCEMENTO"/>
    <x v="13"/>
    <x v="13"/>
    <s v="7105400101CRUDOFibrocemento"/>
    <x v="23"/>
    <x v="0"/>
  </r>
  <r>
    <n v="7355250321"/>
    <s v="RTOS VARIA IMPO"/>
    <n v="0"/>
    <n v="0"/>
    <m/>
    <m/>
    <m/>
    <m/>
    <s v="EC01"/>
    <s v="DOSIFICADOR DE SAL"/>
    <n v="700064"/>
    <x v="0"/>
    <s v="CEMENTO ART"/>
    <m/>
    <m/>
    <s v="FIBROCEMENTO"/>
    <x v="13"/>
    <x v="13"/>
    <s v="7355250321DOSIFICADOR DE SALFibrocemento"/>
    <x v="34"/>
    <x v="0"/>
  </r>
  <r>
    <n v="7355250321"/>
    <s v="RTOS VARIA IMPO"/>
    <n v="0"/>
    <n v="0"/>
    <m/>
    <m/>
    <m/>
    <m/>
    <s v="EC01"/>
    <s v="DOSIFICADOR DE SAL"/>
    <n v="700064"/>
    <x v="1"/>
    <s v="CEMENTO ART"/>
    <m/>
    <m/>
    <s v="FIBROCEMENTO"/>
    <x v="13"/>
    <x v="13"/>
    <s v="7355250321DOSIFICADOR DE SALFibrocemento"/>
    <x v="34"/>
    <x v="0"/>
  </r>
  <r>
    <n v="7355250321"/>
    <s v="RTOS VARIA IMPO"/>
    <n v="0"/>
    <n v="0"/>
    <m/>
    <m/>
    <m/>
    <m/>
    <s v="EC01"/>
    <s v="DOSIFICADOR DE SAL"/>
    <n v="700064"/>
    <x v="2"/>
    <s v="CEMENTO ART"/>
    <m/>
    <m/>
    <s v="FIBROCEMENTO"/>
    <x v="13"/>
    <x v="13"/>
    <s v="7355250321DOSIFICADOR DE SALFibrocemento"/>
    <x v="34"/>
    <x v="0"/>
  </r>
  <r>
    <n v="7355250321"/>
    <s v="RTOS VARIA IMPO"/>
    <n v="0"/>
    <n v="0"/>
    <m/>
    <m/>
    <m/>
    <m/>
    <s v="EC01"/>
    <s v="DOSIFICADOR DE SAL"/>
    <n v="700064"/>
    <x v="3"/>
    <s v="CEMENTO ART"/>
    <m/>
    <m/>
    <s v="FIBROCEMENTO"/>
    <x v="13"/>
    <x v="13"/>
    <s v="7355250321DOSIFICADOR DE SALFibrocemento"/>
    <x v="34"/>
    <x v="0"/>
  </r>
  <r>
    <n v="7355250321"/>
    <s v="RTOS VARIA IMPO"/>
    <n v="0"/>
    <n v="0"/>
    <m/>
    <m/>
    <m/>
    <m/>
    <s v="EC01"/>
    <s v="DOSIFICADOR DE SAL"/>
    <n v="700064"/>
    <x v="4"/>
    <s v="CEMENTO ART"/>
    <m/>
    <m/>
    <s v="FIBROCEMENTO"/>
    <x v="13"/>
    <x v="13"/>
    <s v="7355250321DOSIFICADOR DE SALFibrocemento"/>
    <x v="34"/>
    <x v="0"/>
  </r>
  <r>
    <n v="7355250321"/>
    <s v="RTOS VARIA IMPO"/>
    <n v="0"/>
    <n v="0"/>
    <m/>
    <m/>
    <m/>
    <m/>
    <s v="EC01"/>
    <s v="DOSIFICADOR DE SAL"/>
    <n v="700064"/>
    <x v="5"/>
    <s v="CEMENTO ART"/>
    <m/>
    <m/>
    <s v="FIBROCEMENTO"/>
    <x v="13"/>
    <x v="13"/>
    <s v="7355250321DOSIFICADOR DE SALFibrocemento"/>
    <x v="34"/>
    <x v="0"/>
  </r>
  <r>
    <n v="7355250321"/>
    <s v="RTOS VARIA IMPO"/>
    <n v="0"/>
    <n v="0"/>
    <m/>
    <m/>
    <m/>
    <m/>
    <s v="EC01"/>
    <s v="DOSIFICADOR DE SAL"/>
    <n v="700064"/>
    <x v="6"/>
    <s v="CEMENTO ART"/>
    <m/>
    <m/>
    <s v="FIBROCEMENTO"/>
    <x v="13"/>
    <x v="13"/>
    <s v="7355250321DOSIFICADOR DE SALFibrocemento"/>
    <x v="34"/>
    <x v="0"/>
  </r>
  <r>
    <n v="7355250321"/>
    <s v="RTOS VARIA IMPO"/>
    <n v="0"/>
    <n v="0"/>
    <m/>
    <m/>
    <m/>
    <m/>
    <s v="EC01"/>
    <s v="DOSIFICADOR DE SAL"/>
    <n v="700064"/>
    <x v="7"/>
    <s v="CEMENTO ART"/>
    <m/>
    <m/>
    <s v="FIBROCEMENTO"/>
    <x v="13"/>
    <x v="13"/>
    <s v="7355250321DOSIFICADOR DE SALFibrocemento"/>
    <x v="34"/>
    <x v="0"/>
  </r>
  <r>
    <n v="7355250321"/>
    <s v="RTOS VARIA IMPO"/>
    <n v="0"/>
    <n v="0"/>
    <m/>
    <m/>
    <m/>
    <m/>
    <s v="EC01"/>
    <s v="DOSIFICADOR DE SAL"/>
    <n v="700064"/>
    <x v="8"/>
    <s v="CEMENTO ART"/>
    <m/>
    <m/>
    <s v="FIBROCEMENTO"/>
    <x v="13"/>
    <x v="13"/>
    <s v="7355250321DOSIFICADOR DE SALFibrocemento"/>
    <x v="34"/>
    <x v="0"/>
  </r>
  <r>
    <n v="7355250321"/>
    <s v="RTOS VARIA IMPO"/>
    <n v="0"/>
    <n v="0"/>
    <m/>
    <m/>
    <m/>
    <m/>
    <s v="EC01"/>
    <s v="DOSIFICADOR DE SAL"/>
    <n v="700064"/>
    <x v="9"/>
    <s v="CEMENTO ART"/>
    <m/>
    <m/>
    <s v="FIBROCEMENTO"/>
    <x v="13"/>
    <x v="13"/>
    <s v="7355250321DOSIFICADOR DE SALFibrocemento"/>
    <x v="34"/>
    <x v="0"/>
  </r>
  <r>
    <n v="7355250321"/>
    <s v="RTOS VARIA IMPO"/>
    <n v="0"/>
    <n v="0"/>
    <m/>
    <m/>
    <m/>
    <m/>
    <s v="EC01"/>
    <s v="DOSIFICADOR DE SAL"/>
    <n v="700064"/>
    <x v="10"/>
    <s v="CEMENTO ART"/>
    <m/>
    <m/>
    <s v="FIBROCEMENTO"/>
    <x v="13"/>
    <x v="13"/>
    <s v="7355250321DOSIFICADOR DE SALFibrocemento"/>
    <x v="34"/>
    <x v="0"/>
  </r>
  <r>
    <n v="7355250321"/>
    <s v="RTOS VARIA IMPO"/>
    <n v="0"/>
    <n v="0"/>
    <m/>
    <m/>
    <m/>
    <m/>
    <s v="EC01"/>
    <s v="DOSIFICADOR DE SAL"/>
    <n v="700064"/>
    <x v="11"/>
    <s v="CEMENTO ART"/>
    <m/>
    <m/>
    <s v="FIBROCEMENTO"/>
    <x v="13"/>
    <x v="13"/>
    <s v="7355250321DOSIFICADOR DE SALFibrocemento"/>
    <x v="34"/>
    <x v="0"/>
  </r>
  <r>
    <n v="7405050003"/>
    <s v="SS ENERGIA ELECTRICA"/>
    <n v="72105933.900909573"/>
    <n v="138303"/>
    <s v="T"/>
    <s v="M"/>
    <s v="1410900101"/>
    <s v="INV. SEMIELABORADO"/>
    <s v="IA01"/>
    <s v="ENERGIA"/>
    <n v="700007"/>
    <x v="0"/>
    <s v="CALIZA EN TOLVA TRITURADORA"/>
    <m/>
    <m/>
    <s v="MEZCLA PREHOMO"/>
    <x v="6"/>
    <x v="6"/>
    <s v="7405050003ENERGIATrituración"/>
    <x v="42"/>
    <x v="0"/>
  </r>
  <r>
    <n v="7405050003"/>
    <s v="SS ENERGIA ELECTRICA"/>
    <n v="73296069.18969956"/>
    <n v="140398.5"/>
    <s v="T"/>
    <s v="M"/>
    <s v="1410900101"/>
    <s v="INV. SEMIELABORADO"/>
    <s v="IA01"/>
    <s v="ENERGIA"/>
    <n v="700007"/>
    <x v="1"/>
    <s v="CALIZA EN TOLVA TRITURADORA"/>
    <m/>
    <m/>
    <s v="MEZCLA PREHOMO"/>
    <x v="6"/>
    <x v="6"/>
    <s v="7405050003ENERGIATrituración"/>
    <x v="42"/>
    <x v="0"/>
  </r>
  <r>
    <n v="7405050003"/>
    <s v="SS ENERGIA ELECTRICA"/>
    <n v="54771563.681244172"/>
    <n v="104775"/>
    <s v="T"/>
    <s v="M"/>
    <s v="1410900101"/>
    <s v="INV. SEMIELABORADO"/>
    <s v="IA01"/>
    <s v="ENERGIA"/>
    <n v="700007"/>
    <x v="2"/>
    <s v="CALIZA EN TOLVA TRITURADORA"/>
    <m/>
    <m/>
    <s v="MEZCLA PREHOMO"/>
    <x v="6"/>
    <x v="6"/>
    <s v="7405050003ENERGIATrituración"/>
    <x v="42"/>
    <x v="0"/>
  </r>
  <r>
    <n v="7405050003"/>
    <s v="SS ENERGIA ELECTRICA"/>
    <n v="53747827.143818483"/>
    <n v="102679.5"/>
    <s v="T"/>
    <s v="M"/>
    <s v="1410900101"/>
    <s v="INV. SEMIELABORADO"/>
    <s v="IA01"/>
    <s v="ENERGIA"/>
    <n v="700007"/>
    <x v="3"/>
    <s v="CALIZA EN TOLVA TRITURADORA"/>
    <m/>
    <m/>
    <s v="MEZCLA PREHOMO"/>
    <x v="6"/>
    <x v="6"/>
    <s v="7405050003ENERGIATrituración"/>
    <x v="42"/>
    <x v="0"/>
  </r>
  <r>
    <n v="7405050003"/>
    <s v="SS ENERGIA ELECTRICA"/>
    <n v="81278688.989455372"/>
    <n v="155067"/>
    <s v="T"/>
    <s v="M"/>
    <s v="1410900101"/>
    <s v="INV. SEMIELABORADO"/>
    <s v="IA01"/>
    <s v="ENERGIA"/>
    <n v="700007"/>
    <x v="4"/>
    <s v="CALIZA EN TOLVA TRITURADORA"/>
    <m/>
    <m/>
    <s v="MEZCLA PREHOMO"/>
    <x v="6"/>
    <x v="6"/>
    <s v="7405050003ENERGIATrituración"/>
    <x v="42"/>
    <x v="0"/>
  </r>
  <r>
    <n v="7405050003"/>
    <s v="SS ENERGIA ELECTRICA"/>
    <n v="35744474.077549659"/>
    <n v="68103.75"/>
    <s v="T"/>
    <s v="M"/>
    <s v="1410900101"/>
    <s v="INV. SEMIELABORADO"/>
    <s v="IA01"/>
    <s v="ENERGIA"/>
    <n v="700007"/>
    <x v="5"/>
    <s v="CALIZA EN TOLVA TRITURADORA"/>
    <m/>
    <m/>
    <s v="MEZCLA PREHOMO"/>
    <x v="6"/>
    <x v="6"/>
    <s v="7405050003ENERGIATrituración"/>
    <x v="42"/>
    <x v="0"/>
  </r>
  <r>
    <n v="7405050003"/>
    <s v="SS ENERGIA ELECTRICA"/>
    <n v="67179444.372623026"/>
    <n v="127825.5"/>
    <s v="T"/>
    <s v="M"/>
    <s v="1410900101"/>
    <s v="INV. SEMIELABORADO"/>
    <s v="IA01"/>
    <s v="ENERGIA"/>
    <n v="700007"/>
    <x v="6"/>
    <s v="CALIZA EN TOLVA TRITURADORA"/>
    <m/>
    <m/>
    <s v="MEZCLA PREHOMO"/>
    <x v="6"/>
    <x v="6"/>
    <s v="7405050003ENERGIATrituración"/>
    <x v="42"/>
    <x v="0"/>
  </r>
  <r>
    <n v="7405050003"/>
    <s v="SS ENERGIA ELECTRICA"/>
    <n v="82708339.045614064"/>
    <n v="157162.5"/>
    <s v="T"/>
    <s v="M"/>
    <s v="1410900101"/>
    <s v="INV. SEMIELABORADO"/>
    <s v="IA01"/>
    <s v="ENERGIA"/>
    <n v="700007"/>
    <x v="7"/>
    <s v="CALIZA EN TOLVA TRITURADORA"/>
    <m/>
    <m/>
    <s v="MEZCLA PREHOMO"/>
    <x v="6"/>
    <x v="6"/>
    <s v="7405050003ENERGIATrituración"/>
    <x v="42"/>
    <x v="0"/>
  </r>
  <r>
    <n v="7405050003"/>
    <s v="SS ENERGIA ELECTRICA"/>
    <n v="63494745.279403619"/>
    <n v="120491.25"/>
    <s v="T"/>
    <s v="M"/>
    <s v="1410900101"/>
    <s v="INV. SEMIELABORADO"/>
    <s v="IA01"/>
    <s v="ENERGIA"/>
    <n v="700007"/>
    <x v="8"/>
    <s v="CALIZA EN TOLVA TRITURADORA"/>
    <m/>
    <m/>
    <s v="MEZCLA PREHOMO"/>
    <x v="6"/>
    <x v="6"/>
    <s v="7405050003ENERGIATrituración"/>
    <x v="42"/>
    <x v="0"/>
  </r>
  <r>
    <n v="7405050003"/>
    <s v="SS ENERGIA ELECTRICA"/>
    <n v="49758215.866742417"/>
    <n v="94297.5"/>
    <s v="T"/>
    <s v="M"/>
    <s v="1410900101"/>
    <s v="INV. SEMIELABORADO"/>
    <s v="IA01"/>
    <s v="ENERGIA"/>
    <n v="700007"/>
    <x v="9"/>
    <s v="CALIZA EN TOLVA TRITURADORA"/>
    <m/>
    <m/>
    <s v="MEZCLA PREHOMO"/>
    <x v="6"/>
    <x v="6"/>
    <s v="7405050003ENERGIATrituración"/>
    <x v="42"/>
    <x v="0"/>
  </r>
  <r>
    <n v="7405050003"/>
    <s v="SS ENERGIA ELECTRICA"/>
    <n v="79720051.151004419"/>
    <n v="150876"/>
    <s v="T"/>
    <s v="M"/>
    <s v="1410900101"/>
    <s v="INV. SEMIELABORADO"/>
    <s v="IA01"/>
    <s v="ENERGIA"/>
    <n v="700007"/>
    <x v="10"/>
    <s v="CALIZA EN TOLVA TRITURADORA"/>
    <m/>
    <m/>
    <s v="MEZCLA PREHOMO"/>
    <x v="6"/>
    <x v="6"/>
    <s v="7405050003ENERGIATrituración"/>
    <x v="42"/>
    <x v="0"/>
  </r>
  <r>
    <n v="7405050003"/>
    <s v="SS ENERGIA ELECTRICA"/>
    <n v="50896327.864521928"/>
    <n v="96195.734667652214"/>
    <s v="T"/>
    <s v="M"/>
    <s v="1410900101"/>
    <s v="INV. SEMIELABORADO"/>
    <s v="IA01"/>
    <s v="ENERGIA"/>
    <n v="700007"/>
    <x v="11"/>
    <s v="CALIZA EN TOLVA TRITURADORA"/>
    <m/>
    <m/>
    <s v="MEZCLA PREHOMO"/>
    <x v="6"/>
    <x v="6"/>
    <s v="7405050003ENERGIATrituración"/>
    <x v="42"/>
    <x v="0"/>
  </r>
  <r>
    <n v="7405050003"/>
    <s v="SS ENERGIA ELECTRICA"/>
    <n v="33267105.035973191"/>
    <n v="63808.06930693068"/>
    <s v="T"/>
    <s v="M"/>
    <s v="1410900101"/>
    <s v="INV. SEMIELABORADO"/>
    <s v="IA01"/>
    <s v="ENERGIA"/>
    <n v="700005"/>
    <x v="0"/>
    <s v="CALIZA EN TOLVA TRITURADORA"/>
    <m/>
    <m/>
    <s v="CALIZA PARA ADICIONES"/>
    <x v="7"/>
    <x v="7"/>
    <s v="7405050003ENERGIAAdiciones"/>
    <x v="42"/>
    <x v="0"/>
  </r>
  <r>
    <n v="7405050003"/>
    <s v="SS ENERGIA ELECTRICA"/>
    <n v="34765504.827675194"/>
    <n v="66593.267326732661"/>
    <s v="T"/>
    <s v="M"/>
    <s v="1410900101"/>
    <s v="INV. SEMIELABORADO"/>
    <s v="IA01"/>
    <s v="ENERGIA"/>
    <n v="700005"/>
    <x v="1"/>
    <s v="CALIZA EN TOLVA TRITURADORA"/>
    <m/>
    <m/>
    <s v="CALIZA PARA ADICIONES"/>
    <x v="7"/>
    <x v="7"/>
    <s v="7405050003ENERGIAAdiciones"/>
    <x v="42"/>
    <x v="0"/>
  </r>
  <r>
    <n v="7405050003"/>
    <s v="SS ENERGIA ELECTRICA"/>
    <n v="31902587.119177971"/>
    <n v="61027.900990099006"/>
    <s v="T"/>
    <s v="M"/>
    <s v="1410900101"/>
    <s v="INV. SEMIELABORADO"/>
    <s v="IA01"/>
    <s v="ENERGIA"/>
    <n v="700005"/>
    <x v="2"/>
    <s v="CALIZA EN TOLVA TRITURADORA"/>
    <m/>
    <m/>
    <s v="CALIZA PARA ADICIONES"/>
    <x v="7"/>
    <x v="7"/>
    <s v="7405050003ENERGIAAdiciones"/>
    <x v="42"/>
    <x v="0"/>
  </r>
  <r>
    <n v="7405050003"/>
    <s v="SS ENERGIA ELECTRICA"/>
    <n v="29556582.326312251"/>
    <n v="56464.702970297032"/>
    <s v="T"/>
    <s v="M"/>
    <s v="1410900101"/>
    <s v="INV. SEMIELABORADO"/>
    <s v="IA01"/>
    <s v="ENERGIA"/>
    <n v="700005"/>
    <x v="3"/>
    <s v="CALIZA EN TOLVA TRITURADORA"/>
    <m/>
    <m/>
    <s v="CALIZA PARA ADICIONES"/>
    <x v="7"/>
    <x v="7"/>
    <s v="7405050003ENERGIAAdiciones"/>
    <x v="42"/>
    <x v="0"/>
  </r>
  <r>
    <n v="7405050003"/>
    <s v="SS ENERGIA ELECTRICA"/>
    <n v="36736588.623050839"/>
    <n v="70087.653465346535"/>
    <s v="T"/>
    <s v="M"/>
    <s v="1410900101"/>
    <s v="INV. SEMIELABORADO"/>
    <s v="IA01"/>
    <s v="ENERGIA"/>
    <n v="700005"/>
    <x v="4"/>
    <s v="CALIZA EN TOLVA TRITURADORA"/>
    <m/>
    <m/>
    <s v="CALIZA PARA ADICIONES"/>
    <x v="7"/>
    <x v="7"/>
    <s v="7405050003ENERGIAAdiciones"/>
    <x v="42"/>
    <x v="0"/>
  </r>
  <r>
    <n v="7405050003"/>
    <s v="SS ENERGIA ELECTRICA"/>
    <n v="27212294.761284221"/>
    <n v="51847.435643564357"/>
    <s v="T"/>
    <s v="M"/>
    <s v="1410900101"/>
    <s v="INV. SEMIELABORADO"/>
    <s v="IA01"/>
    <s v="ENERGIA"/>
    <n v="700005"/>
    <x v="5"/>
    <s v="CALIZA EN TOLVA TRITURADORA"/>
    <m/>
    <m/>
    <s v="CALIZA PARA ADICIONES"/>
    <x v="7"/>
    <x v="7"/>
    <s v="7405050003ENERGIAAdiciones"/>
    <x v="42"/>
    <x v="0"/>
  </r>
  <r>
    <n v="7405050003"/>
    <s v="SS ENERGIA ELECTRICA"/>
    <n v="34625765.861975938"/>
    <n v="65884.079207920804"/>
    <s v="T"/>
    <s v="M"/>
    <s v="1410900101"/>
    <s v="INV. SEMIELABORADO"/>
    <s v="IA01"/>
    <s v="ENERGIA"/>
    <n v="700005"/>
    <x v="6"/>
    <s v="CALIZA EN TOLVA TRITURADORA"/>
    <m/>
    <m/>
    <s v="CALIZA PARA ADICIONES"/>
    <x v="7"/>
    <x v="7"/>
    <s v="7405050003ENERGIAAdiciones"/>
    <x v="42"/>
    <x v="0"/>
  </r>
  <r>
    <n v="7405050003"/>
    <s v="SS ENERGIA ELECTRICA"/>
    <n v="37414377.354847632"/>
    <n v="71094.851485148509"/>
    <s v="T"/>
    <s v="M"/>
    <s v="1410900101"/>
    <s v="INV. SEMIELABORADO"/>
    <s v="IA01"/>
    <s v="ENERGIA"/>
    <n v="700005"/>
    <x v="7"/>
    <s v="CALIZA EN TOLVA TRITURADORA"/>
    <m/>
    <m/>
    <s v="CALIZA PARA ADICIONES"/>
    <x v="7"/>
    <x v="7"/>
    <s v="7405050003ENERGIAAdiciones"/>
    <x v="42"/>
    <x v="0"/>
  </r>
  <r>
    <n v="7405050003"/>
    <s v="SS ENERGIA ELECTRICA"/>
    <n v="34032169.660967872"/>
    <n v="64581.386138613867"/>
    <s v="T"/>
    <s v="M"/>
    <s v="1410900101"/>
    <s v="INV. SEMIELABORADO"/>
    <s v="IA01"/>
    <s v="ENERGIA"/>
    <n v="700005"/>
    <x v="8"/>
    <s v="CALIZA EN TOLVA TRITURADORA"/>
    <m/>
    <m/>
    <s v="CALIZA PARA ADICIONES"/>
    <x v="7"/>
    <x v="7"/>
    <s v="7405050003ENERGIAAdiciones"/>
    <x v="42"/>
    <x v="0"/>
  </r>
  <r>
    <n v="7405050003"/>
    <s v="SS ENERGIA ELECTRICA"/>
    <n v="32360008.614686731"/>
    <n v="61325.910891089108"/>
    <s v="T"/>
    <s v="M"/>
    <s v="1410900101"/>
    <s v="INV. SEMIELABORADO"/>
    <s v="IA01"/>
    <s v="ENERGIA"/>
    <n v="700005"/>
    <x v="9"/>
    <s v="CALIZA EN TOLVA TRITURADORA"/>
    <m/>
    <m/>
    <s v="CALIZA PARA ADICIONES"/>
    <x v="7"/>
    <x v="7"/>
    <s v="7405050003ENERGIAAdiciones"/>
    <x v="42"/>
    <x v="0"/>
  </r>
  <r>
    <n v="7405050003"/>
    <s v="SS ENERGIA ELECTRICA"/>
    <n v="37847557.370878473"/>
    <n v="71629.257425742573"/>
    <s v="T"/>
    <s v="M"/>
    <s v="1410900101"/>
    <s v="INV. SEMIELABORADO"/>
    <s v="IA01"/>
    <s v="ENERGIA"/>
    <n v="700005"/>
    <x v="10"/>
    <s v="CALIZA EN TOLVA TRITURADORA"/>
    <m/>
    <m/>
    <s v="CALIZA PARA ADICIONES"/>
    <x v="7"/>
    <x v="7"/>
    <s v="7405050003ENERGIAAdiciones"/>
    <x v="42"/>
    <x v="0"/>
  </r>
  <r>
    <n v="7405050003"/>
    <s v="SS ENERGIA ELECTRICA"/>
    <n v="31941006.225757435"/>
    <n v="60369.552948683064"/>
    <s v="T"/>
    <s v="M"/>
    <s v="1410900101"/>
    <s v="INV. SEMIELABORADO"/>
    <s v="IA01"/>
    <s v="ENERGIA"/>
    <n v="700005"/>
    <x v="11"/>
    <s v="CALIZA EN TOLVA TRITURADORA"/>
    <m/>
    <m/>
    <s v="CALIZA PARA ADICIONES"/>
    <x v="7"/>
    <x v="7"/>
    <s v="7405050003ENERGIAAdiciones"/>
    <x v="42"/>
    <x v="0"/>
  </r>
  <r>
    <n v="7405050003"/>
    <s v="SS ENERGIA ELECTRICA"/>
    <n v="1039178813.5564157"/>
    <n v="1993200"/>
    <s v="T"/>
    <s v="M"/>
    <s v="1410900101"/>
    <s v="INV. SEMIELABORADO"/>
    <s v="EC01"/>
    <s v="ENERGIA"/>
    <n v="700000"/>
    <x v="0"/>
    <s v="HARINA CRUDA"/>
    <m/>
    <m/>
    <s v="HARINA CRUDA"/>
    <x v="0"/>
    <x v="0"/>
    <s v="7405050003ENERGIAMolienda de  Crudo"/>
    <x v="42"/>
    <x v="0"/>
  </r>
  <r>
    <n v="7405050003"/>
    <s v="SS ENERGIA ELECTRICA"/>
    <n v="1050418547.3125763"/>
    <n v="2012075"/>
    <s v="T"/>
    <s v="M"/>
    <s v="1410900101"/>
    <s v="INV. SEMIELABORADO"/>
    <s v="EC01"/>
    <s v="ENERGIA"/>
    <n v="700000"/>
    <x v="1"/>
    <s v="HARINA CRUDA"/>
    <m/>
    <m/>
    <s v="HARINA CRUDA"/>
    <x v="0"/>
    <x v="0"/>
    <s v="7405050003ENERGIAMolienda de  Crudo"/>
    <x v="42"/>
    <x v="0"/>
  </r>
  <r>
    <n v="7405050003"/>
    <s v="SS ENERGIA ELECTRICA"/>
    <n v="749890795.52130532"/>
    <n v="1434500"/>
    <s v="T"/>
    <s v="M"/>
    <s v="1410900101"/>
    <s v="INV. SEMIELABORADO"/>
    <s v="EC01"/>
    <s v="ENERGIA"/>
    <n v="700000"/>
    <x v="2"/>
    <s v="HARINA CRUDA"/>
    <m/>
    <m/>
    <s v="HARINA CRUDA"/>
    <x v="0"/>
    <x v="0"/>
    <s v="7405050003ENERGIAMolienda de  Crudo"/>
    <x v="42"/>
    <x v="0"/>
  </r>
  <r>
    <n v="7405050003"/>
    <s v="SS ENERGIA ELECTRICA"/>
    <n v="770652744.82722223"/>
    <n v="1472250"/>
    <s v="T"/>
    <s v="M"/>
    <s v="1410900101"/>
    <s v="INV. SEMIELABORADO"/>
    <s v="EC01"/>
    <s v="ENERGIA"/>
    <n v="700000"/>
    <x v="3"/>
    <s v="HARINA CRUDA"/>
    <m/>
    <m/>
    <s v="HARINA CRUDA"/>
    <x v="0"/>
    <x v="0"/>
    <s v="7405050003ENERGIAMolienda de  Crudo"/>
    <x v="42"/>
    <x v="0"/>
  </r>
  <r>
    <n v="7405050003"/>
    <s v="SS ENERGIA ELECTRICA"/>
    <n v="1167417697.2003357"/>
    <n v="2227250"/>
    <s v="T"/>
    <s v="M"/>
    <s v="1410900101"/>
    <s v="INV. SEMIELABORADO"/>
    <s v="EC01"/>
    <s v="ENERGIA"/>
    <n v="700000"/>
    <x v="4"/>
    <s v="HARINA CRUDA"/>
    <m/>
    <m/>
    <s v="HARINA CRUDA"/>
    <x v="0"/>
    <x v="0"/>
    <s v="7405050003ENERGIAMolienda de  Crudo"/>
    <x v="42"/>
    <x v="0"/>
  </r>
  <r>
    <n v="7405050003"/>
    <s v="SS ENERGIA ELECTRICA"/>
    <n v="515143458.43092322"/>
    <n v="981500"/>
    <s v="T"/>
    <s v="M"/>
    <s v="1410900101"/>
    <s v="INV. SEMIELABORADO"/>
    <s v="EC01"/>
    <s v="ENERGIA"/>
    <n v="700000"/>
    <x v="5"/>
    <s v="HARINA CRUDA"/>
    <m/>
    <m/>
    <s v="HARINA CRUDA"/>
    <x v="0"/>
    <x v="0"/>
    <s v="7405050003ENERGIAMolienda de  Crudo"/>
    <x v="42"/>
    <x v="0"/>
  </r>
  <r>
    <n v="7405050003"/>
    <s v="SS ENERGIA ELECTRICA"/>
    <n v="972147006.88250339"/>
    <n v="1849750"/>
    <s v="T"/>
    <s v="M"/>
    <s v="1410900101"/>
    <s v="INV. SEMIELABORADO"/>
    <s v="EC01"/>
    <s v="ENERGIA"/>
    <n v="700000"/>
    <x v="6"/>
    <s v="HARINA CRUDA"/>
    <m/>
    <m/>
    <s v="HARINA CRUDA"/>
    <x v="0"/>
    <x v="0"/>
    <s v="7405050003ENERGIAMolienda de  Crudo"/>
    <x v="42"/>
    <x v="0"/>
  </r>
  <r>
    <n v="7405050003"/>
    <s v="SS ENERGIA ELECTRICA"/>
    <n v="1164166084.2742712"/>
    <n v="2212150"/>
    <s v="T"/>
    <s v="M"/>
    <s v="1410900101"/>
    <s v="INV. SEMIELABORADO"/>
    <s v="EC01"/>
    <s v="ENERGIA"/>
    <n v="700000"/>
    <x v="7"/>
    <s v="HARINA CRUDA"/>
    <m/>
    <m/>
    <s v="HARINA CRUDA"/>
    <x v="0"/>
    <x v="0"/>
    <s v="7405050003ENERGIAMolienda de  Crudo"/>
    <x v="42"/>
    <x v="0"/>
  </r>
  <r>
    <n v="7405050003"/>
    <s v="SS ENERGIA ELECTRICA"/>
    <n v="905129309.06215715"/>
    <n v="1717625"/>
    <s v="T"/>
    <s v="M"/>
    <s v="1410900101"/>
    <s v="INV. SEMIELABORADO"/>
    <s v="EC01"/>
    <s v="ENERGIA"/>
    <n v="700000"/>
    <x v="8"/>
    <s v="HARINA CRUDA"/>
    <m/>
    <m/>
    <s v="HARINA CRUDA"/>
    <x v="0"/>
    <x v="0"/>
    <s v="7405050003ENERGIAMolienda de  Crudo"/>
    <x v="42"/>
    <x v="0"/>
  </r>
  <r>
    <n v="7405050003"/>
    <s v="SS ENERGIA ELECTRICA"/>
    <n v="713123262.36760306"/>
    <n v="1351450"/>
    <s v="T"/>
    <s v="M"/>
    <s v="1410900101"/>
    <s v="INV. SEMIELABORADO"/>
    <s v="EC01"/>
    <s v="ENERGIA"/>
    <n v="700000"/>
    <x v="9"/>
    <s v="HARINA CRUDA"/>
    <m/>
    <m/>
    <s v="HARINA CRUDA"/>
    <x v="0"/>
    <x v="0"/>
    <s v="7405050003ENERGIAMolienda de  Crudo"/>
    <x v="42"/>
    <x v="0"/>
  </r>
  <r>
    <n v="7405050003"/>
    <s v="SS ENERGIA ELECTRICA"/>
    <n v="1136944378.5901916"/>
    <n v="2151750"/>
    <s v="T"/>
    <s v="M"/>
    <s v="1410900101"/>
    <s v="INV. SEMIELABORADO"/>
    <s v="EC01"/>
    <s v="ENERGIA"/>
    <n v="700000"/>
    <x v="10"/>
    <s v="HARINA CRUDA"/>
    <m/>
    <m/>
    <s v="HARINA CRUDA"/>
    <x v="0"/>
    <x v="0"/>
    <s v="7405050003ENERGIAMolienda de  Crudo"/>
    <x v="42"/>
    <x v="0"/>
  </r>
  <r>
    <n v="7405050003"/>
    <s v="SS ENERGIA ELECTRICA"/>
    <n v="729764448.04655898"/>
    <n v="1379278.8234356414"/>
    <s v="T"/>
    <s v="M"/>
    <s v="1410900101"/>
    <s v="INV. SEMIELABORADO"/>
    <s v="EC01"/>
    <s v="ENERGIA"/>
    <n v="700000"/>
    <x v="11"/>
    <s v="HARINA CRUDA"/>
    <m/>
    <m/>
    <s v="HARINA CRUDA"/>
    <x v="0"/>
    <x v="0"/>
    <s v="7405050003ENERGIAMolienda de  Crudo"/>
    <x v="42"/>
    <x v="0"/>
  </r>
  <r>
    <n v="7405050003"/>
    <s v="SS ENERGIA ELECTRICA"/>
    <n v="134202528.77256179"/>
    <n v="257407.55764065462"/>
    <s v="T"/>
    <s v="M"/>
    <s v="1410900101"/>
    <s v="INV. SEMIELABORADO"/>
    <s v="EC01"/>
    <s v="ENERGIA"/>
    <n v="700002"/>
    <x v="0"/>
    <s v="CARBON MOLIDO"/>
    <m/>
    <m/>
    <s v="CARBON MOLIDO"/>
    <x v="2"/>
    <x v="2"/>
    <s v="7405050003ENERGIAMolienda de Carbón"/>
    <x v="42"/>
    <x v="0"/>
  </r>
  <r>
    <n v="7405050003"/>
    <s v="SS ENERGIA ELECTRICA"/>
    <n v="136042102.57761279"/>
    <n v="260588.42377084997"/>
    <s v="T"/>
    <s v="M"/>
    <s v="1410900101"/>
    <s v="INV. SEMIELABORADO"/>
    <s v="EC01"/>
    <s v="ENERGIA"/>
    <n v="700002"/>
    <x v="1"/>
    <s v="CARBON MOLIDO"/>
    <m/>
    <m/>
    <s v="CARBON MOLIDO"/>
    <x v="2"/>
    <x v="2"/>
    <s v="7405050003ENERGIAMolienda de Carbón"/>
    <x v="42"/>
    <x v="0"/>
  </r>
  <r>
    <n v="7405050003"/>
    <s v="SS ENERGIA ELECTRICA"/>
    <n v="94653401.59267427"/>
    <n v="181066.77051596582"/>
    <s v="T"/>
    <s v="M"/>
    <s v="1410900101"/>
    <s v="INV. SEMIELABORADO"/>
    <s v="EC01"/>
    <s v="ENERGIA"/>
    <n v="700002"/>
    <x v="2"/>
    <s v="CARBON MOLIDO"/>
    <m/>
    <m/>
    <s v="CARBON MOLIDO"/>
    <x v="2"/>
    <x v="2"/>
    <s v="7405050003ENERGIAMolienda de Carbón"/>
    <x v="42"/>
    <x v="0"/>
  </r>
  <r>
    <n v="7405050003"/>
    <s v="SS ENERGIA ELECTRICA"/>
    <n v="99139980.150661901"/>
    <n v="189396.37438070175"/>
    <s v="T"/>
    <s v="M"/>
    <s v="1410900101"/>
    <s v="INV. SEMIELABORADO"/>
    <s v="EC01"/>
    <s v="ENERGIA"/>
    <n v="700002"/>
    <x v="3"/>
    <s v="CARBON MOLIDO"/>
    <m/>
    <m/>
    <s v="CARBON MOLIDO"/>
    <x v="2"/>
    <x v="2"/>
    <s v="7405050003ENERGIAMolienda de Carbón"/>
    <x v="42"/>
    <x v="0"/>
  </r>
  <r>
    <n v="7405050003"/>
    <s v="SS ENERGIA ELECTRICA"/>
    <n v="151593279.74451357"/>
    <n v="289216.21894260822"/>
    <s v="T"/>
    <s v="M"/>
    <s v="1410900101"/>
    <s v="INV. SEMIELABORADO"/>
    <s v="EC01"/>
    <s v="ENERGIA"/>
    <n v="700002"/>
    <x v="4"/>
    <s v="CARBON MOLIDO"/>
    <m/>
    <m/>
    <s v="CARBON MOLIDO"/>
    <x v="2"/>
    <x v="2"/>
    <s v="7405050003ENERGIAMolienda de Carbón"/>
    <x v="42"/>
    <x v="0"/>
  </r>
  <r>
    <n v="7405050003"/>
    <s v="SS ENERGIA ELECTRICA"/>
    <n v="64982699.486958392"/>
    <n v="123811.18017244925"/>
    <s v="T"/>
    <s v="M"/>
    <s v="1410900101"/>
    <s v="INV. SEMIELABORADO"/>
    <s v="EC01"/>
    <s v="ENERGIA"/>
    <n v="700002"/>
    <x v="5"/>
    <s v="CARBON MOLIDO"/>
    <m/>
    <m/>
    <s v="CARBON MOLIDO"/>
    <x v="2"/>
    <x v="2"/>
    <s v="7405050003ENERGIAMolienda de Carbón"/>
    <x v="42"/>
    <x v="0"/>
  </r>
  <r>
    <n v="7405050003"/>
    <s v="SS ENERGIA ELECTRICA"/>
    <n v="124614223.96812953"/>
    <n v="237109.36633363224"/>
    <s v="T"/>
    <s v="M"/>
    <s v="1410900101"/>
    <s v="INV. SEMIELABORADO"/>
    <s v="EC01"/>
    <s v="ENERGIA"/>
    <n v="700002"/>
    <x v="6"/>
    <s v="CARBON MOLIDO"/>
    <m/>
    <m/>
    <s v="CARBON MOLIDO"/>
    <x v="2"/>
    <x v="2"/>
    <s v="7405050003ENERGIAMolienda de Carbón"/>
    <x v="42"/>
    <x v="0"/>
  </r>
  <r>
    <n v="7405050003"/>
    <s v="SS ENERGIA ELECTRICA"/>
    <n v="152202930.68509212"/>
    <n v="289216.21894260822"/>
    <s v="T"/>
    <s v="M"/>
    <s v="1410900101"/>
    <s v="INV. SEMIELABORADO"/>
    <s v="EC01"/>
    <s v="ENERGIA"/>
    <n v="700002"/>
    <x v="7"/>
    <s v="CARBON MOLIDO"/>
    <m/>
    <m/>
    <s v="CARBON MOLIDO"/>
    <x v="2"/>
    <x v="2"/>
    <s v="7405050003ENERGIAMolienda de Carbón"/>
    <x v="42"/>
    <x v="0"/>
  </r>
  <r>
    <n v="7405050003"/>
    <s v="SS ENERGIA ELECTRICA"/>
    <n v="115530446.30984508"/>
    <n v="219237.16407831016"/>
    <s v="T"/>
    <s v="M"/>
    <s v="1410900101"/>
    <s v="INV. SEMIELABORADO"/>
    <s v="EC01"/>
    <s v="ENERGIA"/>
    <n v="700002"/>
    <x v="8"/>
    <s v="CARBON MOLIDO"/>
    <m/>
    <m/>
    <s v="CARBON MOLIDO"/>
    <x v="2"/>
    <x v="2"/>
    <s v="7405050003ENERGIAMolienda de Carbón"/>
    <x v="42"/>
    <x v="0"/>
  </r>
  <r>
    <n v="7405050003"/>
    <s v="SS ENERGIA ELECTRICA"/>
    <n v="89868557.909981698"/>
    <n v="170311.17759952959"/>
    <s v="T"/>
    <s v="M"/>
    <s v="1410900101"/>
    <s v="INV. SEMIELABORADO"/>
    <s v="EC01"/>
    <s v="ENERGIA"/>
    <n v="700002"/>
    <x v="9"/>
    <s v="CARBON MOLIDO"/>
    <m/>
    <m/>
    <s v="CARBON MOLIDO"/>
    <x v="2"/>
    <x v="2"/>
    <s v="7405050003ENERGIAMolienda de Carbón"/>
    <x v="42"/>
    <x v="0"/>
  </r>
  <r>
    <n v="7405050003"/>
    <s v="SS ENERGIA ELECTRICA"/>
    <n v="147774300.32605454"/>
    <n v="279673.62055202213"/>
    <s v="T"/>
    <s v="M"/>
    <s v="1410900101"/>
    <s v="INV. SEMIELABORADO"/>
    <s v="EC01"/>
    <s v="ENERGIA"/>
    <n v="700002"/>
    <x v="10"/>
    <s v="CARBON MOLIDO"/>
    <m/>
    <m/>
    <s v="CARBON MOLIDO"/>
    <x v="2"/>
    <x v="2"/>
    <s v="7405050003ENERGIAMolienda de Carbón"/>
    <x v="42"/>
    <x v="0"/>
  </r>
  <r>
    <n v="7405050003"/>
    <s v="SS ENERGIA ELECTRICA"/>
    <n v="92663453.792645395"/>
    <n v="175136.97723247908"/>
    <s v="T"/>
    <s v="M"/>
    <s v="1410900101"/>
    <s v="INV. SEMIELABORADO"/>
    <s v="EC01"/>
    <s v="ENERGIA"/>
    <n v="700002"/>
    <x v="11"/>
    <s v="CARBON MOLIDO"/>
    <m/>
    <m/>
    <s v="CARBON MOLIDO"/>
    <x v="2"/>
    <x v="2"/>
    <s v="7405050003ENERGIAMolienda de Carbón"/>
    <x v="42"/>
    <x v="0"/>
  </r>
  <r>
    <n v="7405050003"/>
    <s v="SS ENERGIA ELECTRICA"/>
    <n v="1318078828.8172674"/>
    <n v="2528144.999999993"/>
    <s v="T"/>
    <s v="M"/>
    <s v="1410900101"/>
    <s v="INV. SEMIELABORADO"/>
    <s v="EC01"/>
    <s v="ENERGIA"/>
    <n v="700001"/>
    <x v="0"/>
    <s v="CLINKER"/>
    <m/>
    <m/>
    <s v="CLINKER"/>
    <x v="1"/>
    <x v="1"/>
    <s v="7405050003ENERGIAClinkerización"/>
    <x v="42"/>
    <x v="0"/>
  </r>
  <r>
    <n v="7405050003"/>
    <s v="SS ENERGIA ELECTRICA"/>
    <n v="1336130965.2248304"/>
    <n v="2559356.66666666"/>
    <s v="T"/>
    <s v="M"/>
    <s v="1410900101"/>
    <s v="INV. SEMIELABORADO"/>
    <s v="EC01"/>
    <s v="ENERGIA"/>
    <n v="700001"/>
    <x v="1"/>
    <s v="CLINKER"/>
    <m/>
    <m/>
    <s v="CLINKER"/>
    <x v="1"/>
    <x v="1"/>
    <s v="7405050003ENERGIAClinkerización"/>
    <x v="42"/>
    <x v="0"/>
  </r>
  <r>
    <n v="7405050003"/>
    <s v="SS ENERGIA ELECTRICA"/>
    <n v="930013571.37267864"/>
    <n v="1779064.9999999953"/>
    <s v="T"/>
    <s v="M"/>
    <s v="1410900101"/>
    <s v="INV. SEMIELABORADO"/>
    <s v="EC01"/>
    <s v="ENERGIA"/>
    <n v="700001"/>
    <x v="2"/>
    <s v="CLINKER"/>
    <m/>
    <m/>
    <s v="CLINKER"/>
    <x v="1"/>
    <x v="1"/>
    <s v="7405050003ENERGIAClinkerización"/>
    <x v="42"/>
    <x v="0"/>
  </r>
  <r>
    <n v="7405050003"/>
    <s v="SS ENERGIA ELECTRICA"/>
    <n v="980269244.51549351"/>
    <n v="1872699.9999999951"/>
    <s v="T"/>
    <s v="M"/>
    <s v="1410900101"/>
    <s v="INV. SEMIELABORADO"/>
    <s v="EC01"/>
    <s v="ENERGIA"/>
    <n v="700001"/>
    <x v="3"/>
    <s v="CLINKER"/>
    <m/>
    <m/>
    <s v="CLINKER"/>
    <x v="1"/>
    <x v="1"/>
    <s v="7405050003ENERGIAClinkerización"/>
    <x v="42"/>
    <x v="0"/>
  </r>
  <r>
    <n v="7405050003"/>
    <s v="SS ENERGIA ELECTRICA"/>
    <n v="1488729031.0231805"/>
    <n v="2840261.6666666591"/>
    <s v="T"/>
    <s v="M"/>
    <s v="1410900101"/>
    <s v="INV. SEMIELABORADO"/>
    <s v="EC01"/>
    <s v="ENERGIA"/>
    <n v="700001"/>
    <x v="4"/>
    <s v="CLINKER"/>
    <m/>
    <m/>
    <s v="CLINKER"/>
    <x v="1"/>
    <x v="1"/>
    <s v="7405050003ENERGIAClinkerización"/>
    <x v="42"/>
    <x v="0"/>
  </r>
  <r>
    <n v="7405050003"/>
    <s v="SS ENERGIA ELECTRICA"/>
    <n v="638880234.83681285"/>
    <n v="1217254.9999999967"/>
    <s v="T"/>
    <s v="M"/>
    <s v="1410900101"/>
    <s v="INV. SEMIELABORADO"/>
    <s v="EC01"/>
    <s v="ENERGIA"/>
    <n v="700001"/>
    <x v="5"/>
    <s v="CLINKER"/>
    <m/>
    <m/>
    <s v="CLINKER"/>
    <x v="1"/>
    <x v="1"/>
    <s v="7405050003ENERGIAClinkerización"/>
    <x v="42"/>
    <x v="0"/>
  </r>
  <r>
    <n v="7405050003"/>
    <s v="SS ENERGIA ELECTRICA"/>
    <n v="1230260643.1874976"/>
    <n v="2340874.9999999935"/>
    <s v="T"/>
    <s v="M"/>
    <s v="1410900101"/>
    <s v="INV. SEMIELABORADO"/>
    <s v="EC01"/>
    <s v="ENERGIA"/>
    <n v="700001"/>
    <x v="6"/>
    <s v="CLINKER"/>
    <m/>
    <m/>
    <s v="CLINKER"/>
    <x v="1"/>
    <x v="1"/>
    <s v="7405050003ENERGIAClinkerización"/>
    <x v="42"/>
    <x v="0"/>
  </r>
  <r>
    <n v="7405050003"/>
    <s v="SS ENERGIA ELECTRICA"/>
    <n v="1494716137.150573"/>
    <n v="2840261.6666666591"/>
    <s v="T"/>
    <s v="M"/>
    <s v="1410900101"/>
    <s v="INV. SEMIELABORADO"/>
    <s v="EC01"/>
    <s v="ENERGIA"/>
    <n v="700001"/>
    <x v="7"/>
    <s v="CLINKER"/>
    <m/>
    <m/>
    <s v="CLINKER"/>
    <x v="1"/>
    <x v="1"/>
    <s v="7405050003ENERGIAClinkerización"/>
    <x v="42"/>
    <x v="0"/>
  </r>
  <r>
    <n v="7405050003"/>
    <s v="SS ENERGIA ELECTRICA"/>
    <n v="1134875776.5186241"/>
    <n v="2153604.9999999939"/>
    <s v="T"/>
    <s v="M"/>
    <s v="1410900101"/>
    <s v="INV. SEMIELABORADO"/>
    <s v="EC01"/>
    <s v="ENERGIA"/>
    <n v="700001"/>
    <x v="8"/>
    <s v="CLINKER"/>
    <m/>
    <m/>
    <s v="CLINKER"/>
    <x v="1"/>
    <x v="1"/>
    <s v="7405050003ENERGIAClinkerización"/>
    <x v="42"/>
    <x v="0"/>
  </r>
  <r>
    <n v="7405050003"/>
    <s v="SS ENERGIA ELECTRICA"/>
    <n v="889355388.72487032"/>
    <n v="1685429.9999999956"/>
    <s v="T"/>
    <s v="M"/>
    <s v="1410900101"/>
    <s v="INV. SEMIELABORADO"/>
    <s v="EC01"/>
    <s v="ENERGIA"/>
    <n v="700001"/>
    <x v="9"/>
    <s v="CLINKER"/>
    <m/>
    <m/>
    <s v="CLINKER"/>
    <x v="1"/>
    <x v="1"/>
    <s v="7405050003ENERGIAClinkerización"/>
    <x v="42"/>
    <x v="0"/>
  </r>
  <r>
    <n v="7405050003"/>
    <s v="SS ENERGIA ELECTRICA"/>
    <n v="1451266061.9275355"/>
    <n v="2746626.6666666595"/>
    <s v="T"/>
    <s v="M"/>
    <s v="1410900101"/>
    <s v="INV. SEMIELABORADO"/>
    <s v="EC01"/>
    <s v="ENERGIA"/>
    <n v="700001"/>
    <x v="10"/>
    <s v="CLINKER"/>
    <m/>
    <m/>
    <s v="CLINKER"/>
    <x v="1"/>
    <x v="1"/>
    <s v="7405050003ENERGIAClinkerización"/>
    <x v="42"/>
    <x v="0"/>
  </r>
  <r>
    <n v="7405050003"/>
    <s v="SS ENERGIA ELECTRICA"/>
    <n v="916800054.80353773"/>
    <n v="1732782.2755685661"/>
    <s v="T"/>
    <s v="M"/>
    <s v="1410900101"/>
    <s v="INV. SEMIELABORADO"/>
    <s v="EC01"/>
    <s v="ENERGIA"/>
    <n v="700001"/>
    <x v="11"/>
    <s v="CLINKER"/>
    <m/>
    <m/>
    <s v="CLINKER"/>
    <x v="1"/>
    <x v="1"/>
    <s v="7405050003ENERGIAClinkerización"/>
    <x v="42"/>
    <x v="0"/>
  </r>
  <r>
    <n v="7405050003"/>
    <s v="SS ENERGIA ELECTRICA"/>
    <n v="853933991.62007844"/>
    <n v="1637890.6208375443"/>
    <s v="T"/>
    <s v="M"/>
    <s v="1410900101"/>
    <s v="INV. SEMIELABORADO"/>
    <s v="EC01"/>
    <s v="ENERGIA"/>
    <n v="700003"/>
    <x v="0"/>
    <s v="CEMENTO UG"/>
    <m/>
    <m/>
    <s v="CEMENTO UG"/>
    <x v="4"/>
    <x v="4"/>
    <s v="7405050003ENERGIACemento UG"/>
    <x v="42"/>
    <x v="0"/>
  </r>
  <r>
    <n v="7405050003"/>
    <s v="SS ENERGIA ELECTRICA"/>
    <n v="891640455.648543"/>
    <n v="1707935.8265226651"/>
    <s v="T"/>
    <s v="M"/>
    <s v="1410900101"/>
    <s v="INV. SEMIELABORADO"/>
    <s v="EC01"/>
    <s v="ENERGIA"/>
    <n v="700003"/>
    <x v="1"/>
    <s v="CEMENTO UG"/>
    <m/>
    <m/>
    <s v="CEMENTO UG"/>
    <x v="4"/>
    <x v="4"/>
    <s v="7405050003ENERGIACemento UG"/>
    <x v="42"/>
    <x v="0"/>
  </r>
  <r>
    <n v="7405050003"/>
    <s v="SS ENERGIA ELECTRICA"/>
    <n v="959375787.14312625"/>
    <n v="1835233.3098049266"/>
    <s v="T"/>
    <s v="M"/>
    <s v="1410900101"/>
    <s v="INV. SEMIELABORADO"/>
    <s v="EC01"/>
    <s v="ENERGIA"/>
    <n v="700003"/>
    <x v="2"/>
    <s v="CEMENTO UG"/>
    <m/>
    <m/>
    <s v="CEMENTO UG"/>
    <x v="4"/>
    <x v="4"/>
    <s v="7405050003ENERGIACemento UG"/>
    <x v="42"/>
    <x v="0"/>
  </r>
  <r>
    <n v="7405050003"/>
    <s v="SS ENERGIA ELECTRICA"/>
    <n v="913989313.65668464"/>
    <n v="1746079.2504317074"/>
    <s v="T"/>
    <s v="M"/>
    <s v="1410900101"/>
    <s v="INV. SEMIELABORADO"/>
    <s v="EC01"/>
    <s v="ENERGIA"/>
    <n v="700003"/>
    <x v="3"/>
    <s v="CEMENTO UG"/>
    <m/>
    <m/>
    <s v="CEMENTO UG"/>
    <x v="4"/>
    <x v="4"/>
    <s v="7405050003ENERGIACemento UG"/>
    <x v="42"/>
    <x v="0"/>
  </r>
  <r>
    <n v="7405050003"/>
    <s v="SS ENERGIA ELECTRICA"/>
    <n v="860167649.10379291"/>
    <n v="1641065.0627113618"/>
    <s v="T"/>
    <s v="M"/>
    <s v="1410900101"/>
    <s v="INV. SEMIELABORADO"/>
    <s v="EC01"/>
    <s v="ENERGIA"/>
    <n v="700003"/>
    <x v="4"/>
    <s v="CEMENTO UG"/>
    <m/>
    <m/>
    <s v="CEMENTO UG"/>
    <x v="4"/>
    <x v="4"/>
    <s v="7405050003ENERGIACemento UG"/>
    <x v="42"/>
    <x v="0"/>
  </r>
  <r>
    <n v="7405050003"/>
    <s v="SS ENERGIA ELECTRICA"/>
    <n v="858057643.00954008"/>
    <n v="1634852.5111414066"/>
    <s v="T"/>
    <s v="M"/>
    <s v="1410900101"/>
    <s v="INV. SEMIELABORADO"/>
    <s v="EC01"/>
    <s v="ENERGIA"/>
    <n v="700003"/>
    <x v="5"/>
    <s v="CEMENTO UG"/>
    <m/>
    <m/>
    <s v="CEMENTO UG"/>
    <x v="4"/>
    <x v="4"/>
    <s v="7405050003ENERGIACemento UG"/>
    <x v="42"/>
    <x v="0"/>
  </r>
  <r>
    <n v="7405050003"/>
    <s v="SS ENERGIA ELECTRICA"/>
    <n v="1012034121.4393387"/>
    <n v="1925645.0957305406"/>
    <s v="T"/>
    <s v="M"/>
    <s v="1410900101"/>
    <s v="INV. SEMIELABORADO"/>
    <s v="EC01"/>
    <s v="ENERGIA"/>
    <n v="700003"/>
    <x v="6"/>
    <s v="CEMENTO UG"/>
    <m/>
    <m/>
    <s v="CEMENTO UG"/>
    <x v="4"/>
    <x v="4"/>
    <s v="7405050003ENERGIACemento UG"/>
    <x v="42"/>
    <x v="0"/>
  </r>
  <r>
    <n v="7405050003"/>
    <s v="SS ENERGIA ELECTRICA"/>
    <n v="923276820.75653946"/>
    <n v="1754411.8890130748"/>
    <s v="T"/>
    <s v="M"/>
    <s v="1410900101"/>
    <s v="INV. SEMIELABORADO"/>
    <s v="EC01"/>
    <s v="ENERGIA"/>
    <n v="700003"/>
    <x v="7"/>
    <s v="CEMENTO UG"/>
    <m/>
    <m/>
    <s v="CEMENTO UG"/>
    <x v="4"/>
    <x v="4"/>
    <s v="7405050003ENERGIACemento UG"/>
    <x v="42"/>
    <x v="0"/>
  </r>
  <r>
    <n v="7405050003"/>
    <s v="SS ENERGIA ELECTRICA"/>
    <n v="979288602.68254507"/>
    <n v="1858353.9051734502"/>
    <s v="T"/>
    <s v="M"/>
    <s v="1410900101"/>
    <s v="INV. SEMIELABORADO"/>
    <s v="EC01"/>
    <s v="ENERGIA"/>
    <n v="700003"/>
    <x v="8"/>
    <s v="CEMENTO UG"/>
    <m/>
    <m/>
    <s v="CEMENTO UG"/>
    <x v="4"/>
    <x v="4"/>
    <s v="7405050003ENERGIACemento UG"/>
    <x v="42"/>
    <x v="0"/>
  </r>
  <r>
    <n v="7405050003"/>
    <s v="SS ENERGIA ELECTRICA"/>
    <n v="995813387.08631647"/>
    <n v="1887180.0612838084"/>
    <s v="T"/>
    <s v="M"/>
    <s v="1410900101"/>
    <s v="INV. SEMIELABORADO"/>
    <s v="EC01"/>
    <s v="ENERGIA"/>
    <n v="700003"/>
    <x v="9"/>
    <s v="CEMENTO UG"/>
    <m/>
    <m/>
    <s v="CEMENTO UG"/>
    <x v="4"/>
    <x v="4"/>
    <s v="7405050003ENERGIACemento UG"/>
    <x v="42"/>
    <x v="0"/>
  </r>
  <r>
    <n v="7405050003"/>
    <s v="SS ENERGIA ELECTRICA"/>
    <n v="932947993.55686152"/>
    <n v="1765671.9914700103"/>
    <s v="T"/>
    <s v="M"/>
    <s v="1410900101"/>
    <s v="INV. SEMIELABORADO"/>
    <s v="EC01"/>
    <s v="ENERGIA"/>
    <n v="700003"/>
    <x v="10"/>
    <s v="CEMENTO UG"/>
    <m/>
    <m/>
    <s v="CEMENTO UG"/>
    <x v="4"/>
    <x v="4"/>
    <s v="7405050003ENERGIACemento UG"/>
    <x v="42"/>
    <x v="0"/>
  </r>
  <r>
    <n v="7405050003"/>
    <s v="SS ENERGIA ELECTRICA"/>
    <n v="962295281.45191145"/>
    <n v="1818769.7511868677"/>
    <s v="T"/>
    <s v="M"/>
    <s v="1410900101"/>
    <s v="INV. SEMIELABORADO"/>
    <s v="EC01"/>
    <s v="ENERGIA"/>
    <n v="700003"/>
    <x v="11"/>
    <s v="CEMENTO UG"/>
    <m/>
    <m/>
    <s v="CEMENTO UG"/>
    <x v="4"/>
    <x v="4"/>
    <s v="7405050003ENERGIACemento UG"/>
    <x v="42"/>
    <x v="0"/>
  </r>
  <r>
    <n v="7405050003"/>
    <s v="SS ENERGIA ELECTRICA"/>
    <n v="581209102.0912081"/>
    <n v="1114789.8390302435"/>
    <s v="T"/>
    <s v="M"/>
    <s v="1410900101"/>
    <s v="INV. SEMIELABORADO"/>
    <s v="EC01"/>
    <s v="ENERGIA"/>
    <n v="700060"/>
    <x v="0"/>
    <s v="CEMENTO ART"/>
    <m/>
    <m/>
    <s v="CEMENTO ART"/>
    <x v="11"/>
    <x v="11"/>
    <s v="7405050003ENERGIACemento ART"/>
    <x v="42"/>
    <x v="0"/>
  </r>
  <r>
    <n v="7405050003"/>
    <s v="SS ENERGIA ELECTRICA"/>
    <n v="656706379.052019"/>
    <n v="1257919.989143047"/>
    <s v="T"/>
    <s v="M"/>
    <s v="1410900101"/>
    <s v="INV. SEMIELABORADO"/>
    <s v="EC01"/>
    <s v="ENERGIA"/>
    <n v="700060"/>
    <x v="1"/>
    <s v="CEMENTO ART"/>
    <m/>
    <m/>
    <s v="CEMENTO ART"/>
    <x v="11"/>
    <x v="11"/>
    <s v="7405050003ENERGIACemento ART"/>
    <x v="42"/>
    <x v="0"/>
  </r>
  <r>
    <n v="7405050003"/>
    <s v="SS ENERGIA ELECTRICA"/>
    <n v="687383810.92784107"/>
    <n v="1314927.5636734669"/>
    <s v="T"/>
    <s v="M"/>
    <s v="1410900101"/>
    <s v="INV. SEMIELABORADO"/>
    <s v="EC01"/>
    <s v="ENERGIA"/>
    <n v="700060"/>
    <x v="2"/>
    <s v="CEMENTO ART"/>
    <m/>
    <m/>
    <s v="CEMENTO ART"/>
    <x v="11"/>
    <x v="11"/>
    <s v="7405050003ENERGIACemento ART"/>
    <x v="42"/>
    <x v="0"/>
  </r>
  <r>
    <n v="7405050003"/>
    <s v="SS ENERGIA ELECTRICA"/>
    <n v="633745149.55714166"/>
    <n v="1210702.618913898"/>
    <s v="T"/>
    <s v="M"/>
    <s v="1410900101"/>
    <s v="INV. SEMIELABORADO"/>
    <s v="EC01"/>
    <s v="ENERGIA"/>
    <n v="700060"/>
    <x v="3"/>
    <s v="CEMENTO ART"/>
    <m/>
    <m/>
    <s v="CEMENTO ART"/>
    <x v="11"/>
    <x v="11"/>
    <s v="7405050003ENERGIACemento ART"/>
    <x v="42"/>
    <x v="0"/>
  </r>
  <r>
    <n v="7405050003"/>
    <s v="SS ENERGIA ELECTRICA"/>
    <n v="648936479.15995443"/>
    <n v="1238069.0961557173"/>
    <s v="T"/>
    <s v="M"/>
    <s v="1410900101"/>
    <s v="INV. SEMIELABORADO"/>
    <s v="EC01"/>
    <s v="ENERGIA"/>
    <n v="700060"/>
    <x v="4"/>
    <s v="CEMENTO ART"/>
    <m/>
    <m/>
    <s v="CEMENTO ART"/>
    <x v="11"/>
    <x v="11"/>
    <s v="7405050003ENERGIACemento ART"/>
    <x v="42"/>
    <x v="0"/>
  </r>
  <r>
    <n v="7405050003"/>
    <s v="SS ENERGIA ELECTRICA"/>
    <n v="632116953.33782363"/>
    <n v="1204368.9569325431"/>
    <s v="T"/>
    <s v="M"/>
    <s v="1410900101"/>
    <s v="INV. SEMIELABORADO"/>
    <s v="EC01"/>
    <s v="ENERGIA"/>
    <n v="700060"/>
    <x v="5"/>
    <s v="CEMENTO ART"/>
    <m/>
    <m/>
    <s v="CEMENTO ART"/>
    <x v="11"/>
    <x v="11"/>
    <s v="7405050003ENERGIACemento ART"/>
    <x v="42"/>
    <x v="0"/>
  </r>
  <r>
    <n v="7405050003"/>
    <s v="SS ENERGIA ELECTRICA"/>
    <n v="732392355.99203324"/>
    <n v="1393557.5081804493"/>
    <s v="T"/>
    <s v="M"/>
    <s v="1410900101"/>
    <s v="INV. SEMIELABORADO"/>
    <s v="EC01"/>
    <s v="ENERGIA"/>
    <n v="700060"/>
    <x v="6"/>
    <s v="CEMENTO ART"/>
    <m/>
    <m/>
    <s v="CEMENTO ART"/>
    <x v="11"/>
    <x v="11"/>
    <s v="7405050003ENERGIACemento ART"/>
    <x v="42"/>
    <x v="0"/>
  </r>
  <r>
    <n v="7405050003"/>
    <s v="SS ENERGIA ELECTRICA"/>
    <n v="675192373.6800245"/>
    <n v="1283001.4802976993"/>
    <s v="T"/>
    <s v="M"/>
    <s v="1410900101"/>
    <s v="INV. SEMIELABORADO"/>
    <s v="EC01"/>
    <s v="ENERGIA"/>
    <n v="700060"/>
    <x v="7"/>
    <s v="CEMENTO ART"/>
    <m/>
    <m/>
    <s v="CEMENTO ART"/>
    <x v="11"/>
    <x v="11"/>
    <s v="7405050003ENERGIACemento ART"/>
    <x v="42"/>
    <x v="0"/>
  </r>
  <r>
    <n v="7405050003"/>
    <s v="SS ENERGIA ELECTRICA"/>
    <n v="717633035.22875917"/>
    <n v="1361821.3771156874"/>
    <s v="T"/>
    <s v="M"/>
    <s v="1410900101"/>
    <s v="INV. SEMIELABORADO"/>
    <s v="EC01"/>
    <s v="ENERGIA"/>
    <n v="700060"/>
    <x v="8"/>
    <s v="CEMENTO ART"/>
    <m/>
    <m/>
    <s v="CEMENTO ART"/>
    <x v="11"/>
    <x v="11"/>
    <s v="7405050003ENERGIACemento ART"/>
    <x v="42"/>
    <x v="0"/>
  </r>
  <r>
    <n v="7405050003"/>
    <s v="SS ENERGIA ELECTRICA"/>
    <n v="727918483.63420093"/>
    <n v="1379488.633481622"/>
    <s v="T"/>
    <s v="M"/>
    <s v="1410900101"/>
    <s v="INV. SEMIELABORADO"/>
    <s v="EC01"/>
    <s v="ENERGIA"/>
    <n v="700060"/>
    <x v="9"/>
    <s v="CEMENTO ART"/>
    <m/>
    <m/>
    <s v="CEMENTO ART"/>
    <x v="11"/>
    <x v="11"/>
    <s v="7405050003ENERGIACemento ART"/>
    <x v="42"/>
    <x v="0"/>
  </r>
  <r>
    <n v="7405050003"/>
    <s v="SS ENERGIA ELECTRICA"/>
    <n v="667415486.03143179"/>
    <n v="1263132.3916205189"/>
    <s v="T"/>
    <s v="M"/>
    <s v="1410900101"/>
    <s v="INV. SEMIELABORADO"/>
    <s v="EC01"/>
    <s v="ENERGIA"/>
    <n v="700060"/>
    <x v="10"/>
    <s v="CEMENTO ART"/>
    <m/>
    <m/>
    <s v="CEMENTO ART"/>
    <x v="11"/>
    <x v="11"/>
    <s v="7405050003ENERGIACemento ART"/>
    <x v="42"/>
    <x v="0"/>
  </r>
  <r>
    <n v="7405050003"/>
    <s v="SS ENERGIA ELECTRICA"/>
    <n v="651591814.89483583"/>
    <n v="1231529.9741089945"/>
    <s v="T"/>
    <s v="M"/>
    <s v="1410900101"/>
    <s v="INV. SEMIELABORADO"/>
    <s v="EC01"/>
    <s v="ENERGIA"/>
    <n v="700060"/>
    <x v="11"/>
    <s v="CEMENTO ART"/>
    <m/>
    <m/>
    <s v="CEMENTO ART"/>
    <x v="11"/>
    <x v="11"/>
    <s v="7405050003ENERGIACemento ART"/>
    <x v="42"/>
    <x v="0"/>
  </r>
  <r>
    <n v="7405050003"/>
    <s v="SS ENERGIA ELECTRICA"/>
    <n v="33267105.035973191"/>
    <n v="63808.06930693068"/>
    <s v="T"/>
    <s v="M"/>
    <s v="1410900101"/>
    <s v="INV. SEMIELABORADO"/>
    <s v="EC01"/>
    <s v="ENERGIA"/>
    <n v="700053"/>
    <x v="0"/>
    <s v="CEMENTO ALION USO GENERAL 50KG"/>
    <m/>
    <m/>
    <s v="CEMENTO UG 50 KG"/>
    <x v="10"/>
    <x v="10"/>
    <s v="7405050003ENERGIACEMENTO UG 50 KG"/>
    <x v="42"/>
    <x v="0"/>
  </r>
  <r>
    <n v="7405050003"/>
    <s v="SS ENERGIA ELECTRICA"/>
    <n v="34765504.827675194"/>
    <n v="66593.267326732661"/>
    <s v="T"/>
    <s v="M"/>
    <s v="1410900101"/>
    <s v="INV. SEMIELABORADO"/>
    <s v="EC01"/>
    <s v="ENERGIA"/>
    <n v="700053"/>
    <x v="1"/>
    <s v="CEMENTO ALION USO GENERAL 50KG"/>
    <m/>
    <m/>
    <s v="CEMENTO UG 50 KG"/>
    <x v="10"/>
    <x v="10"/>
    <s v="7405050003ENERGIACEMENTO UG 50 KG"/>
    <x v="42"/>
    <x v="0"/>
  </r>
  <r>
    <n v="7405050003"/>
    <s v="SS ENERGIA ELECTRICA"/>
    <n v="31902587.119177971"/>
    <n v="61027.900990099006"/>
    <s v="T"/>
    <s v="M"/>
    <s v="1410900101"/>
    <s v="INV. SEMIELABORADO"/>
    <s v="EC01"/>
    <s v="ENERGIA"/>
    <n v="700053"/>
    <x v="2"/>
    <s v="CEMENTO ALION USO GENERAL 50KG"/>
    <m/>
    <m/>
    <s v="CEMENTO UG 50 KG"/>
    <x v="10"/>
    <x v="10"/>
    <s v="7405050003ENERGIACEMENTO UG 50 KG"/>
    <x v="42"/>
    <x v="0"/>
  </r>
  <r>
    <n v="7405050003"/>
    <s v="SS ENERGIA ELECTRICA"/>
    <n v="29556582.326312251"/>
    <n v="56464.702970297032"/>
    <s v="T"/>
    <s v="M"/>
    <s v="1410900101"/>
    <s v="INV. SEMIELABORADO"/>
    <s v="EC01"/>
    <s v="ENERGIA"/>
    <n v="700053"/>
    <x v="3"/>
    <s v="CEMENTO ALION USO GENERAL 50KG"/>
    <m/>
    <m/>
    <s v="CEMENTO UG 50 KG"/>
    <x v="10"/>
    <x v="10"/>
    <s v="7405050003ENERGIACEMENTO UG 50 KG"/>
    <x v="42"/>
    <x v="0"/>
  </r>
  <r>
    <n v="7405050003"/>
    <s v="SS ENERGIA ELECTRICA"/>
    <n v="36736588.623050839"/>
    <n v="70087.653465346535"/>
    <s v="T"/>
    <s v="M"/>
    <s v="1410900101"/>
    <s v="INV. SEMIELABORADO"/>
    <s v="EC01"/>
    <s v="ENERGIA"/>
    <n v="700053"/>
    <x v="4"/>
    <s v="CEMENTO ALION USO GENERAL 50KG"/>
    <m/>
    <m/>
    <s v="CEMENTO UG 50 KG"/>
    <x v="10"/>
    <x v="10"/>
    <s v="7405050003ENERGIACEMENTO UG 50 KG"/>
    <x v="42"/>
    <x v="0"/>
  </r>
  <r>
    <n v="7405050003"/>
    <s v="SS ENERGIA ELECTRICA"/>
    <n v="27212294.761284221"/>
    <n v="51847.435643564357"/>
    <s v="T"/>
    <s v="M"/>
    <s v="1410900101"/>
    <s v="INV. SEMIELABORADO"/>
    <s v="EC01"/>
    <s v="ENERGIA"/>
    <n v="700053"/>
    <x v="5"/>
    <s v="CEMENTO ALION USO GENERAL 50KG"/>
    <m/>
    <m/>
    <s v="CEMENTO UG 50 KG"/>
    <x v="10"/>
    <x v="10"/>
    <s v="7405050003ENERGIACEMENTO UG 50 KG"/>
    <x v="42"/>
    <x v="0"/>
  </r>
  <r>
    <n v="7405050003"/>
    <s v="SS ENERGIA ELECTRICA"/>
    <n v="34625765.861975938"/>
    <n v="65884.079207920804"/>
    <s v="T"/>
    <s v="M"/>
    <s v="1410900101"/>
    <s v="INV. SEMIELABORADO"/>
    <s v="EC01"/>
    <s v="ENERGIA"/>
    <n v="700053"/>
    <x v="6"/>
    <s v="CEMENTO ALION USO GENERAL 50KG"/>
    <m/>
    <m/>
    <s v="CEMENTO UG 50 KG"/>
    <x v="10"/>
    <x v="10"/>
    <s v="7405050003ENERGIACEMENTO UG 50 KG"/>
    <x v="42"/>
    <x v="0"/>
  </r>
  <r>
    <n v="7405050003"/>
    <s v="SS ENERGIA ELECTRICA"/>
    <n v="37414377.354847632"/>
    <n v="71094.851485148509"/>
    <s v="T"/>
    <s v="M"/>
    <s v="1410900101"/>
    <s v="INV. SEMIELABORADO"/>
    <s v="EC01"/>
    <s v="ENERGIA"/>
    <n v="700053"/>
    <x v="7"/>
    <s v="CEMENTO ALION USO GENERAL 50KG"/>
    <m/>
    <m/>
    <s v="CEMENTO UG 50 KG"/>
    <x v="10"/>
    <x v="10"/>
    <s v="7405050003ENERGIACEMENTO UG 50 KG"/>
    <x v="42"/>
    <x v="0"/>
  </r>
  <r>
    <n v="7405050003"/>
    <s v="SS ENERGIA ELECTRICA"/>
    <n v="34032169.660967872"/>
    <n v="64581.386138613867"/>
    <s v="T"/>
    <s v="M"/>
    <s v="1410900101"/>
    <s v="INV. SEMIELABORADO"/>
    <s v="EC01"/>
    <s v="ENERGIA"/>
    <n v="700053"/>
    <x v="8"/>
    <s v="CEMENTO ALION USO GENERAL 50KG"/>
    <m/>
    <m/>
    <s v="CEMENTO UG 50 KG"/>
    <x v="10"/>
    <x v="10"/>
    <s v="7405050003ENERGIACEMENTO UG 50 KG"/>
    <x v="42"/>
    <x v="0"/>
  </r>
  <r>
    <n v="7405050003"/>
    <s v="SS ENERGIA ELECTRICA"/>
    <n v="32360008.614686731"/>
    <n v="61325.910891089108"/>
    <s v="T"/>
    <s v="M"/>
    <s v="1410900101"/>
    <s v="INV. SEMIELABORADO"/>
    <s v="EC01"/>
    <s v="ENERGIA"/>
    <n v="700053"/>
    <x v="9"/>
    <s v="CEMENTO ALION USO GENERAL 50KG"/>
    <m/>
    <m/>
    <s v="CEMENTO UG 50 KG"/>
    <x v="10"/>
    <x v="10"/>
    <s v="7405050003ENERGIACEMENTO UG 50 KG"/>
    <x v="42"/>
    <x v="0"/>
  </r>
  <r>
    <n v="7405050003"/>
    <s v="SS ENERGIA ELECTRICA"/>
    <n v="37847557.370878473"/>
    <n v="71629.257425742573"/>
    <s v="T"/>
    <s v="M"/>
    <s v="1410900101"/>
    <s v="INV. SEMIELABORADO"/>
    <s v="EC01"/>
    <s v="ENERGIA"/>
    <n v="700053"/>
    <x v="10"/>
    <s v="CEMENTO ALION USO GENERAL 50KG"/>
    <m/>
    <m/>
    <s v="CEMENTO UG 50 KG"/>
    <x v="10"/>
    <x v="10"/>
    <s v="7405050003ENERGIACEMENTO UG 50 KG"/>
    <x v="42"/>
    <x v="0"/>
  </r>
  <r>
    <n v="7405050003"/>
    <s v="SS ENERGIA ELECTRICA"/>
    <n v="31941006.225757435"/>
    <n v="60369.552948683064"/>
    <s v="T"/>
    <s v="M"/>
    <s v="1410900101"/>
    <s v="INV. SEMIELABORADO"/>
    <s v="EC01"/>
    <s v="ENERGIA"/>
    <n v="700053"/>
    <x v="11"/>
    <s v="CEMENTO ALION USO GENERAL 50KG"/>
    <m/>
    <m/>
    <s v="CEMENTO UG 50 KG"/>
    <x v="10"/>
    <x v="10"/>
    <s v="7405050003ENERGIACEMENTO UG 50 KG"/>
    <x v="42"/>
    <x v="0"/>
  </r>
  <r>
    <n v="7405050003"/>
    <s v="SS ENERGIA ELECTRICA"/>
    <n v="33267105.035973191"/>
    <n v="63808.06930693068"/>
    <s v="T"/>
    <s v="M"/>
    <s v="1410900101"/>
    <s v="INV. SEMIELABORADO"/>
    <s v="EC01"/>
    <s v="ENERGIA"/>
    <n v="700004"/>
    <x v="0"/>
    <s v="CEMENTO ALION EMPACADO UG 42,5 KG"/>
    <m/>
    <m/>
    <s v="CEMENTO UG 42,5 KG"/>
    <x v="5"/>
    <x v="5"/>
    <s v="7405050003ENERGIACEMENTO UG 42,5 KG"/>
    <x v="42"/>
    <x v="0"/>
  </r>
  <r>
    <n v="7405050003"/>
    <s v="SS ENERGIA ELECTRICA"/>
    <n v="34765504.827675194"/>
    <n v="66593.267326732661"/>
    <s v="T"/>
    <s v="M"/>
    <s v="1410900101"/>
    <s v="INV. SEMIELABORADO"/>
    <s v="EC01"/>
    <s v="ENERGIA"/>
    <n v="700004"/>
    <x v="1"/>
    <s v="CEMENTO ALION EMPACADO UG 42,5 KG"/>
    <m/>
    <m/>
    <s v="CEMENTO UG 42,5 KG"/>
    <x v="5"/>
    <x v="5"/>
    <s v="7405050003ENERGIACEMENTO UG 42,5 KG"/>
    <x v="42"/>
    <x v="0"/>
  </r>
  <r>
    <n v="7405050003"/>
    <s v="SS ENERGIA ELECTRICA"/>
    <n v="31902587.119177971"/>
    <n v="61027.900990099006"/>
    <s v="T"/>
    <s v="M"/>
    <s v="1410900101"/>
    <s v="INV. SEMIELABORADO"/>
    <s v="EC01"/>
    <s v="ENERGIA"/>
    <n v="700004"/>
    <x v="2"/>
    <s v="CEMENTO ALION EMPACADO UG 42,5 KG"/>
    <m/>
    <m/>
    <s v="CEMENTO UG 42,5 KG"/>
    <x v="5"/>
    <x v="5"/>
    <s v="7405050003ENERGIACEMENTO UG 42,5 KG"/>
    <x v="42"/>
    <x v="0"/>
  </r>
  <r>
    <n v="7405050003"/>
    <s v="SS ENERGIA ELECTRICA"/>
    <n v="29556582.326312251"/>
    <n v="56464.702970297032"/>
    <s v="T"/>
    <s v="M"/>
    <s v="1410900101"/>
    <s v="INV. SEMIELABORADO"/>
    <s v="EC01"/>
    <s v="ENERGIA"/>
    <n v="700004"/>
    <x v="3"/>
    <s v="CEMENTO ALION EMPACADO UG 42,5 KG"/>
    <m/>
    <m/>
    <s v="CEMENTO UG 42,5 KG"/>
    <x v="5"/>
    <x v="5"/>
    <s v="7405050003ENERGIACEMENTO UG 42,5 KG"/>
    <x v="42"/>
    <x v="0"/>
  </r>
  <r>
    <n v="7405050003"/>
    <s v="SS ENERGIA ELECTRICA"/>
    <n v="36736588.623050839"/>
    <n v="70087.653465346535"/>
    <s v="T"/>
    <s v="M"/>
    <s v="1410900101"/>
    <s v="INV. SEMIELABORADO"/>
    <s v="EC01"/>
    <s v="ENERGIA"/>
    <n v="700004"/>
    <x v="4"/>
    <s v="CEMENTO ALION EMPACADO UG 42,5 KG"/>
    <m/>
    <m/>
    <s v="CEMENTO UG 42,5 KG"/>
    <x v="5"/>
    <x v="5"/>
    <s v="7405050003ENERGIACEMENTO UG 42,5 KG"/>
    <x v="42"/>
    <x v="0"/>
  </r>
  <r>
    <n v="7405050003"/>
    <s v="SS ENERGIA ELECTRICA"/>
    <n v="27212294.761284221"/>
    <n v="51847.435643564357"/>
    <s v="T"/>
    <s v="M"/>
    <s v="1410900101"/>
    <s v="INV. SEMIELABORADO"/>
    <s v="EC01"/>
    <s v="ENERGIA"/>
    <n v="700004"/>
    <x v="5"/>
    <s v="CEMENTO ALION EMPACADO UG 42,5 KG"/>
    <m/>
    <m/>
    <s v="CEMENTO UG 42,5 KG"/>
    <x v="5"/>
    <x v="5"/>
    <s v="7405050003ENERGIACEMENTO UG 42,5 KG"/>
    <x v="42"/>
    <x v="0"/>
  </r>
  <r>
    <n v="7405050003"/>
    <s v="SS ENERGIA ELECTRICA"/>
    <n v="34625765.861975938"/>
    <n v="65884.079207920804"/>
    <s v="T"/>
    <s v="M"/>
    <s v="1410900101"/>
    <s v="INV. SEMIELABORADO"/>
    <s v="EC01"/>
    <s v="ENERGIA"/>
    <n v="700004"/>
    <x v="6"/>
    <s v="CEMENTO ALION EMPACADO UG 42,5 KG"/>
    <m/>
    <m/>
    <s v="CEMENTO UG 42,5 KG"/>
    <x v="5"/>
    <x v="5"/>
    <s v="7405050003ENERGIACEMENTO UG 42,5 KG"/>
    <x v="42"/>
    <x v="0"/>
  </r>
  <r>
    <n v="7405050003"/>
    <s v="SS ENERGIA ELECTRICA"/>
    <n v="37414377.354847632"/>
    <n v="71094.851485148509"/>
    <s v="T"/>
    <s v="M"/>
    <s v="1410900101"/>
    <s v="INV. SEMIELABORADO"/>
    <s v="EC01"/>
    <s v="ENERGIA"/>
    <n v="700004"/>
    <x v="7"/>
    <s v="CEMENTO ALION EMPACADO UG 42,5 KG"/>
    <m/>
    <m/>
    <s v="CEMENTO UG 42,5 KG"/>
    <x v="5"/>
    <x v="5"/>
    <s v="7405050003ENERGIACEMENTO UG 42,5 KG"/>
    <x v="42"/>
    <x v="0"/>
  </r>
  <r>
    <n v="7405050003"/>
    <s v="SS ENERGIA ELECTRICA"/>
    <n v="34032169.660967872"/>
    <n v="64581.386138613867"/>
    <s v="T"/>
    <s v="M"/>
    <s v="1410900101"/>
    <s v="INV. SEMIELABORADO"/>
    <s v="EC01"/>
    <s v="ENERGIA"/>
    <n v="700004"/>
    <x v="8"/>
    <s v="CEMENTO ALION EMPACADO UG 42,5 KG"/>
    <m/>
    <m/>
    <s v="CEMENTO UG 42,5 KG"/>
    <x v="5"/>
    <x v="5"/>
    <s v="7405050003ENERGIACEMENTO UG 42,5 KG"/>
    <x v="42"/>
    <x v="0"/>
  </r>
  <r>
    <n v="7405050003"/>
    <s v="SS ENERGIA ELECTRICA"/>
    <n v="32360008.614686731"/>
    <n v="61325.910891089108"/>
    <s v="T"/>
    <s v="M"/>
    <s v="1410900101"/>
    <s v="INV. SEMIELABORADO"/>
    <s v="EC01"/>
    <s v="ENERGIA"/>
    <n v="700004"/>
    <x v="9"/>
    <s v="CEMENTO ALION EMPACADO UG 42,5 KG"/>
    <m/>
    <m/>
    <s v="CEMENTO UG 42,5 KG"/>
    <x v="5"/>
    <x v="5"/>
    <s v="7405050003ENERGIACEMENTO UG 42,5 KG"/>
    <x v="42"/>
    <x v="0"/>
  </r>
  <r>
    <n v="7405050003"/>
    <s v="SS ENERGIA ELECTRICA"/>
    <n v="37847557.370878473"/>
    <n v="71629.257425742573"/>
    <s v="T"/>
    <s v="M"/>
    <s v="1410900101"/>
    <s v="INV. SEMIELABORADO"/>
    <s v="EC01"/>
    <s v="ENERGIA"/>
    <n v="700004"/>
    <x v="10"/>
    <s v="CEMENTO ALION EMPACADO UG 42,5 KG"/>
    <m/>
    <m/>
    <s v="CEMENTO UG 42,5 KG"/>
    <x v="5"/>
    <x v="5"/>
    <s v="7405050003ENERGIACEMENTO UG 42,5 KG"/>
    <x v="42"/>
    <x v="0"/>
  </r>
  <r>
    <n v="7405050003"/>
    <s v="SS ENERGIA ELECTRICA"/>
    <n v="31941006.225757435"/>
    <n v="60369.552948683064"/>
    <s v="T"/>
    <s v="M"/>
    <s v="1410900101"/>
    <s v="INV. SEMIELABORADO"/>
    <s v="EC01"/>
    <s v="ENERGIA"/>
    <n v="700004"/>
    <x v="11"/>
    <s v="CEMENTO ALION EMPACADO UG 42,5 KG"/>
    <m/>
    <m/>
    <s v="CEMENTO UG 42,5 KG"/>
    <x v="5"/>
    <x v="5"/>
    <s v="7405050003ENERGIACEMENTO UG 42,5 KG"/>
    <x v="42"/>
    <x v="0"/>
  </r>
  <r>
    <n v="7405050003"/>
    <s v="SS ENERGIA ELECTRICA"/>
    <n v="33267105.035973191"/>
    <n v="63808.06930693068"/>
    <s v="T"/>
    <s v="M"/>
    <s v="1410900101"/>
    <s v="INV. SEMIELABORADO"/>
    <s v="EC01"/>
    <s v="ENERGIA"/>
    <n v="700048"/>
    <x v="0"/>
    <s v="CEMENTO ALION EMPACADO UG 25 KG"/>
    <m/>
    <m/>
    <s v="CEMENTO UG 25 KG"/>
    <x v="9"/>
    <x v="9"/>
    <s v="7405050003ENERGIACEMENTO UG 25 KG"/>
    <x v="42"/>
    <x v="0"/>
  </r>
  <r>
    <n v="7405050003"/>
    <s v="SS ENERGIA ELECTRICA"/>
    <n v="34765504.827675194"/>
    <n v="66593.267326732661"/>
    <s v="T"/>
    <s v="M"/>
    <s v="1410900101"/>
    <s v="INV. SEMIELABORADO"/>
    <s v="EC01"/>
    <s v="ENERGIA"/>
    <n v="700048"/>
    <x v="1"/>
    <s v="CEMENTO ALION EMPACADO UG 25 KG"/>
    <m/>
    <m/>
    <s v="CEMENTO UG 25 KG"/>
    <x v="9"/>
    <x v="9"/>
    <s v="7405050003ENERGIACEMENTO UG 25 KG"/>
    <x v="42"/>
    <x v="0"/>
  </r>
  <r>
    <n v="7405050003"/>
    <s v="SS ENERGIA ELECTRICA"/>
    <n v="31902587.119177971"/>
    <n v="61027.900990099006"/>
    <s v="T"/>
    <s v="M"/>
    <s v="1410900101"/>
    <s v="INV. SEMIELABORADO"/>
    <s v="EC01"/>
    <s v="ENERGIA"/>
    <n v="700048"/>
    <x v="2"/>
    <s v="CEMENTO ALION EMPACADO UG 25 KG"/>
    <m/>
    <m/>
    <s v="CEMENTO UG 25 KG"/>
    <x v="9"/>
    <x v="9"/>
    <s v="7405050003ENERGIACEMENTO UG 25 KG"/>
    <x v="42"/>
    <x v="0"/>
  </r>
  <r>
    <n v="7405050003"/>
    <s v="SS ENERGIA ELECTRICA"/>
    <n v="29556582.326312251"/>
    <n v="56464.702970297032"/>
    <s v="T"/>
    <s v="M"/>
    <s v="1410900101"/>
    <s v="INV. SEMIELABORADO"/>
    <s v="EC01"/>
    <s v="ENERGIA"/>
    <n v="700048"/>
    <x v="3"/>
    <s v="CEMENTO ALION EMPACADO UG 25 KG"/>
    <m/>
    <m/>
    <s v="CEMENTO UG 25 KG"/>
    <x v="9"/>
    <x v="9"/>
    <s v="7405050003ENERGIACEMENTO UG 25 KG"/>
    <x v="42"/>
    <x v="0"/>
  </r>
  <r>
    <n v="7405050003"/>
    <s v="SS ENERGIA ELECTRICA"/>
    <n v="36736588.623050839"/>
    <n v="70087.653465346535"/>
    <s v="T"/>
    <s v="M"/>
    <s v="1410900101"/>
    <s v="INV. SEMIELABORADO"/>
    <s v="EC01"/>
    <s v="ENERGIA"/>
    <n v="700048"/>
    <x v="4"/>
    <s v="CEMENTO ALION EMPACADO UG 25 KG"/>
    <m/>
    <m/>
    <s v="CEMENTO UG 25 KG"/>
    <x v="9"/>
    <x v="9"/>
    <s v="7405050003ENERGIACEMENTO UG 25 KG"/>
    <x v="42"/>
    <x v="0"/>
  </r>
  <r>
    <n v="7405050003"/>
    <s v="SS ENERGIA ELECTRICA"/>
    <n v="27212294.761284221"/>
    <n v="51847.435643564357"/>
    <s v="T"/>
    <s v="M"/>
    <s v="1410900101"/>
    <s v="INV. SEMIELABORADO"/>
    <s v="EC01"/>
    <s v="ENERGIA"/>
    <n v="700048"/>
    <x v="5"/>
    <s v="CEMENTO ALION EMPACADO UG 25 KG"/>
    <m/>
    <m/>
    <s v="CEMENTO UG 25 KG"/>
    <x v="9"/>
    <x v="9"/>
    <s v="7405050003ENERGIACEMENTO UG 25 KG"/>
    <x v="42"/>
    <x v="0"/>
  </r>
  <r>
    <n v="7405050003"/>
    <s v="SS ENERGIA ELECTRICA"/>
    <n v="34625765.861975938"/>
    <n v="65884.079207920804"/>
    <s v="T"/>
    <s v="M"/>
    <s v="1410900101"/>
    <s v="INV. SEMIELABORADO"/>
    <s v="EC01"/>
    <s v="ENERGIA"/>
    <n v="700048"/>
    <x v="6"/>
    <s v="CEMENTO ALION EMPACADO UG 25 KG"/>
    <m/>
    <m/>
    <s v="CEMENTO UG 25 KG"/>
    <x v="9"/>
    <x v="9"/>
    <s v="7405050003ENERGIACEMENTO UG 25 KG"/>
    <x v="42"/>
    <x v="0"/>
  </r>
  <r>
    <n v="7405050003"/>
    <s v="SS ENERGIA ELECTRICA"/>
    <n v="37414377.354847632"/>
    <n v="71094.851485148509"/>
    <s v="T"/>
    <s v="M"/>
    <s v="1410900101"/>
    <s v="INV. SEMIELABORADO"/>
    <s v="EC01"/>
    <s v="ENERGIA"/>
    <n v="700048"/>
    <x v="7"/>
    <s v="CEMENTO ALION EMPACADO UG 25 KG"/>
    <m/>
    <m/>
    <s v="CEMENTO UG 25 KG"/>
    <x v="9"/>
    <x v="9"/>
    <s v="7405050003ENERGIACEMENTO UG 25 KG"/>
    <x v="42"/>
    <x v="0"/>
  </r>
  <r>
    <n v="7405050003"/>
    <s v="SS ENERGIA ELECTRICA"/>
    <n v="34032169.660967872"/>
    <n v="64581.386138613867"/>
    <s v="T"/>
    <s v="M"/>
    <s v="1410900101"/>
    <s v="INV. SEMIELABORADO"/>
    <s v="EC01"/>
    <s v="ENERGIA"/>
    <n v="700048"/>
    <x v="8"/>
    <s v="CEMENTO ALION EMPACADO UG 25 KG"/>
    <m/>
    <m/>
    <s v="CEMENTO UG 25 KG"/>
    <x v="9"/>
    <x v="9"/>
    <s v="7405050003ENERGIACEMENTO UG 25 KG"/>
    <x v="42"/>
    <x v="0"/>
  </r>
  <r>
    <n v="7405050003"/>
    <s v="SS ENERGIA ELECTRICA"/>
    <n v="32360008.614686731"/>
    <n v="61325.910891089108"/>
    <s v="T"/>
    <s v="M"/>
    <s v="1410900101"/>
    <s v="INV. SEMIELABORADO"/>
    <s v="EC01"/>
    <s v="ENERGIA"/>
    <n v="700048"/>
    <x v="9"/>
    <s v="CEMENTO ALION EMPACADO UG 25 KG"/>
    <m/>
    <m/>
    <s v="CEMENTO UG 25 KG"/>
    <x v="9"/>
    <x v="9"/>
    <s v="7405050003ENERGIACEMENTO UG 25 KG"/>
    <x v="42"/>
    <x v="0"/>
  </r>
  <r>
    <n v="7405050003"/>
    <s v="SS ENERGIA ELECTRICA"/>
    <n v="37847557.370878473"/>
    <n v="71629.257425742573"/>
    <s v="T"/>
    <s v="M"/>
    <s v="1410900101"/>
    <s v="INV. SEMIELABORADO"/>
    <s v="EC01"/>
    <s v="ENERGIA"/>
    <n v="700048"/>
    <x v="10"/>
    <s v="CEMENTO ALION EMPACADO UG 25 KG"/>
    <m/>
    <m/>
    <s v="CEMENTO UG 25 KG"/>
    <x v="9"/>
    <x v="9"/>
    <s v="7405050003ENERGIACEMENTO UG 25 KG"/>
    <x v="42"/>
    <x v="0"/>
  </r>
  <r>
    <n v="7405050003"/>
    <s v="SS ENERGIA ELECTRICA"/>
    <n v="31941006.225757435"/>
    <n v="60369.552948683064"/>
    <s v="T"/>
    <s v="M"/>
    <s v="1410900101"/>
    <s v="INV. SEMIELABORADO"/>
    <s v="EC01"/>
    <s v="ENERGIA"/>
    <n v="700048"/>
    <x v="11"/>
    <s v="CEMENTO ALION EMPACADO UG 25 KG"/>
    <m/>
    <m/>
    <s v="CEMENTO UG 25 KG"/>
    <x v="9"/>
    <x v="9"/>
    <s v="7405050003ENERGIACEMENTO UG 25 KG"/>
    <x v="42"/>
    <x v="0"/>
  </r>
  <r>
    <n v="7405050003"/>
    <s v="SS ENERGIA ELECTRICA"/>
    <n v="33267105.035973191"/>
    <n v="63808.06930693068"/>
    <s v="T"/>
    <s v="M"/>
    <s v="1410900101"/>
    <s v="INV. SEMIELABORADO"/>
    <s v="EC01"/>
    <s v="ENERGIA"/>
    <n v="700034"/>
    <x v="0"/>
    <s v="CEMENTO ALION EMPACADO ART 42,5 KG"/>
    <m/>
    <m/>
    <s v="CEMENTO ART 42,5 KG"/>
    <x v="8"/>
    <x v="8"/>
    <s v="7405050003ENERGIACEMENTO ART 42,5 KG"/>
    <x v="42"/>
    <x v="0"/>
  </r>
  <r>
    <n v="7405050003"/>
    <s v="SS ENERGIA ELECTRICA"/>
    <n v="34765504.827675194"/>
    <n v="66593.267326732661"/>
    <s v="T"/>
    <s v="M"/>
    <s v="1410900101"/>
    <s v="INV. SEMIELABORADO"/>
    <s v="EC01"/>
    <s v="ENERGIA"/>
    <n v="700034"/>
    <x v="1"/>
    <s v="CEMENTO ALION EMPACADO ART 42,5 KG"/>
    <m/>
    <m/>
    <s v="CEMENTO ART 42,5 KG"/>
    <x v="8"/>
    <x v="8"/>
    <s v="7405050003ENERGIACEMENTO ART 42,5 KG"/>
    <x v="42"/>
    <x v="0"/>
  </r>
  <r>
    <n v="7405050003"/>
    <s v="SS ENERGIA ELECTRICA"/>
    <n v="31902587.119177971"/>
    <n v="61027.900990099006"/>
    <s v="T"/>
    <s v="M"/>
    <s v="1410900101"/>
    <s v="INV. SEMIELABORADO"/>
    <s v="EC01"/>
    <s v="ENERGIA"/>
    <n v="700034"/>
    <x v="2"/>
    <s v="CEMENTO ALION EMPACADO ART 42,5 KG"/>
    <m/>
    <m/>
    <s v="CEMENTO ART 42,5 KG"/>
    <x v="8"/>
    <x v="8"/>
    <s v="7405050003ENERGIACEMENTO ART 42,5 KG"/>
    <x v="42"/>
    <x v="0"/>
  </r>
  <r>
    <n v="7405050003"/>
    <s v="SS ENERGIA ELECTRICA"/>
    <n v="29556582.326312251"/>
    <n v="56464.702970297032"/>
    <s v="T"/>
    <s v="M"/>
    <s v="1410900101"/>
    <s v="INV. SEMIELABORADO"/>
    <s v="EC01"/>
    <s v="ENERGIA"/>
    <n v="700034"/>
    <x v="3"/>
    <s v="CEMENTO ALION EMPACADO ART 42,5 KG"/>
    <m/>
    <m/>
    <s v="CEMENTO ART 42,5 KG"/>
    <x v="8"/>
    <x v="8"/>
    <s v="7405050003ENERGIACEMENTO ART 42,5 KG"/>
    <x v="42"/>
    <x v="0"/>
  </r>
  <r>
    <n v="7405050003"/>
    <s v="SS ENERGIA ELECTRICA"/>
    <n v="36736588.623050839"/>
    <n v="70087.653465346535"/>
    <s v="T"/>
    <s v="M"/>
    <s v="1410900101"/>
    <s v="INV. SEMIELABORADO"/>
    <s v="EC01"/>
    <s v="ENERGIA"/>
    <n v="700034"/>
    <x v="4"/>
    <s v="CEMENTO ALION EMPACADO ART 42,5 KG"/>
    <m/>
    <m/>
    <s v="CEMENTO ART 42,5 KG"/>
    <x v="8"/>
    <x v="8"/>
    <s v="7405050003ENERGIACEMENTO ART 42,5 KG"/>
    <x v="42"/>
    <x v="0"/>
  </r>
  <r>
    <n v="7405050003"/>
    <s v="SS ENERGIA ELECTRICA"/>
    <n v="27212294.761284221"/>
    <n v="51847.435643564357"/>
    <s v="T"/>
    <s v="M"/>
    <s v="1410900101"/>
    <s v="INV. SEMIELABORADO"/>
    <s v="EC01"/>
    <s v="ENERGIA"/>
    <n v="700034"/>
    <x v="5"/>
    <s v="CEMENTO ALION EMPACADO ART 42,5 KG"/>
    <m/>
    <m/>
    <s v="CEMENTO ART 42,5 KG"/>
    <x v="8"/>
    <x v="8"/>
    <s v="7405050003ENERGIACEMENTO ART 42,5 KG"/>
    <x v="42"/>
    <x v="0"/>
  </r>
  <r>
    <n v="7405050003"/>
    <s v="SS ENERGIA ELECTRICA"/>
    <n v="34625765.861975938"/>
    <n v="65884.079207920804"/>
    <s v="T"/>
    <s v="M"/>
    <s v="1410900101"/>
    <s v="INV. SEMIELABORADO"/>
    <s v="EC01"/>
    <s v="ENERGIA"/>
    <n v="700034"/>
    <x v="6"/>
    <s v="CEMENTO ALION EMPACADO ART 42,5 KG"/>
    <m/>
    <m/>
    <s v="CEMENTO ART 42,5 KG"/>
    <x v="8"/>
    <x v="8"/>
    <s v="7405050003ENERGIACEMENTO ART 42,5 KG"/>
    <x v="42"/>
    <x v="0"/>
  </r>
  <r>
    <n v="7405050003"/>
    <s v="SS ENERGIA ELECTRICA"/>
    <n v="37414377.354847632"/>
    <n v="71094.851485148509"/>
    <s v="T"/>
    <s v="M"/>
    <s v="1410900101"/>
    <s v="INV. SEMIELABORADO"/>
    <s v="EC01"/>
    <s v="ENERGIA"/>
    <n v="700034"/>
    <x v="7"/>
    <s v="CEMENTO ALION EMPACADO ART 42,5 KG"/>
    <m/>
    <m/>
    <s v="CEMENTO ART 42,5 KG"/>
    <x v="8"/>
    <x v="8"/>
    <s v="7405050003ENERGIACEMENTO ART 42,5 KG"/>
    <x v="42"/>
    <x v="0"/>
  </r>
  <r>
    <n v="7405050003"/>
    <s v="SS ENERGIA ELECTRICA"/>
    <n v="34032169.660967872"/>
    <n v="64581.386138613867"/>
    <s v="T"/>
    <s v="M"/>
    <s v="1410900101"/>
    <s v="INV. SEMIELABORADO"/>
    <s v="EC01"/>
    <s v="ENERGIA"/>
    <n v="700034"/>
    <x v="8"/>
    <s v="CEMENTO ALION EMPACADO ART 42,5 KG"/>
    <m/>
    <m/>
    <s v="CEMENTO ART 42,5 KG"/>
    <x v="8"/>
    <x v="8"/>
    <s v="7405050003ENERGIACEMENTO ART 42,5 KG"/>
    <x v="42"/>
    <x v="0"/>
  </r>
  <r>
    <n v="7405050003"/>
    <s v="SS ENERGIA ELECTRICA"/>
    <n v="32360008.614686731"/>
    <n v="61325.910891089108"/>
    <s v="T"/>
    <s v="M"/>
    <s v="1410900101"/>
    <s v="INV. SEMIELABORADO"/>
    <s v="EC01"/>
    <s v="ENERGIA"/>
    <n v="700034"/>
    <x v="9"/>
    <s v="CEMENTO ALION EMPACADO ART 42,5 KG"/>
    <m/>
    <m/>
    <s v="CEMENTO ART 42,5 KG"/>
    <x v="8"/>
    <x v="8"/>
    <s v="7405050003ENERGIACEMENTO ART 42,5 KG"/>
    <x v="42"/>
    <x v="0"/>
  </r>
  <r>
    <n v="7405050003"/>
    <s v="SS ENERGIA ELECTRICA"/>
    <n v="37847557.370878473"/>
    <n v="71629.257425742573"/>
    <s v="T"/>
    <s v="M"/>
    <s v="1410900101"/>
    <s v="INV. SEMIELABORADO"/>
    <s v="EC01"/>
    <s v="ENERGIA"/>
    <n v="700034"/>
    <x v="10"/>
    <s v="CEMENTO ALION EMPACADO ART 42,5 KG"/>
    <m/>
    <m/>
    <s v="CEMENTO ART 42,5 KG"/>
    <x v="8"/>
    <x v="8"/>
    <s v="7405050003ENERGIACEMENTO ART 42,5 KG"/>
    <x v="42"/>
    <x v="0"/>
  </r>
  <r>
    <n v="7405050003"/>
    <s v="SS ENERGIA ELECTRICA"/>
    <n v="31941006.225757435"/>
    <n v="60369.552948683064"/>
    <s v="T"/>
    <s v="M"/>
    <s v="1410900101"/>
    <s v="INV. SEMIELABORADO"/>
    <s v="EC01"/>
    <s v="ENERGIA"/>
    <n v="700034"/>
    <x v="11"/>
    <s v="CEMENTO ALION EMPACADO ART 42,5 KG"/>
    <m/>
    <m/>
    <s v="CEMENTO ART 42,5 KG"/>
    <x v="8"/>
    <x v="8"/>
    <s v="7405050003ENERGIACEMENTO ART 42,5 KG"/>
    <x v="42"/>
    <x v="0"/>
  </r>
  <r>
    <n v="7405050003"/>
    <s v="SS ENERGIA ELECTRICA"/>
    <n v="33267105.035973191"/>
    <n v="63808.06930693068"/>
    <s v="T"/>
    <s v="M"/>
    <s v="1410900101"/>
    <s v="INV. SEMIELABORADO"/>
    <s v="EC01"/>
    <s v="ENERGIA"/>
    <n v="700080"/>
    <x v="0"/>
    <s v="CEMENTO TOPEX USO GENERAL 50KG"/>
    <m/>
    <m/>
    <s v="CEMENTO TOPEX 50 KG"/>
    <x v="14"/>
    <x v="14"/>
    <s v="7405050003ENERGIACEMENTO TOPEX 50 KG"/>
    <x v="42"/>
    <x v="0"/>
  </r>
  <r>
    <n v="7405050003"/>
    <s v="SS ENERGIA ELECTRICA"/>
    <n v="34765504.827675194"/>
    <n v="66593.267326732661"/>
    <s v="T"/>
    <s v="M"/>
    <s v="1410900101"/>
    <s v="INV. SEMIELABORADO"/>
    <s v="EC01"/>
    <s v="ENERGIA"/>
    <n v="700080"/>
    <x v="1"/>
    <s v="CEMENTO TOPEX USO GENERAL 50KG"/>
    <m/>
    <m/>
    <s v="CEMENTO TOPEX 50 KG"/>
    <x v="14"/>
    <x v="14"/>
    <s v="7405050003ENERGIACEMENTO TOPEX 50 KG"/>
    <x v="42"/>
    <x v="0"/>
  </r>
  <r>
    <n v="7405050003"/>
    <s v="SS ENERGIA ELECTRICA"/>
    <n v="31902587.119177971"/>
    <n v="61027.900990099006"/>
    <s v="T"/>
    <s v="M"/>
    <s v="1410900101"/>
    <s v="INV. SEMIELABORADO"/>
    <s v="EC01"/>
    <s v="ENERGIA"/>
    <n v="700080"/>
    <x v="2"/>
    <s v="CEMENTO TOPEX USO GENERAL 50KG"/>
    <m/>
    <m/>
    <s v="CEMENTO TOPEX 50 KG"/>
    <x v="14"/>
    <x v="14"/>
    <s v="7405050003ENERGIACEMENTO TOPEX 50 KG"/>
    <x v="42"/>
    <x v="0"/>
  </r>
  <r>
    <n v="7405050003"/>
    <s v="SS ENERGIA ELECTRICA"/>
    <n v="29556582.326312251"/>
    <n v="56464.702970297032"/>
    <s v="T"/>
    <s v="M"/>
    <s v="1410900101"/>
    <s v="INV. SEMIELABORADO"/>
    <s v="EC01"/>
    <s v="ENERGIA"/>
    <n v="700080"/>
    <x v="3"/>
    <s v="CEMENTO TOPEX USO GENERAL 50KG"/>
    <m/>
    <m/>
    <s v="CEMENTO TOPEX 50 KG"/>
    <x v="14"/>
    <x v="14"/>
    <s v="7405050003ENERGIACEMENTO TOPEX 50 KG"/>
    <x v="42"/>
    <x v="0"/>
  </r>
  <r>
    <n v="7405050003"/>
    <s v="SS ENERGIA ELECTRICA"/>
    <n v="36736588.623050839"/>
    <n v="70087.653465346535"/>
    <s v="T"/>
    <s v="M"/>
    <s v="1410900101"/>
    <s v="INV. SEMIELABORADO"/>
    <s v="EC01"/>
    <s v="ENERGIA"/>
    <n v="700080"/>
    <x v="4"/>
    <s v="CEMENTO TOPEX USO GENERAL 50KG"/>
    <m/>
    <m/>
    <s v="CEMENTO TOPEX 50 KG"/>
    <x v="14"/>
    <x v="14"/>
    <s v="7405050003ENERGIACEMENTO TOPEX 50 KG"/>
    <x v="42"/>
    <x v="0"/>
  </r>
  <r>
    <n v="7405050003"/>
    <s v="SS ENERGIA ELECTRICA"/>
    <n v="27212294.761284221"/>
    <n v="51847.435643564357"/>
    <s v="T"/>
    <s v="M"/>
    <s v="1410900101"/>
    <s v="INV. SEMIELABORADO"/>
    <s v="EC01"/>
    <s v="ENERGIA"/>
    <n v="700080"/>
    <x v="5"/>
    <s v="CEMENTO TOPEX USO GENERAL 50KG"/>
    <m/>
    <m/>
    <s v="CEMENTO TOPEX 50 KG"/>
    <x v="14"/>
    <x v="14"/>
    <s v="7405050003ENERGIACEMENTO TOPEX 50 KG"/>
    <x v="42"/>
    <x v="0"/>
  </r>
  <r>
    <n v="7405050003"/>
    <s v="SS ENERGIA ELECTRICA"/>
    <n v="34625765.861975938"/>
    <n v="65884.079207920804"/>
    <s v="T"/>
    <s v="M"/>
    <s v="1410900101"/>
    <s v="INV. SEMIELABORADO"/>
    <s v="EC01"/>
    <s v="ENERGIA"/>
    <n v="700080"/>
    <x v="6"/>
    <s v="CEMENTO TOPEX USO GENERAL 50KG"/>
    <m/>
    <m/>
    <s v="CEMENTO TOPEX 50 KG"/>
    <x v="14"/>
    <x v="14"/>
    <s v="7405050003ENERGIACEMENTO TOPEX 50 KG"/>
    <x v="42"/>
    <x v="0"/>
  </r>
  <r>
    <n v="7405050003"/>
    <s v="SS ENERGIA ELECTRICA"/>
    <n v="37414377.354847632"/>
    <n v="71094.851485148509"/>
    <s v="T"/>
    <s v="M"/>
    <s v="1410900101"/>
    <s v="INV. SEMIELABORADO"/>
    <s v="EC01"/>
    <s v="ENERGIA"/>
    <n v="700080"/>
    <x v="7"/>
    <s v="CEMENTO TOPEX USO GENERAL 50KG"/>
    <m/>
    <m/>
    <s v="CEMENTO TOPEX 50 KG"/>
    <x v="14"/>
    <x v="14"/>
    <s v="7405050003ENERGIACEMENTO TOPEX 50 KG"/>
    <x v="42"/>
    <x v="0"/>
  </r>
  <r>
    <n v="7405050003"/>
    <s v="SS ENERGIA ELECTRICA"/>
    <n v="34032169.660967872"/>
    <n v="64581.386138613867"/>
    <s v="T"/>
    <s v="M"/>
    <s v="1410900101"/>
    <s v="INV. SEMIELABORADO"/>
    <s v="EC01"/>
    <s v="ENERGIA"/>
    <n v="700080"/>
    <x v="8"/>
    <s v="CEMENTO TOPEX USO GENERAL 50KG"/>
    <m/>
    <m/>
    <s v="CEMENTO TOPEX 50 KG"/>
    <x v="14"/>
    <x v="14"/>
    <s v="7405050003ENERGIACEMENTO TOPEX 50 KG"/>
    <x v="42"/>
    <x v="0"/>
  </r>
  <r>
    <n v="7405050003"/>
    <s v="SS ENERGIA ELECTRICA"/>
    <n v="32360008.614686731"/>
    <n v="61325.910891089108"/>
    <s v="T"/>
    <s v="M"/>
    <s v="1410900101"/>
    <s v="INV. SEMIELABORADO"/>
    <s v="EC01"/>
    <s v="ENERGIA"/>
    <n v="700080"/>
    <x v="9"/>
    <s v="CEMENTO TOPEX USO GENERAL 50KG"/>
    <m/>
    <m/>
    <s v="CEMENTO TOPEX 50 KG"/>
    <x v="14"/>
    <x v="14"/>
    <s v="7405050003ENERGIACEMENTO TOPEX 50 KG"/>
    <x v="42"/>
    <x v="0"/>
  </r>
  <r>
    <n v="7405050003"/>
    <s v="SS ENERGIA ELECTRICA"/>
    <n v="37847557.370878473"/>
    <n v="71629.257425742573"/>
    <s v="T"/>
    <s v="M"/>
    <s v="1410900101"/>
    <s v="INV. SEMIELABORADO"/>
    <s v="EC01"/>
    <s v="ENERGIA"/>
    <n v="700080"/>
    <x v="10"/>
    <s v="CEMENTO TOPEX USO GENERAL 50KG"/>
    <m/>
    <m/>
    <s v="CEMENTO TOPEX 50 KG"/>
    <x v="14"/>
    <x v="14"/>
    <s v="7405050003ENERGIACEMENTO TOPEX 50 KG"/>
    <x v="42"/>
    <x v="0"/>
  </r>
  <r>
    <n v="7405050003"/>
    <s v="SS ENERGIA ELECTRICA"/>
    <n v="31941006.225757435"/>
    <n v="60369.552948683064"/>
    <s v="T"/>
    <s v="M"/>
    <s v="1410900101"/>
    <s v="INV. SEMIELABORADO"/>
    <s v="EC01"/>
    <s v="ENERGIA"/>
    <n v="700080"/>
    <x v="11"/>
    <s v="CEMENTO TOPEX USO GENERAL 50KG"/>
    <m/>
    <m/>
    <s v="CEMENTO TOPEX 50 KG"/>
    <x v="14"/>
    <x v="14"/>
    <s v="7405050003ENERGIACEMENTO TOPEX 50 KG"/>
    <x v="42"/>
    <x v="0"/>
  </r>
  <r>
    <n v="7405050003"/>
    <s v="SS ENERGIA ELECTRICA"/>
    <n v="50814893.040165029"/>
    <n v="97465.656041455033"/>
    <s v="T"/>
    <s v="M"/>
    <s v="1410900101"/>
    <s v="INV. SEMIELABORADO"/>
    <s v="EC01"/>
    <s v="ENERGIA"/>
    <n v="700064"/>
    <x v="0"/>
    <s v="CEMENTO ART"/>
    <m/>
    <m/>
    <s v="FIBROCEMENTO"/>
    <x v="13"/>
    <x v="13"/>
    <s v="7405050003ENERGIAFibrocemento"/>
    <x v="42"/>
    <x v="0"/>
  </r>
  <r>
    <n v="7405050003"/>
    <s v="SS ENERGIA ELECTRICA"/>
    <n v="51548188.082968004"/>
    <n v="98740.469503699569"/>
    <s v="T"/>
    <s v="M"/>
    <s v="1410900101"/>
    <s v="INV. SEMIELABORADO"/>
    <s v="EC01"/>
    <s v="ENERGIA"/>
    <n v="700064"/>
    <x v="1"/>
    <s v="CEMENTO ART"/>
    <m/>
    <m/>
    <s v="FIBROCEMENTO"/>
    <x v="13"/>
    <x v="13"/>
    <s v="7405050003ENERGIAFibrocemento"/>
    <x v="42"/>
    <x v="0"/>
  </r>
  <r>
    <n v="7405050003"/>
    <s v="SS ENERGIA ELECTRICA"/>
    <n v="52293733.802478261"/>
    <n v="100035.04721978387"/>
    <s v="T"/>
    <s v="M"/>
    <s v="1410900101"/>
    <s v="INV. SEMIELABORADO"/>
    <s v="EC01"/>
    <s v="ENERGIA"/>
    <n v="700064"/>
    <x v="2"/>
    <s v="CEMENTO ART"/>
    <m/>
    <m/>
    <s v="FIBROCEMENTO"/>
    <x v="13"/>
    <x v="13"/>
    <s v="7405050003ENERGIAFibrocemento"/>
    <x v="42"/>
    <x v="0"/>
  </r>
  <r>
    <n v="7405050003"/>
    <s v="SS ENERGIA ELECTRICA"/>
    <n v="47955627.023893662"/>
    <n v="91614.11849867132"/>
    <s v="T"/>
    <s v="M"/>
    <s v="1410900101"/>
    <s v="INV. SEMIELABORADO"/>
    <s v="EC01"/>
    <s v="ENERGIA"/>
    <n v="700064"/>
    <x v="3"/>
    <s v="CEMENTO ART"/>
    <m/>
    <m/>
    <s v="FIBROCEMENTO"/>
    <x v="13"/>
    <x v="13"/>
    <s v="7405050003ENERGIAFibrocemento"/>
    <x v="42"/>
    <x v="0"/>
  </r>
  <r>
    <n v="7405050003"/>
    <s v="SS ENERGIA ELECTRICA"/>
    <n v="47552669.484637506"/>
    <n v="90723.040573783437"/>
    <s v="T"/>
    <s v="M"/>
    <s v="1410900101"/>
    <s v="INV. SEMIELABORADO"/>
    <s v="EC01"/>
    <s v="ENERGIA"/>
    <n v="700064"/>
    <x v="4"/>
    <s v="CEMENTO ART"/>
    <m/>
    <m/>
    <s v="FIBROCEMENTO"/>
    <x v="13"/>
    <x v="13"/>
    <s v="7405050003ENERGIAFibrocemento"/>
    <x v="42"/>
    <x v="0"/>
  </r>
  <r>
    <n v="7405050003"/>
    <s v="SS ENERGIA ELECTRICA"/>
    <n v="47838536.21911715"/>
    <n v="91146.500126545987"/>
    <s v="T"/>
    <s v="M"/>
    <s v="1410900101"/>
    <s v="INV. SEMIELABORADO"/>
    <s v="EC01"/>
    <s v="ENERGIA"/>
    <n v="700064"/>
    <x v="5"/>
    <s v="CEMENTO ART"/>
    <m/>
    <m/>
    <s v="FIBROCEMENTO"/>
    <x v="13"/>
    <x v="13"/>
    <s v="7405050003ENERGIAFibrocemento"/>
    <x v="42"/>
    <x v="0"/>
  </r>
  <r>
    <n v="7405050003"/>
    <s v="SS ENERGIA ELECTRICA"/>
    <n v="55599648.325292319"/>
    <n v="105792.07543879181"/>
    <s v="T"/>
    <s v="M"/>
    <s v="1410900101"/>
    <s v="INV. SEMIELABORADO"/>
    <s v="EC01"/>
    <s v="ENERGIA"/>
    <n v="700064"/>
    <x v="6"/>
    <s v="CEMENTO ART"/>
    <m/>
    <m/>
    <s v="FIBROCEMENTO"/>
    <x v="13"/>
    <x v="13"/>
    <s v="7405050003ENERGIAFibrocemento"/>
    <x v="42"/>
    <x v="0"/>
  </r>
  <r>
    <n v="7405050003"/>
    <s v="SS ENERGIA ELECTRICA"/>
    <n v="50588012.548026212"/>
    <n v="96127.411260119829"/>
    <s v="T"/>
    <s v="M"/>
    <s v="1410900101"/>
    <s v="INV. SEMIELABORADO"/>
    <s v="EC01"/>
    <s v="ENERGIA"/>
    <n v="700064"/>
    <x v="7"/>
    <s v="CEMENTO ART"/>
    <m/>
    <m/>
    <s v="FIBROCEMENTO"/>
    <x v="13"/>
    <x v="13"/>
    <s v="7405050003ENERGIAFibrocemento"/>
    <x v="42"/>
    <x v="0"/>
  </r>
  <r>
    <n v="7405050003"/>
    <s v="SS ENERGIA ELECTRICA"/>
    <n v="53548845.002549417"/>
    <n v="101617.34238039982"/>
    <s v="T"/>
    <s v="M"/>
    <s v="1410900101"/>
    <s v="INV. SEMIELABORADO"/>
    <s v="EC01"/>
    <s v="ENERGIA"/>
    <n v="700064"/>
    <x v="8"/>
    <s v="CEMENTO ART"/>
    <m/>
    <m/>
    <s v="FIBROCEMENTO"/>
    <x v="13"/>
    <x v="13"/>
    <s v="7405050003ENERGIAFibrocemento"/>
    <x v="42"/>
    <x v="0"/>
  </r>
  <r>
    <n v="7405050003"/>
    <s v="SS ENERGIA ELECTRICA"/>
    <n v="56520118.635499999"/>
    <n v="107112.07775826524"/>
    <s v="T"/>
    <s v="M"/>
    <s v="1410900101"/>
    <s v="INV. SEMIELABORADO"/>
    <s v="EC01"/>
    <s v="ENERGIA"/>
    <n v="700064"/>
    <x v="9"/>
    <s v="CEMENTO ART"/>
    <m/>
    <m/>
    <s v="FIBROCEMENTO"/>
    <x v="13"/>
    <x v="13"/>
    <s v="7405050003ENERGIAFibrocemento"/>
    <x v="42"/>
    <x v="0"/>
  </r>
  <r>
    <n v="7405050003"/>
    <s v="SS ENERGIA ELECTRICA"/>
    <n v="52419408.798136801"/>
    <n v="99207.547005293687"/>
    <s v="T"/>
    <s v="M"/>
    <s v="1410900101"/>
    <s v="INV. SEMIELABORADO"/>
    <s v="EC01"/>
    <s v="ENERGIA"/>
    <n v="700064"/>
    <x v="10"/>
    <s v="CEMENTO ART"/>
    <m/>
    <m/>
    <s v="FIBROCEMENTO"/>
    <x v="13"/>
    <x v="13"/>
    <s v="7405050003ENERGIAFibrocemento"/>
    <x v="42"/>
    <x v="0"/>
  </r>
  <r>
    <n v="7405050003"/>
    <s v="SS ENERGIA ELECTRICA"/>
    <n v="50052610.79290247"/>
    <n v="94601.081635470517"/>
    <s v="T"/>
    <s v="M"/>
    <s v="1410900101"/>
    <s v="INV. SEMIELABORADO"/>
    <s v="EC01"/>
    <s v="ENERGIA"/>
    <n v="700064"/>
    <x v="11"/>
    <s v="CEMENTO ART"/>
    <m/>
    <m/>
    <s v="FIBROCEMENTO"/>
    <x v="13"/>
    <x v="13"/>
    <s v="7405050003ENERGIAFibrocemento"/>
    <x v="42"/>
    <x v="0"/>
  </r>
  <r>
    <n v="7405050003"/>
    <s v="SS ENERGIA ELECTRICA"/>
    <n v="6914586.9482528334"/>
    <n v="13262.543967857109"/>
    <s v="T"/>
    <s v="M"/>
    <s v="1410900101"/>
    <s v="INV. SEMIELABORADO"/>
    <s v="EC01"/>
    <s v="ENERGIA"/>
    <n v="700120"/>
    <x v="0"/>
    <s v="COMBUSTIBLES ALTERNOS"/>
    <m/>
    <m/>
    <s v="COMBUSTIBLES ALTERNOS"/>
    <x v="3"/>
    <x v="3"/>
    <s v="7405050003ENERGIACOMBUSTIBLES ALTERNOS"/>
    <x v="42"/>
    <x v="0"/>
  </r>
  <r>
    <n v="7405050003"/>
    <s v="SS ENERGIA ELECTRICA"/>
    <n v="7009287.7082246933"/>
    <n v="13426.279078571395"/>
    <s v="T"/>
    <s v="M"/>
    <s v="1410900101"/>
    <s v="INV. SEMIELABORADO"/>
    <s v="EC01"/>
    <s v="ENERGIA"/>
    <n v="700120"/>
    <x v="1"/>
    <s v="COMBUSTIBLES ALTERNOS"/>
    <m/>
    <m/>
    <s v="COMBUSTIBLES ALTERNOS"/>
    <x v="3"/>
    <x v="3"/>
    <s v="7405050003ENERGIACOMBUSTIBLES ALTERNOS"/>
    <x v="42"/>
    <x v="0"/>
  </r>
  <r>
    <n v="7405050003"/>
    <s v="SS ENERGIA ELECTRICA"/>
    <n v="4878812.6792703737"/>
    <n v="9332.9013107142619"/>
    <s v="T"/>
    <s v="M"/>
    <s v="1410900101"/>
    <s v="INV. SEMIELABORADO"/>
    <s v="EC01"/>
    <s v="ENERGIA"/>
    <n v="700120"/>
    <x v="2"/>
    <s v="COMBUSTIBLES ALTERNOS"/>
    <m/>
    <m/>
    <s v="COMBUSTIBLES ALTERNOS"/>
    <x v="3"/>
    <x v="3"/>
    <s v="7405050003ENERGIACOMBUSTIBLES ALTERNOS"/>
    <x v="42"/>
    <x v="0"/>
  </r>
  <r>
    <n v="7405050003"/>
    <s v="SS ENERGIA ELECTRICA"/>
    <n v="5142451.859258404"/>
    <n v="9824.1066428571175"/>
    <s v="T"/>
    <s v="M"/>
    <s v="1410900101"/>
    <s v="INV. SEMIELABORADO"/>
    <s v="EC01"/>
    <s v="ENERGIA"/>
    <n v="700120"/>
    <x v="3"/>
    <s v="COMBUSTIBLES ALTERNOS"/>
    <m/>
    <m/>
    <s v="COMBUSTIBLES ALTERNOS"/>
    <x v="3"/>
    <x v="3"/>
    <s v="7405050003ENERGIACOMBUSTIBLES ALTERNOS"/>
    <x v="42"/>
    <x v="0"/>
  </r>
  <r>
    <n v="7405050003"/>
    <s v="SS ENERGIA ELECTRICA"/>
    <n v="7809810.841613235"/>
    <n v="14899.89507499996"/>
    <s v="T"/>
    <s v="M"/>
    <s v="1410900101"/>
    <s v="INV. SEMIELABORADO"/>
    <s v="EC01"/>
    <s v="ENERGIA"/>
    <n v="700120"/>
    <x v="4"/>
    <s v="COMBUSTIBLES ALTERNOS"/>
    <m/>
    <m/>
    <s v="COMBUSTIBLES ALTERNOS"/>
    <x v="3"/>
    <x v="3"/>
    <s v="7405050003ENERGIACOMBUSTIBLES ALTERNOS"/>
    <x v="42"/>
    <x v="0"/>
  </r>
  <r>
    <n v="7405050003"/>
    <s v="SS ENERGIA ELECTRICA"/>
    <n v="3351539.2529772334"/>
    <n v="6385.6693178571268"/>
    <s v="T"/>
    <s v="M"/>
    <s v="1410900101"/>
    <s v="INV. SEMIELABORADO"/>
    <s v="EC01"/>
    <s v="ENERGIA"/>
    <n v="700120"/>
    <x v="5"/>
    <s v="COMBUSTIBLES ALTERNOS"/>
    <m/>
    <m/>
    <s v="COMBUSTIBLES ALTERNOS"/>
    <x v="3"/>
    <x v="3"/>
    <s v="7405050003ENERGIACOMBUSTIBLES ALTERNOS"/>
    <x v="42"/>
    <x v="0"/>
  </r>
  <r>
    <n v="7405050003"/>
    <s v="SS ENERGIA ELECTRICA"/>
    <n v="6453896.3833950972"/>
    <n v="12280.133303571396"/>
    <s v="T"/>
    <s v="M"/>
    <s v="1410900101"/>
    <s v="INV. SEMIELABORADO"/>
    <s v="EC01"/>
    <s v="ENERGIA"/>
    <n v="700120"/>
    <x v="6"/>
    <s v="COMBUSTIBLES ALTERNOS"/>
    <m/>
    <m/>
    <s v="COMBUSTIBLES ALTERNOS"/>
    <x v="3"/>
    <x v="3"/>
    <s v="7405050003ENERGIACOMBUSTIBLES ALTERNOS"/>
    <x v="42"/>
    <x v="0"/>
  </r>
  <r>
    <n v="7405050003"/>
    <s v="SS ENERGIA ELECTRICA"/>
    <n v="7841218.952403862"/>
    <n v="14899.89507499996"/>
    <s v="T"/>
    <s v="M"/>
    <s v="1410900101"/>
    <s v="INV. SEMIELABORADO"/>
    <s v="EC01"/>
    <s v="ENERGIA"/>
    <n v="700120"/>
    <x v="7"/>
    <s v="COMBUSTIBLES ALTERNOS"/>
    <m/>
    <m/>
    <s v="COMBUSTIBLES ALTERNOS"/>
    <x v="3"/>
    <x v="3"/>
    <s v="7405050003ENERGIACOMBUSTIBLES ALTERNOS"/>
    <x v="42"/>
    <x v="0"/>
  </r>
  <r>
    <n v="7405050003"/>
    <s v="SS ENERGIA ELECTRICA"/>
    <n v="5953511.3231773777"/>
    <n v="11297.722639285686"/>
    <s v="T"/>
    <s v="M"/>
    <s v="1410900101"/>
    <s v="INV. SEMIELABORADO"/>
    <s v="EC01"/>
    <s v="ENERGIA"/>
    <n v="700120"/>
    <x v="8"/>
    <s v="COMBUSTIBLES ALTERNOS"/>
    <m/>
    <m/>
    <s v="COMBUSTIBLES ALTERNOS"/>
    <x v="3"/>
    <x v="3"/>
    <s v="7405050003ENERGIACOMBUSTIBLES ALTERNOS"/>
    <x v="42"/>
    <x v="0"/>
  </r>
  <r>
    <n v="7405050003"/>
    <s v="SS ENERGIA ELECTRICA"/>
    <n v="4665521.536942807"/>
    <n v="8841.6959785714043"/>
    <s v="T"/>
    <s v="M"/>
    <s v="1410900101"/>
    <s v="INV. SEMIELABORADO"/>
    <s v="EC01"/>
    <s v="ENERGIA"/>
    <n v="700120"/>
    <x v="9"/>
    <s v="COMBUSTIBLES ALTERNOS"/>
    <m/>
    <m/>
    <s v="COMBUSTIBLES ALTERNOS"/>
    <x v="3"/>
    <x v="3"/>
    <s v="7405050003ENERGIACOMBUSTIBLES ALTERNOS"/>
    <x v="42"/>
    <x v="0"/>
  </r>
  <r>
    <n v="7405050003"/>
    <s v="SS ENERGIA ELECTRICA"/>
    <n v="7613281.657251792"/>
    <n v="14408.689742857108"/>
    <s v="T"/>
    <s v="M"/>
    <s v="1410900101"/>
    <s v="INV. SEMIELABORADO"/>
    <s v="EC01"/>
    <s v="ENERGIA"/>
    <n v="700120"/>
    <x v="10"/>
    <s v="COMBUSTIBLES ALTERNOS"/>
    <m/>
    <m/>
    <s v="COMBUSTIBLES ALTERNOS"/>
    <x v="3"/>
    <x v="3"/>
    <s v="7405050003ENERGIACOMBUSTIBLES ALTERNOS"/>
    <x v="42"/>
    <x v="0"/>
  </r>
  <r>
    <n v="7405050003"/>
    <s v="SS ENERGIA ELECTRICA"/>
    <n v="4809495.1185813136"/>
    <n v="9090.1040551280312"/>
    <s v="T"/>
    <s v="M"/>
    <s v="1410900101"/>
    <s v="INV. SEMIELABORADO"/>
    <s v="EC01"/>
    <s v="ENERGIA"/>
    <n v="700120"/>
    <x v="11"/>
    <s v="COMBUSTIBLES ALTERNOS"/>
    <m/>
    <m/>
    <s v="COMBUSTIBLES ALTERNOS"/>
    <x v="3"/>
    <x v="3"/>
    <s v="7405050003ENERGIACOMBUSTIBLES ALTERNOS"/>
    <x v="42"/>
    <x v="0"/>
  </r>
  <r>
    <n v="7355250325"/>
    <s v="RTOS VARIA IMPO"/>
    <n v="61989902.607262433"/>
    <n v="9800.7751157727162"/>
    <m/>
    <m/>
    <m/>
    <m/>
    <s v="EC01"/>
    <s v="CARGADOR CARBON"/>
    <n v="700002"/>
    <x v="0"/>
    <s v="FINOS DE CARBON"/>
    <m/>
    <m/>
    <s v="CARBON MOLIDO"/>
    <x v="2"/>
    <x v="2"/>
    <s v="7355250325CARGADOR CARBONMolienda de Carbón"/>
    <x v="43"/>
    <x v="0"/>
  </r>
  <r>
    <n v="7355250325"/>
    <s v="RTOS VARIA IMPO"/>
    <n v="62755931.3261737"/>
    <n v="9921.8863756796363"/>
    <m/>
    <m/>
    <m/>
    <m/>
    <s v="EC01"/>
    <s v="CARGADOR CARBON"/>
    <n v="700002"/>
    <x v="1"/>
    <s v="FINOS DE CARBON"/>
    <m/>
    <m/>
    <s v="CARBON MOLIDO"/>
    <x v="2"/>
    <x v="2"/>
    <s v="7355250325CARGADOR CARBONMolienda de Carbón"/>
    <x v="43"/>
    <x v="0"/>
  </r>
  <r>
    <n v="7355250325"/>
    <s v="RTOS VARIA IMPO"/>
    <n v="43605213.353391863"/>
    <n v="6894.1048780066185"/>
    <m/>
    <m/>
    <m/>
    <m/>
    <s v="EC01"/>
    <s v="CARGADOR CARBON"/>
    <n v="700002"/>
    <x v="2"/>
    <s v="FINOS DE CARBON"/>
    <m/>
    <m/>
    <s v="CARBON MOLIDO"/>
    <x v="2"/>
    <x v="2"/>
    <s v="7355250325CARGADOR CARBONMolienda de Carbón"/>
    <x v="43"/>
    <x v="0"/>
  </r>
  <r>
    <n v="7355250325"/>
    <s v="RTOS VARIA IMPO"/>
    <n v="45611181.387372017"/>
    <n v="7211.2539742880663"/>
    <m/>
    <m/>
    <m/>
    <m/>
    <s v="EC01"/>
    <s v="CARGADOR CARBON"/>
    <n v="700002"/>
    <x v="3"/>
    <s v="FINOS DE CARBON"/>
    <m/>
    <m/>
    <s v="CARBON MOLIDO"/>
    <x v="2"/>
    <x v="2"/>
    <s v="7355250325CARGADOR CARBONMolienda de Carbón"/>
    <x v="43"/>
    <x v="0"/>
  </r>
  <r>
    <n v="7355250325"/>
    <s v="RTOS VARIA IMPO"/>
    <n v="69650189.796375155"/>
    <n v="11011.887714841921"/>
    <m/>
    <m/>
    <m/>
    <m/>
    <s v="EC01"/>
    <s v="CARGADOR CARBON"/>
    <n v="700002"/>
    <x v="4"/>
    <s v="FINOS DE CARBON"/>
    <m/>
    <m/>
    <s v="CARBON MOLIDO"/>
    <x v="2"/>
    <x v="2"/>
    <s v="7355250325CARGADOR CARBONMolienda de Carbón"/>
    <x v="43"/>
    <x v="0"/>
  </r>
  <r>
    <n v="7355250325"/>
    <s v="RTOS VARIA IMPO"/>
    <n v="29816696.412988938"/>
    <n v="4714.1021996820455"/>
    <m/>
    <m/>
    <m/>
    <m/>
    <s v="EC01"/>
    <s v="CARGADOR CARBON"/>
    <n v="700002"/>
    <x v="5"/>
    <s v="FINOS DE CARBON"/>
    <m/>
    <m/>
    <s v="CARBON MOLIDO"/>
    <x v="2"/>
    <x v="2"/>
    <s v="7355250325CARGADOR CARBONMolienda de Carbón"/>
    <x v="43"/>
    <x v="0"/>
  </r>
  <r>
    <n v="7355250325"/>
    <s v="RTOS VARIA IMPO"/>
    <n v="57101612.171041109"/>
    <n v="9027.9228728918752"/>
    <m/>
    <m/>
    <m/>
    <m/>
    <s v="EC01"/>
    <s v="CARGADOR CARBON"/>
    <n v="700002"/>
    <x v="6"/>
    <s v="FINOS DE CARBON"/>
    <m/>
    <m/>
    <s v="CARBON MOLIDO"/>
    <x v="2"/>
    <x v="2"/>
    <s v="7355250325CARGADOR CARBONMolienda de Carbón"/>
    <x v="43"/>
    <x v="0"/>
  </r>
  <r>
    <n v="7355250325"/>
    <s v="RTOS VARIA IMPO"/>
    <n v="69650189.796375155"/>
    <n v="11011.887714841921"/>
    <m/>
    <m/>
    <m/>
    <m/>
    <s v="EC01"/>
    <s v="CARGADOR CARBON"/>
    <n v="700002"/>
    <x v="7"/>
    <s v="FINOS DE CARBON"/>
    <m/>
    <m/>
    <s v="CARBON MOLIDO"/>
    <x v="2"/>
    <x v="2"/>
    <s v="7355250325CARGADOR CARBONMolienda de Carbón"/>
    <x v="43"/>
    <x v="0"/>
  </r>
  <r>
    <n v="7355250325"/>
    <s v="RTOS VARIA IMPO"/>
    <n v="52797557.980327129"/>
    <n v="8347.4399968896651"/>
    <m/>
    <m/>
    <m/>
    <m/>
    <s v="EC01"/>
    <s v="CARGADOR CARBON"/>
    <n v="700002"/>
    <x v="8"/>
    <s v="FINOS DE CARBON"/>
    <m/>
    <m/>
    <s v="CARBON MOLIDO"/>
    <x v="2"/>
    <x v="2"/>
    <s v="7355250325CARGADOR CARBONMolienda de Carbón"/>
    <x v="43"/>
    <x v="0"/>
  </r>
  <r>
    <n v="7355250325"/>
    <s v="RTOS VARIA IMPO"/>
    <n v="41015009.073904373"/>
    <n v="6484.5864148465416"/>
    <m/>
    <m/>
    <m/>
    <m/>
    <s v="EC01"/>
    <s v="CARGADOR CARBON"/>
    <n v="700002"/>
    <x v="9"/>
    <s v="FINOS DE CARBON"/>
    <m/>
    <m/>
    <s v="CARBON MOLIDO"/>
    <x v="2"/>
    <x v="2"/>
    <s v="7355250325CARGADOR CARBONMolienda de Carbón"/>
    <x v="43"/>
    <x v="0"/>
  </r>
  <r>
    <n v="7355250325"/>
    <s v="RTOS VARIA IMPO"/>
    <n v="67352103.639641345"/>
    <n v="10648.553935121161"/>
    <m/>
    <m/>
    <m/>
    <m/>
    <s v="EC01"/>
    <s v="CARGADOR CARBON"/>
    <n v="700002"/>
    <x v="10"/>
    <s v="FINOS DE CARBON"/>
    <m/>
    <m/>
    <s v="CARBON MOLIDO"/>
    <x v="2"/>
    <x v="2"/>
    <s v="7355250325CARGADOR CARBONMolienda de Carbón"/>
    <x v="43"/>
    <x v="0"/>
  </r>
  <r>
    <n v="7355250325"/>
    <s v="RTOS VARIA IMPO"/>
    <n v="42177177.162482113"/>
    <n v="6668.3284051355122"/>
    <m/>
    <m/>
    <m/>
    <m/>
    <s v="EC01"/>
    <s v="CARGADOR CARBON"/>
    <n v="700002"/>
    <x v="11"/>
    <s v="FINOS DE CARBON"/>
    <m/>
    <m/>
    <s v="CARBON MOLIDO"/>
    <x v="2"/>
    <x v="2"/>
    <s v="7355250325CARGADOR CARBONMolienda de Carbón"/>
    <x v="43"/>
    <x v="0"/>
  </r>
  <r>
    <n v="7495700001"/>
    <s v="SERVICIOS DE EXPLOTA"/>
    <n v="16598737.484098218"/>
    <n v="108900"/>
    <m/>
    <m/>
    <m/>
    <m/>
    <s v="IA01"/>
    <s v="REGALIAS"/>
    <n v="700007"/>
    <x v="0"/>
    <s v="MEZCLA PREHOMO"/>
    <m/>
    <m/>
    <s v="MEZCLA PREHOMO"/>
    <x v="6"/>
    <x v="6"/>
    <s v="7495700001REGALIASTrituración"/>
    <x v="44"/>
    <x v="0"/>
  </r>
  <r>
    <n v="7495700001"/>
    <s v="SERVICIOS DE EXPLOTA"/>
    <n v="16850233.506584555"/>
    <n v="110550"/>
    <m/>
    <m/>
    <m/>
    <m/>
    <s v="IA01"/>
    <s v="REGALIAS"/>
    <n v="700007"/>
    <x v="1"/>
    <s v="MEZCLA PREHOMO"/>
    <m/>
    <m/>
    <s v="MEZCLA PREHOMO"/>
    <x v="6"/>
    <x v="6"/>
    <s v="7495700001REGALIASTrituración"/>
    <x v="44"/>
    <x v="0"/>
  </r>
  <r>
    <n v="7495700001"/>
    <s v="SERVICIOS DE EXPLOTA"/>
    <n v="12574801.124316832"/>
    <n v="82500"/>
    <m/>
    <m/>
    <m/>
    <m/>
    <s v="IA01"/>
    <s v="REGALIAS"/>
    <n v="700007"/>
    <x v="2"/>
    <s v="MEZCLA PREHOMO"/>
    <m/>
    <m/>
    <s v="MEZCLA PREHOMO"/>
    <x v="6"/>
    <x v="6"/>
    <s v="7495700001REGALIASTrituración"/>
    <x v="44"/>
    <x v="0"/>
  </r>
  <r>
    <n v="7495700001"/>
    <s v="SERVICIOS DE EXPLOTA"/>
    <n v="12323305.101830494"/>
    <n v="80850"/>
    <m/>
    <m/>
    <m/>
    <m/>
    <s v="IA01"/>
    <s v="REGALIAS"/>
    <n v="700007"/>
    <x v="3"/>
    <s v="MEZCLA PREHOMO"/>
    <m/>
    <m/>
    <s v="MEZCLA PREHOMO"/>
    <x v="6"/>
    <x v="6"/>
    <s v="7495700001REGALIASTrituración"/>
    <x v="44"/>
    <x v="0"/>
  </r>
  <r>
    <n v="7495700001"/>
    <s v="SERVICIOS DE EXPLOTA"/>
    <n v="18610705.663988911"/>
    <n v="122100"/>
    <m/>
    <m/>
    <m/>
    <m/>
    <s v="IA01"/>
    <s v="REGALIAS"/>
    <n v="700007"/>
    <x v="4"/>
    <s v="MEZCLA PREHOMO"/>
    <m/>
    <m/>
    <s v="MEZCLA PREHOMO"/>
    <x v="6"/>
    <x v="6"/>
    <s v="7495700001REGALIASTrituración"/>
    <x v="44"/>
    <x v="0"/>
  </r>
  <r>
    <n v="7495700001"/>
    <s v="SERVICIOS DE EXPLOTA"/>
    <n v="8173620.73080594"/>
    <n v="53625"/>
    <m/>
    <m/>
    <m/>
    <m/>
    <s v="IA01"/>
    <s v="REGALIAS"/>
    <n v="700007"/>
    <x v="5"/>
    <s v="MEZCLA PREHOMO"/>
    <m/>
    <m/>
    <s v="MEZCLA PREHOMO"/>
    <x v="6"/>
    <x v="6"/>
    <s v="7495700001REGALIASTrituración"/>
    <x v="44"/>
    <x v="0"/>
  </r>
  <r>
    <n v="7495700001"/>
    <s v="SERVICIOS DE EXPLOTA"/>
    <n v="15341257.371666536"/>
    <n v="100650"/>
    <m/>
    <m/>
    <m/>
    <m/>
    <s v="IA01"/>
    <s v="REGALIAS"/>
    <n v="700007"/>
    <x v="6"/>
    <s v="MEZCLA PREHOMO"/>
    <m/>
    <m/>
    <s v="MEZCLA PREHOMO"/>
    <x v="6"/>
    <x v="6"/>
    <s v="7495700001REGALIASTrituración"/>
    <x v="44"/>
    <x v="0"/>
  </r>
  <r>
    <n v="7495700001"/>
    <s v="SERVICIOS DE EXPLOTA"/>
    <n v="18862201.686475247"/>
    <n v="123750"/>
    <m/>
    <m/>
    <m/>
    <m/>
    <s v="IA01"/>
    <s v="REGALIAS"/>
    <n v="700007"/>
    <x v="7"/>
    <s v="MEZCLA PREHOMO"/>
    <m/>
    <m/>
    <s v="MEZCLA PREHOMO"/>
    <x v="6"/>
    <x v="6"/>
    <s v="7495700001REGALIASTrituración"/>
    <x v="44"/>
    <x v="0"/>
  </r>
  <r>
    <n v="7495700001"/>
    <s v="SERVICIOS DE EXPLOTA"/>
    <n v="14461021.292964358"/>
    <n v="94875"/>
    <m/>
    <m/>
    <m/>
    <m/>
    <s v="IA01"/>
    <s v="REGALIAS"/>
    <n v="700007"/>
    <x v="8"/>
    <s v="MEZCLA PREHOMO"/>
    <m/>
    <m/>
    <s v="MEZCLA PREHOMO"/>
    <x v="6"/>
    <x v="6"/>
    <s v="7495700001REGALIASTrituración"/>
    <x v="44"/>
    <x v="0"/>
  </r>
  <r>
    <n v="7495700001"/>
    <s v="SERVICIOS DE EXPLOTA"/>
    <n v="11317321.011885148"/>
    <n v="74250"/>
    <m/>
    <m/>
    <m/>
    <m/>
    <s v="IA01"/>
    <s v="REGALIAS"/>
    <n v="700007"/>
    <x v="9"/>
    <s v="MEZCLA PREHOMO"/>
    <m/>
    <m/>
    <s v="MEZCLA PREHOMO"/>
    <x v="6"/>
    <x v="6"/>
    <s v="7495700001REGALIASTrituración"/>
    <x v="44"/>
    <x v="0"/>
  </r>
  <r>
    <n v="7495700001"/>
    <s v="SERVICIOS DE EXPLOTA"/>
    <n v="18107713.619016238"/>
    <n v="118800"/>
    <m/>
    <m/>
    <m/>
    <m/>
    <s v="IA01"/>
    <s v="REGALIAS"/>
    <n v="700007"/>
    <x v="10"/>
    <s v="MEZCLA PREHOMO"/>
    <m/>
    <m/>
    <s v="MEZCLA PREHOMO"/>
    <x v="6"/>
    <x v="6"/>
    <s v="7495700001REGALIASTrituración"/>
    <x v="44"/>
    <x v="0"/>
  </r>
  <r>
    <n v="7495700001"/>
    <s v="SERVICIOS DE EXPLOTA"/>
    <n v="11545141.803419486"/>
    <n v="75744.672966655286"/>
    <m/>
    <m/>
    <m/>
    <m/>
    <s v="IA01"/>
    <s v="REGALIAS"/>
    <n v="700007"/>
    <x v="11"/>
    <s v="MEZCLA PREHOMO"/>
    <m/>
    <m/>
    <s v="MEZCLA PREHOMO"/>
    <x v="6"/>
    <x v="6"/>
    <s v="7495700001REGALIASTrituración"/>
    <x v="44"/>
    <x v="0"/>
  </r>
  <r>
    <n v="7495700001"/>
    <s v="SERVICIOS DE EXPLOTA"/>
    <n v="5958103.8138891077"/>
    <n v="50242.574257425731"/>
    <m/>
    <m/>
    <m/>
    <m/>
    <s v="IA01"/>
    <s v="REGALIAS"/>
    <n v="700005"/>
    <x v="0"/>
    <s v="CALIZA TRITURADA"/>
    <m/>
    <m/>
    <s v="CALIZA PARA ADICIONES"/>
    <x v="7"/>
    <x v="7"/>
    <s v="7495700001REGALIASAdiciones"/>
    <x v="44"/>
    <x v="0"/>
  </r>
  <r>
    <n v="7495700001"/>
    <s v="SERVICIOS DE EXPLOTA"/>
    <n v="6218172.7851722762"/>
    <n v="52435.643564356425"/>
    <m/>
    <m/>
    <m/>
    <m/>
    <s v="IA01"/>
    <s v="REGALIAS"/>
    <n v="700005"/>
    <x v="1"/>
    <s v="CALIZA TRITURADA"/>
    <m/>
    <m/>
    <s v="CALIZA PARA ADICIONES"/>
    <x v="7"/>
    <x v="7"/>
    <s v="7495700001REGALIASAdiciones"/>
    <x v="44"/>
    <x v="0"/>
  </r>
  <r>
    <n v="7495700001"/>
    <s v="SERVICIOS DE EXPLOTA"/>
    <n v="5698504.4931184156"/>
    <n v="48053.465346534649"/>
    <m/>
    <m/>
    <m/>
    <m/>
    <s v="IA01"/>
    <s v="REGALIAS"/>
    <n v="700005"/>
    <x v="2"/>
    <s v="CALIZA TRITURADA"/>
    <m/>
    <m/>
    <s v="CALIZA PARA ADICIONES"/>
    <x v="7"/>
    <x v="7"/>
    <s v="7495700001REGALIASAdiciones"/>
    <x v="44"/>
    <x v="0"/>
  </r>
  <r>
    <n v="7495700001"/>
    <s v="SERVICIOS DE EXPLOTA"/>
    <n v="5272414.0656752475"/>
    <n v="44460.396039603962"/>
    <m/>
    <m/>
    <m/>
    <m/>
    <s v="IA01"/>
    <s v="REGALIAS"/>
    <n v="700005"/>
    <x v="3"/>
    <s v="CALIZA TRITURADA"/>
    <m/>
    <m/>
    <s v="CALIZA PARA ADICIONES"/>
    <x v="7"/>
    <x v="7"/>
    <s v="7495700001REGALIASAdiciones"/>
    <x v="44"/>
    <x v="0"/>
  </r>
  <r>
    <n v="7495700001"/>
    <s v="SERVICIOS DE EXPLOTA"/>
    <n v="6544462.4787144559"/>
    <n v="55187.128712871287"/>
    <m/>
    <m/>
    <m/>
    <m/>
    <s v="IA01"/>
    <s v="REGALIAS"/>
    <n v="700005"/>
    <x v="4"/>
    <s v="CALIZA TRITURADA"/>
    <m/>
    <m/>
    <s v="CALIZA PARA ADICIONES"/>
    <x v="7"/>
    <x v="7"/>
    <s v="7495700001REGALIASAdiciones"/>
    <x v="44"/>
    <x v="0"/>
  </r>
  <r>
    <n v="7495700001"/>
    <s v="SERVICIOS DE EXPLOTA"/>
    <n v="4841274.8952229703"/>
    <n v="40824.752475247522"/>
    <m/>
    <m/>
    <m/>
    <m/>
    <s v="IA01"/>
    <s v="REGALIAS"/>
    <n v="700005"/>
    <x v="5"/>
    <s v="CALIZA TRITURADA"/>
    <m/>
    <m/>
    <s v="CALIZA PARA ADICIONES"/>
    <x v="7"/>
    <x v="7"/>
    <s v="7495700001REGALIASAdiciones"/>
    <x v="44"/>
    <x v="0"/>
  </r>
  <r>
    <n v="7495700001"/>
    <s v="SERVICIOS DE EXPLOTA"/>
    <n v="6151952.0629132679"/>
    <n v="51877.227722772281"/>
    <m/>
    <m/>
    <m/>
    <m/>
    <s v="IA01"/>
    <s v="REGALIAS"/>
    <n v="700005"/>
    <x v="6"/>
    <s v="CALIZA TRITURADA"/>
    <m/>
    <m/>
    <s v="CALIZA PARA ADICIONES"/>
    <x v="7"/>
    <x v="7"/>
    <s v="7495700001REGALIASAdiciones"/>
    <x v="44"/>
    <x v="0"/>
  </r>
  <r>
    <n v="7495700001"/>
    <s v="SERVICIOS DE EXPLOTA"/>
    <n v="6638509.9938376229"/>
    <n v="55980.198019801974"/>
    <m/>
    <m/>
    <m/>
    <m/>
    <s v="IA01"/>
    <s v="REGALIAS"/>
    <n v="700005"/>
    <x v="7"/>
    <s v="CALIZA TRITURADA"/>
    <m/>
    <m/>
    <s v="CALIZA PARA ADICIONES"/>
    <x v="7"/>
    <x v="7"/>
    <s v="7495700001REGALIASAdiciones"/>
    <x v="44"/>
    <x v="0"/>
  </r>
  <r>
    <n v="7495700001"/>
    <s v="SERVICIOS DE EXPLOTA"/>
    <n v="6030312.5801821789"/>
    <n v="50851.485148514854"/>
    <m/>
    <m/>
    <m/>
    <m/>
    <s v="IA01"/>
    <s v="REGALIAS"/>
    <n v="700005"/>
    <x v="8"/>
    <s v="CALIZA TRITURADA"/>
    <m/>
    <m/>
    <s v="CALIZA PARA ADICIONES"/>
    <x v="7"/>
    <x v="7"/>
    <s v="7495700001REGALIASAdiciones"/>
    <x v="44"/>
    <x v="0"/>
  </r>
  <r>
    <n v="7495700001"/>
    <s v="SERVICIOS DE EXPLOTA"/>
    <n v="5726331.2859825743"/>
    <n v="48288.118811881184"/>
    <m/>
    <m/>
    <m/>
    <m/>
    <s v="IA01"/>
    <s v="REGALIAS"/>
    <n v="700005"/>
    <x v="9"/>
    <s v="CALIZA TRITURADA"/>
    <m/>
    <m/>
    <s v="CALIZA PARA ADICIONES"/>
    <x v="7"/>
    <x v="7"/>
    <s v="7495700001REGALIASAdiciones"/>
    <x v="44"/>
    <x v="0"/>
  </r>
  <r>
    <n v="7495700001"/>
    <s v="SERVICIOS DE EXPLOTA"/>
    <n v="6688410.360788119"/>
    <n v="56400.990099009898"/>
    <m/>
    <m/>
    <m/>
    <m/>
    <s v="IA01"/>
    <s v="REGALIAS"/>
    <n v="700005"/>
    <x v="10"/>
    <s v="CALIZA TRITURADA"/>
    <m/>
    <m/>
    <s v="CALIZA PARA ADICIONES"/>
    <x v="7"/>
    <x v="7"/>
    <s v="7495700001REGALIASAdiciones"/>
    <x v="44"/>
    <x v="0"/>
  </r>
  <r>
    <n v="7495700001"/>
    <s v="SERVICIOS DE EXPLOTA"/>
    <n v="5637030.9832781693"/>
    <n v="47535.08106195517"/>
    <m/>
    <m/>
    <m/>
    <m/>
    <s v="IA01"/>
    <s v="REGALIAS"/>
    <n v="700005"/>
    <x v="11"/>
    <s v="CALIZA TRITURADA"/>
    <m/>
    <m/>
    <s v="CALIZA PARA ADICIONES"/>
    <x v="7"/>
    <x v="7"/>
    <s v="7495700001REGALIASAdiciones"/>
    <x v="44"/>
    <x v="0"/>
  </r>
  <r>
    <n v="7355250320"/>
    <s v="RTOS VARIA IMPO"/>
    <n v="12000000"/>
    <n v="1578.8742818877511"/>
    <m/>
    <m/>
    <m/>
    <m/>
    <s v="EC01"/>
    <s v="CARGUE ALTERNOS"/>
    <n v="700120"/>
    <x v="0"/>
    <s v="COMBUSTIBLES ALTERNOS"/>
    <m/>
    <m/>
    <s v="COMBUSTIBLES ALTERNOS"/>
    <x v="3"/>
    <x v="3"/>
    <s v="7355250320CARGUE ALTERNOSCOMBUSTIBLES ALTERNOS"/>
    <x v="45"/>
    <x v="0"/>
  </r>
  <r>
    <n v="7355250320"/>
    <s v="RTOS VARIA IMPO"/>
    <n v="12000000"/>
    <n v="1598.366556972785"/>
    <m/>
    <m/>
    <m/>
    <m/>
    <s v="EC01"/>
    <s v="CARGUE ALTERNOS"/>
    <n v="700120"/>
    <x v="1"/>
    <s v="COMBUSTIBLES ALTERNOS"/>
    <m/>
    <m/>
    <s v="COMBUSTIBLES ALTERNOS"/>
    <x v="3"/>
    <x v="3"/>
    <s v="7355250320CARGUE ALTERNOSCOMBUSTIBLES ALTERNOS"/>
    <x v="45"/>
    <x v="0"/>
  </r>
  <r>
    <n v="7355250320"/>
    <s v="RTOS VARIA IMPO"/>
    <n v="12000000"/>
    <n v="1111.059679846936"/>
    <m/>
    <m/>
    <m/>
    <m/>
    <s v="EC01"/>
    <s v="CARGUE ALTERNOS"/>
    <n v="700120"/>
    <x v="2"/>
    <s v="COMBUSTIBLES ALTERNOS"/>
    <m/>
    <m/>
    <s v="COMBUSTIBLES ALTERNOS"/>
    <x v="3"/>
    <x v="3"/>
    <s v="7355250320CARGUE ALTERNOSCOMBUSTIBLES ALTERNOS"/>
    <x v="45"/>
    <x v="0"/>
  </r>
  <r>
    <n v="7355250320"/>
    <s v="RTOS VARIA IMPO"/>
    <n v="12000000"/>
    <n v="1169.5365051020378"/>
    <m/>
    <m/>
    <m/>
    <m/>
    <s v="EC01"/>
    <s v="CARGUE ALTERNOS"/>
    <n v="700120"/>
    <x v="3"/>
    <s v="COMBUSTIBLES ALTERNOS"/>
    <m/>
    <m/>
    <s v="COMBUSTIBLES ALTERNOS"/>
    <x v="3"/>
    <x v="3"/>
    <s v="7355250320CARGUE ALTERNOSCOMBUSTIBLES ALTERNOS"/>
    <x v="45"/>
    <x v="0"/>
  </r>
  <r>
    <n v="7355250320"/>
    <s v="RTOS VARIA IMPO"/>
    <n v="12000000"/>
    <n v="1773.7970327380904"/>
    <m/>
    <m/>
    <m/>
    <m/>
    <s v="EC01"/>
    <s v="CARGUE ALTERNOS"/>
    <n v="700120"/>
    <x v="4"/>
    <s v="COMBUSTIBLES ALTERNOS"/>
    <m/>
    <m/>
    <s v="COMBUSTIBLES ALTERNOS"/>
    <x v="3"/>
    <x v="3"/>
    <s v="7355250320CARGUE ALTERNOSCOMBUSTIBLES ALTERNOS"/>
    <x v="45"/>
    <x v="0"/>
  </r>
  <r>
    <n v="7355250320"/>
    <s v="RTOS VARIA IMPO"/>
    <n v="12000000"/>
    <n v="760.1987283163246"/>
    <m/>
    <m/>
    <m/>
    <m/>
    <s v="EC01"/>
    <s v="CARGUE ALTERNOS"/>
    <n v="700120"/>
    <x v="5"/>
    <s v="COMBUSTIBLES ALTERNOS"/>
    <m/>
    <m/>
    <s v="COMBUSTIBLES ALTERNOS"/>
    <x v="3"/>
    <x v="3"/>
    <s v="7355250320CARGUE ALTERNOSCOMBUSTIBLES ALTERNOS"/>
    <x v="45"/>
    <x v="0"/>
  </r>
  <r>
    <n v="7355250320"/>
    <s v="RTOS VARIA IMPO"/>
    <n v="12000000"/>
    <n v="1461.9206313775471"/>
    <m/>
    <m/>
    <m/>
    <m/>
    <s v="EC01"/>
    <s v="CARGUE ALTERNOS"/>
    <n v="700120"/>
    <x v="6"/>
    <s v="COMBUSTIBLES ALTERNOS"/>
    <m/>
    <m/>
    <s v="COMBUSTIBLES ALTERNOS"/>
    <x v="3"/>
    <x v="3"/>
    <s v="7355250320CARGUE ALTERNOSCOMBUSTIBLES ALTERNOS"/>
    <x v="45"/>
    <x v="0"/>
  </r>
  <r>
    <n v="7355250320"/>
    <s v="RTOS VARIA IMPO"/>
    <n v="12000000"/>
    <n v="1773.7970327380904"/>
    <m/>
    <m/>
    <m/>
    <m/>
    <s v="EC01"/>
    <s v="CARGUE ALTERNOS"/>
    <n v="700120"/>
    <x v="7"/>
    <s v="COMBUSTIBLES ALTERNOS"/>
    <m/>
    <m/>
    <s v="COMBUSTIBLES ALTERNOS"/>
    <x v="3"/>
    <x v="3"/>
    <s v="7355250320CARGUE ALTERNOSCOMBUSTIBLES ALTERNOS"/>
    <x v="45"/>
    <x v="0"/>
  </r>
  <r>
    <n v="7355250320"/>
    <s v="RTOS VARIA IMPO"/>
    <n v="12000000"/>
    <n v="1344.9669808673436"/>
    <m/>
    <m/>
    <m/>
    <m/>
    <s v="EC01"/>
    <s v="CARGUE ALTERNOS"/>
    <n v="700120"/>
    <x v="8"/>
    <s v="COMBUSTIBLES ALTERNOS"/>
    <m/>
    <m/>
    <s v="COMBUSTIBLES ALTERNOS"/>
    <x v="3"/>
    <x v="3"/>
    <s v="7355250320CARGUE ALTERNOSCOMBUSTIBLES ALTERNOS"/>
    <x v="45"/>
    <x v="0"/>
  </r>
  <r>
    <n v="7355250320"/>
    <s v="RTOS VARIA IMPO"/>
    <n v="12000000"/>
    <n v="1052.5828545918339"/>
    <m/>
    <m/>
    <m/>
    <m/>
    <s v="EC01"/>
    <s v="CARGUE ALTERNOS"/>
    <n v="700120"/>
    <x v="9"/>
    <s v="COMBUSTIBLES ALTERNOS"/>
    <m/>
    <m/>
    <s v="COMBUSTIBLES ALTERNOS"/>
    <x v="3"/>
    <x v="3"/>
    <s v="7355250320CARGUE ALTERNOSCOMBUSTIBLES ALTERNOS"/>
    <x v="45"/>
    <x v="0"/>
  </r>
  <r>
    <n v="7355250320"/>
    <s v="RTOS VARIA IMPO"/>
    <n v="12000000"/>
    <n v="1715.320207482989"/>
    <m/>
    <m/>
    <m/>
    <m/>
    <s v="EC01"/>
    <s v="CARGUE ALTERNOS"/>
    <n v="700120"/>
    <x v="10"/>
    <s v="COMBUSTIBLES ALTERNOS"/>
    <m/>
    <m/>
    <s v="COMBUSTIBLES ALTERNOS"/>
    <x v="3"/>
    <x v="3"/>
    <s v="7355250320CARGUE ALTERNOSCOMBUSTIBLES ALTERNOS"/>
    <x v="45"/>
    <x v="0"/>
  </r>
  <r>
    <n v="7355250320"/>
    <s v="RTOS VARIA IMPO"/>
    <n v="12000000"/>
    <n v="1082.1552446580988"/>
    <m/>
    <m/>
    <m/>
    <m/>
    <s v="EC01"/>
    <s v="CARGUE ALTERNOS"/>
    <n v="700120"/>
    <x v="11"/>
    <s v="COMBUSTIBLES ALTERNOS"/>
    <m/>
    <m/>
    <s v="COMBUSTIBLES ALTERNOS"/>
    <x v="3"/>
    <x v="3"/>
    <s v="7355250320CARGUE ALTERNOSCOMBUSTIBLES ALTERNOS"/>
    <x v="45"/>
    <x v="0"/>
  </r>
  <r>
    <n v="7355250321"/>
    <s v="RTOS VARIA IMPO"/>
    <n v="16933426.67324613"/>
    <n v="1578.8742818877511"/>
    <m/>
    <m/>
    <m/>
    <m/>
    <s v="EC01"/>
    <s v="DESCARGUE ALTERNOS"/>
    <n v="700120"/>
    <x v="0"/>
    <s v="COMBUSTIBLES ALTERNOS"/>
    <m/>
    <m/>
    <s v="COMBUSTIBLES ALTERNOS"/>
    <x v="3"/>
    <x v="3"/>
    <s v="7355250321DESCARGUE ALTERNOSCOMBUSTIBLES ALTERNOS"/>
    <x v="46"/>
    <x v="0"/>
  </r>
  <r>
    <n v="7355250321"/>
    <s v="RTOS VARIA IMPO"/>
    <n v="17142481.323533118"/>
    <n v="1598.366556972785"/>
    <m/>
    <m/>
    <m/>
    <m/>
    <s v="EC01"/>
    <s v="DESCARGUE ALTERNOS"/>
    <n v="700120"/>
    <x v="1"/>
    <s v="COMBUSTIBLES ALTERNOS"/>
    <m/>
    <m/>
    <s v="COMBUSTIBLES ALTERNOS"/>
    <x v="3"/>
    <x v="3"/>
    <s v="7355250321DESCARGUE ALTERNOSCOMBUSTIBLES ALTERNOS"/>
    <x v="46"/>
    <x v="0"/>
  </r>
  <r>
    <n v="7355250321"/>
    <s v="RTOS VARIA IMPO"/>
    <n v="11916115.066358387"/>
    <n v="1111.059679846936"/>
    <m/>
    <m/>
    <m/>
    <m/>
    <s v="EC01"/>
    <s v="DESCARGUE ALTERNOS"/>
    <n v="700120"/>
    <x v="2"/>
    <s v="COMBUSTIBLES ALTERNOS"/>
    <m/>
    <m/>
    <s v="COMBUSTIBLES ALTERNOS"/>
    <x v="3"/>
    <x v="3"/>
    <s v="7355250321DESCARGUE ALTERNOSCOMBUSTIBLES ALTERNOS"/>
    <x v="46"/>
    <x v="0"/>
  </r>
  <r>
    <n v="7355250321"/>
    <s v="RTOS VARIA IMPO"/>
    <n v="12543279.017219355"/>
    <n v="1169.5365051020378"/>
    <m/>
    <m/>
    <m/>
    <m/>
    <s v="EC01"/>
    <s v="DESCARGUE ALTERNOS"/>
    <n v="700120"/>
    <x v="3"/>
    <s v="COMBUSTIBLES ALTERNOS"/>
    <m/>
    <m/>
    <s v="COMBUSTIBLES ALTERNOS"/>
    <x v="3"/>
    <x v="3"/>
    <s v="7355250321DESCARGUE ALTERNOSCOMBUSTIBLES ALTERNOS"/>
    <x v="46"/>
    <x v="0"/>
  </r>
  <r>
    <n v="7355250321"/>
    <s v="RTOS VARIA IMPO"/>
    <n v="19023973.176116019"/>
    <n v="1773.7970327380904"/>
    <m/>
    <m/>
    <m/>
    <m/>
    <s v="EC01"/>
    <s v="DESCARGUE ALTERNOS"/>
    <n v="700120"/>
    <x v="4"/>
    <s v="COMBUSTIBLES ALTERNOS"/>
    <m/>
    <m/>
    <s v="COMBUSTIBLES ALTERNOS"/>
    <x v="3"/>
    <x v="3"/>
    <s v="7355250321DESCARGUE ALTERNOSCOMBUSTIBLES ALTERNOS"/>
    <x v="46"/>
    <x v="0"/>
  </r>
  <r>
    <n v="7355250321"/>
    <s v="RTOS VARIA IMPO"/>
    <n v="8153131.3611925812"/>
    <n v="760.1987283163246"/>
    <m/>
    <m/>
    <m/>
    <m/>
    <s v="EC01"/>
    <s v="DESCARGUE ALTERNOS"/>
    <n v="700120"/>
    <x v="5"/>
    <s v="COMBUSTIBLES ALTERNOS"/>
    <m/>
    <m/>
    <s v="COMBUSTIBLES ALTERNOS"/>
    <x v="3"/>
    <x v="3"/>
    <s v="7355250321DESCARGUE ALTERNOSCOMBUSTIBLES ALTERNOS"/>
    <x v="46"/>
    <x v="0"/>
  </r>
  <r>
    <n v="7355250321"/>
    <s v="RTOS VARIA IMPO"/>
    <n v="15679098.771524193"/>
    <n v="1461.9206313775471"/>
    <m/>
    <m/>
    <m/>
    <m/>
    <s v="EC01"/>
    <s v="DESCARGUE ALTERNOS"/>
    <n v="700120"/>
    <x v="6"/>
    <s v="COMBUSTIBLES ALTERNOS"/>
    <m/>
    <m/>
    <s v="COMBUSTIBLES ALTERNOS"/>
    <x v="3"/>
    <x v="3"/>
    <s v="7355250321DESCARGUE ALTERNOSCOMBUSTIBLES ALTERNOS"/>
    <x v="46"/>
    <x v="0"/>
  </r>
  <r>
    <n v="7355250321"/>
    <s v="RTOS VARIA IMPO"/>
    <n v="19023973.176116019"/>
    <n v="1773.7970327380904"/>
    <m/>
    <m/>
    <m/>
    <m/>
    <s v="EC01"/>
    <s v="DESCARGUE ALTERNOS"/>
    <n v="700120"/>
    <x v="7"/>
    <s v="COMBUSTIBLES ALTERNOS"/>
    <m/>
    <m/>
    <s v="COMBUSTIBLES ALTERNOS"/>
    <x v="3"/>
    <x v="3"/>
    <s v="7355250321DESCARGUE ALTERNOSCOMBUSTIBLES ALTERNOS"/>
    <x v="46"/>
    <x v="0"/>
  </r>
  <r>
    <n v="7355250321"/>
    <s v="RTOS VARIA IMPO"/>
    <n v="14424770.869802261"/>
    <n v="1344.9669808673436"/>
    <m/>
    <m/>
    <m/>
    <m/>
    <s v="EC01"/>
    <s v="DESCARGUE ALTERNOS"/>
    <n v="700120"/>
    <x v="8"/>
    <s v="COMBUSTIBLES ALTERNOS"/>
    <m/>
    <m/>
    <s v="COMBUSTIBLES ALTERNOS"/>
    <x v="3"/>
    <x v="3"/>
    <s v="7355250321DESCARGUE ALTERNOSCOMBUSTIBLES ALTERNOS"/>
    <x v="46"/>
    <x v="0"/>
  </r>
  <r>
    <n v="7355250321"/>
    <s v="RTOS VARIA IMPO"/>
    <n v="11288951.115497418"/>
    <n v="1052.5828545918339"/>
    <m/>
    <m/>
    <m/>
    <m/>
    <s v="EC01"/>
    <s v="DESCARGUE ALTERNOS"/>
    <n v="700120"/>
    <x v="9"/>
    <s v="COMBUSTIBLES ALTERNOS"/>
    <m/>
    <m/>
    <s v="COMBUSTIBLES ALTERNOS"/>
    <x v="3"/>
    <x v="3"/>
    <s v="7355250321DESCARGUE ALTERNOSCOMBUSTIBLES ALTERNOS"/>
    <x v="46"/>
    <x v="0"/>
  </r>
  <r>
    <n v="7355250321"/>
    <s v="RTOS VARIA IMPO"/>
    <n v="18396809.225255057"/>
    <n v="1715.320207482989"/>
    <m/>
    <m/>
    <m/>
    <m/>
    <s v="EC01"/>
    <s v="DESCARGUE ALTERNOS"/>
    <n v="700120"/>
    <x v="10"/>
    <s v="COMBUSTIBLES ALTERNOS"/>
    <m/>
    <m/>
    <s v="COMBUSTIBLES ALTERNOS"/>
    <x v="3"/>
    <x v="3"/>
    <s v="7355250321DESCARGUE ALTERNOSCOMBUSTIBLES ALTERNOS"/>
    <x v="46"/>
    <x v="0"/>
  </r>
  <r>
    <n v="7355250321"/>
    <s v="RTOS VARIA IMPO"/>
    <n v="11606114.998958109"/>
    <n v="1082.1552446580988"/>
    <m/>
    <m/>
    <m/>
    <m/>
    <s v="EC01"/>
    <s v="DESCARGUE ALTERNOS"/>
    <n v="700120"/>
    <x v="11"/>
    <s v="COMBUSTIBLES ALTERNOS"/>
    <m/>
    <m/>
    <s v="COMBUSTIBLES ALTERNOS"/>
    <x v="3"/>
    <x v="3"/>
    <s v="7355250321DESCARGUE ALTERNOSCOMBUSTIBLES ALTERNOS"/>
    <x v="46"/>
    <x v="0"/>
  </r>
  <r>
    <n v="7199990002"/>
    <s v="CONSUMOS SEMIELBORAD"/>
    <m/>
    <n v="1578.8742818877511"/>
    <s v="T"/>
    <s v="M"/>
    <s v="1410900101"/>
    <s v="INV. SEMIELABORADO"/>
    <s v="EC01"/>
    <s v="COMBALTER"/>
    <n v="700001"/>
    <x v="0"/>
    <s v="COMBUSTIBLES ALTERNOS"/>
    <m/>
    <m/>
    <s v="CLINKER"/>
    <x v="1"/>
    <x v="1"/>
    <s v="7199990002COMBALTERClinkerización"/>
    <x v="16"/>
    <x v="0"/>
  </r>
  <r>
    <n v="7199990002"/>
    <s v="CONSUMOS SEMIELBORAD"/>
    <m/>
    <n v="1598.366556972785"/>
    <s v="T"/>
    <s v="M"/>
    <s v="1410900101"/>
    <s v="INV. SEMIELABORADO"/>
    <s v="EC01"/>
    <s v="COMBALTER"/>
    <n v="700001"/>
    <x v="1"/>
    <s v="COMBUSTIBLES ALTERNOS"/>
    <m/>
    <m/>
    <s v="CLINKER"/>
    <x v="1"/>
    <x v="1"/>
    <s v="7199990002COMBALTERClinkerización"/>
    <x v="16"/>
    <x v="0"/>
  </r>
  <r>
    <n v="7199990002"/>
    <s v="CONSUMOS SEMIELBORAD"/>
    <m/>
    <n v="1111.059679846936"/>
    <s v="T"/>
    <s v="M"/>
    <s v="1410900101"/>
    <s v="INV. SEMIELABORADO"/>
    <s v="EC01"/>
    <s v="COMBALTER"/>
    <n v="700001"/>
    <x v="2"/>
    <s v="COMBUSTIBLES ALTERNOS"/>
    <m/>
    <m/>
    <s v="CLINKER"/>
    <x v="1"/>
    <x v="1"/>
    <s v="7199990002COMBALTERClinkerización"/>
    <x v="16"/>
    <x v="0"/>
  </r>
  <r>
    <n v="7199990002"/>
    <s v="CONSUMOS SEMIELBORAD"/>
    <m/>
    <n v="1169.5365051020378"/>
    <s v="T"/>
    <s v="M"/>
    <s v="1410900101"/>
    <s v="INV. SEMIELABORADO"/>
    <s v="EC01"/>
    <s v="COMBALTER"/>
    <n v="700001"/>
    <x v="3"/>
    <s v="COMBUSTIBLES ALTERNOS"/>
    <m/>
    <m/>
    <s v="CLINKER"/>
    <x v="1"/>
    <x v="1"/>
    <s v="7199990002COMBALTERClinkerización"/>
    <x v="16"/>
    <x v="0"/>
  </r>
  <r>
    <n v="7199990002"/>
    <s v="CONSUMOS SEMIELBORAD"/>
    <m/>
    <n v="1773.7970327380904"/>
    <s v="T"/>
    <s v="M"/>
    <s v="1410900101"/>
    <s v="INV. SEMIELABORADO"/>
    <s v="EC01"/>
    <s v="COMBALTER"/>
    <n v="700001"/>
    <x v="4"/>
    <s v="COMBUSTIBLES ALTERNOS"/>
    <m/>
    <m/>
    <s v="CLINKER"/>
    <x v="1"/>
    <x v="1"/>
    <s v="7199990002COMBALTERClinkerización"/>
    <x v="16"/>
    <x v="0"/>
  </r>
  <r>
    <n v="7199990002"/>
    <s v="CONSUMOS SEMIELBORAD"/>
    <m/>
    <n v="760.1987283163246"/>
    <s v="T"/>
    <s v="M"/>
    <s v="1410900101"/>
    <s v="INV. SEMIELABORADO"/>
    <s v="EC01"/>
    <s v="COMBALTER"/>
    <n v="700001"/>
    <x v="5"/>
    <s v="COMBUSTIBLES ALTERNOS"/>
    <m/>
    <m/>
    <s v="CLINKER"/>
    <x v="1"/>
    <x v="1"/>
    <s v="7199990002COMBALTERClinkerización"/>
    <x v="16"/>
    <x v="0"/>
  </r>
  <r>
    <n v="7199990002"/>
    <s v="CONSUMOS SEMIELBORAD"/>
    <m/>
    <n v="1461.9206313775471"/>
    <s v="T"/>
    <s v="M"/>
    <s v="1410900101"/>
    <s v="INV. SEMIELABORADO"/>
    <s v="EC01"/>
    <s v="COMBALTER"/>
    <n v="700001"/>
    <x v="6"/>
    <s v="COMBUSTIBLES ALTERNOS"/>
    <m/>
    <m/>
    <s v="CLINKER"/>
    <x v="1"/>
    <x v="1"/>
    <s v="7199990002COMBALTERClinkerización"/>
    <x v="16"/>
    <x v="0"/>
  </r>
  <r>
    <n v="7199990002"/>
    <s v="CONSUMOS SEMIELBORAD"/>
    <m/>
    <n v="1773.7970327380904"/>
    <s v="T"/>
    <s v="M"/>
    <s v="1410900101"/>
    <s v="INV. SEMIELABORADO"/>
    <s v="EC01"/>
    <s v="COMBALTER"/>
    <n v="700001"/>
    <x v="7"/>
    <s v="COMBUSTIBLES ALTERNOS"/>
    <m/>
    <m/>
    <s v="CLINKER"/>
    <x v="1"/>
    <x v="1"/>
    <s v="7199990002COMBALTERClinkerización"/>
    <x v="16"/>
    <x v="0"/>
  </r>
  <r>
    <n v="7199990002"/>
    <s v="CONSUMOS SEMIELBORAD"/>
    <m/>
    <n v="1344.9669808673436"/>
    <s v="T"/>
    <s v="M"/>
    <s v="1410900101"/>
    <s v="INV. SEMIELABORADO"/>
    <s v="EC01"/>
    <s v="COMBALTER"/>
    <n v="700001"/>
    <x v="8"/>
    <s v="COMBUSTIBLES ALTERNOS"/>
    <m/>
    <m/>
    <s v="CLINKER"/>
    <x v="1"/>
    <x v="1"/>
    <s v="7199990002COMBALTERClinkerización"/>
    <x v="16"/>
    <x v="0"/>
  </r>
  <r>
    <n v="7199990002"/>
    <s v="CONSUMOS SEMIELBORAD"/>
    <m/>
    <n v="1052.5828545918339"/>
    <s v="T"/>
    <s v="M"/>
    <s v="1410900101"/>
    <s v="INV. SEMIELABORADO"/>
    <s v="EC01"/>
    <s v="COMBALTER"/>
    <n v="700001"/>
    <x v="9"/>
    <s v="COMBUSTIBLES ALTERNOS"/>
    <m/>
    <m/>
    <s v="CLINKER"/>
    <x v="1"/>
    <x v="1"/>
    <s v="7199990002COMBALTERClinkerización"/>
    <x v="16"/>
    <x v="0"/>
  </r>
  <r>
    <n v="7199990002"/>
    <s v="CONSUMOS SEMIELBORAD"/>
    <m/>
    <n v="1715.320207482989"/>
    <s v="T"/>
    <s v="M"/>
    <s v="1410900101"/>
    <s v="INV. SEMIELABORADO"/>
    <s v="EC01"/>
    <s v="COMBALTER"/>
    <n v="700001"/>
    <x v="10"/>
    <s v="COMBUSTIBLES ALTERNOS"/>
    <m/>
    <m/>
    <s v="CLINKER"/>
    <x v="1"/>
    <x v="1"/>
    <s v="7199990002COMBALTERClinkerización"/>
    <x v="16"/>
    <x v="0"/>
  </r>
  <r>
    <n v="7199990002"/>
    <s v="CONSUMOS SEMIELBORAD"/>
    <m/>
    <n v="1082.1552446580988"/>
    <s v="T"/>
    <s v="M"/>
    <s v="1410900101"/>
    <s v="INV. SEMIELABORADO"/>
    <s v="EC01"/>
    <s v="COMBALTER"/>
    <n v="700001"/>
    <x v="11"/>
    <s v="COMBUSTIBLES ALTERNOS"/>
    <m/>
    <m/>
    <s v="CLINKER"/>
    <x v="1"/>
    <x v="1"/>
    <s v="7199990002COMBALTERClinkerización"/>
    <x v="16"/>
    <x v="0"/>
  </r>
  <r>
    <n v="7105400101"/>
    <s v="CTO.MP COMPUESTO NAL"/>
    <n v="384723067.75170606"/>
    <n v="98751.249313887325"/>
    <s v="T"/>
    <s v="M"/>
    <s v="1405330101"/>
    <s v="INV.  CALIZAS NAL"/>
    <s v="EC01"/>
    <s v="EMPAQUE Y GRANEL"/>
    <n v="700056"/>
    <x v="0"/>
    <s v="EMPAQUE Y GRANEL"/>
    <m/>
    <m/>
    <s v="Cementos"/>
    <x v="16"/>
    <x v="16"/>
    <s v="7105400101EMPAQUE Y GRANELCEMENTOS"/>
    <x v="47"/>
    <x v="0"/>
  </r>
  <r>
    <n v="7105400101"/>
    <s v="CTO.MP COMPUESTO NAL"/>
    <n v="394760874.85370851"/>
    <n v="105650.08581010897"/>
    <s v="T"/>
    <s v="M"/>
    <s v="1405330101"/>
    <s v="INV.  CALIZAS NAL"/>
    <s v="EC01"/>
    <s v="EMPAQUE Y GRANEL"/>
    <n v="700056"/>
    <x v="0"/>
    <s v="EMPAQUE Y GRANEL"/>
    <m/>
    <m/>
    <s v="Cementos"/>
    <x v="16"/>
    <x v="16"/>
    <s v="7105400101EMPAQUE Y GRANELCEMENTOS"/>
    <x v="47"/>
    <x v="0"/>
  </r>
  <r>
    <n v="7105400101"/>
    <s v="CTO.MP COMPUESTO NAL"/>
    <n v="404419205.21004474"/>
    <n v="112288.11354642251"/>
    <s v="T"/>
    <s v="M"/>
    <s v="1405330101"/>
    <s v="INV.  CALIZAS NAL"/>
    <s v="EC01"/>
    <s v="EMPAQUE Y GRANEL"/>
    <n v="700056"/>
    <x v="0"/>
    <s v="EMPAQUE Y GRANEL"/>
    <m/>
    <m/>
    <s v="Cementos"/>
    <x v="16"/>
    <x v="16"/>
    <s v="7105400101EMPAQUE Y GRANELCEMENTOS"/>
    <x v="47"/>
    <x v="0"/>
  </r>
  <r>
    <n v="7105400101"/>
    <s v="CTO.MP COMPUESTO NAL"/>
    <n v="394636815.49783951"/>
    <n v="105564.82164799968"/>
    <s v="T"/>
    <s v="M"/>
    <s v="1405330101"/>
    <s v="INV.  CALIZAS NAL"/>
    <s v="EC01"/>
    <s v="EMPAQUE Y GRANEL"/>
    <n v="700056"/>
    <x v="0"/>
    <s v="EMPAQUE Y GRANEL"/>
    <m/>
    <m/>
    <s v="Cementos"/>
    <x v="16"/>
    <x v="16"/>
    <s v="7105400101EMPAQUE Y GRANELCEMENTOS"/>
    <x v="47"/>
    <x v="0"/>
  </r>
  <r>
    <n v="7105400101"/>
    <s v="CTO.MP COMPUESTO NAL"/>
    <n v="389805019.19232166"/>
    <n v="102243.99944489462"/>
    <s v="T"/>
    <s v="M"/>
    <s v="1405330101"/>
    <s v="INV.  CALIZAS NAL"/>
    <s v="EC01"/>
    <s v="EMPAQUE Y GRANEL"/>
    <n v="700056"/>
    <x v="0"/>
    <s v="EMPAQUE Y GRANEL"/>
    <m/>
    <m/>
    <s v="Cementos"/>
    <x v="16"/>
    <x v="16"/>
    <s v="7105400101EMPAQUE Y GRANELCEMENTOS"/>
    <x v="47"/>
    <x v="0"/>
  </r>
  <r>
    <n v="7105400101"/>
    <s v="CTO.MP COMPUESTO NAL"/>
    <n v="388053842.87083769"/>
    <n v="101040.44183562727"/>
    <s v="T"/>
    <s v="M"/>
    <s v="1405330101"/>
    <s v="INV.  CALIZAS NAL"/>
    <s v="EC01"/>
    <s v="EMPAQUE Y GRANEL"/>
    <n v="700056"/>
    <x v="0"/>
    <s v="EMPAQUE Y GRANEL"/>
    <m/>
    <m/>
    <s v="Cementos"/>
    <x v="16"/>
    <x v="16"/>
    <s v="7105400101EMPAQUE Y GRANELCEMENTOS"/>
    <x v="47"/>
    <x v="0"/>
  </r>
  <r>
    <n v="7105400101"/>
    <s v="CTO.MP COMPUESTO NAL"/>
    <n v="413085100.70085746"/>
    <n v="118244.05546450688"/>
    <s v="T"/>
    <s v="M"/>
    <s v="1405330101"/>
    <s v="INV.  CALIZAS NAL"/>
    <s v="EC01"/>
    <s v="EMPAQUE Y GRANEL"/>
    <n v="700056"/>
    <x v="0"/>
    <s v="EMPAQUE Y GRANEL"/>
    <m/>
    <m/>
    <s v="Cementos"/>
    <x v="16"/>
    <x v="16"/>
    <s v="7105400101EMPAQUE Y GRANELCEMENTOS"/>
    <x v="47"/>
    <x v="0"/>
  </r>
  <r>
    <n v="7105400101"/>
    <s v="CTO.MP COMPUESTO NAL"/>
    <n v="398337581.76509976"/>
    <n v="108108.30361862524"/>
    <s v="T"/>
    <s v="M"/>
    <s v="1405330101"/>
    <s v="INV.  CALIZAS NAL"/>
    <s v="EC01"/>
    <s v="EMPAQUE Y GRANEL"/>
    <n v="700056"/>
    <x v="0"/>
    <s v="EMPAQUE Y GRANEL"/>
    <m/>
    <m/>
    <s v="Cementos"/>
    <x v="16"/>
    <x v="16"/>
    <s v="7105400101EMPAQUE Y GRANELCEMENTOS"/>
    <x v="47"/>
    <x v="0"/>
  </r>
  <r>
    <n v="7105400101"/>
    <s v="CTO.MP COMPUESTO NAL"/>
    <n v="407766308.80225301"/>
    <n v="114588.52838642821"/>
    <s v="T"/>
    <s v="M"/>
    <s v="1405330101"/>
    <s v="INV.  CALIZAS NAL"/>
    <s v="EC01"/>
    <s v="EMPAQUE Y GRANEL"/>
    <n v="700056"/>
    <x v="0"/>
    <s v="EMPAQUE Y GRANEL"/>
    <m/>
    <m/>
    <s v="Cementos"/>
    <x v="16"/>
    <x v="16"/>
    <s v="7105400101EMPAQUE Y GRANELCEMENTOS"/>
    <x v="47"/>
    <x v="0"/>
  </r>
  <r>
    <n v="7105400101"/>
    <s v="CTO.MP COMPUESTO NAL"/>
    <n v="410370976.11549592"/>
    <n v="116378.67774260887"/>
    <s v="T"/>
    <s v="M"/>
    <s v="1405330101"/>
    <s v="INV.  CALIZAS NAL"/>
    <s v="EC01"/>
    <s v="EMPAQUE Y GRANEL"/>
    <n v="700056"/>
    <x v="0"/>
    <s v="EMPAQUE Y GRANEL"/>
    <m/>
    <m/>
    <s v="Cementos"/>
    <x v="16"/>
    <x v="16"/>
    <s v="7105400101EMPAQUE Y GRANELCEMENTOS"/>
    <x v="47"/>
    <x v="0"/>
  </r>
  <r>
    <n v="7105400101"/>
    <s v="CTO.MP COMPUESTO NAL"/>
    <n v="398268316.21711737"/>
    <n v="108060.69843100851"/>
    <s v="T"/>
    <s v="M"/>
    <s v="1405330101"/>
    <s v="INV.  CALIZAS NAL"/>
    <s v="EC01"/>
    <s v="EMPAQUE Y GRANEL"/>
    <n v="700056"/>
    <x v="0"/>
    <s v="EMPAQUE Y GRANEL"/>
    <m/>
    <m/>
    <s v="Cementos"/>
    <x v="16"/>
    <x v="16"/>
    <s v="7105400101EMPAQUE Y GRANELCEMENTOS"/>
    <x v="47"/>
    <x v="0"/>
  </r>
  <r>
    <n v="7105400101"/>
    <s v="CTO.MP COMPUESTO NAL"/>
    <n v="399752891.02271849"/>
    <n v="109081.02475788211"/>
    <s v="T"/>
    <s v="M"/>
    <s v="1405330101"/>
    <s v="INV.  CALIZAS NAL"/>
    <s v="EC01"/>
    <s v="EMPAQUE Y GRANEL"/>
    <n v="700056"/>
    <x v="0"/>
    <s v="EMPAQUE Y GRANEL"/>
    <m/>
    <m/>
    <s v="Cementos"/>
    <x v="16"/>
    <x v="16"/>
    <s v="7105400101EMPAQUE Y GRANELCEMENTOS"/>
    <x v="47"/>
    <x v="0"/>
  </r>
  <r>
    <n v="7405050003"/>
    <s v="SS ENERGIA ELECTRICA"/>
    <n v="77227728.852512971"/>
    <n v="148126.87397083099"/>
    <s v="T"/>
    <s v="M"/>
    <s v="1410900101"/>
    <s v="INV. SEMIELABORADO"/>
    <s v="EC01"/>
    <s v="ENERGIA"/>
    <n v="700056"/>
    <x v="0"/>
    <s v="CEMENTOS"/>
    <m/>
    <m/>
    <s v="Cementos"/>
    <x v="16"/>
    <x v="16"/>
    <s v="7405050003ENERGIACEMENTOS"/>
    <x v="42"/>
    <x v="0"/>
  </r>
  <r>
    <n v="7405050003"/>
    <s v="SS ENERGIA ELECTRICA"/>
    <n v="82733106.116897002"/>
    <n v="158475.12871516345"/>
    <s v="T"/>
    <s v="M"/>
    <s v="1410900101"/>
    <s v="INV. SEMIELABORADO"/>
    <s v="EC01"/>
    <s v="ENERGIA"/>
    <n v="700056"/>
    <x v="1"/>
    <s v="CEMENTOS"/>
    <m/>
    <m/>
    <s v="Cementos"/>
    <x v="16"/>
    <x v="16"/>
    <s v="7405050003ENERGIACEMENTOS"/>
    <x v="42"/>
    <x v="0"/>
  </r>
  <r>
    <n v="7405050003"/>
    <s v="SS ENERGIA ELECTRICA"/>
    <n v="88048612.194053784"/>
    <n v="168432.17031963376"/>
    <s v="T"/>
    <s v="M"/>
    <s v="1410900101"/>
    <s v="INV. SEMIELABORADO"/>
    <s v="EC01"/>
    <s v="ENERGIA"/>
    <n v="700056"/>
    <x v="2"/>
    <s v="CEMENTOS"/>
    <m/>
    <m/>
    <s v="Cementos"/>
    <x v="16"/>
    <x v="16"/>
    <s v="7405050003ENERGIACEMENTOS"/>
    <x v="42"/>
    <x v="0"/>
  </r>
  <r>
    <n v="7405050003"/>
    <s v="SS ENERGIA ELECTRICA"/>
    <n v="82887233.377714843"/>
    <n v="158347.23247199951"/>
    <s v="T"/>
    <s v="M"/>
    <s v="1410900101"/>
    <s v="INV. SEMIELABORADO"/>
    <s v="EC01"/>
    <s v="ENERGIA"/>
    <n v="700056"/>
    <x v="3"/>
    <s v="CEMENTOS"/>
    <m/>
    <m/>
    <s v="Cementos"/>
    <x v="16"/>
    <x v="16"/>
    <s v="7405050003ENERGIACEMENTOS"/>
    <x v="42"/>
    <x v="0"/>
  </r>
  <r>
    <n v="7405050003"/>
    <s v="SS ENERGIA ELECTRICA"/>
    <n v="80387105.882486001"/>
    <n v="153365.99916734194"/>
    <s v="T"/>
    <s v="M"/>
    <s v="1410900101"/>
    <s v="INV. SEMIELABORADO"/>
    <s v="EC01"/>
    <s v="ENERGIA"/>
    <n v="700056"/>
    <x v="4"/>
    <s v="CEMENTOS"/>
    <m/>
    <m/>
    <s v="Cementos"/>
    <x v="16"/>
    <x v="16"/>
    <s v="7405050003ENERGIACEMENTOS"/>
    <x v="42"/>
    <x v="0"/>
  </r>
  <r>
    <n v="7405050003"/>
    <s v="SS ENERGIA ELECTRICA"/>
    <n v="79547105.423219934"/>
    <n v="151560.66275344091"/>
    <s v="T"/>
    <s v="M"/>
    <s v="1410900101"/>
    <s v="INV. SEMIELABORADO"/>
    <s v="EC01"/>
    <s v="ENERGIA"/>
    <n v="700056"/>
    <x v="5"/>
    <s v="CEMENTOS"/>
    <m/>
    <m/>
    <s v="Cementos"/>
    <x v="16"/>
    <x v="16"/>
    <s v="7405050003ENERGIACEMENTOS"/>
    <x v="42"/>
    <x v="0"/>
  </r>
  <r>
    <n v="7405050003"/>
    <s v="SS ENERGIA ELECTRICA"/>
    <n v="93215789.648440942"/>
    <n v="177366.08319676033"/>
    <s v="T"/>
    <s v="M"/>
    <s v="1410900101"/>
    <s v="INV. SEMIELABORADO"/>
    <s v="EC01"/>
    <s v="ENERGIA"/>
    <n v="700056"/>
    <x v="6"/>
    <s v="CEMENTOS"/>
    <m/>
    <m/>
    <s v="Cementos"/>
    <x v="16"/>
    <x v="16"/>
    <s v="7405050003ENERGIACEMENTOS"/>
    <x v="42"/>
    <x v="0"/>
  </r>
  <r>
    <n v="7405050003"/>
    <s v="SS ENERGIA ELECTRICA"/>
    <n v="85339615.646246165"/>
    <n v="162162.45542793785"/>
    <s v="T"/>
    <s v="M"/>
    <s v="1410900101"/>
    <s v="INV. SEMIELABORADO"/>
    <s v="EC01"/>
    <s v="ENERGIA"/>
    <n v="700056"/>
    <x v="7"/>
    <s v="CEMENTOS"/>
    <m/>
    <m/>
    <s v="Cementos"/>
    <x v="16"/>
    <x v="16"/>
    <s v="7405050003ENERGIACEMENTOS"/>
    <x v="42"/>
    <x v="0"/>
  </r>
  <r>
    <n v="7405050003"/>
    <s v="SS ENERGIA ELECTRICA"/>
    <n v="90576320.959048524"/>
    <n v="171882.79257964232"/>
    <s v="T"/>
    <s v="M"/>
    <s v="1410900101"/>
    <s v="INV. SEMIELABORADO"/>
    <s v="EC01"/>
    <s v="ENERGIA"/>
    <n v="700056"/>
    <x v="8"/>
    <s v="CEMENTOS"/>
    <m/>
    <m/>
    <s v="Cementos"/>
    <x v="16"/>
    <x v="16"/>
    <s v="7405050003ENERGIACEMENTOS"/>
    <x v="42"/>
    <x v="0"/>
  </r>
  <r>
    <n v="7405050003"/>
    <s v="SS ENERGIA ELECTRICA"/>
    <n v="92114775.620818943"/>
    <n v="174568.01661391329"/>
    <s v="T"/>
    <s v="M"/>
    <s v="1410900101"/>
    <s v="INV. SEMIELABORADO"/>
    <s v="EC01"/>
    <s v="ENERGIA"/>
    <n v="700056"/>
    <x v="9"/>
    <s v="CEMENTOS"/>
    <m/>
    <m/>
    <s v="Cementos"/>
    <x v="16"/>
    <x v="16"/>
    <s v="7405050003ENERGIACEMENTOS"/>
    <x v="42"/>
    <x v="0"/>
  </r>
  <r>
    <n v="7405050003"/>
    <s v="SS ENERGIA ELECTRICA"/>
    <n v="85645872.169860631"/>
    <n v="162091.04764651277"/>
    <s v="T"/>
    <s v="M"/>
    <s v="1410900101"/>
    <s v="INV. SEMIELABORADO"/>
    <s v="EC01"/>
    <s v="ENERGIA"/>
    <n v="700056"/>
    <x v="10"/>
    <s v="CEMENTOS"/>
    <m/>
    <m/>
    <s v="Cementos"/>
    <x v="16"/>
    <x v="16"/>
    <s v="7405050003ENERGIACEMENTOS"/>
    <x v="42"/>
    <x v="0"/>
  </r>
  <r>
    <n v="7405050003"/>
    <s v="SS ENERGIA ELECTRICA"/>
    <n v="86570734.436244965"/>
    <n v="163621.53713682317"/>
    <s v="T"/>
    <s v="M"/>
    <s v="1410900101"/>
    <s v="INV. SEMIELABORADO"/>
    <s v="EC01"/>
    <s v="ENERGIA"/>
    <n v="700056"/>
    <x v="11"/>
    <s v="CEMENTOS"/>
    <m/>
    <m/>
    <s v="Cementos"/>
    <x v="16"/>
    <x v="16"/>
    <s v="7405050003ENERGIACEMENTOS"/>
    <x v="42"/>
    <x v="0"/>
  </r>
  <r>
    <n v="7999999995"/>
    <s v="TRASLADO DE COSTOS"/>
    <m/>
    <n v="-98751.249313887325"/>
    <s v="UN"/>
    <s v="M"/>
    <s v="1430050101"/>
    <s v="INV. PTO MANUFACTURA"/>
    <s v="EC01"/>
    <s v="PRODUCCION"/>
    <n v="700056"/>
    <x v="0"/>
    <s v="CEMENTOS"/>
    <m/>
    <m/>
    <s v="Cementos"/>
    <x v="16"/>
    <x v="16"/>
    <s v="7999999995PRODUCCIONCEMENTOS"/>
    <x v="3"/>
    <x v="0"/>
  </r>
  <r>
    <n v="7999999995"/>
    <s v="TRASLADO DE COSTOS"/>
    <m/>
    <n v="-105650.08581010897"/>
    <s v="UN"/>
    <s v="M"/>
    <s v="1430050101"/>
    <s v="INV. PTO MANUFACTURA"/>
    <s v="EC01"/>
    <s v="PRODUCCION"/>
    <n v="700056"/>
    <x v="0"/>
    <s v="CEMENTOS"/>
    <m/>
    <m/>
    <s v="Cementos"/>
    <x v="16"/>
    <x v="16"/>
    <s v="7999999995PRODUCCIONCEMENTOS"/>
    <x v="3"/>
    <x v="0"/>
  </r>
  <r>
    <n v="7999999995"/>
    <s v="TRASLADO DE COSTOS"/>
    <m/>
    <n v="-112288.11354642251"/>
    <s v="UN"/>
    <s v="M"/>
    <s v="1430050101"/>
    <s v="INV. PTO MANUFACTURA"/>
    <s v="EC01"/>
    <s v="PRODUCCION"/>
    <n v="700056"/>
    <x v="0"/>
    <s v="CEMENTOS"/>
    <m/>
    <m/>
    <s v="Cementos"/>
    <x v="16"/>
    <x v="16"/>
    <s v="7999999995PRODUCCIONCEMENTOS"/>
    <x v="3"/>
    <x v="0"/>
  </r>
  <r>
    <n v="7999999995"/>
    <s v="TRASLADO DE COSTOS"/>
    <m/>
    <n v="-105564.82164799968"/>
    <s v="UN"/>
    <s v="M"/>
    <s v="1430050101"/>
    <s v="INV. PTO MANUFACTURA"/>
    <s v="EC01"/>
    <s v="PRODUCCION"/>
    <n v="700056"/>
    <x v="0"/>
    <s v="CEMENTOS"/>
    <m/>
    <m/>
    <s v="Cementos"/>
    <x v="16"/>
    <x v="16"/>
    <s v="7999999995PRODUCCIONCEMENTOS"/>
    <x v="3"/>
    <x v="0"/>
  </r>
  <r>
    <n v="7999999995"/>
    <s v="TRASLADO DE COSTOS"/>
    <m/>
    <n v="-102243.99944489462"/>
    <s v="UN"/>
    <s v="M"/>
    <s v="1430050101"/>
    <s v="INV. PTO MANUFACTURA"/>
    <s v="EC01"/>
    <s v="PRODUCCION"/>
    <n v="700056"/>
    <x v="0"/>
    <s v="CEMENTOS"/>
    <m/>
    <m/>
    <s v="Cementos"/>
    <x v="16"/>
    <x v="16"/>
    <s v="7999999995PRODUCCIONCEMENTOS"/>
    <x v="3"/>
    <x v="0"/>
  </r>
  <r>
    <n v="7999999995"/>
    <s v="TRASLADO DE COSTOS"/>
    <m/>
    <n v="-101040.44183562727"/>
    <s v="UN"/>
    <s v="M"/>
    <s v="1430050101"/>
    <s v="INV. PTO MANUFACTURA"/>
    <s v="EC01"/>
    <s v="PRODUCCION"/>
    <n v="700056"/>
    <x v="0"/>
    <s v="CEMENTOS"/>
    <m/>
    <m/>
    <s v="Cementos"/>
    <x v="16"/>
    <x v="16"/>
    <s v="7999999995PRODUCCIONCEMENTOS"/>
    <x v="3"/>
    <x v="0"/>
  </r>
  <r>
    <n v="7999999995"/>
    <s v="TRASLADO DE COSTOS"/>
    <m/>
    <n v="-118244.05546450688"/>
    <s v="UN"/>
    <s v="M"/>
    <s v="1430050101"/>
    <s v="INV. PTO MANUFACTURA"/>
    <s v="EC01"/>
    <s v="PRODUCCION"/>
    <n v="700056"/>
    <x v="0"/>
    <s v="CEMENTOS"/>
    <m/>
    <m/>
    <s v="Cementos"/>
    <x v="16"/>
    <x v="16"/>
    <s v="7999999995PRODUCCIONCEMENTOS"/>
    <x v="3"/>
    <x v="0"/>
  </r>
  <r>
    <n v="7999999995"/>
    <s v="TRASLADO DE COSTOS"/>
    <m/>
    <n v="-108108.30361862524"/>
    <s v="UN"/>
    <s v="M"/>
    <s v="1430050101"/>
    <s v="INV. PTO MANUFACTURA"/>
    <s v="EC01"/>
    <s v="PRODUCCION"/>
    <n v="700056"/>
    <x v="0"/>
    <s v="CEMENTOS"/>
    <m/>
    <m/>
    <s v="Cementos"/>
    <x v="16"/>
    <x v="16"/>
    <s v="7999999995PRODUCCIONCEMENTOS"/>
    <x v="3"/>
    <x v="0"/>
  </r>
  <r>
    <n v="7999999995"/>
    <s v="TRASLADO DE COSTOS"/>
    <m/>
    <n v="-114588.52838642821"/>
    <s v="UN"/>
    <s v="M"/>
    <s v="1430050101"/>
    <s v="INV. PTO MANUFACTURA"/>
    <s v="EC01"/>
    <s v="PRODUCCION"/>
    <n v="700056"/>
    <x v="0"/>
    <s v="CEMENTOS"/>
    <m/>
    <m/>
    <s v="Cementos"/>
    <x v="16"/>
    <x v="16"/>
    <s v="7999999995PRODUCCIONCEMENTOS"/>
    <x v="3"/>
    <x v="0"/>
  </r>
  <r>
    <n v="7999999995"/>
    <s v="TRASLADO DE COSTOS"/>
    <m/>
    <n v="-116378.67774260887"/>
    <s v="UN"/>
    <s v="M"/>
    <s v="1430050101"/>
    <s v="INV. PTO MANUFACTURA"/>
    <s v="EC01"/>
    <s v="PRODUCCION"/>
    <n v="700056"/>
    <x v="0"/>
    <s v="CEMENTOS"/>
    <m/>
    <m/>
    <s v="Cementos"/>
    <x v="16"/>
    <x v="16"/>
    <s v="7999999995PRODUCCIONCEMENTOS"/>
    <x v="3"/>
    <x v="0"/>
  </r>
  <r>
    <n v="7999999995"/>
    <s v="TRASLADO DE COSTOS"/>
    <m/>
    <n v="-108060.69843100851"/>
    <s v="UN"/>
    <s v="M"/>
    <s v="1430050101"/>
    <s v="INV. PTO MANUFACTURA"/>
    <s v="EC01"/>
    <s v="PRODUCCION"/>
    <n v="700056"/>
    <x v="0"/>
    <s v="CEMENTOS"/>
    <m/>
    <m/>
    <s v="Cementos"/>
    <x v="16"/>
    <x v="16"/>
    <s v="7999999995PRODUCCIONCEMENTOS"/>
    <x v="3"/>
    <x v="0"/>
  </r>
  <r>
    <n v="7999999995"/>
    <s v="TRASLADO DE COSTOS"/>
    <m/>
    <n v="-109081.02475788211"/>
    <s v="UN"/>
    <s v="M"/>
    <s v="1430050101"/>
    <s v="INV. PTO MANUFACTURA"/>
    <s v="EC01"/>
    <s v="PRODUCCION"/>
    <n v="700056"/>
    <x v="0"/>
    <s v="CEMENTOS"/>
    <m/>
    <m/>
    <s v="Cementos"/>
    <x v="16"/>
    <x v="16"/>
    <s v="7999999995PRODUCCIONCEMENTOS"/>
    <x v="3"/>
    <x v="0"/>
  </r>
  <r>
    <m/>
    <m/>
    <m/>
    <m/>
    <m/>
    <m/>
    <m/>
    <m/>
    <m/>
    <m/>
    <m/>
    <x v="12"/>
    <m/>
    <m/>
    <m/>
    <m/>
    <x v="17"/>
    <x v="17"/>
    <m/>
    <x v="48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13282A1-6795-4564-90C8-0F5380BD2933}" name="TablaDinámica4" cacheId="0" applyNumberFormats="0" applyBorderFormats="0" applyFontFormats="0" applyPatternFormats="0" applyAlignmentFormats="0" applyWidthHeightFormats="1" dataCaption="Valores" errorCaption="0" showError="1" missingCaption="0" updatedVersion="8" minRefreshableVersion="3" useAutoFormatting="1" itemPrintTitles="1" createdVersion="6" indent="0" compact="0" compactData="0" multipleFieldFilters="0">
  <location ref="J4:N54" firstHeaderRow="0" firstDataRow="1" firstDataCol="2" rowPageCount="2" colPageCount="1"/>
  <pivotFields count="22">
    <pivotField compact="0" outline="0" showAll="0" defaultSubtotal="0"/>
    <pivotField compact="0" outline="0" showAll="0" defaultSubtotal="0"/>
    <pivotField dataField="1" compact="0" outline="0" showAll="0" defaultSubtotal="0"/>
    <pivotField dataField="1"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numFmtId="14" outline="0" showAll="0" defaultSubtotal="0"/>
    <pivotField compact="0" numFmtId="14" outline="0" showAll="0" defaultSubtotal="0"/>
    <pivotField compact="0" outline="0" showAll="0" defaultSubtotal="0"/>
    <pivotField axis="axisPage" compact="0" outline="0" showAll="0" defaultSubtotal="0">
      <items count="19">
        <item x="4"/>
        <item x="1"/>
        <item x="0"/>
        <item x="2"/>
        <item x="6"/>
        <item x="7"/>
        <item m="1" x="18"/>
        <item x="11"/>
        <item x="8"/>
        <item x="10"/>
        <item x="5"/>
        <item x="14"/>
        <item x="9"/>
        <item x="13"/>
        <item x="12"/>
        <item x="15"/>
        <item x="17"/>
        <item x="3"/>
        <item x="16"/>
      </items>
    </pivotField>
    <pivotField axis="axisPage" compact="0" outline="0" multipleItemSelectionAllowed="1" showAll="0" sortType="ascending" defaultSubtotal="0">
      <items count="19">
        <item m="1" x="18"/>
        <item x="6"/>
        <item x="7"/>
        <item x="0"/>
        <item x="2"/>
        <item x="1"/>
        <item x="4"/>
        <item x="11"/>
        <item x="10"/>
        <item x="5"/>
        <item x="9"/>
        <item x="8"/>
        <item x="14"/>
        <item x="12"/>
        <item x="13"/>
        <item x="15"/>
        <item x="3"/>
        <item x="16"/>
        <item x="17"/>
      </items>
    </pivotField>
    <pivotField compact="0" outline="0" showAll="0" defaultSubtotal="0"/>
    <pivotField axis="axisRow" compact="0" outline="0" subtotalTop="0" showAll="0" defaultSubtotal="0">
      <items count="49">
        <item x="28"/>
        <item x="1"/>
        <item x="19"/>
        <item x="15"/>
        <item x="7"/>
        <item x="24"/>
        <item x="8"/>
        <item x="0"/>
        <item x="2"/>
        <item x="3"/>
        <item x="20"/>
        <item x="30"/>
        <item x="27"/>
        <item x="26"/>
        <item x="14"/>
        <item x="4"/>
        <item x="9"/>
        <item x="10"/>
        <item x="11"/>
        <item x="12"/>
        <item x="18"/>
        <item x="31"/>
        <item x="48"/>
        <item x="5"/>
        <item x="13"/>
        <item x="25"/>
        <item x="6"/>
        <item x="32"/>
        <item x="33"/>
        <item x="34"/>
        <item x="35"/>
        <item x="17"/>
        <item x="29"/>
        <item x="16"/>
        <item x="38"/>
        <item x="39"/>
        <item x="21"/>
        <item x="22"/>
        <item x="23"/>
        <item x="37"/>
        <item x="36"/>
        <item x="40"/>
        <item x="41"/>
        <item x="42"/>
        <item x="43"/>
        <item x="44"/>
        <item x="45"/>
        <item x="46"/>
        <item x="47"/>
      </items>
    </pivotField>
    <pivotField axis="axisRow" compact="0" outline="0" subtotalTop="0" showAll="0" defaultSubtotal="0">
      <items count="2">
        <item x="0"/>
        <item x="1"/>
      </items>
    </pivotField>
    <pivotField dataField="1" compact="0" outline="0" subtotalTop="0" dragToRow="0" dragToCol="0" dragToPage="0" showAll="0" defaultSubtotal="0"/>
  </pivotFields>
  <rowFields count="2">
    <field x="20"/>
    <field x="19"/>
  </rowFields>
  <rowItems count="50">
    <i>
      <x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1"/>
    </i>
    <i r="1">
      <x v="23"/>
    </i>
    <i r="1">
      <x v="24"/>
    </i>
    <i r="1">
      <x v="25"/>
    </i>
    <i r="1">
      <x v="26"/>
    </i>
    <i r="1">
      <x v="27"/>
    </i>
    <i r="1">
      <x v="28"/>
    </i>
    <i r="1">
      <x v="29"/>
    </i>
    <i r="1">
      <x v="30"/>
    </i>
    <i r="1">
      <x v="31"/>
    </i>
    <i r="1">
      <x v="32"/>
    </i>
    <i r="1">
      <x v="33"/>
    </i>
    <i r="1">
      <x v="34"/>
    </i>
    <i r="1">
      <x v="35"/>
    </i>
    <i r="1">
      <x v="36"/>
    </i>
    <i r="1">
      <x v="37"/>
    </i>
    <i r="1">
      <x v="38"/>
    </i>
    <i r="1">
      <x v="39"/>
    </i>
    <i r="1">
      <x v="40"/>
    </i>
    <i r="1">
      <x v="41"/>
    </i>
    <i r="1">
      <x v="42"/>
    </i>
    <i r="1">
      <x v="43"/>
    </i>
    <i r="1">
      <x v="44"/>
    </i>
    <i r="1">
      <x v="45"/>
    </i>
    <i r="1">
      <x v="46"/>
    </i>
    <i r="1">
      <x v="47"/>
    </i>
    <i r="1">
      <x v="48"/>
    </i>
    <i>
      <x v="1"/>
      <x v="22"/>
    </i>
    <i t="grand">
      <x/>
    </i>
  </rowItems>
  <colFields count="1">
    <field x="-2"/>
  </colFields>
  <colItems count="3">
    <i>
      <x/>
    </i>
    <i i="1">
      <x v="1"/>
    </i>
    <i i="2">
      <x v="2"/>
    </i>
  </colItems>
  <pageFields count="2">
    <pageField fld="17" hier="-1"/>
    <pageField fld="16" hier="-1"/>
  </pageFields>
  <dataFields count="3">
    <dataField name=" Cantidad" fld="3" baseField="19" baseItem="0" numFmtId="41"/>
    <dataField name="Valor" fld="2" baseField="19" baseItem="10"/>
    <dataField name="Suma de Costo" fld="21" baseField="0" baseItem="0"/>
  </dataFields>
  <formats count="1">
    <format dxfId="0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8C484B5-E3D5-462F-A689-0ABF8505A019}" name="TablaDinámica3" cacheId="0" applyNumberFormats="0" applyBorderFormats="0" applyFontFormats="0" applyPatternFormats="0" applyAlignmentFormats="0" applyWidthHeightFormats="1" dataCaption="Valores" errorCaption="0" showError="1" missingCaption="0" updatedVersion="8" minRefreshableVersion="3" useAutoFormatting="1" itemPrintTitles="1" createdVersion="6" indent="0" compact="0" compactData="0" multipleFieldFilters="0">
  <location ref="A3:F124" firstHeaderRow="0" firstDataRow="1" firstDataCol="3" rowPageCount="1" colPageCount="1"/>
  <pivotFields count="22">
    <pivotField compact="0" outline="0" showAll="0" defaultSubtotal="0"/>
    <pivotField compact="0" outline="0" showAll="0" defaultSubtotal="0"/>
    <pivotField dataField="1" compact="0" outline="0" showAll="0" defaultSubtotal="0"/>
    <pivotField dataField="1"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axis="axisPage" compact="0" outline="0" multipleItemSelectionAllowed="1" showAll="0" defaultSubtotal="0">
      <items count="13">
        <item x="7"/>
        <item n="1" x="0"/>
        <item x="1"/>
        <item x="2"/>
        <item x="3"/>
        <item x="4"/>
        <item x="5"/>
        <item x="6"/>
        <item x="8"/>
        <item x="9"/>
        <item x="10"/>
        <item x="11"/>
        <item x="12"/>
      </items>
    </pivotField>
    <pivotField compact="0" outline="0" showAll="0" defaultSubtotal="0"/>
    <pivotField compact="0" numFmtId="14" outline="0" showAll="0" defaultSubtotal="0"/>
    <pivotField compact="0" numFmtId="14" outline="0" showAll="0" defaultSubtotal="0"/>
    <pivotField compact="0" outline="0" showAll="0" defaultSubtotal="0"/>
    <pivotField axis="axisRow" compact="0" outline="0" showAll="0" defaultSubtotal="0">
      <items count="19">
        <item x="4"/>
        <item x="1"/>
        <item x="0"/>
        <item x="2"/>
        <item x="6"/>
        <item x="7"/>
        <item m="1" x="18"/>
        <item x="11"/>
        <item x="8"/>
        <item x="10"/>
        <item x="5"/>
        <item x="14"/>
        <item x="9"/>
        <item x="13"/>
        <item x="12"/>
        <item x="17"/>
        <item x="15"/>
        <item x="3"/>
        <item x="16"/>
      </items>
    </pivotField>
    <pivotField axis="axisRow" compact="0" outline="0" showAll="0" sortType="ascending" defaultSubtotal="0">
      <items count="19">
        <item m="1" x="18"/>
        <item x="6"/>
        <item x="7"/>
        <item x="0"/>
        <item x="2"/>
        <item x="1"/>
        <item x="4"/>
        <item x="11"/>
        <item x="10"/>
        <item x="5"/>
        <item x="9"/>
        <item x="8"/>
        <item x="14"/>
        <item x="12"/>
        <item x="13"/>
        <item x="15"/>
        <item x="3"/>
        <item x="16"/>
        <item x="17"/>
      </items>
    </pivotField>
    <pivotField compact="0" outline="0" showAll="0" defaultSubtotal="0"/>
    <pivotField axis="axisRow" compact="0" outline="0" subtotalTop="0" showAll="0" defaultSubtotal="0">
      <items count="49">
        <item x="28"/>
        <item x="1"/>
        <item x="19"/>
        <item x="15"/>
        <item x="7"/>
        <item x="24"/>
        <item x="8"/>
        <item x="0"/>
        <item x="2"/>
        <item x="3"/>
        <item x="20"/>
        <item x="30"/>
        <item x="27"/>
        <item x="26"/>
        <item x="14"/>
        <item x="4"/>
        <item x="9"/>
        <item x="10"/>
        <item x="11"/>
        <item x="12"/>
        <item x="18"/>
        <item x="31"/>
        <item x="48"/>
        <item x="5"/>
        <item x="13"/>
        <item x="25"/>
        <item x="6"/>
        <item x="32"/>
        <item x="33"/>
        <item x="34"/>
        <item x="35"/>
        <item x="17"/>
        <item x="29"/>
        <item x="16"/>
        <item x="38"/>
        <item x="39"/>
        <item x="21"/>
        <item x="22"/>
        <item x="23"/>
        <item x="37"/>
        <item x="36"/>
        <item x="40"/>
        <item x="41"/>
        <item x="42"/>
        <item x="43"/>
        <item x="44"/>
        <item x="45"/>
        <item x="46"/>
        <item x="47"/>
      </items>
    </pivotField>
    <pivotField compact="0" outline="0" subtotalTop="0" showAll="0" defaultSubtotal="0"/>
    <pivotField dataField="1" compact="0" outline="0" subtotalTop="0" dragToRow="0" dragToCol="0" dragToPage="0" showAll="0" defaultSubtotal="0"/>
  </pivotFields>
  <rowFields count="3">
    <field x="17"/>
    <field x="16"/>
    <field x="19"/>
  </rowFields>
  <rowItems count="121">
    <i>
      <x v="1"/>
      <x v="4"/>
      <x/>
    </i>
    <i r="2">
      <x v="1"/>
    </i>
    <i r="2">
      <x v="9"/>
    </i>
    <i r="2">
      <x v="32"/>
    </i>
    <i r="2">
      <x v="41"/>
    </i>
    <i r="2">
      <x v="43"/>
    </i>
    <i r="2">
      <x v="45"/>
    </i>
    <i>
      <x v="2"/>
      <x v="5"/>
      <x v="1"/>
    </i>
    <i r="2">
      <x v="9"/>
    </i>
    <i r="2">
      <x v="32"/>
    </i>
    <i r="2">
      <x v="41"/>
    </i>
    <i r="2">
      <x v="43"/>
    </i>
    <i r="2">
      <x v="45"/>
    </i>
    <i>
      <x v="3"/>
      <x v="2"/>
      <x v="1"/>
    </i>
    <i r="2">
      <x v="7"/>
    </i>
    <i r="2">
      <x v="8"/>
    </i>
    <i r="2">
      <x v="9"/>
    </i>
    <i r="2">
      <x v="15"/>
    </i>
    <i r="2">
      <x v="23"/>
    </i>
    <i r="2">
      <x v="26"/>
    </i>
    <i r="2">
      <x v="43"/>
    </i>
    <i>
      <x v="4"/>
      <x v="3"/>
      <x v="3"/>
    </i>
    <i r="2">
      <x v="9"/>
    </i>
    <i r="2">
      <x v="27"/>
    </i>
    <i r="2">
      <x v="31"/>
    </i>
    <i r="2">
      <x v="42"/>
    </i>
    <i r="2">
      <x v="43"/>
    </i>
    <i r="2">
      <x v="44"/>
    </i>
    <i>
      <x v="5"/>
      <x v="1"/>
      <x v="4"/>
    </i>
    <i r="2">
      <x v="6"/>
    </i>
    <i r="2">
      <x v="9"/>
    </i>
    <i r="2">
      <x v="14"/>
    </i>
    <i r="2">
      <x v="16"/>
    </i>
    <i r="2">
      <x v="17"/>
    </i>
    <i r="2">
      <x v="18"/>
    </i>
    <i r="2">
      <x v="19"/>
    </i>
    <i r="2">
      <x v="24"/>
    </i>
    <i r="2">
      <x v="28"/>
    </i>
    <i r="2">
      <x v="30"/>
    </i>
    <i r="2">
      <x v="33"/>
    </i>
    <i r="2">
      <x v="43"/>
    </i>
    <i>
      <x v="6"/>
      <x/>
      <x v="2"/>
    </i>
    <i r="2">
      <x v="5"/>
    </i>
    <i r="2">
      <x v="9"/>
    </i>
    <i r="2">
      <x v="10"/>
    </i>
    <i r="2">
      <x v="14"/>
    </i>
    <i r="2">
      <x v="20"/>
    </i>
    <i r="2">
      <x v="25"/>
    </i>
    <i r="2">
      <x v="29"/>
    </i>
    <i r="2">
      <x v="36"/>
    </i>
    <i r="2">
      <x v="37"/>
    </i>
    <i r="2">
      <x v="38"/>
    </i>
    <i r="2">
      <x v="43"/>
    </i>
    <i>
      <x v="7"/>
      <x v="7"/>
      <x v="2"/>
    </i>
    <i r="2">
      <x v="5"/>
    </i>
    <i r="2">
      <x v="9"/>
    </i>
    <i r="2">
      <x v="10"/>
    </i>
    <i r="2">
      <x v="14"/>
    </i>
    <i r="2">
      <x v="20"/>
    </i>
    <i r="2">
      <x v="25"/>
    </i>
    <i r="2">
      <x v="29"/>
    </i>
    <i r="2">
      <x v="36"/>
    </i>
    <i r="2">
      <x v="37"/>
    </i>
    <i r="2">
      <x v="38"/>
    </i>
    <i r="2">
      <x v="43"/>
    </i>
    <i>
      <x v="8"/>
      <x v="9"/>
      <x v="9"/>
    </i>
    <i r="2">
      <x v="12"/>
    </i>
    <i r="2">
      <x v="13"/>
    </i>
    <i r="2">
      <x v="43"/>
    </i>
    <i>
      <x v="9"/>
      <x v="10"/>
      <x v="9"/>
    </i>
    <i r="2">
      <x v="12"/>
    </i>
    <i r="2">
      <x v="13"/>
    </i>
    <i r="2">
      <x v="43"/>
    </i>
    <i>
      <x v="10"/>
      <x v="12"/>
      <x v="9"/>
    </i>
    <i r="2">
      <x v="12"/>
    </i>
    <i r="2">
      <x v="13"/>
    </i>
    <i r="2">
      <x v="43"/>
    </i>
    <i>
      <x v="11"/>
      <x v="8"/>
      <x v="9"/>
    </i>
    <i r="2">
      <x v="11"/>
    </i>
    <i r="2">
      <x v="12"/>
    </i>
    <i r="2">
      <x v="43"/>
    </i>
    <i>
      <x v="12"/>
      <x v="11"/>
      <x v="9"/>
    </i>
    <i r="2">
      <x v="12"/>
    </i>
    <i r="2">
      <x v="21"/>
    </i>
    <i r="2">
      <x v="43"/>
    </i>
    <i>
      <x v="13"/>
      <x v="14"/>
      <x v="2"/>
    </i>
    <i r="2">
      <x v="5"/>
    </i>
    <i r="2">
      <x v="9"/>
    </i>
    <i r="2">
      <x v="10"/>
    </i>
    <i r="2">
      <x v="14"/>
    </i>
    <i r="2">
      <x v="20"/>
    </i>
    <i r="2">
      <x v="25"/>
    </i>
    <i>
      <x v="14"/>
      <x v="13"/>
      <x v="2"/>
    </i>
    <i r="2">
      <x v="5"/>
    </i>
    <i r="2">
      <x v="9"/>
    </i>
    <i r="2">
      <x v="10"/>
    </i>
    <i r="2">
      <x v="14"/>
    </i>
    <i r="2">
      <x v="20"/>
    </i>
    <i r="2">
      <x v="25"/>
    </i>
    <i r="2">
      <x v="29"/>
    </i>
    <i r="2">
      <x v="36"/>
    </i>
    <i r="2">
      <x v="37"/>
    </i>
    <i r="2">
      <x v="38"/>
    </i>
    <i r="2">
      <x v="43"/>
    </i>
    <i>
      <x v="15"/>
      <x v="16"/>
      <x v="9"/>
    </i>
    <i r="2">
      <x v="11"/>
    </i>
    <i r="2">
      <x v="12"/>
    </i>
    <i>
      <x v="16"/>
      <x v="17"/>
      <x v="9"/>
    </i>
    <i r="2">
      <x v="33"/>
    </i>
    <i r="2">
      <x v="34"/>
    </i>
    <i r="2">
      <x v="35"/>
    </i>
    <i r="2">
      <x v="39"/>
    </i>
    <i r="2">
      <x v="40"/>
    </i>
    <i r="2">
      <x v="43"/>
    </i>
    <i r="2">
      <x v="46"/>
    </i>
    <i r="2">
      <x v="47"/>
    </i>
    <i>
      <x v="17"/>
      <x v="18"/>
      <x v="9"/>
    </i>
    <i r="2">
      <x v="43"/>
    </i>
    <i r="2">
      <x v="48"/>
    </i>
    <i>
      <x v="18"/>
      <x v="15"/>
      <x v="22"/>
    </i>
    <i t="grand">
      <x/>
    </i>
  </rowItems>
  <colFields count="1">
    <field x="-2"/>
  </colFields>
  <colItems count="3">
    <i>
      <x/>
    </i>
    <i i="1">
      <x v="1"/>
    </i>
    <i i="2">
      <x v="2"/>
    </i>
  </colItems>
  <pageFields count="1">
    <pageField fld="11" hier="-1"/>
  </pageFields>
  <dataFields count="3">
    <dataField name=" Cantidad" fld="3" baseField="19" baseItem="0" numFmtId="41"/>
    <dataField name="Valor" fld="2" baseField="19" baseItem="10"/>
    <dataField name="Suma de Costo" fld="21" baseField="0" baseItem="0"/>
  </dataFields>
  <formats count="1">
    <format dxfId="1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280339-5CA8-4648-B588-E0FDB0F0A982}">
  <dimension ref="B1:Y484"/>
  <sheetViews>
    <sheetView topLeftCell="A474" zoomScaleNormal="100" workbookViewId="0">
      <selection activeCell="H479" sqref="H479"/>
    </sheetView>
  </sheetViews>
  <sheetFormatPr baseColWidth="10" defaultRowHeight="14.4" outlineLevelCol="1" x14ac:dyDescent="0.3"/>
  <cols>
    <col min="1" max="1" width="3.21875" customWidth="1"/>
    <col min="2" max="2" width="41.21875" bestFit="1" customWidth="1"/>
    <col min="3" max="3" width="9.33203125" bestFit="1" customWidth="1"/>
    <col min="4" max="4" width="11.44140625" hidden="1" customWidth="1" outlineLevel="1"/>
    <col min="5" max="5" width="11.21875" hidden="1" customWidth="1" outlineLevel="1"/>
    <col min="6" max="6" width="11.6640625" hidden="1" customWidth="1" outlineLevel="1"/>
    <col min="7" max="7" width="11.109375" hidden="1" customWidth="1" outlineLevel="1"/>
    <col min="8" max="8" width="14" bestFit="1" customWidth="1" collapsed="1"/>
    <col min="9" max="19" width="13" bestFit="1" customWidth="1"/>
    <col min="21" max="21" width="58.44140625" bestFit="1" customWidth="1"/>
    <col min="22" max="22" width="30.77734375" bestFit="1" customWidth="1"/>
    <col min="23" max="23" width="12" bestFit="1" customWidth="1"/>
    <col min="24" max="24" width="15" bestFit="1" customWidth="1"/>
    <col min="25" max="25" width="10" bestFit="1" customWidth="1"/>
  </cols>
  <sheetData>
    <row r="1" spans="2:19" ht="15" x14ac:dyDescent="0.35">
      <c r="B1" s="35" t="s">
        <v>52</v>
      </c>
      <c r="C1" s="35" t="s">
        <v>1</v>
      </c>
      <c r="D1" s="1">
        <v>45901</v>
      </c>
      <c r="E1" s="1">
        <v>45931</v>
      </c>
      <c r="F1" s="1">
        <v>45962</v>
      </c>
      <c r="G1" s="1">
        <v>45992</v>
      </c>
      <c r="H1" s="1">
        <v>46023</v>
      </c>
      <c r="I1" s="1">
        <v>46054</v>
      </c>
      <c r="J1" s="1">
        <v>46082</v>
      </c>
      <c r="K1" s="1">
        <v>46113</v>
      </c>
      <c r="L1" s="1">
        <v>46143</v>
      </c>
      <c r="M1" s="1">
        <v>46174</v>
      </c>
      <c r="N1" s="1">
        <v>46204</v>
      </c>
      <c r="O1" s="1">
        <v>46235</v>
      </c>
      <c r="P1" s="1">
        <v>46266</v>
      </c>
      <c r="Q1" s="1">
        <v>46296</v>
      </c>
      <c r="R1" s="1">
        <v>46327</v>
      </c>
      <c r="S1" s="1">
        <v>46357</v>
      </c>
    </row>
    <row r="2" spans="2:19" ht="15" x14ac:dyDescent="0.35">
      <c r="B2" s="12" t="s">
        <v>0</v>
      </c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</row>
    <row r="3" spans="2:19" ht="15" x14ac:dyDescent="0.35">
      <c r="B3" s="5" t="s">
        <v>675</v>
      </c>
      <c r="C3" s="6" t="s">
        <v>36</v>
      </c>
      <c r="D3" s="4">
        <f>D4*0.9+(D4+D6)*0.1</f>
        <v>14277.344000000001</v>
      </c>
      <c r="E3" s="4">
        <f>E4*0.9+(E4+E6)*0.1</f>
        <v>14277.344000000001</v>
      </c>
      <c r="F3" s="4">
        <f>F4*0.9+(F4+F6)*0.1</f>
        <v>14277.344000000001</v>
      </c>
      <c r="G3" s="4">
        <f>G4*0.9+(G4+G6)*0.1</f>
        <v>14277.344000000001</v>
      </c>
      <c r="H3" s="4">
        <f t="shared" ref="H3:S3" si="0">H4*H129+(H4+H6)*H130</f>
        <v>13978.131776</v>
      </c>
      <c r="I3" s="4">
        <f t="shared" si="0"/>
        <v>13978.131776</v>
      </c>
      <c r="J3" s="4">
        <f t="shared" si="0"/>
        <v>13978.131776</v>
      </c>
      <c r="K3" s="4">
        <f t="shared" si="0"/>
        <v>13978.131776</v>
      </c>
      <c r="L3" s="4">
        <f t="shared" si="0"/>
        <v>13978.131776</v>
      </c>
      <c r="M3" s="4">
        <f t="shared" si="0"/>
        <v>13978.131776</v>
      </c>
      <c r="N3" s="4">
        <f t="shared" si="0"/>
        <v>13978.131776</v>
      </c>
      <c r="O3" s="4">
        <f t="shared" si="0"/>
        <v>13978.131776</v>
      </c>
      <c r="P3" s="4">
        <f t="shared" si="0"/>
        <v>13978.131776</v>
      </c>
      <c r="Q3" s="4">
        <f t="shared" si="0"/>
        <v>13978.131776</v>
      </c>
      <c r="R3" s="4">
        <f t="shared" si="0"/>
        <v>13978.131776</v>
      </c>
      <c r="S3" s="4">
        <f t="shared" si="0"/>
        <v>13978.131776</v>
      </c>
    </row>
    <row r="4" spans="2:19" ht="15" x14ac:dyDescent="0.35">
      <c r="B4" t="s">
        <v>673</v>
      </c>
      <c r="C4" s="3" t="s">
        <v>36</v>
      </c>
      <c r="D4" s="2">
        <v>13974.06</v>
      </c>
      <c r="E4" s="2">
        <v>13974.06</v>
      </c>
      <c r="F4" s="2">
        <v>13974.06</v>
      </c>
      <c r="G4" s="2">
        <v>13974.06</v>
      </c>
      <c r="H4" s="2">
        <v>13819.21096</v>
      </c>
      <c r="I4" s="2">
        <f>H4</f>
        <v>13819.21096</v>
      </c>
      <c r="J4" s="2">
        <f t="shared" ref="J4:S4" si="1">I4</f>
        <v>13819.21096</v>
      </c>
      <c r="K4" s="2">
        <f t="shared" si="1"/>
        <v>13819.21096</v>
      </c>
      <c r="L4" s="2">
        <f t="shared" si="1"/>
        <v>13819.21096</v>
      </c>
      <c r="M4" s="2">
        <f t="shared" si="1"/>
        <v>13819.21096</v>
      </c>
      <c r="N4" s="2">
        <f t="shared" si="1"/>
        <v>13819.21096</v>
      </c>
      <c r="O4" s="2">
        <f t="shared" si="1"/>
        <v>13819.21096</v>
      </c>
      <c r="P4" s="2">
        <f t="shared" si="1"/>
        <v>13819.21096</v>
      </c>
      <c r="Q4" s="2">
        <f t="shared" si="1"/>
        <v>13819.21096</v>
      </c>
      <c r="R4" s="2">
        <f t="shared" si="1"/>
        <v>13819.21096</v>
      </c>
      <c r="S4" s="2">
        <f t="shared" si="1"/>
        <v>13819.21096</v>
      </c>
    </row>
    <row r="5" spans="2:19" ht="15" x14ac:dyDescent="0.35">
      <c r="B5" t="s">
        <v>674</v>
      </c>
      <c r="C5" s="3" t="s">
        <v>36</v>
      </c>
      <c r="D5" s="2">
        <v>11628.05</v>
      </c>
      <c r="E5" s="2">
        <v>11628.05</v>
      </c>
      <c r="F5" s="2">
        <v>11628.05</v>
      </c>
      <c r="G5" s="2">
        <v>11628.05</v>
      </c>
      <c r="H5" s="2">
        <v>10623.14632</v>
      </c>
      <c r="I5" s="2">
        <v>10623.14632</v>
      </c>
      <c r="J5" s="2">
        <v>10623.14632</v>
      </c>
      <c r="K5" s="2">
        <v>10623.14632</v>
      </c>
      <c r="L5" s="2">
        <v>10623.14632</v>
      </c>
      <c r="M5" s="2">
        <v>10623.14632</v>
      </c>
      <c r="N5" s="2">
        <v>10623.14632</v>
      </c>
      <c r="O5" s="2">
        <v>10623.14632</v>
      </c>
      <c r="P5" s="2">
        <v>10623.14632</v>
      </c>
      <c r="Q5" s="2">
        <v>10623.14632</v>
      </c>
      <c r="R5" s="2">
        <v>10623.14632</v>
      </c>
      <c r="S5" s="2">
        <v>10623.14632</v>
      </c>
    </row>
    <row r="6" spans="2:19" ht="15" x14ac:dyDescent="0.35">
      <c r="B6" t="s">
        <v>86</v>
      </c>
      <c r="C6" s="3" t="s">
        <v>36</v>
      </c>
      <c r="D6" s="2">
        <v>3032.84</v>
      </c>
      <c r="E6" s="2">
        <v>3032.84</v>
      </c>
      <c r="F6" s="2">
        <v>3032.84</v>
      </c>
      <c r="G6" s="2">
        <v>3032.84</v>
      </c>
      <c r="H6" s="2">
        <v>3178.4163200000003</v>
      </c>
      <c r="I6" s="2">
        <v>3178.4163200000003</v>
      </c>
      <c r="J6" s="2">
        <v>3178.4163200000003</v>
      </c>
      <c r="K6" s="2">
        <v>3178.4163200000003</v>
      </c>
      <c r="L6" s="2">
        <v>3178.4163200000003</v>
      </c>
      <c r="M6" s="2">
        <v>3178.4163200000003</v>
      </c>
      <c r="N6" s="2">
        <v>3178.4163200000003</v>
      </c>
      <c r="O6" s="2">
        <v>3178.4163200000003</v>
      </c>
      <c r="P6" s="2">
        <v>3178.4163200000003</v>
      </c>
      <c r="Q6" s="2">
        <v>3178.4163200000003</v>
      </c>
      <c r="R6" s="2">
        <v>3178.4163200000003</v>
      </c>
      <c r="S6" s="2">
        <v>3178.4163200000003</v>
      </c>
    </row>
    <row r="7" spans="2:19" ht="15" x14ac:dyDescent="0.35">
      <c r="B7" t="s">
        <v>676</v>
      </c>
      <c r="C7" s="3" t="s">
        <v>36</v>
      </c>
      <c r="D7" s="2">
        <v>36831.381503999997</v>
      </c>
      <c r="E7" s="2">
        <v>36831.381503999997</v>
      </c>
      <c r="F7" s="2">
        <v>36831.381503999997</v>
      </c>
      <c r="G7" s="2">
        <v>36831.381503999997</v>
      </c>
      <c r="H7" s="2">
        <v>36831.381503999997</v>
      </c>
      <c r="I7" s="2">
        <v>36831.381503999997</v>
      </c>
      <c r="J7" s="2">
        <v>36831.381503999997</v>
      </c>
      <c r="K7" s="2">
        <v>36831.381503999997</v>
      </c>
      <c r="L7" s="2">
        <v>36831.381503999997</v>
      </c>
      <c r="M7" s="2">
        <v>36831.381503999997</v>
      </c>
      <c r="N7" s="2">
        <v>36831.381503999997</v>
      </c>
      <c r="O7" s="2">
        <v>36831.381503999997</v>
      </c>
      <c r="P7" s="2">
        <v>36831.381503999997</v>
      </c>
      <c r="Q7" s="2">
        <v>36831.381503999997</v>
      </c>
      <c r="R7" s="2">
        <v>36831.381503999997</v>
      </c>
      <c r="S7" s="2">
        <v>36831.381503999997</v>
      </c>
    </row>
    <row r="8" spans="2:19" ht="15" x14ac:dyDescent="0.35">
      <c r="B8" s="5" t="s">
        <v>5</v>
      </c>
      <c r="C8" s="6" t="s">
        <v>36</v>
      </c>
      <c r="D8" s="4">
        <f>D16*0.5+D17*0.5</f>
        <v>174584.139</v>
      </c>
      <c r="E8" s="4">
        <f t="shared" ref="E8:G8" si="2">E16*0.5+E17*0.5</f>
        <v>174584.139</v>
      </c>
      <c r="F8" s="4">
        <f t="shared" si="2"/>
        <v>174584.139</v>
      </c>
      <c r="G8" s="4">
        <f t="shared" si="2"/>
        <v>174584.139</v>
      </c>
      <c r="H8" s="4">
        <f t="shared" ref="H8:S8" si="3">H16*H136+H17*H137</f>
        <v>209813.2</v>
      </c>
      <c r="I8" s="4">
        <f t="shared" si="3"/>
        <v>209813.2</v>
      </c>
      <c r="J8" s="4">
        <f t="shared" si="3"/>
        <v>209813.2</v>
      </c>
      <c r="K8" s="4">
        <f t="shared" si="3"/>
        <v>209813.2</v>
      </c>
      <c r="L8" s="4">
        <f t="shared" si="3"/>
        <v>209813.2</v>
      </c>
      <c r="M8" s="4">
        <f t="shared" si="3"/>
        <v>209813.2</v>
      </c>
      <c r="N8" s="4">
        <f t="shared" si="3"/>
        <v>209813.2</v>
      </c>
      <c r="O8" s="4">
        <f t="shared" si="3"/>
        <v>209813.2</v>
      </c>
      <c r="P8" s="4">
        <f t="shared" si="3"/>
        <v>209813.2</v>
      </c>
      <c r="Q8" s="4">
        <f t="shared" si="3"/>
        <v>209813.2</v>
      </c>
      <c r="R8" s="4">
        <f t="shared" si="3"/>
        <v>209813.2</v>
      </c>
      <c r="S8" s="4">
        <f t="shared" si="3"/>
        <v>209813.2</v>
      </c>
    </row>
    <row r="9" spans="2:19" ht="15" x14ac:dyDescent="0.35">
      <c r="B9" s="5" t="s">
        <v>6</v>
      </c>
      <c r="C9" s="6" t="s">
        <v>36</v>
      </c>
      <c r="D9" s="4">
        <f>D18*0.43+D19*0.36+D20*0.21</f>
        <v>142315.37515000001</v>
      </c>
      <c r="E9" s="4">
        <f t="shared" ref="E9:G9" si="4">E18*0.43+E19*0.36+E20*0.21</f>
        <v>142315.37515000001</v>
      </c>
      <c r="F9" s="4">
        <f t="shared" si="4"/>
        <v>142315.37515000001</v>
      </c>
      <c r="G9" s="4">
        <f t="shared" si="4"/>
        <v>142315.37515000001</v>
      </c>
      <c r="H9" s="4">
        <f t="shared" ref="H9:S9" si="5">H18*H138+H19*H139+H20*H140</f>
        <v>149376.25136550001</v>
      </c>
      <c r="I9" s="4">
        <f t="shared" si="5"/>
        <v>149376.25136550001</v>
      </c>
      <c r="J9" s="4">
        <f t="shared" si="5"/>
        <v>149376.25136550001</v>
      </c>
      <c r="K9" s="4">
        <f t="shared" si="5"/>
        <v>149376.25136550001</v>
      </c>
      <c r="L9" s="4">
        <f t="shared" si="5"/>
        <v>149376.25136550001</v>
      </c>
      <c r="M9" s="4">
        <f t="shared" si="5"/>
        <v>149376.25136550001</v>
      </c>
      <c r="N9" s="4">
        <f t="shared" si="5"/>
        <v>149376.25136550001</v>
      </c>
      <c r="O9" s="4">
        <f t="shared" si="5"/>
        <v>149376.25136550001</v>
      </c>
      <c r="P9" s="4">
        <f t="shared" si="5"/>
        <v>149376.25136550001</v>
      </c>
      <c r="Q9" s="4">
        <f t="shared" si="5"/>
        <v>149376.25136550001</v>
      </c>
      <c r="R9" s="4">
        <f t="shared" si="5"/>
        <v>149376.25136550001</v>
      </c>
      <c r="S9" s="4">
        <f t="shared" si="5"/>
        <v>149376.25136550001</v>
      </c>
    </row>
    <row r="10" spans="2:19" ht="15" x14ac:dyDescent="0.35">
      <c r="B10" s="5" t="s">
        <v>7</v>
      </c>
      <c r="C10" s="6" t="s">
        <v>36</v>
      </c>
      <c r="D10" s="4">
        <f>D11*0.3+D12*0.3+D13*0.05+D14*0.17+D15*0.18</f>
        <v>337846.06106689997</v>
      </c>
      <c r="E10" s="4">
        <f t="shared" ref="E10:F10" si="6">E11*0.3+E12*0.3+E13*0.05+E14*0.17+E15*0.18</f>
        <v>337846.06106689997</v>
      </c>
      <c r="F10" s="4">
        <f t="shared" si="6"/>
        <v>337846.06106689997</v>
      </c>
      <c r="G10" s="4">
        <f>G11*0.3+G12*0.3+G13*0.05+G14*0.17+G15*0.18</f>
        <v>337846.06106689997</v>
      </c>
      <c r="H10" s="4">
        <f t="shared" ref="H10:S10" si="7">H11*H131+H12*H132+H13*H133+H14*H134+H15*H135</f>
        <v>345241.537702</v>
      </c>
      <c r="I10" s="4">
        <f t="shared" si="7"/>
        <v>345241.537702</v>
      </c>
      <c r="J10" s="4">
        <f t="shared" si="7"/>
        <v>345241.537702</v>
      </c>
      <c r="K10" s="4">
        <f t="shared" si="7"/>
        <v>345241.537702</v>
      </c>
      <c r="L10" s="4">
        <f t="shared" si="7"/>
        <v>345241.537702</v>
      </c>
      <c r="M10" s="4">
        <f t="shared" si="7"/>
        <v>345241.537702</v>
      </c>
      <c r="N10" s="4">
        <f t="shared" si="7"/>
        <v>345241.537702</v>
      </c>
      <c r="O10" s="4">
        <f t="shared" si="7"/>
        <v>345241.537702</v>
      </c>
      <c r="P10" s="4">
        <f t="shared" si="7"/>
        <v>345241.537702</v>
      </c>
      <c r="Q10" s="4">
        <f t="shared" si="7"/>
        <v>345241.537702</v>
      </c>
      <c r="R10" s="4">
        <f t="shared" si="7"/>
        <v>345241.537702</v>
      </c>
      <c r="S10" s="4">
        <f t="shared" si="7"/>
        <v>345241.537702</v>
      </c>
    </row>
    <row r="11" spans="2:19" ht="15" x14ac:dyDescent="0.35">
      <c r="B11" t="s">
        <v>8</v>
      </c>
      <c r="C11" s="3" t="s">
        <v>36</v>
      </c>
      <c r="D11" s="2">
        <v>364231.23580749996</v>
      </c>
      <c r="E11" s="2">
        <v>364231.23580749996</v>
      </c>
      <c r="F11" s="2">
        <v>364231.23580749996</v>
      </c>
      <c r="G11" s="2">
        <v>364231.23580749996</v>
      </c>
      <c r="H11" s="2">
        <v>367329.30085</v>
      </c>
      <c r="I11" s="2">
        <v>367329.30085</v>
      </c>
      <c r="J11" s="2">
        <v>367329.30085</v>
      </c>
      <c r="K11" s="2">
        <v>367329.30085</v>
      </c>
      <c r="L11" s="2">
        <v>367329.30085</v>
      </c>
      <c r="M11" s="2">
        <v>367329.30085</v>
      </c>
      <c r="N11" s="2">
        <v>367329.30085</v>
      </c>
      <c r="O11" s="2">
        <v>367329.30085</v>
      </c>
      <c r="P11" s="2">
        <v>367329.30085</v>
      </c>
      <c r="Q11" s="2">
        <v>367329.30085</v>
      </c>
      <c r="R11" s="2">
        <v>367329.30085</v>
      </c>
      <c r="S11" s="2">
        <v>367329.30085</v>
      </c>
    </row>
    <row r="12" spans="2:19" ht="15" x14ac:dyDescent="0.35">
      <c r="B12" t="s">
        <v>9</v>
      </c>
      <c r="C12" s="3" t="s">
        <v>36</v>
      </c>
      <c r="D12" s="2">
        <v>363394</v>
      </c>
      <c r="E12" s="2">
        <v>363394</v>
      </c>
      <c r="F12" s="2">
        <v>363394</v>
      </c>
      <c r="G12" s="2">
        <v>363394</v>
      </c>
      <c r="H12" s="2">
        <v>379673.75</v>
      </c>
      <c r="I12" s="2">
        <v>379673.75</v>
      </c>
      <c r="J12" s="2">
        <v>379673.75</v>
      </c>
      <c r="K12" s="2">
        <v>379673.75</v>
      </c>
      <c r="L12" s="2">
        <v>379673.75</v>
      </c>
      <c r="M12" s="2">
        <v>379673.75</v>
      </c>
      <c r="N12" s="2">
        <v>379673.75</v>
      </c>
      <c r="O12" s="2">
        <v>379673.75</v>
      </c>
      <c r="P12" s="2">
        <v>379673.75</v>
      </c>
      <c r="Q12" s="2">
        <v>379673.75</v>
      </c>
      <c r="R12" s="2">
        <v>379673.75</v>
      </c>
      <c r="S12" s="2">
        <v>379673.75</v>
      </c>
    </row>
    <row r="13" spans="2:19" ht="15" x14ac:dyDescent="0.35">
      <c r="B13" t="s">
        <v>10</v>
      </c>
      <c r="C13" s="3" t="s">
        <v>36</v>
      </c>
      <c r="D13" s="2">
        <v>336354.43580749998</v>
      </c>
      <c r="E13" s="2">
        <v>336354.43580749998</v>
      </c>
      <c r="F13" s="2">
        <v>336354.43580749998</v>
      </c>
      <c r="G13" s="2">
        <v>336354.43580749998</v>
      </c>
      <c r="H13" s="2">
        <v>332646.30085</v>
      </c>
      <c r="I13" s="2">
        <v>332646.30085</v>
      </c>
      <c r="J13" s="2">
        <v>332646.30085</v>
      </c>
      <c r="K13" s="2">
        <v>332646.30085</v>
      </c>
      <c r="L13" s="2">
        <v>332646.30085</v>
      </c>
      <c r="M13" s="2">
        <v>332646.30085</v>
      </c>
      <c r="N13" s="2">
        <v>332646.30085</v>
      </c>
      <c r="O13" s="2">
        <v>332646.30085</v>
      </c>
      <c r="P13" s="2">
        <v>332646.30085</v>
      </c>
      <c r="Q13" s="2">
        <v>332646.30085</v>
      </c>
      <c r="R13" s="2">
        <v>332646.30085</v>
      </c>
      <c r="S13" s="2">
        <v>332646.30085</v>
      </c>
    </row>
    <row r="14" spans="2:19" ht="15" x14ac:dyDescent="0.35">
      <c r="B14" t="s">
        <v>87</v>
      </c>
      <c r="C14" s="3" t="s">
        <v>36</v>
      </c>
      <c r="D14" s="2">
        <v>336354.43580749998</v>
      </c>
      <c r="E14" s="2">
        <v>336354.43580749998</v>
      </c>
      <c r="F14" s="2">
        <v>336354.43580749998</v>
      </c>
      <c r="G14" s="2">
        <v>336354.43580749998</v>
      </c>
      <c r="H14" s="2">
        <v>332646.30085</v>
      </c>
      <c r="I14" s="2">
        <v>332646.30085</v>
      </c>
      <c r="J14" s="2">
        <v>332646.30085</v>
      </c>
      <c r="K14" s="2">
        <v>332646.30085</v>
      </c>
      <c r="L14" s="2">
        <v>332646.30085</v>
      </c>
      <c r="M14" s="2">
        <v>332646.30085</v>
      </c>
      <c r="N14" s="2">
        <v>332646.30085</v>
      </c>
      <c r="O14" s="2">
        <v>332646.30085</v>
      </c>
      <c r="P14" s="2">
        <v>332646.30085</v>
      </c>
      <c r="Q14" s="2">
        <v>332646.30085</v>
      </c>
      <c r="R14" s="2">
        <v>332646.30085</v>
      </c>
      <c r="S14" s="2">
        <v>332646.30085</v>
      </c>
    </row>
    <row r="15" spans="2:19" ht="15" x14ac:dyDescent="0.35">
      <c r="B15" t="s">
        <v>11</v>
      </c>
      <c r="C15" s="3" t="s">
        <v>36</v>
      </c>
      <c r="D15" s="2">
        <v>253113.96914999996</v>
      </c>
      <c r="E15" s="2">
        <v>253113.96914999996</v>
      </c>
      <c r="F15" s="2">
        <v>253113.96914999996</v>
      </c>
      <c r="G15" s="2">
        <v>253113.96914999996</v>
      </c>
      <c r="H15" s="2">
        <v>266435.75699999998</v>
      </c>
      <c r="I15" s="2">
        <v>266435.75699999998</v>
      </c>
      <c r="J15" s="2">
        <v>266435.75699999998</v>
      </c>
      <c r="K15" s="2">
        <v>266435.75699999998</v>
      </c>
      <c r="L15" s="2">
        <v>266435.75699999998</v>
      </c>
      <c r="M15" s="2">
        <v>266435.75699999998</v>
      </c>
      <c r="N15" s="2">
        <v>266435.75699999998</v>
      </c>
      <c r="O15" s="2">
        <v>266435.75699999998</v>
      </c>
      <c r="P15" s="2">
        <v>266435.75699999998</v>
      </c>
      <c r="Q15" s="2">
        <v>266435.75699999998</v>
      </c>
      <c r="R15" s="2">
        <v>266435.75699999998</v>
      </c>
      <c r="S15" s="2">
        <v>266435.75699999998</v>
      </c>
    </row>
    <row r="16" spans="2:19" ht="15" x14ac:dyDescent="0.35">
      <c r="B16" t="s">
        <v>88</v>
      </c>
      <c r="C16" s="3" t="s">
        <v>36</v>
      </c>
      <c r="D16" s="2">
        <v>174584.139</v>
      </c>
      <c r="E16" s="2">
        <v>174584.139</v>
      </c>
      <c r="F16" s="2">
        <v>174584.139</v>
      </c>
      <c r="G16" s="2">
        <v>174584.139</v>
      </c>
      <c r="H16" s="2">
        <v>209813.2</v>
      </c>
      <c r="I16" s="2">
        <v>209813.2</v>
      </c>
      <c r="J16" s="2">
        <v>209813.2</v>
      </c>
      <c r="K16" s="2">
        <v>209813.2</v>
      </c>
      <c r="L16" s="2">
        <v>209813.2</v>
      </c>
      <c r="M16" s="2">
        <v>209813.2</v>
      </c>
      <c r="N16" s="2">
        <v>209813.2</v>
      </c>
      <c r="O16" s="2">
        <v>209813.2</v>
      </c>
      <c r="P16" s="2">
        <v>209813.2</v>
      </c>
      <c r="Q16" s="2">
        <v>209813.2</v>
      </c>
      <c r="R16" s="2">
        <v>209813.2</v>
      </c>
      <c r="S16" s="2">
        <v>209813.2</v>
      </c>
    </row>
    <row r="17" spans="2:19" ht="15" x14ac:dyDescent="0.35">
      <c r="B17" t="s">
        <v>89</v>
      </c>
      <c r="C17" s="3" t="s">
        <v>36</v>
      </c>
      <c r="D17" s="2">
        <v>174584.139</v>
      </c>
      <c r="E17" s="2">
        <v>174584.139</v>
      </c>
      <c r="F17" s="2">
        <v>174584.139</v>
      </c>
      <c r="G17" s="2">
        <v>174584.139</v>
      </c>
      <c r="H17" s="2">
        <v>209813.2</v>
      </c>
      <c r="I17" s="2">
        <v>209813.2</v>
      </c>
      <c r="J17" s="2">
        <v>209813.2</v>
      </c>
      <c r="K17" s="2">
        <v>209813.2</v>
      </c>
      <c r="L17" s="2">
        <v>209813.2</v>
      </c>
      <c r="M17" s="2">
        <v>209813.2</v>
      </c>
      <c r="N17" s="2">
        <v>209813.2</v>
      </c>
      <c r="O17" s="2">
        <v>209813.2</v>
      </c>
      <c r="P17" s="2">
        <v>209813.2</v>
      </c>
      <c r="Q17" s="2">
        <v>209813.2</v>
      </c>
      <c r="R17" s="2">
        <v>209813.2</v>
      </c>
      <c r="S17" s="2">
        <v>209813.2</v>
      </c>
    </row>
    <row r="18" spans="2:19" ht="15" x14ac:dyDescent="0.35">
      <c r="B18" t="s">
        <v>12</v>
      </c>
      <c r="C18" s="3" t="s">
        <v>36</v>
      </c>
      <c r="D18" s="2">
        <v>141616.47700000001</v>
      </c>
      <c r="E18" s="2">
        <v>141616.47700000001</v>
      </c>
      <c r="F18" s="2">
        <v>141616.47700000001</v>
      </c>
      <c r="G18" s="2">
        <v>141616.47700000001</v>
      </c>
      <c r="H18" s="2">
        <v>148649.30085</v>
      </c>
      <c r="I18" s="2">
        <v>148649.30085</v>
      </c>
      <c r="J18" s="2">
        <v>148649.30085</v>
      </c>
      <c r="K18" s="2">
        <v>148649.30085</v>
      </c>
      <c r="L18" s="2">
        <v>148649.30085</v>
      </c>
      <c r="M18" s="2">
        <v>148649.30085</v>
      </c>
      <c r="N18" s="2">
        <v>148649.30085</v>
      </c>
      <c r="O18" s="2">
        <v>148649.30085</v>
      </c>
      <c r="P18" s="2">
        <v>148649.30085</v>
      </c>
      <c r="Q18" s="2">
        <v>148649.30085</v>
      </c>
      <c r="R18" s="2">
        <v>148649.30085</v>
      </c>
      <c r="S18" s="2">
        <v>148649.30085</v>
      </c>
    </row>
    <row r="19" spans="2:19" ht="15" x14ac:dyDescent="0.35">
      <c r="B19" t="s">
        <v>13</v>
      </c>
      <c r="C19" s="3" t="s">
        <v>36</v>
      </c>
      <c r="D19" s="2">
        <v>134584.139</v>
      </c>
      <c r="E19" s="2">
        <v>134584.139</v>
      </c>
      <c r="F19" s="2">
        <v>134584.139</v>
      </c>
      <c r="G19" s="2">
        <v>134584.139</v>
      </c>
      <c r="H19" s="2">
        <v>141253.20000000001</v>
      </c>
      <c r="I19" s="2">
        <v>141253.20000000001</v>
      </c>
      <c r="J19" s="2">
        <v>141253.20000000001</v>
      </c>
      <c r="K19" s="2">
        <v>141253.20000000001</v>
      </c>
      <c r="L19" s="2">
        <v>141253.20000000001</v>
      </c>
      <c r="M19" s="2">
        <v>141253.20000000001</v>
      </c>
      <c r="N19" s="2">
        <v>141253.20000000001</v>
      </c>
      <c r="O19" s="2">
        <v>141253.20000000001</v>
      </c>
      <c r="P19" s="2">
        <v>141253.20000000001</v>
      </c>
      <c r="Q19" s="2">
        <v>141253.20000000001</v>
      </c>
      <c r="R19" s="2">
        <v>141253.20000000001</v>
      </c>
      <c r="S19" s="2">
        <v>141253.20000000001</v>
      </c>
    </row>
    <row r="20" spans="2:19" ht="15" x14ac:dyDescent="0.35">
      <c r="B20" t="s">
        <v>14</v>
      </c>
      <c r="C20" s="3" t="s">
        <v>36</v>
      </c>
      <c r="D20" s="2">
        <v>157000</v>
      </c>
      <c r="E20" s="2">
        <v>157000</v>
      </c>
      <c r="F20" s="2">
        <v>157000</v>
      </c>
      <c r="G20" s="2">
        <v>157000</v>
      </c>
      <c r="H20" s="2">
        <v>164790</v>
      </c>
      <c r="I20" s="2">
        <v>164790</v>
      </c>
      <c r="J20" s="2">
        <v>164790</v>
      </c>
      <c r="K20" s="2">
        <v>164790</v>
      </c>
      <c r="L20" s="2">
        <v>164790</v>
      </c>
      <c r="M20" s="2">
        <v>164790</v>
      </c>
      <c r="N20" s="2">
        <v>164790</v>
      </c>
      <c r="O20" s="2">
        <v>164790</v>
      </c>
      <c r="P20" s="2">
        <v>164790</v>
      </c>
      <c r="Q20" s="2">
        <v>164790</v>
      </c>
      <c r="R20" s="2">
        <v>164790</v>
      </c>
      <c r="S20" s="2">
        <v>164790</v>
      </c>
    </row>
    <row r="21" spans="2:19" ht="15" x14ac:dyDescent="0.35">
      <c r="B21" s="7" t="s">
        <v>15</v>
      </c>
      <c r="C21" s="8" t="s">
        <v>36</v>
      </c>
      <c r="D21" s="8">
        <v>108388</v>
      </c>
      <c r="E21" s="8">
        <v>112723.52</v>
      </c>
      <c r="F21" s="8">
        <v>112723.52</v>
      </c>
      <c r="G21" s="8">
        <v>112723.52</v>
      </c>
      <c r="H21" s="8">
        <v>133350</v>
      </c>
      <c r="I21" s="8">
        <v>133350</v>
      </c>
      <c r="J21" s="8">
        <v>133350</v>
      </c>
      <c r="K21" s="8">
        <v>133350</v>
      </c>
      <c r="L21" s="8">
        <v>133350</v>
      </c>
      <c r="M21" s="8">
        <v>133350</v>
      </c>
      <c r="N21" s="8">
        <v>133350</v>
      </c>
      <c r="O21" s="8">
        <v>133350</v>
      </c>
      <c r="P21" s="8">
        <v>133350</v>
      </c>
      <c r="Q21" s="8">
        <v>133350</v>
      </c>
      <c r="R21" s="8">
        <v>133350</v>
      </c>
      <c r="S21" s="8">
        <v>133350</v>
      </c>
    </row>
    <row r="22" spans="2:19" ht="15" x14ac:dyDescent="0.35">
      <c r="B22" s="7" t="s">
        <v>16</v>
      </c>
      <c r="C22" s="8" t="s">
        <v>36</v>
      </c>
      <c r="D22" s="8">
        <v>96379</v>
      </c>
      <c r="E22" s="8">
        <v>100234.16</v>
      </c>
      <c r="F22" s="8">
        <v>100234.16</v>
      </c>
      <c r="G22" s="8">
        <v>100234.16</v>
      </c>
      <c r="H22" s="8">
        <v>123497.30085</v>
      </c>
      <c r="I22" s="8">
        <v>123497.30085</v>
      </c>
      <c r="J22" s="8">
        <v>123497.30085</v>
      </c>
      <c r="K22" s="8">
        <v>123497.30085</v>
      </c>
      <c r="L22" s="8">
        <v>123497.30085</v>
      </c>
      <c r="M22" s="8">
        <v>123497.30085</v>
      </c>
      <c r="N22" s="8">
        <v>123497.30085</v>
      </c>
      <c r="O22" s="8">
        <v>123497.30085</v>
      </c>
      <c r="P22" s="8">
        <v>123497.30085</v>
      </c>
      <c r="Q22" s="8">
        <v>123497.30085</v>
      </c>
      <c r="R22" s="8">
        <v>123497.30085</v>
      </c>
      <c r="S22" s="8">
        <v>123497.30085</v>
      </c>
    </row>
    <row r="23" spans="2:19" ht="15" x14ac:dyDescent="0.35">
      <c r="B23" s="7" t="s">
        <v>17</v>
      </c>
      <c r="C23" s="8" t="s">
        <v>36</v>
      </c>
      <c r="D23" s="8">
        <v>60000</v>
      </c>
      <c r="E23" s="8">
        <v>62400</v>
      </c>
      <c r="F23" s="8">
        <v>62400</v>
      </c>
      <c r="G23" s="8">
        <v>62400</v>
      </c>
      <c r="H23" s="8">
        <v>68363.756999999998</v>
      </c>
      <c r="I23" s="8">
        <v>68363.756999999998</v>
      </c>
      <c r="J23" s="8">
        <v>68363.756999999998</v>
      </c>
      <c r="K23" s="8">
        <v>68363.756999999998</v>
      </c>
      <c r="L23" s="8">
        <v>68363.756999999998</v>
      </c>
      <c r="M23" s="8">
        <v>68363.756999999998</v>
      </c>
      <c r="N23" s="8">
        <v>68363.756999999998</v>
      </c>
      <c r="O23" s="8">
        <v>68363.756999999998</v>
      </c>
      <c r="P23" s="8">
        <v>68363.756999999998</v>
      </c>
      <c r="Q23" s="8">
        <v>68363.756999999998</v>
      </c>
      <c r="R23" s="8">
        <v>68363.756999999998</v>
      </c>
      <c r="S23" s="8">
        <v>68363.756999999998</v>
      </c>
    </row>
    <row r="24" spans="2:19" ht="15" x14ac:dyDescent="0.35">
      <c r="B24" s="7" t="s">
        <v>18</v>
      </c>
      <c r="C24" s="8" t="s">
        <v>36</v>
      </c>
      <c r="D24" s="8">
        <v>60000</v>
      </c>
      <c r="E24" s="8">
        <v>62400</v>
      </c>
      <c r="F24" s="8">
        <v>62400</v>
      </c>
      <c r="G24" s="8">
        <v>62400</v>
      </c>
      <c r="H24" s="8">
        <v>109813.20000000001</v>
      </c>
      <c r="I24" s="8">
        <v>109813.20000000001</v>
      </c>
      <c r="J24" s="8">
        <v>109813.20000000001</v>
      </c>
      <c r="K24" s="8">
        <v>109813.20000000001</v>
      </c>
      <c r="L24" s="8">
        <v>109813.20000000001</v>
      </c>
      <c r="M24" s="8">
        <v>109813.20000000001</v>
      </c>
      <c r="N24" s="8">
        <v>109813.20000000001</v>
      </c>
      <c r="O24" s="8">
        <v>109813.20000000001</v>
      </c>
      <c r="P24" s="8">
        <v>109813.20000000001</v>
      </c>
      <c r="Q24" s="8">
        <v>109813.20000000001</v>
      </c>
      <c r="R24" s="8">
        <v>109813.20000000001</v>
      </c>
      <c r="S24" s="8">
        <v>109813.20000000001</v>
      </c>
    </row>
    <row r="25" spans="2:19" ht="15" x14ac:dyDescent="0.35">
      <c r="B25" s="7" t="s">
        <v>19</v>
      </c>
      <c r="C25" s="8" t="s">
        <v>36</v>
      </c>
      <c r="D25" s="8">
        <v>60000</v>
      </c>
      <c r="E25" s="8">
        <v>62400</v>
      </c>
      <c r="F25" s="8">
        <v>62400</v>
      </c>
      <c r="G25" s="8">
        <v>62400</v>
      </c>
      <c r="H25" s="8">
        <v>68363.756999999998</v>
      </c>
      <c r="I25" s="8">
        <v>68363.756999999998</v>
      </c>
      <c r="J25" s="8">
        <v>68363.756999999998</v>
      </c>
      <c r="K25" s="8">
        <v>68363.756999999998</v>
      </c>
      <c r="L25" s="8">
        <v>68363.756999999998</v>
      </c>
      <c r="M25" s="8">
        <v>68363.756999999998</v>
      </c>
      <c r="N25" s="8">
        <v>68363.756999999998</v>
      </c>
      <c r="O25" s="8">
        <v>68363.756999999998</v>
      </c>
      <c r="P25" s="8">
        <v>68363.756999999998</v>
      </c>
      <c r="Q25" s="8">
        <v>68363.756999999998</v>
      </c>
      <c r="R25" s="8">
        <v>68363.756999999998</v>
      </c>
      <c r="S25" s="8">
        <v>68363.756999999998</v>
      </c>
    </row>
    <row r="26" spans="2:19" ht="15" x14ac:dyDescent="0.35">
      <c r="B26" s="5" t="s">
        <v>90</v>
      </c>
      <c r="C26" s="6" t="s">
        <v>36</v>
      </c>
      <c r="D26" s="4">
        <f>D30*0.5+D31*0.05+D32*0.12+D33*0.15+D34*0.02+D35*0.01+D36*0.15+D37*0</f>
        <v>310957.51700000017</v>
      </c>
      <c r="E26" s="4">
        <f t="shared" ref="E26:S26" si="8">E30*0.5+E31*0.05+E32*0.12+E33*0.15+E34*0.02+E35*0.01+E36*0.15+E37*0</f>
        <v>310957.51700000017</v>
      </c>
      <c r="F26" s="4">
        <f t="shared" si="8"/>
        <v>310957.51700000017</v>
      </c>
      <c r="G26" s="4">
        <f t="shared" si="8"/>
        <v>310957.51700000017</v>
      </c>
      <c r="H26" s="4">
        <f>H30*H141+H31*H142+H32*H143+H33*H144+H34*H145+H35*H146+H36*H147+H37*H148</f>
        <v>318229.74285000004</v>
      </c>
      <c r="I26" s="4">
        <f>I30*0.5+I31*0.05+I32*0.12+I33*0.15+I34*0.02+I35*0.01+I36*0.15+I37*0</f>
        <v>318229.74285000004</v>
      </c>
      <c r="J26" s="4">
        <f t="shared" si="8"/>
        <v>318229.74285000004</v>
      </c>
      <c r="K26" s="4">
        <f t="shared" si="8"/>
        <v>318229.74285000004</v>
      </c>
      <c r="L26" s="4">
        <f t="shared" si="8"/>
        <v>318229.74285000004</v>
      </c>
      <c r="M26" s="4">
        <f t="shared" si="8"/>
        <v>318229.74285000004</v>
      </c>
      <c r="N26" s="4">
        <f t="shared" si="8"/>
        <v>318229.74285000004</v>
      </c>
      <c r="O26" s="4">
        <f t="shared" si="8"/>
        <v>318229.74285000004</v>
      </c>
      <c r="P26" s="4">
        <f t="shared" si="8"/>
        <v>318229.74285000004</v>
      </c>
      <c r="Q26" s="4">
        <f t="shared" si="8"/>
        <v>318229.74285000004</v>
      </c>
      <c r="R26" s="4">
        <f t="shared" si="8"/>
        <v>318229.74285000004</v>
      </c>
      <c r="S26" s="4">
        <f t="shared" si="8"/>
        <v>318229.74285000004</v>
      </c>
    </row>
    <row r="27" spans="2:19" ht="15" x14ac:dyDescent="0.35">
      <c r="B27" s="5" t="s">
        <v>91</v>
      </c>
      <c r="C27" s="6" t="s">
        <v>36</v>
      </c>
      <c r="D27" s="4">
        <f>D38*0.3+D39*0.3+D40*0.4</f>
        <v>304467.55095238122</v>
      </c>
      <c r="E27" s="4">
        <f t="shared" ref="E27:G27" si="9">E38*0.3+E39*0.3+E40*0.4</f>
        <v>304467.55095238122</v>
      </c>
      <c r="F27" s="4">
        <f t="shared" si="9"/>
        <v>304467.55095238122</v>
      </c>
      <c r="G27" s="4">
        <f t="shared" si="9"/>
        <v>304467.55095238122</v>
      </c>
      <c r="H27" s="4">
        <f t="shared" ref="H27:S27" si="10">H38*H149+H39*H150+H40*H151</f>
        <v>318422.60304545483</v>
      </c>
      <c r="I27" s="4">
        <f t="shared" si="10"/>
        <v>318422.60304545483</v>
      </c>
      <c r="J27" s="4">
        <f t="shared" si="10"/>
        <v>318422.60304545483</v>
      </c>
      <c r="K27" s="4">
        <f t="shared" si="10"/>
        <v>318422.60304545483</v>
      </c>
      <c r="L27" s="4">
        <f t="shared" si="10"/>
        <v>318422.60304545483</v>
      </c>
      <c r="M27" s="4">
        <f t="shared" si="10"/>
        <v>318422.60304545483</v>
      </c>
      <c r="N27" s="4">
        <f t="shared" si="10"/>
        <v>318422.60304545483</v>
      </c>
      <c r="O27" s="4">
        <f t="shared" si="10"/>
        <v>318422.60304545483</v>
      </c>
      <c r="P27" s="4">
        <f t="shared" si="10"/>
        <v>318422.60304545483</v>
      </c>
      <c r="Q27" s="4">
        <f t="shared" si="10"/>
        <v>318422.60304545483</v>
      </c>
      <c r="R27" s="4">
        <f t="shared" si="10"/>
        <v>318422.60304545483</v>
      </c>
      <c r="S27" s="4">
        <f t="shared" si="10"/>
        <v>318422.60304545483</v>
      </c>
    </row>
    <row r="28" spans="2:19" ht="15" x14ac:dyDescent="0.35">
      <c r="B28" s="5" t="s">
        <v>92</v>
      </c>
      <c r="C28" s="6" t="s">
        <v>36</v>
      </c>
      <c r="D28" s="4">
        <f>+D41</f>
        <v>322952.38095238118</v>
      </c>
      <c r="E28" s="4">
        <f t="shared" ref="E28:S29" si="11">+E41</f>
        <v>322952.38095238118</v>
      </c>
      <c r="F28" s="4">
        <f t="shared" si="11"/>
        <v>322952.38095238118</v>
      </c>
      <c r="G28" s="4">
        <f t="shared" si="11"/>
        <v>322952.38095238118</v>
      </c>
      <c r="H28" s="4">
        <f t="shared" si="11"/>
        <v>335465.18181818182</v>
      </c>
      <c r="I28" s="4">
        <f t="shared" ref="I28:S28" si="12">+I41</f>
        <v>335465.18181818182</v>
      </c>
      <c r="J28" s="4">
        <f t="shared" si="12"/>
        <v>335465.18181818182</v>
      </c>
      <c r="K28" s="4">
        <f t="shared" si="12"/>
        <v>335465.18181818182</v>
      </c>
      <c r="L28" s="4">
        <f t="shared" si="12"/>
        <v>335465.18181818182</v>
      </c>
      <c r="M28" s="4">
        <f t="shared" si="12"/>
        <v>335465.18181818182</v>
      </c>
      <c r="N28" s="4">
        <f t="shared" si="12"/>
        <v>335465.18181818182</v>
      </c>
      <c r="O28" s="4">
        <f t="shared" si="12"/>
        <v>335465.18181818182</v>
      </c>
      <c r="P28" s="4">
        <f t="shared" si="12"/>
        <v>335465.18181818182</v>
      </c>
      <c r="Q28" s="4">
        <f t="shared" si="12"/>
        <v>335465.18181818182</v>
      </c>
      <c r="R28" s="4">
        <f t="shared" si="12"/>
        <v>335465.18181818182</v>
      </c>
      <c r="S28" s="4">
        <f t="shared" si="12"/>
        <v>335465.18181818182</v>
      </c>
    </row>
    <row r="29" spans="2:19" ht="15" x14ac:dyDescent="0.35">
      <c r="B29" s="5" t="s">
        <v>93</v>
      </c>
      <c r="C29" s="6" t="s">
        <v>36</v>
      </c>
      <c r="D29" s="4">
        <f>+D42</f>
        <v>283952.38095238118</v>
      </c>
      <c r="E29" s="4">
        <f t="shared" si="11"/>
        <v>283952.38095238118</v>
      </c>
      <c r="F29" s="4">
        <f t="shared" si="11"/>
        <v>283952.38095238118</v>
      </c>
      <c r="G29" s="4">
        <f t="shared" si="11"/>
        <v>283952.38095238118</v>
      </c>
      <c r="H29" s="4">
        <f t="shared" si="11"/>
        <v>294593.18181818182</v>
      </c>
      <c r="I29" s="4">
        <f t="shared" si="11"/>
        <v>294593.18181818182</v>
      </c>
      <c r="J29" s="4">
        <f t="shared" si="11"/>
        <v>294593.18181818182</v>
      </c>
      <c r="K29" s="4">
        <f t="shared" si="11"/>
        <v>294593.18181818182</v>
      </c>
      <c r="L29" s="4">
        <f t="shared" si="11"/>
        <v>294593.18181818182</v>
      </c>
      <c r="M29" s="4">
        <f t="shared" si="11"/>
        <v>294593.18181818182</v>
      </c>
      <c r="N29" s="4">
        <f t="shared" si="11"/>
        <v>294593.18181818182</v>
      </c>
      <c r="O29" s="4">
        <f t="shared" si="11"/>
        <v>294593.18181818182</v>
      </c>
      <c r="P29" s="4">
        <f t="shared" si="11"/>
        <v>294593.18181818182</v>
      </c>
      <c r="Q29" s="4">
        <f t="shared" si="11"/>
        <v>294593.18181818182</v>
      </c>
      <c r="R29" s="4">
        <f t="shared" si="11"/>
        <v>294593.18181818182</v>
      </c>
      <c r="S29" s="4">
        <f t="shared" si="11"/>
        <v>294593.18181818182</v>
      </c>
    </row>
    <row r="30" spans="2:19" ht="15" x14ac:dyDescent="0.35">
      <c r="B30" t="s">
        <v>94</v>
      </c>
      <c r="C30" s="3" t="s">
        <v>36</v>
      </c>
      <c r="D30" s="2">
        <v>318052.38095238118</v>
      </c>
      <c r="E30" s="2">
        <v>318052.38095238118</v>
      </c>
      <c r="F30" s="2">
        <v>318052.38095238118</v>
      </c>
      <c r="G30" s="2">
        <v>318052.38095238118</v>
      </c>
      <c r="H30" s="2">
        <v>330329.98181818181</v>
      </c>
      <c r="I30" s="2">
        <v>330329.98181818181</v>
      </c>
      <c r="J30" s="2">
        <v>330329.98181818181</v>
      </c>
      <c r="K30" s="2">
        <v>330329.98181818181</v>
      </c>
      <c r="L30" s="2">
        <v>330329.98181818181</v>
      </c>
      <c r="M30" s="2">
        <v>330329.98181818181</v>
      </c>
      <c r="N30" s="2">
        <v>330329.98181818181</v>
      </c>
      <c r="O30" s="2">
        <v>330329.98181818181</v>
      </c>
      <c r="P30" s="2">
        <v>330329.98181818181</v>
      </c>
      <c r="Q30" s="2">
        <v>330329.98181818181</v>
      </c>
      <c r="R30" s="2">
        <v>330329.98181818181</v>
      </c>
      <c r="S30" s="2">
        <v>330329.98181818181</v>
      </c>
    </row>
    <row r="31" spans="2:19" ht="15" x14ac:dyDescent="0.35">
      <c r="B31" t="s">
        <v>95</v>
      </c>
      <c r="C31" s="3" t="s">
        <v>36</v>
      </c>
      <c r="D31" s="2">
        <v>289488.33809523843</v>
      </c>
      <c r="E31" s="2">
        <v>289488.33809523843</v>
      </c>
      <c r="F31" s="2">
        <v>289488.33809523843</v>
      </c>
      <c r="G31" s="2">
        <v>289488.33809523843</v>
      </c>
      <c r="H31" s="2">
        <v>303722.75500000035</v>
      </c>
      <c r="I31" s="2">
        <v>303722.75500000035</v>
      </c>
      <c r="J31" s="2">
        <v>303722.75500000035</v>
      </c>
      <c r="K31" s="2">
        <v>303722.75500000035</v>
      </c>
      <c r="L31" s="2">
        <v>303722.75500000035</v>
      </c>
      <c r="M31" s="2">
        <v>303722.75500000035</v>
      </c>
      <c r="N31" s="2">
        <v>303722.75500000035</v>
      </c>
      <c r="O31" s="2">
        <v>303722.75500000035</v>
      </c>
      <c r="P31" s="2">
        <v>303722.75500000035</v>
      </c>
      <c r="Q31" s="2">
        <v>303722.75500000035</v>
      </c>
      <c r="R31" s="2">
        <v>303722.75500000035</v>
      </c>
      <c r="S31" s="2">
        <v>303722.75500000035</v>
      </c>
    </row>
    <row r="32" spans="2:19" ht="15" x14ac:dyDescent="0.35">
      <c r="B32" t="s">
        <v>96</v>
      </c>
      <c r="C32" s="3" t="s">
        <v>36</v>
      </c>
      <c r="D32" s="2">
        <v>253952.38095238118</v>
      </c>
      <c r="E32" s="2">
        <v>253952.38095238118</v>
      </c>
      <c r="F32" s="2">
        <v>253952.38095238118</v>
      </c>
      <c r="G32" s="2">
        <v>253952.38095238118</v>
      </c>
      <c r="H32" s="2">
        <v>263153.18181818182</v>
      </c>
      <c r="I32" s="2">
        <v>263153.18181818182</v>
      </c>
      <c r="J32" s="2">
        <v>263153.18181818182</v>
      </c>
      <c r="K32" s="2">
        <v>263153.18181818182</v>
      </c>
      <c r="L32" s="2">
        <v>263153.18181818182</v>
      </c>
      <c r="M32" s="2">
        <v>263153.18181818182</v>
      </c>
      <c r="N32" s="2">
        <v>263153.18181818182</v>
      </c>
      <c r="O32" s="2">
        <v>263153.18181818182</v>
      </c>
      <c r="P32" s="2">
        <v>263153.18181818182</v>
      </c>
      <c r="Q32" s="2">
        <v>263153.18181818182</v>
      </c>
      <c r="R32" s="2">
        <v>263153.18181818182</v>
      </c>
      <c r="S32" s="2">
        <v>263153.18181818182</v>
      </c>
    </row>
    <row r="33" spans="2:19" ht="15" x14ac:dyDescent="0.35">
      <c r="B33" t="s">
        <v>97</v>
      </c>
      <c r="C33" s="3" t="s">
        <v>36</v>
      </c>
      <c r="D33" s="2">
        <v>343952.38095238118</v>
      </c>
      <c r="E33" s="2">
        <v>343952.38095238118</v>
      </c>
      <c r="F33" s="2">
        <v>343952.38095238118</v>
      </c>
      <c r="G33" s="2">
        <v>343952.38095238118</v>
      </c>
      <c r="H33" s="2">
        <v>357473.18181818182</v>
      </c>
      <c r="I33" s="2">
        <v>357473.18181818182</v>
      </c>
      <c r="J33" s="2">
        <v>357473.18181818182</v>
      </c>
      <c r="K33" s="2">
        <v>357473.18181818182</v>
      </c>
      <c r="L33" s="2">
        <v>357473.18181818182</v>
      </c>
      <c r="M33" s="2">
        <v>357473.18181818182</v>
      </c>
      <c r="N33" s="2">
        <v>357473.18181818182</v>
      </c>
      <c r="O33" s="2">
        <v>357473.18181818182</v>
      </c>
      <c r="P33" s="2">
        <v>357473.18181818182</v>
      </c>
      <c r="Q33" s="2">
        <v>357473.18181818182</v>
      </c>
      <c r="R33" s="2">
        <v>357473.18181818182</v>
      </c>
      <c r="S33" s="2">
        <v>357473.18181818182</v>
      </c>
    </row>
    <row r="34" spans="2:19" ht="15" x14ac:dyDescent="0.35">
      <c r="B34" t="s">
        <v>98</v>
      </c>
      <c r="C34" s="3" t="s">
        <v>36</v>
      </c>
      <c r="D34" s="2">
        <v>269488.33809523843</v>
      </c>
      <c r="E34" s="2">
        <v>269488.33809523843</v>
      </c>
      <c r="F34" s="2">
        <v>269488.33809523843</v>
      </c>
      <c r="G34" s="2">
        <v>269488.33809523843</v>
      </c>
      <c r="H34" s="2">
        <v>282762.75500000035</v>
      </c>
      <c r="I34" s="2">
        <v>282762.75500000035</v>
      </c>
      <c r="J34" s="2">
        <v>282762.75500000035</v>
      </c>
      <c r="K34" s="2">
        <v>282762.75500000035</v>
      </c>
      <c r="L34" s="2">
        <v>282762.75500000035</v>
      </c>
      <c r="M34" s="2">
        <v>282762.75500000035</v>
      </c>
      <c r="N34" s="2">
        <v>282762.75500000035</v>
      </c>
      <c r="O34" s="2">
        <v>282762.75500000035</v>
      </c>
      <c r="P34" s="2">
        <v>282762.75500000035</v>
      </c>
      <c r="Q34" s="2">
        <v>282762.75500000035</v>
      </c>
      <c r="R34" s="2">
        <v>282762.75500000035</v>
      </c>
      <c r="S34" s="2">
        <v>282762.75500000035</v>
      </c>
    </row>
    <row r="35" spans="2:19" ht="15" x14ac:dyDescent="0.35">
      <c r="B35" t="s">
        <v>99</v>
      </c>
      <c r="C35" s="3" t="s">
        <v>36</v>
      </c>
      <c r="D35" s="2">
        <v>312500</v>
      </c>
      <c r="E35" s="2">
        <v>312500</v>
      </c>
      <c r="F35" s="2">
        <v>312500</v>
      </c>
      <c r="G35" s="2">
        <v>312500</v>
      </c>
      <c r="H35" s="2">
        <v>293900</v>
      </c>
      <c r="I35" s="2">
        <v>293900</v>
      </c>
      <c r="J35" s="2">
        <v>293900</v>
      </c>
      <c r="K35" s="2">
        <v>293900</v>
      </c>
      <c r="L35" s="2">
        <v>293900</v>
      </c>
      <c r="M35" s="2">
        <v>293900</v>
      </c>
      <c r="N35" s="2">
        <v>293900</v>
      </c>
      <c r="O35" s="2">
        <v>293900</v>
      </c>
      <c r="P35" s="2">
        <v>293900</v>
      </c>
      <c r="Q35" s="2">
        <v>293900</v>
      </c>
      <c r="R35" s="2">
        <v>293900</v>
      </c>
      <c r="S35" s="2">
        <v>293900</v>
      </c>
    </row>
    <row r="36" spans="2:19" ht="15" x14ac:dyDescent="0.35">
      <c r="B36" t="s">
        <v>100</v>
      </c>
      <c r="C36" s="3" t="s">
        <v>36</v>
      </c>
      <c r="D36" s="2">
        <v>312500</v>
      </c>
      <c r="E36" s="2">
        <v>312500</v>
      </c>
      <c r="F36" s="2">
        <v>312500</v>
      </c>
      <c r="G36" s="2">
        <v>312500</v>
      </c>
      <c r="H36" s="2">
        <v>293900</v>
      </c>
      <c r="I36" s="2">
        <v>293900</v>
      </c>
      <c r="J36" s="2">
        <v>293900</v>
      </c>
      <c r="K36" s="2">
        <v>293900</v>
      </c>
      <c r="L36" s="2">
        <v>293900</v>
      </c>
      <c r="M36" s="2">
        <v>293900</v>
      </c>
      <c r="N36" s="2">
        <v>293900</v>
      </c>
      <c r="O36" s="2">
        <v>293900</v>
      </c>
      <c r="P36" s="2">
        <v>293900</v>
      </c>
      <c r="Q36" s="2">
        <v>293900</v>
      </c>
      <c r="R36" s="2">
        <v>293900</v>
      </c>
      <c r="S36" s="2">
        <v>293900</v>
      </c>
    </row>
    <row r="37" spans="2:19" ht="15" x14ac:dyDescent="0.35">
      <c r="B37" t="s">
        <v>101</v>
      </c>
      <c r="C37" s="3" t="s">
        <v>36</v>
      </c>
      <c r="D37" s="2">
        <v>226388.33809523843</v>
      </c>
      <c r="E37" s="2">
        <v>226388.33809523843</v>
      </c>
      <c r="F37" s="2">
        <v>226388.33809523843</v>
      </c>
      <c r="G37" s="2">
        <v>226388.33809523843</v>
      </c>
      <c r="H37" s="2">
        <v>237593.95500000037</v>
      </c>
      <c r="I37" s="2">
        <v>237593.95500000037</v>
      </c>
      <c r="J37" s="2">
        <v>237593.95500000037</v>
      </c>
      <c r="K37" s="2">
        <v>237593.95500000037</v>
      </c>
      <c r="L37" s="2">
        <v>237593.95500000037</v>
      </c>
      <c r="M37" s="2">
        <v>237593.95500000037</v>
      </c>
      <c r="N37" s="2">
        <v>237593.95500000037</v>
      </c>
      <c r="O37" s="2">
        <v>237593.95500000037</v>
      </c>
      <c r="P37" s="2">
        <v>237593.95500000037</v>
      </c>
      <c r="Q37" s="2">
        <v>237593.95500000037</v>
      </c>
      <c r="R37" s="2">
        <v>237593.95500000037</v>
      </c>
      <c r="S37" s="2">
        <v>237593.95500000037</v>
      </c>
    </row>
    <row r="38" spans="2:19" ht="15" x14ac:dyDescent="0.35">
      <c r="B38" t="s">
        <v>102</v>
      </c>
      <c r="C38" s="3" t="s">
        <v>36</v>
      </c>
      <c r="D38" s="2">
        <v>289488.33809523843</v>
      </c>
      <c r="E38" s="2">
        <v>289488.33809523843</v>
      </c>
      <c r="F38" s="2">
        <v>289488.33809523843</v>
      </c>
      <c r="G38" s="2">
        <v>289488.33809523843</v>
      </c>
      <c r="H38" s="2">
        <v>303722.75500000035</v>
      </c>
      <c r="I38" s="2">
        <v>303722.75500000035</v>
      </c>
      <c r="J38" s="2">
        <v>303722.75500000035</v>
      </c>
      <c r="K38" s="2">
        <v>303722.75500000035</v>
      </c>
      <c r="L38" s="2">
        <v>303722.75500000035</v>
      </c>
      <c r="M38" s="2">
        <v>303722.75500000035</v>
      </c>
      <c r="N38" s="2">
        <v>303722.75500000035</v>
      </c>
      <c r="O38" s="2">
        <v>303722.75500000035</v>
      </c>
      <c r="P38" s="2">
        <v>303722.75500000035</v>
      </c>
      <c r="Q38" s="2">
        <v>303722.75500000035</v>
      </c>
      <c r="R38" s="2">
        <v>303722.75500000035</v>
      </c>
      <c r="S38" s="2">
        <v>303722.75500000035</v>
      </c>
    </row>
    <row r="39" spans="2:19" ht="15" x14ac:dyDescent="0.35">
      <c r="B39" t="s">
        <v>103</v>
      </c>
      <c r="C39" s="3" t="s">
        <v>36</v>
      </c>
      <c r="D39" s="2">
        <v>253952.38095238118</v>
      </c>
      <c r="E39" s="2">
        <v>253952.38095238118</v>
      </c>
      <c r="F39" s="2">
        <v>253952.38095238118</v>
      </c>
      <c r="G39" s="2">
        <v>253952.38095238118</v>
      </c>
      <c r="H39" s="2">
        <v>263153.18181818182</v>
      </c>
      <c r="I39" s="2">
        <v>263153.18181818182</v>
      </c>
      <c r="J39" s="2">
        <v>263153.18181818182</v>
      </c>
      <c r="K39" s="2">
        <v>263153.18181818182</v>
      </c>
      <c r="L39" s="2">
        <v>263153.18181818182</v>
      </c>
      <c r="M39" s="2">
        <v>263153.18181818182</v>
      </c>
      <c r="N39" s="2">
        <v>263153.18181818182</v>
      </c>
      <c r="O39" s="2">
        <v>263153.18181818182</v>
      </c>
      <c r="P39" s="2">
        <v>263153.18181818182</v>
      </c>
      <c r="Q39" s="2">
        <v>263153.18181818182</v>
      </c>
      <c r="R39" s="2">
        <v>263153.18181818182</v>
      </c>
      <c r="S39" s="2">
        <v>263153.18181818182</v>
      </c>
    </row>
    <row r="40" spans="2:19" ht="15" x14ac:dyDescent="0.35">
      <c r="B40" t="s">
        <v>104</v>
      </c>
      <c r="C40" s="3" t="s">
        <v>36</v>
      </c>
      <c r="D40" s="2">
        <v>353588.33809523843</v>
      </c>
      <c r="E40" s="2">
        <v>353588.33809523843</v>
      </c>
      <c r="F40" s="2">
        <v>353588.33809523843</v>
      </c>
      <c r="G40" s="2">
        <v>353588.33809523843</v>
      </c>
      <c r="H40" s="2">
        <v>370899.5550000004</v>
      </c>
      <c r="I40" s="2">
        <v>370899.5550000004</v>
      </c>
      <c r="J40" s="2">
        <v>370899.5550000004</v>
      </c>
      <c r="K40" s="2">
        <v>370899.5550000004</v>
      </c>
      <c r="L40" s="2">
        <v>370899.5550000004</v>
      </c>
      <c r="M40" s="2">
        <v>370899.5550000004</v>
      </c>
      <c r="N40" s="2">
        <v>370899.5550000004</v>
      </c>
      <c r="O40" s="2">
        <v>370899.5550000004</v>
      </c>
      <c r="P40" s="2">
        <v>370899.5550000004</v>
      </c>
      <c r="Q40" s="2">
        <v>370899.5550000004</v>
      </c>
      <c r="R40" s="2">
        <v>370899.5550000004</v>
      </c>
      <c r="S40" s="2">
        <v>370899.5550000004</v>
      </c>
    </row>
    <row r="41" spans="2:19" ht="15" x14ac:dyDescent="0.35">
      <c r="B41" t="s">
        <v>105</v>
      </c>
      <c r="C41" s="3" t="s">
        <v>36</v>
      </c>
      <c r="D41" s="2">
        <v>322952.38095238118</v>
      </c>
      <c r="E41" s="2">
        <v>322952.38095238118</v>
      </c>
      <c r="F41" s="2">
        <v>322952.38095238118</v>
      </c>
      <c r="G41" s="2">
        <v>322952.38095238118</v>
      </c>
      <c r="H41" s="2">
        <v>335465.18181818182</v>
      </c>
      <c r="I41" s="2">
        <v>335465.18181818182</v>
      </c>
      <c r="J41" s="2">
        <v>335465.18181818182</v>
      </c>
      <c r="K41" s="2">
        <v>335465.18181818182</v>
      </c>
      <c r="L41" s="2">
        <v>335465.18181818182</v>
      </c>
      <c r="M41" s="2">
        <v>335465.18181818182</v>
      </c>
      <c r="N41" s="2">
        <v>335465.18181818182</v>
      </c>
      <c r="O41" s="2">
        <v>335465.18181818182</v>
      </c>
      <c r="P41" s="2">
        <v>335465.18181818182</v>
      </c>
      <c r="Q41" s="2">
        <v>335465.18181818182</v>
      </c>
      <c r="R41" s="2">
        <v>335465.18181818182</v>
      </c>
      <c r="S41" s="2">
        <v>335465.18181818182</v>
      </c>
    </row>
    <row r="42" spans="2:19" ht="15" x14ac:dyDescent="0.35">
      <c r="B42" t="s">
        <v>106</v>
      </c>
      <c r="C42" s="3" t="s">
        <v>36</v>
      </c>
      <c r="D42" s="2">
        <v>283952.38095238118</v>
      </c>
      <c r="E42" s="2">
        <v>283952.38095238118</v>
      </c>
      <c r="F42" s="2">
        <v>283952.38095238118</v>
      </c>
      <c r="G42" s="2">
        <v>283952.38095238118</v>
      </c>
      <c r="H42" s="2">
        <v>294593.18181818182</v>
      </c>
      <c r="I42" s="2">
        <v>294593.18181818182</v>
      </c>
      <c r="J42" s="2">
        <v>294593.18181818182</v>
      </c>
      <c r="K42" s="2">
        <v>294593.18181818182</v>
      </c>
      <c r="L42" s="2">
        <v>294593.18181818182</v>
      </c>
      <c r="M42" s="2">
        <v>294593.18181818182</v>
      </c>
      <c r="N42" s="2">
        <v>294593.18181818182</v>
      </c>
      <c r="O42" s="2">
        <v>294593.18181818182</v>
      </c>
      <c r="P42" s="2">
        <v>294593.18181818182</v>
      </c>
      <c r="Q42" s="2">
        <v>294593.18181818182</v>
      </c>
      <c r="R42" s="2">
        <v>294593.18181818182</v>
      </c>
      <c r="S42" s="2">
        <v>294593.18181818182</v>
      </c>
    </row>
    <row r="43" spans="2:19" ht="15" x14ac:dyDescent="0.35">
      <c r="B43" s="7" t="s">
        <v>103</v>
      </c>
      <c r="C43" s="9" t="s">
        <v>36</v>
      </c>
      <c r="D43" s="8">
        <v>125529</v>
      </c>
      <c r="E43" s="8">
        <v>125529</v>
      </c>
      <c r="F43" s="8">
        <v>125529</v>
      </c>
      <c r="G43" s="8">
        <v>125529</v>
      </c>
      <c r="H43" s="8">
        <v>128100</v>
      </c>
      <c r="I43" s="8">
        <v>128100</v>
      </c>
      <c r="J43" s="8">
        <v>128100</v>
      </c>
      <c r="K43" s="8">
        <v>128100</v>
      </c>
      <c r="L43" s="8">
        <v>128100</v>
      </c>
      <c r="M43" s="8">
        <v>128100</v>
      </c>
      <c r="N43" s="8">
        <v>128100</v>
      </c>
      <c r="O43" s="8">
        <v>128100</v>
      </c>
      <c r="P43" s="8">
        <v>128100</v>
      </c>
      <c r="Q43" s="8">
        <v>128100</v>
      </c>
      <c r="R43" s="8">
        <v>128100</v>
      </c>
      <c r="S43" s="8">
        <v>128100</v>
      </c>
    </row>
    <row r="44" spans="2:19" ht="15" x14ac:dyDescent="0.35">
      <c r="B44" s="7" t="s">
        <v>104</v>
      </c>
      <c r="C44" s="9" t="s">
        <v>36</v>
      </c>
      <c r="D44" s="8">
        <v>211556.46218487402</v>
      </c>
      <c r="E44" s="8">
        <v>211556.46218487402</v>
      </c>
      <c r="F44" s="8">
        <v>211556.46218487402</v>
      </c>
      <c r="G44" s="8">
        <v>211556.46218487402</v>
      </c>
      <c r="H44" s="8">
        <v>213675</v>
      </c>
      <c r="I44" s="8">
        <v>213675</v>
      </c>
      <c r="J44" s="8">
        <v>213675</v>
      </c>
      <c r="K44" s="8">
        <v>213675</v>
      </c>
      <c r="L44" s="8">
        <v>213675</v>
      </c>
      <c r="M44" s="8">
        <v>213675</v>
      </c>
      <c r="N44" s="8">
        <v>213675</v>
      </c>
      <c r="O44" s="8">
        <v>213675</v>
      </c>
      <c r="P44" s="8">
        <v>213675</v>
      </c>
      <c r="Q44" s="8">
        <v>213675</v>
      </c>
      <c r="R44" s="8">
        <v>213675</v>
      </c>
      <c r="S44" s="8">
        <v>213675</v>
      </c>
    </row>
    <row r="45" spans="2:19" ht="15" x14ac:dyDescent="0.35">
      <c r="B45" s="7" t="s">
        <v>107</v>
      </c>
      <c r="C45" s="9" t="s">
        <v>36</v>
      </c>
      <c r="D45" s="8"/>
      <c r="E45" s="8"/>
      <c r="F45" s="8"/>
      <c r="G45" s="8"/>
      <c r="H45" s="8">
        <v>137393.18181818182</v>
      </c>
      <c r="I45" s="8">
        <v>137393.18181818182</v>
      </c>
      <c r="J45" s="8">
        <v>137393.18181818182</v>
      </c>
      <c r="K45" s="8">
        <v>137393.18181818182</v>
      </c>
      <c r="L45" s="8">
        <v>137393.18181818182</v>
      </c>
      <c r="M45" s="8">
        <v>137393.18181818182</v>
      </c>
      <c r="N45" s="8">
        <v>137393.18181818182</v>
      </c>
      <c r="O45" s="8">
        <v>137393.18181818182</v>
      </c>
      <c r="P45" s="8">
        <v>137393.18181818182</v>
      </c>
      <c r="Q45" s="8">
        <v>137393.18181818182</v>
      </c>
      <c r="R45" s="8">
        <v>137393.18181818182</v>
      </c>
      <c r="S45" s="8">
        <v>137393.18181818182</v>
      </c>
    </row>
    <row r="46" spans="2:19" ht="15" x14ac:dyDescent="0.35">
      <c r="B46" s="7" t="s">
        <v>108</v>
      </c>
      <c r="C46" s="9" t="s">
        <v>36</v>
      </c>
      <c r="D46" s="8"/>
      <c r="E46" s="8"/>
      <c r="F46" s="8"/>
      <c r="G46" s="8"/>
      <c r="H46" s="8">
        <v>177962.75500000035</v>
      </c>
      <c r="I46" s="8">
        <v>177962.75500000035</v>
      </c>
      <c r="J46" s="8">
        <v>177962.75500000035</v>
      </c>
      <c r="K46" s="8">
        <v>177962.75500000035</v>
      </c>
      <c r="L46" s="8">
        <v>177962.75500000035</v>
      </c>
      <c r="M46" s="8">
        <v>177962.75500000035</v>
      </c>
      <c r="N46" s="8">
        <v>177962.75500000035</v>
      </c>
      <c r="O46" s="8">
        <v>177962.75500000035</v>
      </c>
      <c r="P46" s="8">
        <v>177962.75500000035</v>
      </c>
      <c r="Q46" s="8">
        <v>177962.75500000035</v>
      </c>
      <c r="R46" s="8">
        <v>177962.75500000035</v>
      </c>
      <c r="S46" s="8">
        <v>177962.75500000035</v>
      </c>
    </row>
    <row r="47" spans="2:19" ht="15" x14ac:dyDescent="0.35">
      <c r="B47" s="7" t="s">
        <v>109</v>
      </c>
      <c r="C47" s="9" t="s">
        <v>36</v>
      </c>
      <c r="D47" s="8"/>
      <c r="E47" s="8"/>
      <c r="F47" s="8"/>
      <c r="G47" s="8"/>
      <c r="H47" s="8">
        <v>241500</v>
      </c>
      <c r="I47" s="8">
        <v>241500</v>
      </c>
      <c r="J47" s="8">
        <v>241500</v>
      </c>
      <c r="K47" s="8">
        <v>241500</v>
      </c>
      <c r="L47" s="8">
        <v>241500</v>
      </c>
      <c r="M47" s="8">
        <v>241500</v>
      </c>
      <c r="N47" s="8">
        <v>241500</v>
      </c>
      <c r="O47" s="8">
        <v>241500</v>
      </c>
      <c r="P47" s="8">
        <v>241500</v>
      </c>
      <c r="Q47" s="8">
        <v>241500</v>
      </c>
      <c r="R47" s="8">
        <v>241500</v>
      </c>
      <c r="S47" s="8">
        <v>241500</v>
      </c>
    </row>
    <row r="48" spans="2:19" ht="15" x14ac:dyDescent="0.35">
      <c r="B48" s="5" t="s">
        <v>110</v>
      </c>
      <c r="C48" s="6" t="s">
        <v>36</v>
      </c>
      <c r="D48" s="4">
        <f>D50*0+D51*0.7+D52*0.3</f>
        <v>315000.24039999995</v>
      </c>
      <c r="E48" s="4">
        <f t="shared" ref="E48:G48" si="13">E50*0+E51*0.7+E52*0.3</f>
        <v>315000.24039999995</v>
      </c>
      <c r="F48" s="4">
        <f t="shared" si="13"/>
        <v>315000.24039999995</v>
      </c>
      <c r="G48" s="4">
        <f t="shared" si="13"/>
        <v>315000.24039999995</v>
      </c>
      <c r="H48" s="4">
        <f t="shared" ref="H48:S48" si="14">H50*H154+H51*H155+H52*H156</f>
        <v>299941.94659499999</v>
      </c>
      <c r="I48" s="4">
        <f t="shared" si="14"/>
        <v>299941.94659499999</v>
      </c>
      <c r="J48" s="4">
        <f t="shared" si="14"/>
        <v>299941.94659499999</v>
      </c>
      <c r="K48" s="4">
        <f t="shared" si="14"/>
        <v>299941.94659499999</v>
      </c>
      <c r="L48" s="4">
        <f t="shared" si="14"/>
        <v>299941.94659499999</v>
      </c>
      <c r="M48" s="4">
        <f t="shared" si="14"/>
        <v>299941.94659499999</v>
      </c>
      <c r="N48" s="4">
        <f t="shared" si="14"/>
        <v>299941.94659499999</v>
      </c>
      <c r="O48" s="4">
        <f t="shared" si="14"/>
        <v>299941.94659499999</v>
      </c>
      <c r="P48" s="4">
        <f t="shared" si="14"/>
        <v>299941.94659499999</v>
      </c>
      <c r="Q48" s="4">
        <f t="shared" si="14"/>
        <v>299941.94659499999</v>
      </c>
      <c r="R48" s="4">
        <f t="shared" si="14"/>
        <v>299941.94659499999</v>
      </c>
      <c r="S48" s="4">
        <f t="shared" si="14"/>
        <v>299941.94659499999</v>
      </c>
    </row>
    <row r="49" spans="2:19" ht="15" x14ac:dyDescent="0.35">
      <c r="B49" s="5" t="s">
        <v>20</v>
      </c>
      <c r="C49" s="6" t="s">
        <v>36</v>
      </c>
      <c r="D49" s="4">
        <f>D53*0.3+D54*0.6+D55*0.1+D56*0</f>
        <v>161480.29450000002</v>
      </c>
      <c r="E49" s="4">
        <f t="shared" ref="E49:G49" si="15">E53*0.3+E54*0.6+E55*0.1+E56*0</f>
        <v>161480.29450000002</v>
      </c>
      <c r="F49" s="4">
        <f t="shared" si="15"/>
        <v>161480.29450000002</v>
      </c>
      <c r="G49" s="4">
        <f t="shared" si="15"/>
        <v>161480.29450000002</v>
      </c>
      <c r="H49" s="4">
        <f t="shared" ref="H49:S49" si="16">H53*H157+H54*H158+H55*H159+H56*H160</f>
        <v>169514.64905499999</v>
      </c>
      <c r="I49" s="4">
        <f t="shared" si="16"/>
        <v>169514.64905499999</v>
      </c>
      <c r="J49" s="4">
        <f t="shared" si="16"/>
        <v>169514.64905499999</v>
      </c>
      <c r="K49" s="4">
        <f t="shared" si="16"/>
        <v>169514.64905499999</v>
      </c>
      <c r="L49" s="4">
        <f t="shared" si="16"/>
        <v>169514.64905499999</v>
      </c>
      <c r="M49" s="4">
        <f t="shared" si="16"/>
        <v>169514.64905499999</v>
      </c>
      <c r="N49" s="4">
        <f t="shared" si="16"/>
        <v>169514.64905499999</v>
      </c>
      <c r="O49" s="4">
        <f t="shared" si="16"/>
        <v>169514.64905499999</v>
      </c>
      <c r="P49" s="4">
        <f t="shared" si="16"/>
        <v>169514.64905499999</v>
      </c>
      <c r="Q49" s="4">
        <f t="shared" si="16"/>
        <v>169514.64905499999</v>
      </c>
      <c r="R49" s="4">
        <f t="shared" si="16"/>
        <v>169514.64905499999</v>
      </c>
      <c r="S49" s="4">
        <f t="shared" si="16"/>
        <v>169514.64905499999</v>
      </c>
    </row>
    <row r="50" spans="2:19" ht="15" x14ac:dyDescent="0.35">
      <c r="B50" t="s">
        <v>111</v>
      </c>
      <c r="C50" s="3" t="s">
        <v>36</v>
      </c>
      <c r="D50" s="2">
        <v>283186.33389999997</v>
      </c>
      <c r="E50" s="2">
        <v>283186.33389999997</v>
      </c>
      <c r="F50" s="2">
        <v>283186.33389999997</v>
      </c>
      <c r="G50" s="2">
        <v>283186.33389999997</v>
      </c>
      <c r="H50" s="2">
        <v>337718.92000000004</v>
      </c>
      <c r="I50" s="2">
        <v>337718.92000000004</v>
      </c>
      <c r="J50" s="2">
        <v>337718.92000000004</v>
      </c>
      <c r="K50" s="2">
        <v>337718.92000000004</v>
      </c>
      <c r="L50" s="2">
        <v>337718.92000000004</v>
      </c>
      <c r="M50" s="2">
        <v>337718.92000000004</v>
      </c>
      <c r="N50" s="2">
        <v>337718.92000000004</v>
      </c>
      <c r="O50" s="2">
        <v>337718.92000000004</v>
      </c>
      <c r="P50" s="2">
        <v>337718.92000000004</v>
      </c>
      <c r="Q50" s="2">
        <v>337718.92000000004</v>
      </c>
      <c r="R50" s="2">
        <v>337718.92000000004</v>
      </c>
      <c r="S50" s="2">
        <v>337718.92000000004</v>
      </c>
    </row>
    <row r="51" spans="2:19" ht="15" x14ac:dyDescent="0.35">
      <c r="B51" t="s">
        <v>112</v>
      </c>
      <c r="C51" s="3" t="s">
        <v>36</v>
      </c>
      <c r="D51" s="2">
        <v>317580.13899999997</v>
      </c>
      <c r="E51" s="2">
        <v>317580.13899999997</v>
      </c>
      <c r="F51" s="2">
        <v>317580.13899999997</v>
      </c>
      <c r="G51" s="2">
        <v>317580.13899999997</v>
      </c>
      <c r="H51" s="2">
        <v>328256.78084999998</v>
      </c>
      <c r="I51" s="2">
        <v>328256.78084999998</v>
      </c>
      <c r="J51" s="2">
        <v>328256.78084999998</v>
      </c>
      <c r="K51" s="2">
        <v>328256.78084999998</v>
      </c>
      <c r="L51" s="2">
        <v>328256.78084999998</v>
      </c>
      <c r="M51" s="2">
        <v>328256.78084999998</v>
      </c>
      <c r="N51" s="2">
        <v>328256.78084999998</v>
      </c>
      <c r="O51" s="2">
        <v>328256.78084999998</v>
      </c>
      <c r="P51" s="2">
        <v>328256.78084999998</v>
      </c>
      <c r="Q51" s="2">
        <v>328256.78084999998</v>
      </c>
      <c r="R51" s="2">
        <v>328256.78084999998</v>
      </c>
      <c r="S51" s="2">
        <v>328256.78084999998</v>
      </c>
    </row>
    <row r="52" spans="2:19" ht="15" x14ac:dyDescent="0.35">
      <c r="B52" t="s">
        <v>113</v>
      </c>
      <c r="C52" s="3" t="s">
        <v>36</v>
      </c>
      <c r="D52" s="2">
        <v>308980.47700000001</v>
      </c>
      <c r="E52" s="2">
        <v>308980.47700000001</v>
      </c>
      <c r="F52" s="2">
        <v>308980.47700000001</v>
      </c>
      <c r="G52" s="2">
        <v>308980.47700000001</v>
      </c>
      <c r="H52" s="2">
        <v>233874</v>
      </c>
      <c r="I52" s="2">
        <v>233874</v>
      </c>
      <c r="J52" s="2">
        <v>233874</v>
      </c>
      <c r="K52" s="2">
        <v>233874</v>
      </c>
      <c r="L52" s="2">
        <v>233874</v>
      </c>
      <c r="M52" s="2">
        <v>233874</v>
      </c>
      <c r="N52" s="2">
        <v>233874</v>
      </c>
      <c r="O52" s="2">
        <v>233874</v>
      </c>
      <c r="P52" s="2">
        <v>233874</v>
      </c>
      <c r="Q52" s="2">
        <v>233874</v>
      </c>
      <c r="R52" s="2">
        <v>233874</v>
      </c>
      <c r="S52" s="2">
        <v>233874</v>
      </c>
    </row>
    <row r="53" spans="2:19" ht="15" x14ac:dyDescent="0.35">
      <c r="B53" t="s">
        <v>21</v>
      </c>
      <c r="C53" s="3" t="s">
        <v>36</v>
      </c>
      <c r="D53" s="2">
        <v>134416.47700000001</v>
      </c>
      <c r="E53" s="2">
        <v>134416.47700000001</v>
      </c>
      <c r="F53" s="2">
        <v>134416.47700000001</v>
      </c>
      <c r="G53" s="2">
        <v>134416.47700000001</v>
      </c>
      <c r="H53" s="2">
        <v>141103.70084999999</v>
      </c>
      <c r="I53" s="2">
        <v>141103.70084999999</v>
      </c>
      <c r="J53" s="2">
        <v>141103.70084999999</v>
      </c>
      <c r="K53" s="2">
        <v>141103.70084999999</v>
      </c>
      <c r="L53" s="2">
        <v>141103.70084999999</v>
      </c>
      <c r="M53" s="2">
        <v>141103.70084999999</v>
      </c>
      <c r="N53" s="2">
        <v>141103.70084999999</v>
      </c>
      <c r="O53" s="2">
        <v>141103.70084999999</v>
      </c>
      <c r="P53" s="2">
        <v>141103.70084999999</v>
      </c>
      <c r="Q53" s="2">
        <v>141103.70084999999</v>
      </c>
      <c r="R53" s="2">
        <v>141103.70084999999</v>
      </c>
      <c r="S53" s="2">
        <v>141103.70084999999</v>
      </c>
    </row>
    <row r="54" spans="2:19" ht="15" x14ac:dyDescent="0.35">
      <c r="B54" t="s">
        <v>22</v>
      </c>
      <c r="C54" s="3" t="s">
        <v>36</v>
      </c>
      <c r="D54" s="2">
        <v>169612.87899999999</v>
      </c>
      <c r="E54" s="2">
        <v>169612.87899999999</v>
      </c>
      <c r="F54" s="2">
        <v>169612.87899999999</v>
      </c>
      <c r="G54" s="2">
        <v>169612.87899999999</v>
      </c>
      <c r="H54" s="2">
        <v>178051.55600000001</v>
      </c>
      <c r="I54" s="2">
        <v>178051.55600000001</v>
      </c>
      <c r="J54" s="2">
        <v>178051.55600000001</v>
      </c>
      <c r="K54" s="2">
        <v>178051.55600000001</v>
      </c>
      <c r="L54" s="2">
        <v>178051.55600000001</v>
      </c>
      <c r="M54" s="2">
        <v>178051.55600000001</v>
      </c>
      <c r="N54" s="2">
        <v>178051.55600000001</v>
      </c>
      <c r="O54" s="2">
        <v>178051.55600000001</v>
      </c>
      <c r="P54" s="2">
        <v>178051.55600000001</v>
      </c>
      <c r="Q54" s="2">
        <v>178051.55600000001</v>
      </c>
      <c r="R54" s="2">
        <v>178051.55600000001</v>
      </c>
      <c r="S54" s="2">
        <v>178051.55600000001</v>
      </c>
    </row>
    <row r="55" spans="2:19" ht="15" x14ac:dyDescent="0.35">
      <c r="B55" t="s">
        <v>23</v>
      </c>
      <c r="C55" s="3" t="s">
        <v>36</v>
      </c>
      <c r="D55" s="2">
        <v>193876.24</v>
      </c>
      <c r="E55" s="2">
        <v>193876.24</v>
      </c>
      <c r="F55" s="2">
        <v>193876.24</v>
      </c>
      <c r="G55" s="2">
        <v>193876.24</v>
      </c>
      <c r="H55" s="2">
        <v>203526.052</v>
      </c>
      <c r="I55" s="2">
        <v>203526.052</v>
      </c>
      <c r="J55" s="2">
        <v>203526.052</v>
      </c>
      <c r="K55" s="2">
        <v>203526.052</v>
      </c>
      <c r="L55" s="2">
        <v>203526.052</v>
      </c>
      <c r="M55" s="2">
        <v>203526.052</v>
      </c>
      <c r="N55" s="2">
        <v>203526.052</v>
      </c>
      <c r="O55" s="2">
        <v>203526.052</v>
      </c>
      <c r="P55" s="2">
        <v>203526.052</v>
      </c>
      <c r="Q55" s="2">
        <v>203526.052</v>
      </c>
      <c r="R55" s="2">
        <v>203526.052</v>
      </c>
      <c r="S55" s="2">
        <v>203526.052</v>
      </c>
    </row>
    <row r="56" spans="2:19" ht="15" x14ac:dyDescent="0.35">
      <c r="B56" t="s">
        <v>24</v>
      </c>
      <c r="C56" s="3" t="s">
        <v>36</v>
      </c>
      <c r="D56" s="2">
        <v>124209</v>
      </c>
      <c r="E56" s="2">
        <v>124209</v>
      </c>
      <c r="F56" s="2">
        <v>124209</v>
      </c>
      <c r="G56" s="2">
        <v>124209</v>
      </c>
      <c r="H56" s="2">
        <v>128275.45000000001</v>
      </c>
      <c r="I56" s="2">
        <v>128275.45000000001</v>
      </c>
      <c r="J56" s="2">
        <v>128275.45000000001</v>
      </c>
      <c r="K56" s="2">
        <v>128275.45000000001</v>
      </c>
      <c r="L56" s="2">
        <v>128275.45000000001</v>
      </c>
      <c r="M56" s="2">
        <v>128275.45000000001</v>
      </c>
      <c r="N56" s="2">
        <v>128275.45000000001</v>
      </c>
      <c r="O56" s="2">
        <v>128275.45000000001</v>
      </c>
      <c r="P56" s="2">
        <v>128275.45000000001</v>
      </c>
      <c r="Q56" s="2">
        <v>128275.45000000001</v>
      </c>
      <c r="R56" s="2">
        <v>128275.45000000001</v>
      </c>
      <c r="S56" s="2">
        <v>128275.45000000001</v>
      </c>
    </row>
    <row r="57" spans="2:19" ht="15" x14ac:dyDescent="0.35">
      <c r="B57" s="7" t="s">
        <v>16</v>
      </c>
      <c r="C57" s="9" t="s">
        <v>36</v>
      </c>
      <c r="D57" s="8">
        <v>117616.477</v>
      </c>
      <c r="E57" s="8">
        <v>117616.477</v>
      </c>
      <c r="F57" s="8">
        <v>117616.477</v>
      </c>
      <c r="G57" s="8">
        <v>117616.477</v>
      </c>
      <c r="H57" s="8">
        <v>123497.30085</v>
      </c>
      <c r="I57" s="8">
        <v>123497.30085</v>
      </c>
      <c r="J57" s="8">
        <v>123497.30085</v>
      </c>
      <c r="K57" s="8">
        <v>123497.30085</v>
      </c>
      <c r="L57" s="8">
        <v>123497.30085</v>
      </c>
      <c r="M57" s="8">
        <v>123497.30085</v>
      </c>
      <c r="N57" s="8">
        <v>123497.30085</v>
      </c>
      <c r="O57" s="8">
        <v>123497.30085</v>
      </c>
      <c r="P57" s="8">
        <v>123497.30085</v>
      </c>
      <c r="Q57" s="8">
        <v>123497.30085</v>
      </c>
      <c r="R57" s="8">
        <v>123497.30085</v>
      </c>
      <c r="S57" s="8">
        <v>123497.30085</v>
      </c>
    </row>
    <row r="58" spans="2:19" ht="15" x14ac:dyDescent="0.35">
      <c r="B58" s="7" t="s">
        <v>25</v>
      </c>
      <c r="C58" s="9" t="s">
        <v>36</v>
      </c>
      <c r="D58" s="8">
        <v>148565.87899999999</v>
      </c>
      <c r="E58" s="8">
        <v>148565.87899999999</v>
      </c>
      <c r="F58" s="8">
        <v>148565.87899999999</v>
      </c>
      <c r="G58" s="8">
        <v>148565.87899999999</v>
      </c>
      <c r="H58" s="8">
        <v>155994.30000000002</v>
      </c>
      <c r="I58" s="8">
        <v>155994.30000000002</v>
      </c>
      <c r="J58" s="8">
        <v>155994.30000000002</v>
      </c>
      <c r="K58" s="8">
        <v>155994.30000000002</v>
      </c>
      <c r="L58" s="8">
        <v>155994.30000000002</v>
      </c>
      <c r="M58" s="8">
        <v>155994.30000000002</v>
      </c>
      <c r="N58" s="8">
        <v>155994.30000000002</v>
      </c>
      <c r="O58" s="8">
        <v>155994.30000000002</v>
      </c>
      <c r="P58" s="8">
        <v>155994.30000000002</v>
      </c>
      <c r="Q58" s="8">
        <v>155994.30000000002</v>
      </c>
      <c r="R58" s="8">
        <v>155994.30000000002</v>
      </c>
      <c r="S58" s="8">
        <v>155994.30000000002</v>
      </c>
    </row>
    <row r="59" spans="2:19" ht="15" x14ac:dyDescent="0.35">
      <c r="B59" s="7" t="s">
        <v>26</v>
      </c>
      <c r="C59" s="9" t="s">
        <v>36</v>
      </c>
      <c r="D59" s="8">
        <v>171876.24</v>
      </c>
      <c r="E59" s="8">
        <v>171876.24</v>
      </c>
      <c r="F59" s="8">
        <v>171876.24</v>
      </c>
      <c r="G59" s="8">
        <v>171876.24</v>
      </c>
      <c r="H59" s="8">
        <v>180470.052</v>
      </c>
      <c r="I59" s="8">
        <v>180470.052</v>
      </c>
      <c r="J59" s="8">
        <v>180470.052</v>
      </c>
      <c r="K59" s="8">
        <v>180470.052</v>
      </c>
      <c r="L59" s="8">
        <v>180470.052</v>
      </c>
      <c r="M59" s="8">
        <v>180470.052</v>
      </c>
      <c r="N59" s="8">
        <v>180470.052</v>
      </c>
      <c r="O59" s="8">
        <v>180470.052</v>
      </c>
      <c r="P59" s="8">
        <v>180470.052</v>
      </c>
      <c r="Q59" s="8">
        <v>180470.052</v>
      </c>
      <c r="R59" s="8">
        <v>180470.052</v>
      </c>
      <c r="S59" s="8">
        <v>180470.052</v>
      </c>
    </row>
    <row r="60" spans="2:19" ht="15" x14ac:dyDescent="0.35">
      <c r="B60" s="7" t="s">
        <v>27</v>
      </c>
      <c r="C60" s="9" t="s">
        <v>36</v>
      </c>
      <c r="D60" s="8">
        <v>171394.34400000001</v>
      </c>
      <c r="E60" s="8">
        <v>171394.34400000001</v>
      </c>
      <c r="F60" s="8">
        <v>171394.34400000001</v>
      </c>
      <c r="G60" s="8">
        <v>171394.34400000001</v>
      </c>
      <c r="H60" s="8">
        <v>179964.06120000003</v>
      </c>
      <c r="I60" s="8">
        <v>179964.06120000003</v>
      </c>
      <c r="J60" s="8">
        <v>179964.06120000003</v>
      </c>
      <c r="K60" s="8">
        <v>179964.06120000003</v>
      </c>
      <c r="L60" s="8">
        <v>179964.06120000003</v>
      </c>
      <c r="M60" s="8">
        <v>179964.06120000003</v>
      </c>
      <c r="N60" s="8">
        <v>179964.06120000003</v>
      </c>
      <c r="O60" s="8">
        <v>179964.06120000003</v>
      </c>
      <c r="P60" s="8">
        <v>179964.06120000003</v>
      </c>
      <c r="Q60" s="8">
        <v>179964.06120000003</v>
      </c>
      <c r="R60" s="8">
        <v>179964.06120000003</v>
      </c>
      <c r="S60" s="8">
        <v>179964.06120000003</v>
      </c>
    </row>
    <row r="61" spans="2:19" ht="15" x14ac:dyDescent="0.35">
      <c r="B61" s="7" t="s">
        <v>18</v>
      </c>
      <c r="C61" s="9" t="s">
        <v>36</v>
      </c>
      <c r="D61" s="8">
        <v>104584.139</v>
      </c>
      <c r="E61" s="8">
        <v>104584.139</v>
      </c>
      <c r="F61" s="8">
        <v>104584.139</v>
      </c>
      <c r="G61" s="8">
        <v>104584.139</v>
      </c>
      <c r="H61" s="8">
        <v>109813.20000000001</v>
      </c>
      <c r="I61" s="8">
        <v>109813.20000000001</v>
      </c>
      <c r="J61" s="8">
        <v>109813.20000000001</v>
      </c>
      <c r="K61" s="8">
        <v>109813.20000000001</v>
      </c>
      <c r="L61" s="8">
        <v>109813.20000000001</v>
      </c>
      <c r="M61" s="8">
        <v>109813.20000000001</v>
      </c>
      <c r="N61" s="8">
        <v>109813.20000000001</v>
      </c>
      <c r="O61" s="8">
        <v>109813.20000000001</v>
      </c>
      <c r="P61" s="8">
        <v>109813.20000000001</v>
      </c>
      <c r="Q61" s="8">
        <v>109813.20000000001</v>
      </c>
      <c r="R61" s="8">
        <v>109813.20000000001</v>
      </c>
      <c r="S61" s="8">
        <v>109813.20000000001</v>
      </c>
    </row>
    <row r="62" spans="2:19" ht="15" x14ac:dyDescent="0.35">
      <c r="B62" s="7" t="s">
        <v>28</v>
      </c>
      <c r="C62" s="9" t="s">
        <v>36</v>
      </c>
      <c r="D62" s="8">
        <v>85000</v>
      </c>
      <c r="E62" s="8">
        <v>85000</v>
      </c>
      <c r="F62" s="8">
        <v>85000</v>
      </c>
      <c r="G62" s="8">
        <v>85000</v>
      </c>
      <c r="H62" s="8">
        <v>89250</v>
      </c>
      <c r="I62" s="8">
        <v>89250</v>
      </c>
      <c r="J62" s="8">
        <v>89250</v>
      </c>
      <c r="K62" s="8">
        <v>89250</v>
      </c>
      <c r="L62" s="8">
        <v>89250</v>
      </c>
      <c r="M62" s="8">
        <v>89250</v>
      </c>
      <c r="N62" s="8">
        <v>89250</v>
      </c>
      <c r="O62" s="8">
        <v>89250</v>
      </c>
      <c r="P62" s="8">
        <v>89250</v>
      </c>
      <c r="Q62" s="8">
        <v>89250</v>
      </c>
      <c r="R62" s="8">
        <v>89250</v>
      </c>
      <c r="S62" s="8">
        <v>89250</v>
      </c>
    </row>
    <row r="63" spans="2:19" ht="15" x14ac:dyDescent="0.35">
      <c r="B63" s="7" t="s">
        <v>29</v>
      </c>
      <c r="C63" s="9" t="s">
        <v>36</v>
      </c>
      <c r="D63" s="8">
        <v>100209</v>
      </c>
      <c r="E63" s="8">
        <v>100209</v>
      </c>
      <c r="F63" s="8">
        <v>100209</v>
      </c>
      <c r="G63" s="8">
        <v>100209</v>
      </c>
      <c r="H63" s="8">
        <v>105219.45000000001</v>
      </c>
      <c r="I63" s="8">
        <v>105219.45000000001</v>
      </c>
      <c r="J63" s="8">
        <v>105219.45000000001</v>
      </c>
      <c r="K63" s="8">
        <v>105219.45000000001</v>
      </c>
      <c r="L63" s="8">
        <v>105219.45000000001</v>
      </c>
      <c r="M63" s="8">
        <v>105219.45000000001</v>
      </c>
      <c r="N63" s="8">
        <v>105219.45000000001</v>
      </c>
      <c r="O63" s="8">
        <v>105219.45000000001</v>
      </c>
      <c r="P63" s="8">
        <v>105219.45000000001</v>
      </c>
      <c r="Q63" s="8">
        <v>105219.45000000001</v>
      </c>
      <c r="R63" s="8">
        <v>105219.45000000001</v>
      </c>
      <c r="S63" s="8">
        <v>105219.45000000001</v>
      </c>
    </row>
    <row r="64" spans="2:19" ht="15" x14ac:dyDescent="0.35">
      <c r="B64" s="5" t="s">
        <v>84</v>
      </c>
      <c r="C64" s="6" t="s">
        <v>36</v>
      </c>
      <c r="D64" s="4">
        <f>D66*0.7+D67*0.3</f>
        <v>220867.09999999998</v>
      </c>
      <c r="E64" s="4">
        <f t="shared" ref="E64:G64" si="17">E66*0.7+E67*0.3</f>
        <v>220867.09999999998</v>
      </c>
      <c r="F64" s="4">
        <f t="shared" si="17"/>
        <v>220867.09999999998</v>
      </c>
      <c r="G64" s="4">
        <f t="shared" si="17"/>
        <v>220867.09999999998</v>
      </c>
      <c r="H64" s="4">
        <f t="shared" ref="H64:S64" si="18">H65*H161+H66*H162+H67*H163</f>
        <v>231674.64079999999</v>
      </c>
      <c r="I64" s="4">
        <f t="shared" si="18"/>
        <v>231674.64079999999</v>
      </c>
      <c r="J64" s="4">
        <f t="shared" si="18"/>
        <v>231674.64079999999</v>
      </c>
      <c r="K64" s="4">
        <f t="shared" si="18"/>
        <v>231674.64079999999</v>
      </c>
      <c r="L64" s="4">
        <f t="shared" si="18"/>
        <v>231674.64079999999</v>
      </c>
      <c r="M64" s="4">
        <f t="shared" si="18"/>
        <v>231674.64079999999</v>
      </c>
      <c r="N64" s="4">
        <f t="shared" si="18"/>
        <v>231674.64079999999</v>
      </c>
      <c r="O64" s="4">
        <f t="shared" si="18"/>
        <v>231674.64079999999</v>
      </c>
      <c r="P64" s="4">
        <f t="shared" si="18"/>
        <v>231674.64079999999</v>
      </c>
      <c r="Q64" s="4">
        <f t="shared" si="18"/>
        <v>231674.64079999999</v>
      </c>
      <c r="R64" s="4">
        <f t="shared" si="18"/>
        <v>231674.64079999999</v>
      </c>
      <c r="S64" s="4">
        <f t="shared" si="18"/>
        <v>231674.64079999999</v>
      </c>
    </row>
    <row r="65" spans="2:25" ht="15" x14ac:dyDescent="0.35">
      <c r="B65" t="s">
        <v>79</v>
      </c>
      <c r="C65" s="3" t="s">
        <v>36</v>
      </c>
      <c r="D65" s="2">
        <v>414921.7557251908</v>
      </c>
      <c r="E65" s="2">
        <v>414921.7557251908</v>
      </c>
      <c r="F65" s="2">
        <v>414921.7557251908</v>
      </c>
      <c r="G65" s="2">
        <v>414921.7557251908</v>
      </c>
      <c r="H65" s="2">
        <v>434838</v>
      </c>
      <c r="I65" s="2">
        <v>455710.22400000005</v>
      </c>
      <c r="J65" s="2">
        <v>455710.22400000005</v>
      </c>
      <c r="K65" s="2">
        <v>455710.22400000005</v>
      </c>
      <c r="L65" s="2">
        <v>455710.22400000005</v>
      </c>
      <c r="M65" s="2">
        <v>455710.22400000005</v>
      </c>
      <c r="N65" s="2">
        <v>455710.22400000005</v>
      </c>
      <c r="O65" s="2">
        <v>455710.22400000005</v>
      </c>
      <c r="P65" s="2">
        <v>455710.22400000005</v>
      </c>
      <c r="Q65" s="2">
        <v>455710.22400000005</v>
      </c>
      <c r="R65" s="2">
        <v>455710.22400000005</v>
      </c>
      <c r="S65" s="2">
        <v>455710.22400000005</v>
      </c>
      <c r="U65" t="s">
        <v>80</v>
      </c>
      <c r="V65">
        <v>5447650.4640000006</v>
      </c>
      <c r="W65">
        <v>0.49423609703911558</v>
      </c>
      <c r="X65" t="s">
        <v>79</v>
      </c>
      <c r="Y65">
        <v>503494</v>
      </c>
    </row>
    <row r="66" spans="2:25" ht="15" x14ac:dyDescent="0.35">
      <c r="B66" t="s">
        <v>81</v>
      </c>
      <c r="C66" s="3" t="s">
        <v>36</v>
      </c>
      <c r="D66" s="2">
        <v>220001</v>
      </c>
      <c r="E66" s="2">
        <v>220001</v>
      </c>
      <c r="F66" s="2">
        <v>220001</v>
      </c>
      <c r="G66" s="2">
        <v>220001</v>
      </c>
      <c r="H66" s="2">
        <v>230766.96799999999</v>
      </c>
      <c r="I66" s="2">
        <v>230766.96799999999</v>
      </c>
      <c r="J66" s="2">
        <v>230766.96799999999</v>
      </c>
      <c r="K66" s="2">
        <v>230766.96799999999</v>
      </c>
      <c r="L66" s="2">
        <v>230766.96799999999</v>
      </c>
      <c r="M66" s="2">
        <v>230766.96799999999</v>
      </c>
      <c r="N66" s="2">
        <v>230766.96799999999</v>
      </c>
      <c r="O66" s="2">
        <v>230766.96799999999</v>
      </c>
      <c r="P66" s="2">
        <v>230766.96799999999</v>
      </c>
      <c r="Q66" s="2">
        <v>230766.96799999999</v>
      </c>
      <c r="R66" s="2">
        <v>230766.96799999999</v>
      </c>
      <c r="S66" s="2">
        <v>230766.96799999999</v>
      </c>
      <c r="U66" t="s">
        <v>82</v>
      </c>
      <c r="V66">
        <v>2769203.615999999</v>
      </c>
      <c r="W66">
        <v>0.25123498582056697</v>
      </c>
      <c r="X66" t="s">
        <v>81</v>
      </c>
      <c r="Y66">
        <v>206268.72</v>
      </c>
    </row>
    <row r="67" spans="2:25" ht="15" x14ac:dyDescent="0.35">
      <c r="B67" t="s">
        <v>83</v>
      </c>
      <c r="C67" s="3" t="s">
        <v>36</v>
      </c>
      <c r="D67" s="2">
        <v>222888</v>
      </c>
      <c r="E67" s="2">
        <v>222888</v>
      </c>
      <c r="F67" s="2">
        <v>222888</v>
      </c>
      <c r="G67" s="2">
        <v>222888</v>
      </c>
      <c r="H67" s="2">
        <v>233792.54399999999</v>
      </c>
      <c r="I67" s="2">
        <v>233792.54399999999</v>
      </c>
      <c r="J67" s="2">
        <v>233792.54399999999</v>
      </c>
      <c r="K67" s="2">
        <v>233792.54399999999</v>
      </c>
      <c r="L67" s="2">
        <v>233792.54399999999</v>
      </c>
      <c r="M67" s="2">
        <v>233792.54399999999</v>
      </c>
      <c r="N67" s="2">
        <v>233792.54399999999</v>
      </c>
      <c r="O67" s="2">
        <v>233792.54399999999</v>
      </c>
      <c r="P67" s="2">
        <v>233792.54399999999</v>
      </c>
      <c r="Q67" s="2">
        <v>233792.54399999999</v>
      </c>
      <c r="R67" s="2">
        <v>233792.54399999999</v>
      </c>
      <c r="S67" s="2">
        <v>233792.54399999999</v>
      </c>
      <c r="U67" t="s">
        <v>82</v>
      </c>
      <c r="V67">
        <v>2805510.527999999</v>
      </c>
      <c r="W67">
        <v>0.25452891714031739</v>
      </c>
      <c r="X67" t="s">
        <v>83</v>
      </c>
      <c r="Y67">
        <v>208976.28000000003</v>
      </c>
    </row>
    <row r="68" spans="2:25" ht="15" x14ac:dyDescent="0.35">
      <c r="B68" s="7" t="s">
        <v>77</v>
      </c>
      <c r="C68" s="9" t="s">
        <v>36</v>
      </c>
      <c r="D68" s="8">
        <v>171394.34400000001</v>
      </c>
      <c r="E68" s="8">
        <v>171394.34400000001</v>
      </c>
      <c r="F68" s="8">
        <v>171394.34400000001</v>
      </c>
      <c r="G68" s="8">
        <v>171394.34400000001</v>
      </c>
      <c r="H68" s="8">
        <v>179964.06120000003</v>
      </c>
      <c r="I68" s="8">
        <v>179964.06120000003</v>
      </c>
      <c r="J68" s="8">
        <v>179964.06120000003</v>
      </c>
      <c r="K68" s="8">
        <v>179964.06120000003</v>
      </c>
      <c r="L68" s="8">
        <v>179964.06120000003</v>
      </c>
      <c r="M68" s="8">
        <v>179964.06120000003</v>
      </c>
      <c r="N68" s="8">
        <v>179964.06120000003</v>
      </c>
      <c r="O68" s="8">
        <v>179964.06120000003</v>
      </c>
      <c r="P68" s="8">
        <v>179964.06120000003</v>
      </c>
      <c r="Q68" s="8">
        <v>179964.06120000003</v>
      </c>
      <c r="R68" s="8">
        <v>179964.06120000003</v>
      </c>
      <c r="S68" s="8">
        <v>179964.06120000003</v>
      </c>
      <c r="U68" t="s">
        <v>40</v>
      </c>
    </row>
    <row r="69" spans="2:25" ht="15" x14ac:dyDescent="0.35">
      <c r="B69" s="7" t="s">
        <v>78</v>
      </c>
      <c r="C69" s="9" t="s">
        <v>36</v>
      </c>
      <c r="D69" s="8"/>
      <c r="E69" s="8"/>
      <c r="F69" s="8"/>
      <c r="G69" s="8"/>
      <c r="H69" s="8">
        <v>0</v>
      </c>
      <c r="I69" s="8">
        <v>0</v>
      </c>
      <c r="J69" s="8">
        <v>0</v>
      </c>
      <c r="K69" s="8">
        <v>0</v>
      </c>
      <c r="L69" s="8">
        <v>0</v>
      </c>
      <c r="M69" s="8">
        <v>0</v>
      </c>
      <c r="N69" s="8">
        <v>0</v>
      </c>
      <c r="O69" s="8">
        <v>0</v>
      </c>
      <c r="P69" s="8">
        <v>0</v>
      </c>
      <c r="Q69" s="8">
        <v>0</v>
      </c>
      <c r="R69" s="8">
        <v>0</v>
      </c>
      <c r="S69" s="8">
        <v>0</v>
      </c>
      <c r="U69" t="s">
        <v>40</v>
      </c>
    </row>
    <row r="70" spans="2:25" ht="15" x14ac:dyDescent="0.35">
      <c r="B70" s="7" t="s">
        <v>114</v>
      </c>
      <c r="C70" s="9" t="s">
        <v>36</v>
      </c>
      <c r="D70" s="8">
        <v>102960</v>
      </c>
      <c r="E70" s="8">
        <v>102960</v>
      </c>
      <c r="F70" s="8">
        <v>102960</v>
      </c>
      <c r="G70" s="8">
        <v>102960</v>
      </c>
      <c r="H70" s="8">
        <v>108108</v>
      </c>
      <c r="I70" s="8">
        <v>108108</v>
      </c>
      <c r="J70" s="8">
        <v>108108</v>
      </c>
      <c r="K70" s="8">
        <v>108108</v>
      </c>
      <c r="L70" s="8">
        <v>108108</v>
      </c>
      <c r="M70" s="8">
        <v>108108</v>
      </c>
      <c r="N70" s="8">
        <v>108108</v>
      </c>
      <c r="O70" s="8">
        <v>108108</v>
      </c>
      <c r="P70" s="8">
        <v>108108</v>
      </c>
      <c r="Q70" s="8">
        <v>108108</v>
      </c>
      <c r="R70" s="8">
        <v>108108</v>
      </c>
      <c r="S70" s="8">
        <v>108108</v>
      </c>
      <c r="U70" t="s">
        <v>40</v>
      </c>
    </row>
    <row r="71" spans="2:25" ht="15" x14ac:dyDescent="0.35">
      <c r="B71" t="s">
        <v>115</v>
      </c>
      <c r="C71" s="3" t="s">
        <v>810</v>
      </c>
      <c r="D71" s="2">
        <v>1033</v>
      </c>
      <c r="E71" s="2">
        <v>1033</v>
      </c>
      <c r="F71" s="2">
        <v>1033</v>
      </c>
      <c r="G71" s="2">
        <v>1033</v>
      </c>
      <c r="H71" s="2">
        <v>967</v>
      </c>
      <c r="I71" s="2">
        <v>967</v>
      </c>
      <c r="J71" s="2">
        <v>994</v>
      </c>
      <c r="K71" s="2">
        <v>994</v>
      </c>
      <c r="L71" s="2">
        <v>994</v>
      </c>
      <c r="M71" s="2">
        <v>994</v>
      </c>
      <c r="N71" s="2">
        <v>994</v>
      </c>
      <c r="O71" s="2">
        <v>994</v>
      </c>
      <c r="P71" s="2">
        <v>1026</v>
      </c>
      <c r="Q71" s="2">
        <v>1026</v>
      </c>
      <c r="R71" s="2">
        <v>1026</v>
      </c>
      <c r="S71" s="2">
        <v>1026</v>
      </c>
    </row>
    <row r="72" spans="2:25" ht="15" x14ac:dyDescent="0.35">
      <c r="B72" t="s">
        <v>116</v>
      </c>
      <c r="C72" s="3" t="s">
        <v>810</v>
      </c>
      <c r="D72" s="2">
        <v>950</v>
      </c>
      <c r="E72" s="2">
        <v>950</v>
      </c>
      <c r="F72" s="2">
        <v>950</v>
      </c>
      <c r="G72" s="2">
        <v>950</v>
      </c>
      <c r="H72" s="2">
        <v>935</v>
      </c>
      <c r="I72" s="2">
        <v>935</v>
      </c>
      <c r="J72" s="2">
        <v>971</v>
      </c>
      <c r="K72" s="2">
        <v>971</v>
      </c>
      <c r="L72" s="2">
        <v>971</v>
      </c>
      <c r="M72" s="2">
        <v>971</v>
      </c>
      <c r="N72" s="2">
        <v>971</v>
      </c>
      <c r="O72" s="2">
        <v>971</v>
      </c>
      <c r="P72" s="2">
        <v>1003</v>
      </c>
      <c r="Q72" s="2">
        <v>1003</v>
      </c>
      <c r="R72" s="2">
        <v>1003</v>
      </c>
      <c r="S72" s="2">
        <v>1003</v>
      </c>
    </row>
    <row r="73" spans="2:25" ht="15" x14ac:dyDescent="0.35">
      <c r="B73" t="s">
        <v>30</v>
      </c>
      <c r="C73" s="3" t="s">
        <v>810</v>
      </c>
      <c r="D73" s="2">
        <v>725</v>
      </c>
      <c r="E73" s="2">
        <v>725</v>
      </c>
      <c r="F73" s="2">
        <v>725</v>
      </c>
      <c r="G73" s="2">
        <v>725</v>
      </c>
      <c r="H73" s="2">
        <v>714</v>
      </c>
      <c r="I73" s="2">
        <v>714</v>
      </c>
      <c r="J73" s="2">
        <v>741</v>
      </c>
      <c r="K73" s="2">
        <v>741</v>
      </c>
      <c r="L73" s="2">
        <v>741</v>
      </c>
      <c r="M73" s="2">
        <v>741</v>
      </c>
      <c r="N73" s="2">
        <v>741</v>
      </c>
      <c r="O73" s="2">
        <v>741</v>
      </c>
      <c r="P73" s="2">
        <v>766</v>
      </c>
      <c r="Q73" s="2">
        <v>766</v>
      </c>
      <c r="R73" s="2">
        <v>766</v>
      </c>
      <c r="S73" s="2">
        <v>766</v>
      </c>
    </row>
    <row r="74" spans="2:25" ht="15" x14ac:dyDescent="0.35">
      <c r="B74" t="s">
        <v>117</v>
      </c>
      <c r="C74" s="3" t="s">
        <v>810</v>
      </c>
      <c r="D74" s="2">
        <v>930</v>
      </c>
      <c r="E74" s="2">
        <v>930</v>
      </c>
      <c r="F74" s="2">
        <v>930</v>
      </c>
      <c r="G74" s="2">
        <v>930</v>
      </c>
      <c r="H74" s="2">
        <v>887</v>
      </c>
      <c r="I74" s="2">
        <v>887</v>
      </c>
      <c r="J74" s="2">
        <v>900</v>
      </c>
      <c r="K74" s="2">
        <v>900</v>
      </c>
      <c r="L74" s="2">
        <v>900</v>
      </c>
      <c r="M74" s="2">
        <v>900</v>
      </c>
      <c r="N74" s="2">
        <v>900</v>
      </c>
      <c r="O74" s="2">
        <v>900</v>
      </c>
      <c r="P74" s="2">
        <v>930</v>
      </c>
      <c r="Q74" s="2">
        <v>930</v>
      </c>
      <c r="R74" s="2">
        <v>930</v>
      </c>
      <c r="S74" s="2">
        <v>930</v>
      </c>
    </row>
    <row r="75" spans="2:25" ht="15" x14ac:dyDescent="0.35">
      <c r="B75" t="s">
        <v>118</v>
      </c>
      <c r="C75" s="3" t="s">
        <v>810</v>
      </c>
      <c r="D75" s="2">
        <v>1095</v>
      </c>
      <c r="E75" s="2">
        <v>1095</v>
      </c>
      <c r="F75" s="2">
        <v>1095</v>
      </c>
      <c r="G75" s="2">
        <v>1095</v>
      </c>
      <c r="H75" s="2">
        <v>1095</v>
      </c>
      <c r="I75" s="2">
        <v>1095</v>
      </c>
      <c r="J75" s="2">
        <v>1137</v>
      </c>
      <c r="K75" s="2">
        <v>1137</v>
      </c>
      <c r="L75" s="2">
        <v>1137</v>
      </c>
      <c r="M75" s="2">
        <v>1137</v>
      </c>
      <c r="N75" s="2">
        <v>1137</v>
      </c>
      <c r="O75" s="2">
        <v>1137</v>
      </c>
      <c r="P75" s="2">
        <v>1174</v>
      </c>
      <c r="Q75" s="2">
        <v>1174</v>
      </c>
      <c r="R75" s="2">
        <v>1174</v>
      </c>
      <c r="S75" s="2">
        <v>1174</v>
      </c>
    </row>
    <row r="76" spans="2:25" ht="15" x14ac:dyDescent="0.35">
      <c r="B76" t="s">
        <v>119</v>
      </c>
      <c r="C76" s="3" t="s">
        <v>31</v>
      </c>
      <c r="D76" s="2">
        <v>4195000</v>
      </c>
      <c r="E76" s="2">
        <v>4195000</v>
      </c>
      <c r="F76" s="2">
        <v>4195000</v>
      </c>
      <c r="G76" s="2">
        <v>4195000</v>
      </c>
      <c r="H76" s="2">
        <v>4396360</v>
      </c>
      <c r="I76" s="2">
        <v>4396360</v>
      </c>
      <c r="J76" s="2">
        <v>4396360</v>
      </c>
      <c r="K76" s="2">
        <v>4396360</v>
      </c>
      <c r="L76" s="2">
        <v>4396360</v>
      </c>
      <c r="M76" s="2">
        <v>4396360</v>
      </c>
      <c r="N76" s="2">
        <v>4396360</v>
      </c>
      <c r="O76" s="2">
        <v>4396360</v>
      </c>
      <c r="P76" s="2">
        <v>4396360</v>
      </c>
      <c r="Q76" s="2">
        <v>4396360</v>
      </c>
      <c r="R76" s="2">
        <v>4396360</v>
      </c>
      <c r="S76" s="2">
        <v>4396360</v>
      </c>
    </row>
    <row r="77" spans="2:25" ht="15" x14ac:dyDescent="0.35">
      <c r="B77" t="s">
        <v>32</v>
      </c>
      <c r="C77" s="3" t="s">
        <v>36</v>
      </c>
      <c r="D77" s="2">
        <v>0</v>
      </c>
      <c r="E77" s="2">
        <v>0</v>
      </c>
      <c r="F77" s="2">
        <v>0</v>
      </c>
      <c r="G77" s="2">
        <v>0</v>
      </c>
      <c r="H77" s="2">
        <v>0</v>
      </c>
      <c r="I77" s="2">
        <v>0</v>
      </c>
      <c r="J77" s="2">
        <v>0</v>
      </c>
      <c r="K77" s="2">
        <v>0</v>
      </c>
      <c r="L77" s="2">
        <v>0</v>
      </c>
      <c r="M77" s="2">
        <v>0</v>
      </c>
      <c r="N77" s="2">
        <v>0</v>
      </c>
      <c r="O77" s="2">
        <v>0</v>
      </c>
      <c r="P77" s="2">
        <v>0</v>
      </c>
      <c r="Q77" s="2">
        <v>0</v>
      </c>
      <c r="R77" s="2">
        <v>0</v>
      </c>
      <c r="S77" s="2">
        <v>0</v>
      </c>
    </row>
    <row r="78" spans="2:25" ht="15" x14ac:dyDescent="0.35">
      <c r="B78" t="s">
        <v>33</v>
      </c>
      <c r="C78" s="3" t="s">
        <v>34</v>
      </c>
      <c r="D78" s="2">
        <v>9643</v>
      </c>
      <c r="E78" s="2">
        <v>9643</v>
      </c>
      <c r="F78" s="2">
        <v>9643</v>
      </c>
      <c r="G78" s="2">
        <v>9643</v>
      </c>
      <c r="H78" s="2">
        <v>12000</v>
      </c>
      <c r="I78" s="2">
        <v>12000</v>
      </c>
      <c r="J78" s="2">
        <v>12000</v>
      </c>
      <c r="K78" s="2">
        <v>12000</v>
      </c>
      <c r="L78" s="2">
        <v>12000</v>
      </c>
      <c r="M78" s="2">
        <v>12000</v>
      </c>
      <c r="N78" s="2">
        <v>12000</v>
      </c>
      <c r="O78" s="2">
        <v>12000</v>
      </c>
      <c r="P78" s="2">
        <v>12000</v>
      </c>
      <c r="Q78" s="2">
        <v>12000</v>
      </c>
      <c r="R78" s="2">
        <v>12000</v>
      </c>
      <c r="S78" s="2">
        <v>12000</v>
      </c>
    </row>
    <row r="79" spans="2:25" ht="15" x14ac:dyDescent="0.35">
      <c r="B79" t="s">
        <v>392</v>
      </c>
      <c r="C79" s="3" t="s">
        <v>36</v>
      </c>
      <c r="D79" s="2">
        <v>1328</v>
      </c>
      <c r="E79" s="2">
        <v>1328</v>
      </c>
      <c r="F79" s="2">
        <v>1328</v>
      </c>
      <c r="G79" s="2">
        <v>1328</v>
      </c>
      <c r="H79" s="4">
        <f t="shared" ref="H79:S79" si="19">H80+H81/H245</f>
        <v>3895.8805121425708</v>
      </c>
      <c r="I79" s="4">
        <f t="shared" si="19"/>
        <v>3736.4936509681133</v>
      </c>
      <c r="J79" s="4">
        <f t="shared" si="19"/>
        <v>3601.6207988287956</v>
      </c>
      <c r="K79" s="4">
        <f t="shared" si="19"/>
        <v>3738.3364016256774</v>
      </c>
      <c r="L79" s="4">
        <f t="shared" si="19"/>
        <v>3812.4977632786245</v>
      </c>
      <c r="M79" s="4">
        <f t="shared" si="19"/>
        <v>3840.5794335512132</v>
      </c>
      <c r="N79" s="4">
        <f t="shared" si="19"/>
        <v>3493.4957117134109</v>
      </c>
      <c r="O79" s="4">
        <f t="shared" si="19"/>
        <v>3684.6159678013196</v>
      </c>
      <c r="P79" s="4">
        <f t="shared" si="19"/>
        <v>3558.5264471425799</v>
      </c>
      <c r="Q79" s="4">
        <f t="shared" si="19"/>
        <v>3526.169776761863</v>
      </c>
      <c r="R79" s="4">
        <f t="shared" si="19"/>
        <v>3685.5982054510991</v>
      </c>
      <c r="S79" s="4">
        <f t="shared" si="19"/>
        <v>3664.733549304437</v>
      </c>
    </row>
    <row r="80" spans="2:25" ht="15" x14ac:dyDescent="0.35">
      <c r="B80" t="s">
        <v>393</v>
      </c>
      <c r="C80" s="3" t="s">
        <v>810</v>
      </c>
      <c r="D80" s="2"/>
      <c r="E80" s="2"/>
      <c r="F80" s="2"/>
      <c r="G80" s="2"/>
      <c r="H80" s="2">
        <v>1455</v>
      </c>
      <c r="I80" s="2">
        <v>1455</v>
      </c>
      <c r="J80" s="2">
        <v>1455</v>
      </c>
      <c r="K80" s="2">
        <v>1455</v>
      </c>
      <c r="L80" s="2">
        <v>1455</v>
      </c>
      <c r="M80" s="2">
        <v>1455</v>
      </c>
      <c r="N80" s="2">
        <v>1455</v>
      </c>
      <c r="O80" s="2">
        <v>1455</v>
      </c>
      <c r="P80" s="2">
        <v>1455</v>
      </c>
      <c r="Q80" s="2">
        <v>1455</v>
      </c>
      <c r="R80" s="2">
        <v>1455</v>
      </c>
      <c r="S80" s="2">
        <v>1455</v>
      </c>
    </row>
    <row r="81" spans="2:19" ht="15" x14ac:dyDescent="0.35">
      <c r="B81" t="s">
        <v>394</v>
      </c>
      <c r="C81" s="3" t="s">
        <v>805</v>
      </c>
      <c r="D81" s="2"/>
      <c r="E81" s="2"/>
      <c r="F81" s="2"/>
      <c r="G81" s="2"/>
      <c r="H81" s="2">
        <v>241040000</v>
      </c>
      <c r="I81" s="2">
        <v>241040000</v>
      </c>
      <c r="J81" s="2">
        <v>241040000</v>
      </c>
      <c r="K81" s="2">
        <v>241040000</v>
      </c>
      <c r="L81" s="2">
        <v>241040000</v>
      </c>
      <c r="M81" s="2">
        <v>241040000</v>
      </c>
      <c r="N81" s="2">
        <v>241040000</v>
      </c>
      <c r="O81" s="2">
        <v>241040000</v>
      </c>
      <c r="P81" s="2">
        <v>241040000</v>
      </c>
      <c r="Q81" s="2">
        <v>241040000</v>
      </c>
      <c r="R81" s="2">
        <v>241040000</v>
      </c>
      <c r="S81" s="2">
        <v>241040000</v>
      </c>
    </row>
    <row r="82" spans="2:19" ht="15" x14ac:dyDescent="0.35">
      <c r="B82" t="s">
        <v>37</v>
      </c>
      <c r="C82" s="3" t="s">
        <v>36</v>
      </c>
      <c r="D82" s="2">
        <f>9525*0</f>
        <v>0</v>
      </c>
      <c r="E82" s="2">
        <f t="shared" ref="E82:G82" si="20">9525*0</f>
        <v>0</v>
      </c>
      <c r="F82" s="2">
        <f t="shared" si="20"/>
        <v>0</v>
      </c>
      <c r="G82" s="2">
        <f t="shared" si="20"/>
        <v>0</v>
      </c>
      <c r="H82" s="2">
        <f>9982.2*0+6325</f>
        <v>6325</v>
      </c>
      <c r="I82" s="2">
        <f t="shared" ref="I82:S82" si="21">9982.2*0+6325</f>
        <v>6325</v>
      </c>
      <c r="J82" s="2">
        <f t="shared" si="21"/>
        <v>6325</v>
      </c>
      <c r="K82" s="2">
        <f t="shared" si="21"/>
        <v>6325</v>
      </c>
      <c r="L82" s="2">
        <f t="shared" si="21"/>
        <v>6325</v>
      </c>
      <c r="M82" s="2">
        <f t="shared" si="21"/>
        <v>6325</v>
      </c>
      <c r="N82" s="2">
        <f t="shared" si="21"/>
        <v>6325</v>
      </c>
      <c r="O82" s="2">
        <f t="shared" si="21"/>
        <v>6325</v>
      </c>
      <c r="P82" s="2">
        <f t="shared" si="21"/>
        <v>6325</v>
      </c>
      <c r="Q82" s="2">
        <f t="shared" si="21"/>
        <v>6325</v>
      </c>
      <c r="R82" s="2">
        <f t="shared" si="21"/>
        <v>6325</v>
      </c>
      <c r="S82" s="2">
        <f t="shared" si="21"/>
        <v>6325</v>
      </c>
    </row>
    <row r="83" spans="2:19" ht="15" x14ac:dyDescent="0.35">
      <c r="B83" t="s">
        <v>120</v>
      </c>
      <c r="C83" s="3" t="s">
        <v>36</v>
      </c>
      <c r="D83" s="2">
        <f>9082*0</f>
        <v>0</v>
      </c>
      <c r="E83" s="2">
        <f>9082*0</f>
        <v>0</v>
      </c>
      <c r="F83" s="2">
        <f t="shared" ref="F83:G83" si="22">9082*0</f>
        <v>0</v>
      </c>
      <c r="G83" s="2">
        <f t="shared" si="22"/>
        <v>0</v>
      </c>
      <c r="H83" s="2">
        <f>9517.936*0+8700</f>
        <v>8700</v>
      </c>
      <c r="I83" s="2">
        <f t="shared" ref="I83:S83" si="23">9517.936*0+8700</f>
        <v>8700</v>
      </c>
      <c r="J83" s="2">
        <f t="shared" si="23"/>
        <v>8700</v>
      </c>
      <c r="K83" s="2">
        <f t="shared" si="23"/>
        <v>8700</v>
      </c>
      <c r="L83" s="2">
        <f t="shared" si="23"/>
        <v>8700</v>
      </c>
      <c r="M83" s="2">
        <f t="shared" si="23"/>
        <v>8700</v>
      </c>
      <c r="N83" s="2">
        <f t="shared" si="23"/>
        <v>8700</v>
      </c>
      <c r="O83" s="2">
        <f t="shared" si="23"/>
        <v>8700</v>
      </c>
      <c r="P83" s="2">
        <f t="shared" si="23"/>
        <v>8700</v>
      </c>
      <c r="Q83" s="2">
        <f t="shared" si="23"/>
        <v>8700</v>
      </c>
      <c r="R83" s="2">
        <f t="shared" si="23"/>
        <v>8700</v>
      </c>
      <c r="S83" s="2">
        <f t="shared" si="23"/>
        <v>8700</v>
      </c>
    </row>
    <row r="84" spans="2:19" ht="15" x14ac:dyDescent="0.35">
      <c r="B84" t="s">
        <v>121</v>
      </c>
      <c r="C84" s="3" t="s">
        <v>36</v>
      </c>
      <c r="D84" s="2">
        <v>9952.2292993630581</v>
      </c>
      <c r="E84" s="2">
        <v>9952.2292993630581</v>
      </c>
      <c r="F84" s="2">
        <v>9952.2292993630581</v>
      </c>
      <c r="G84" s="2">
        <f>H84/1.0048</f>
        <v>10673.76592356688</v>
      </c>
      <c r="H84" s="2">
        <f>10000*0+10725</f>
        <v>10725</v>
      </c>
      <c r="I84" s="2">
        <f t="shared" ref="I84:S84" si="24">10000*0+10725</f>
        <v>10725</v>
      </c>
      <c r="J84" s="2">
        <f t="shared" si="24"/>
        <v>10725</v>
      </c>
      <c r="K84" s="2">
        <f t="shared" si="24"/>
        <v>10725</v>
      </c>
      <c r="L84" s="2">
        <f t="shared" si="24"/>
        <v>10725</v>
      </c>
      <c r="M84" s="2">
        <f t="shared" si="24"/>
        <v>10725</v>
      </c>
      <c r="N84" s="2">
        <f t="shared" si="24"/>
        <v>10725</v>
      </c>
      <c r="O84" s="2">
        <f t="shared" si="24"/>
        <v>10725</v>
      </c>
      <c r="P84" s="2">
        <f t="shared" si="24"/>
        <v>10725</v>
      </c>
      <c r="Q84" s="2">
        <f t="shared" si="24"/>
        <v>10725</v>
      </c>
      <c r="R84" s="2">
        <f t="shared" si="24"/>
        <v>10725</v>
      </c>
      <c r="S84" s="2">
        <f t="shared" si="24"/>
        <v>10725</v>
      </c>
    </row>
    <row r="85" spans="2:19" ht="15" x14ac:dyDescent="0.35">
      <c r="B85" t="s">
        <v>122</v>
      </c>
      <c r="C85" s="3" t="s">
        <v>36</v>
      </c>
      <c r="D85" s="2">
        <v>6998.9443131425378</v>
      </c>
      <c r="E85" s="2">
        <v>6998.9443131425378</v>
      </c>
      <c r="F85" s="2">
        <v>6998.9443131425378</v>
      </c>
      <c r="G85" s="2">
        <v>6998.9443131425378</v>
      </c>
      <c r="H85" s="36">
        <f t="shared" ref="H85:S85" si="25">(H86*H87)/SUM(H464:H467)</f>
        <v>7600.3518061314089</v>
      </c>
      <c r="I85" s="36">
        <f t="shared" si="25"/>
        <v>7507.6645889834654</v>
      </c>
      <c r="J85" s="36">
        <f t="shared" si="25"/>
        <v>10800.499935028844</v>
      </c>
      <c r="K85" s="36">
        <f t="shared" si="25"/>
        <v>10260.474938277403</v>
      </c>
      <c r="L85" s="36">
        <f t="shared" si="25"/>
        <v>6765.1483109521341</v>
      </c>
      <c r="M85" s="36">
        <f t="shared" si="25"/>
        <v>15785.34605888831</v>
      </c>
      <c r="N85" s="36">
        <f t="shared" si="25"/>
        <v>8208.379950621922</v>
      </c>
      <c r="O85" s="36">
        <f t="shared" si="25"/>
        <v>6765.1483109521341</v>
      </c>
      <c r="P85" s="36">
        <f t="shared" si="25"/>
        <v>8922.1521202412187</v>
      </c>
      <c r="Q85" s="36">
        <f t="shared" si="25"/>
        <v>11400.527709197115</v>
      </c>
      <c r="R85" s="36">
        <f t="shared" si="25"/>
        <v>6995.7783670073186</v>
      </c>
      <c r="S85" s="36">
        <f t="shared" si="25"/>
        <v>11088.981972999018</v>
      </c>
    </row>
    <row r="86" spans="2:19" ht="15" x14ac:dyDescent="0.35">
      <c r="B86" t="s">
        <v>425</v>
      </c>
      <c r="C86" s="3" t="s">
        <v>805</v>
      </c>
      <c r="D86" s="2"/>
      <c r="E86" s="2"/>
      <c r="F86" s="2"/>
      <c r="G86" s="2"/>
      <c r="H86" s="2">
        <v>240000</v>
      </c>
      <c r="I86" s="2">
        <v>240000</v>
      </c>
      <c r="J86" s="2">
        <v>240000</v>
      </c>
      <c r="K86" s="2">
        <v>240000</v>
      </c>
      <c r="L86" s="2">
        <v>240000</v>
      </c>
      <c r="M86" s="2">
        <v>240000</v>
      </c>
      <c r="N86" s="2">
        <v>240000</v>
      </c>
      <c r="O86" s="2">
        <v>240000</v>
      </c>
      <c r="P86" s="2">
        <v>240000</v>
      </c>
      <c r="Q86" s="2">
        <v>240000</v>
      </c>
      <c r="R86" s="2">
        <v>240000</v>
      </c>
      <c r="S86" s="2">
        <v>240000</v>
      </c>
    </row>
    <row r="87" spans="2:19" ht="15" x14ac:dyDescent="0.35">
      <c r="B87" t="s">
        <v>424</v>
      </c>
      <c r="C87" t="s">
        <v>782</v>
      </c>
      <c r="D87" s="2"/>
      <c r="E87" s="2"/>
      <c r="F87" s="2"/>
      <c r="G87" s="2"/>
      <c r="H87" s="2">
        <v>50</v>
      </c>
      <c r="I87" s="2">
        <v>50</v>
      </c>
      <c r="J87" s="2">
        <v>50</v>
      </c>
      <c r="K87" s="2">
        <v>50</v>
      </c>
      <c r="L87" s="2">
        <v>50</v>
      </c>
      <c r="M87" s="2">
        <v>50</v>
      </c>
      <c r="N87" s="2">
        <v>50</v>
      </c>
      <c r="O87" s="2">
        <v>50</v>
      </c>
      <c r="P87" s="2">
        <v>50</v>
      </c>
      <c r="Q87" s="2">
        <v>50</v>
      </c>
      <c r="R87" s="2">
        <v>50</v>
      </c>
      <c r="S87" s="2">
        <v>50</v>
      </c>
    </row>
    <row r="88" spans="2:19" ht="15" x14ac:dyDescent="0.35">
      <c r="B88" t="s">
        <v>123</v>
      </c>
      <c r="C88" s="3" t="s">
        <v>38</v>
      </c>
      <c r="D88" s="2">
        <f>31673857</f>
        <v>31673857</v>
      </c>
      <c r="E88" s="2">
        <f t="shared" ref="E88:G88" si="26">31673857</f>
        <v>31673857</v>
      </c>
      <c r="F88" s="2">
        <f t="shared" si="26"/>
        <v>31673857</v>
      </c>
      <c r="G88" s="2">
        <f t="shared" si="26"/>
        <v>31673857</v>
      </c>
      <c r="H88" s="4">
        <f t="shared" ref="H88:S88" si="27">H89/H272</f>
        <v>3861.4229819451712</v>
      </c>
      <c r="I88" s="4">
        <f t="shared" si="27"/>
        <v>3814.2886181085482</v>
      </c>
      <c r="J88" s="4">
        <f t="shared" si="27"/>
        <v>5489.4636711508383</v>
      </c>
      <c r="K88" s="4">
        <f t="shared" si="27"/>
        <v>5248.038469849811</v>
      </c>
      <c r="L88" s="4">
        <f t="shared" si="27"/>
        <v>3436.7348499125505</v>
      </c>
      <c r="M88" s="4">
        <f t="shared" si="27"/>
        <v>8028.0266888303049</v>
      </c>
      <c r="N88" s="4">
        <f t="shared" si="27"/>
        <v>4191.9873270692224</v>
      </c>
      <c r="O88" s="4">
        <f t="shared" si="27"/>
        <v>3436.7348499125505</v>
      </c>
      <c r="P88" s="4">
        <f t="shared" si="27"/>
        <v>4533.7179167532195</v>
      </c>
      <c r="Q88" s="4">
        <f t="shared" si="27"/>
        <v>5836.1375501565753</v>
      </c>
      <c r="R88" s="4">
        <f t="shared" si="27"/>
        <v>3553.9978952541696</v>
      </c>
      <c r="S88" s="4">
        <f t="shared" si="27"/>
        <v>5675.326104781434</v>
      </c>
    </row>
    <row r="89" spans="2:19" ht="15" x14ac:dyDescent="0.35">
      <c r="B89" t="s">
        <v>426</v>
      </c>
      <c r="C89" s="3" t="s">
        <v>805</v>
      </c>
      <c r="D89" s="2"/>
      <c r="E89" s="2"/>
      <c r="F89" s="2"/>
      <c r="G89" s="2"/>
      <c r="H89" s="2">
        <v>35498552.100000001</v>
      </c>
      <c r="I89" s="2">
        <v>35498552.100000001</v>
      </c>
      <c r="J89" s="2">
        <v>35498552.100000001</v>
      </c>
      <c r="K89" s="2">
        <v>35498552.100000001</v>
      </c>
      <c r="L89" s="2">
        <v>35498552.100000001</v>
      </c>
      <c r="M89" s="2">
        <v>35498552.100000001</v>
      </c>
      <c r="N89" s="2">
        <v>35498552.100000001</v>
      </c>
      <c r="O89" s="2">
        <v>35498552.100000001</v>
      </c>
      <c r="P89" s="2">
        <v>35498552.100000001</v>
      </c>
      <c r="Q89" s="2">
        <v>35498552.100000001</v>
      </c>
      <c r="R89" s="2">
        <v>35498552.100000001</v>
      </c>
      <c r="S89" s="2">
        <v>35498552.100000001</v>
      </c>
    </row>
    <row r="90" spans="2:19" ht="15" x14ac:dyDescent="0.35">
      <c r="B90" t="s">
        <v>124</v>
      </c>
      <c r="C90" s="3" t="s">
        <v>36</v>
      </c>
      <c r="D90" s="2">
        <v>17350508.905852415</v>
      </c>
      <c r="E90" s="2">
        <v>17350508.905852415</v>
      </c>
      <c r="F90" s="2">
        <v>17350508.905852415</v>
      </c>
      <c r="G90" s="2">
        <v>17350508.905852415</v>
      </c>
      <c r="H90" s="4">
        <f t="shared" ref="H90:S90" si="28">H91/SUM(H468:H473,H461:H463)</f>
        <v>884.81713155687987</v>
      </c>
      <c r="I90" s="4">
        <f t="shared" si="28"/>
        <v>856.58136857105603</v>
      </c>
      <c r="J90" s="4">
        <f t="shared" si="28"/>
        <v>1027.8213766741007</v>
      </c>
      <c r="K90" s="4">
        <f t="shared" si="28"/>
        <v>1035.0476826494064</v>
      </c>
      <c r="L90" s="4">
        <f t="shared" si="28"/>
        <v>810.3841389655596</v>
      </c>
      <c r="M90" s="4">
        <f t="shared" si="28"/>
        <v>1307.9095122024719</v>
      </c>
      <c r="N90" s="4">
        <f t="shared" si="28"/>
        <v>866.54358267021667</v>
      </c>
      <c r="O90" s="4">
        <f t="shared" si="28"/>
        <v>796.06789072504512</v>
      </c>
      <c r="P90" s="4">
        <f t="shared" si="28"/>
        <v>918.03234099886834</v>
      </c>
      <c r="Q90" s="4">
        <f t="shared" si="28"/>
        <v>1042.1757333052951</v>
      </c>
      <c r="R90" s="4">
        <f t="shared" si="28"/>
        <v>812.93262407263762</v>
      </c>
      <c r="S90" s="4">
        <f t="shared" si="28"/>
        <v>1062.0694871177675</v>
      </c>
    </row>
    <row r="91" spans="2:19" ht="15" x14ac:dyDescent="0.35">
      <c r="B91" t="s">
        <v>124</v>
      </c>
      <c r="C91" s="3" t="s">
        <v>805</v>
      </c>
      <c r="D91" s="2"/>
      <c r="E91" s="2"/>
      <c r="F91" s="2"/>
      <c r="G91" s="2"/>
      <c r="H91" s="2">
        <v>18183333.333333332</v>
      </c>
      <c r="I91" s="4">
        <f>H91</f>
        <v>18183333.333333332</v>
      </c>
      <c r="J91" s="4">
        <f t="shared" ref="J91:S91" si="29">I91</f>
        <v>18183333.333333332</v>
      </c>
      <c r="K91" s="4">
        <f t="shared" si="29"/>
        <v>18183333.333333332</v>
      </c>
      <c r="L91" s="4">
        <f t="shared" si="29"/>
        <v>18183333.333333332</v>
      </c>
      <c r="M91" s="4">
        <f t="shared" si="29"/>
        <v>18183333.333333332</v>
      </c>
      <c r="N91" s="4">
        <f t="shared" si="29"/>
        <v>18183333.333333332</v>
      </c>
      <c r="O91" s="4">
        <f t="shared" si="29"/>
        <v>18183333.333333332</v>
      </c>
      <c r="P91" s="4">
        <f t="shared" si="29"/>
        <v>18183333.333333332</v>
      </c>
      <c r="Q91" s="4">
        <f t="shared" si="29"/>
        <v>18183333.333333332</v>
      </c>
      <c r="R91" s="4">
        <f t="shared" si="29"/>
        <v>18183333.333333332</v>
      </c>
      <c r="S91" s="4">
        <f t="shared" si="29"/>
        <v>18183333.333333332</v>
      </c>
    </row>
    <row r="92" spans="2:19" ht="15" x14ac:dyDescent="0.35">
      <c r="B92" t="s">
        <v>125</v>
      </c>
      <c r="C92" s="3" t="s">
        <v>36</v>
      </c>
      <c r="D92" s="2">
        <f>69787.61*25%</f>
        <v>17446.9025</v>
      </c>
      <c r="E92" s="2">
        <f>D92</f>
        <v>17446.9025</v>
      </c>
      <c r="F92" s="2">
        <f t="shared" ref="F92:G92" si="30">E92</f>
        <v>17446.9025</v>
      </c>
      <c r="G92" s="2">
        <f t="shared" si="30"/>
        <v>17446.9025</v>
      </c>
      <c r="H92" s="2">
        <f>69787.61*1.048*50%</f>
        <v>36568.707640000001</v>
      </c>
      <c r="I92" s="2">
        <f>H92</f>
        <v>36568.707640000001</v>
      </c>
      <c r="J92" s="2">
        <f t="shared" ref="J92:S92" si="31">I92</f>
        <v>36568.707640000001</v>
      </c>
      <c r="K92" s="2">
        <f t="shared" si="31"/>
        <v>36568.707640000001</v>
      </c>
      <c r="L92" s="2">
        <f t="shared" si="31"/>
        <v>36568.707640000001</v>
      </c>
      <c r="M92" s="2">
        <f t="shared" si="31"/>
        <v>36568.707640000001</v>
      </c>
      <c r="N92" s="2">
        <f t="shared" si="31"/>
        <v>36568.707640000001</v>
      </c>
      <c r="O92" s="2">
        <f t="shared" si="31"/>
        <v>36568.707640000001</v>
      </c>
      <c r="P92" s="2">
        <f t="shared" si="31"/>
        <v>36568.707640000001</v>
      </c>
      <c r="Q92" s="2">
        <f t="shared" si="31"/>
        <v>36568.707640000001</v>
      </c>
      <c r="R92" s="2">
        <f t="shared" si="31"/>
        <v>36568.707640000001</v>
      </c>
      <c r="S92" s="2">
        <f t="shared" si="31"/>
        <v>36568.707640000001</v>
      </c>
    </row>
    <row r="93" spans="2:19" ht="15" x14ac:dyDescent="0.35">
      <c r="B93" t="s">
        <v>39</v>
      </c>
      <c r="C93" s="3" t="s">
        <v>36</v>
      </c>
      <c r="D93" s="2">
        <v>99256</v>
      </c>
      <c r="E93" s="2">
        <v>99256</v>
      </c>
      <c r="F93" s="2">
        <v>99256</v>
      </c>
      <c r="G93" s="2">
        <v>99256</v>
      </c>
      <c r="H93" s="2">
        <v>104128.8</v>
      </c>
      <c r="I93" s="2">
        <v>104128.8</v>
      </c>
      <c r="J93" s="2">
        <v>104128.8</v>
      </c>
      <c r="K93" s="2">
        <v>104128.8</v>
      </c>
      <c r="L93" s="2">
        <v>104128.8</v>
      </c>
      <c r="M93" s="2">
        <v>104128.8</v>
      </c>
      <c r="N93" s="2">
        <v>104128.8</v>
      </c>
      <c r="O93" s="2">
        <v>104128.8</v>
      </c>
      <c r="P93" s="2">
        <v>104128.8</v>
      </c>
      <c r="Q93" s="2">
        <v>104128.8</v>
      </c>
      <c r="R93" s="2">
        <v>104128.8</v>
      </c>
      <c r="S93" s="2">
        <v>104128.8</v>
      </c>
    </row>
    <row r="94" spans="2:19" ht="15" x14ac:dyDescent="0.35">
      <c r="B94" s="7" t="s">
        <v>126</v>
      </c>
      <c r="C94" s="9" t="s">
        <v>36</v>
      </c>
      <c r="D94" s="8">
        <v>54256</v>
      </c>
      <c r="E94" s="8">
        <v>54256</v>
      </c>
      <c r="F94" s="8">
        <v>54256</v>
      </c>
      <c r="G94" s="8">
        <v>54256</v>
      </c>
      <c r="H94" s="8">
        <v>56968.800000000003</v>
      </c>
      <c r="I94" s="8">
        <v>56968.800000000003</v>
      </c>
      <c r="J94" s="8">
        <v>56968.800000000003</v>
      </c>
      <c r="K94" s="8">
        <v>56968.800000000003</v>
      </c>
      <c r="L94" s="8">
        <v>56968.800000000003</v>
      </c>
      <c r="M94" s="8">
        <v>56968.800000000003</v>
      </c>
      <c r="N94" s="8">
        <v>56968.800000000003</v>
      </c>
      <c r="O94" s="8">
        <v>56968.800000000003</v>
      </c>
      <c r="P94" s="8">
        <v>56968.800000000003</v>
      </c>
      <c r="Q94" s="8">
        <v>56968.800000000003</v>
      </c>
      <c r="R94" s="8">
        <v>56968.800000000003</v>
      </c>
      <c r="S94" s="8">
        <v>56968.800000000003</v>
      </c>
    </row>
    <row r="95" spans="2:19" s="3" customFormat="1" ht="15" x14ac:dyDescent="0.35">
      <c r="B95" t="s">
        <v>127</v>
      </c>
      <c r="C95" s="3" t="s">
        <v>36</v>
      </c>
      <c r="D95" s="2">
        <v>8444</v>
      </c>
      <c r="E95" s="2">
        <v>8345.6299999999992</v>
      </c>
      <c r="F95" s="2">
        <v>8345.6299999999992</v>
      </c>
      <c r="G95" s="2">
        <v>8345.6299999999992</v>
      </c>
      <c r="H95" s="2">
        <v>6160</v>
      </c>
      <c r="I95" s="2">
        <v>6160</v>
      </c>
      <c r="J95" s="2">
        <v>6160</v>
      </c>
      <c r="K95" s="2">
        <v>6160</v>
      </c>
      <c r="L95" s="2">
        <v>6160</v>
      </c>
      <c r="M95" s="2">
        <v>6160</v>
      </c>
      <c r="N95" s="2">
        <v>6160</v>
      </c>
      <c r="O95" s="2">
        <v>6160</v>
      </c>
      <c r="P95" s="2">
        <v>6160</v>
      </c>
      <c r="Q95" s="2">
        <v>6160</v>
      </c>
      <c r="R95" s="2">
        <v>6160</v>
      </c>
      <c r="S95" s="2">
        <v>6160</v>
      </c>
    </row>
    <row r="96" spans="2:19" s="3" customFormat="1" ht="15" x14ac:dyDescent="0.35">
      <c r="B96" t="s">
        <v>681</v>
      </c>
      <c r="C96" s="3" t="s">
        <v>36</v>
      </c>
      <c r="D96" s="2">
        <v>8444</v>
      </c>
      <c r="E96" s="2">
        <v>8345.6299999999992</v>
      </c>
      <c r="F96" s="2">
        <v>8345.6299999999992</v>
      </c>
      <c r="G96" s="2">
        <v>8345.6299999999992</v>
      </c>
      <c r="H96" s="2">
        <v>6160</v>
      </c>
      <c r="I96" s="2">
        <v>6160</v>
      </c>
      <c r="J96" s="2">
        <v>6160</v>
      </c>
      <c r="K96" s="2">
        <v>6160</v>
      </c>
      <c r="L96" s="2">
        <v>6160</v>
      </c>
      <c r="M96" s="2">
        <v>6160</v>
      </c>
      <c r="N96" s="2">
        <v>6160</v>
      </c>
      <c r="O96" s="2">
        <v>6160</v>
      </c>
      <c r="P96" s="2">
        <v>6160</v>
      </c>
      <c r="Q96" s="2">
        <v>6160</v>
      </c>
      <c r="R96" s="2">
        <v>6160</v>
      </c>
      <c r="S96" s="2">
        <v>6160</v>
      </c>
    </row>
    <row r="97" spans="2:22" s="3" customFormat="1" ht="15" x14ac:dyDescent="0.35">
      <c r="B97" t="s">
        <v>683</v>
      </c>
      <c r="C97" s="3" t="s">
        <v>36</v>
      </c>
      <c r="D97" s="2"/>
      <c r="E97" s="2"/>
      <c r="F97" s="2"/>
      <c r="G97" s="2"/>
      <c r="H97" s="2">
        <v>5000</v>
      </c>
      <c r="I97" s="2">
        <v>5000</v>
      </c>
      <c r="J97" s="2">
        <v>5000</v>
      </c>
      <c r="K97" s="2">
        <v>5000</v>
      </c>
      <c r="L97" s="2">
        <v>5000</v>
      </c>
      <c r="M97" s="2">
        <v>5000</v>
      </c>
      <c r="N97" s="2">
        <v>5000</v>
      </c>
      <c r="O97" s="2">
        <v>5000</v>
      </c>
      <c r="P97" s="2">
        <v>5000</v>
      </c>
      <c r="Q97" s="2">
        <v>5000</v>
      </c>
      <c r="R97" s="2">
        <v>5000</v>
      </c>
      <c r="S97" s="2">
        <v>5000</v>
      </c>
    </row>
    <row r="98" spans="2:22" s="3" customFormat="1" ht="15" x14ac:dyDescent="0.35">
      <c r="B98" t="s">
        <v>690</v>
      </c>
      <c r="C98" s="3" t="s">
        <v>36</v>
      </c>
      <c r="D98" s="2"/>
      <c r="E98" s="2"/>
      <c r="F98" s="2"/>
      <c r="G98" s="2"/>
      <c r="H98" s="2">
        <v>281.31736480000001</v>
      </c>
      <c r="I98" s="2">
        <v>281.31736480000001</v>
      </c>
      <c r="J98" s="2">
        <v>281.31736480000001</v>
      </c>
      <c r="K98" s="2">
        <v>281.31736480000001</v>
      </c>
      <c r="L98" s="2">
        <v>281.31736480000001</v>
      </c>
      <c r="M98" s="2">
        <v>281.31736480000001</v>
      </c>
      <c r="N98" s="2">
        <v>281.31736480000001</v>
      </c>
      <c r="O98" s="2">
        <v>281.31736480000001</v>
      </c>
      <c r="P98" s="2">
        <v>281.31736480000001</v>
      </c>
      <c r="Q98" s="2">
        <v>281.31736480000001</v>
      </c>
      <c r="R98" s="2">
        <v>281.31736480000001</v>
      </c>
      <c r="S98" s="2">
        <v>281.31736480000001</v>
      </c>
    </row>
    <row r="99" spans="2:22" s="3" customFormat="1" ht="15" x14ac:dyDescent="0.35">
      <c r="B99" t="s">
        <v>689</v>
      </c>
      <c r="C99" s="3" t="s">
        <v>36</v>
      </c>
      <c r="D99" s="2"/>
      <c r="E99" s="2"/>
      <c r="F99" s="2"/>
      <c r="G99" s="2"/>
      <c r="H99" s="2">
        <v>118.5867544</v>
      </c>
      <c r="I99" s="2">
        <v>118.5867544</v>
      </c>
      <c r="J99" s="2">
        <v>118.5867544</v>
      </c>
      <c r="K99" s="2">
        <v>118.5867544</v>
      </c>
      <c r="L99" s="2">
        <v>118.5867544</v>
      </c>
      <c r="M99" s="2">
        <v>118.5867544</v>
      </c>
      <c r="N99" s="2">
        <v>118.5867544</v>
      </c>
      <c r="O99" s="2">
        <v>118.5867544</v>
      </c>
      <c r="P99" s="2">
        <v>118.5867544</v>
      </c>
      <c r="Q99" s="2">
        <v>118.5867544</v>
      </c>
      <c r="R99" s="2">
        <v>118.5867544</v>
      </c>
      <c r="S99" s="2">
        <v>118.5867544</v>
      </c>
    </row>
    <row r="100" spans="2:22" ht="15" x14ac:dyDescent="0.35">
      <c r="B100" t="s">
        <v>128</v>
      </c>
      <c r="C100" s="3" t="s">
        <v>36</v>
      </c>
      <c r="D100" s="2"/>
      <c r="E100" s="2"/>
      <c r="F100" s="2"/>
      <c r="G100" s="2"/>
      <c r="H100" s="4">
        <f t="shared" ref="H100:S100" si="32">H101/SUM($H$260:$S$260)</f>
        <v>0</v>
      </c>
      <c r="I100" s="4">
        <f t="shared" si="32"/>
        <v>0</v>
      </c>
      <c r="J100" s="4">
        <f t="shared" si="32"/>
        <v>0</v>
      </c>
      <c r="K100" s="4">
        <f t="shared" si="32"/>
        <v>0</v>
      </c>
      <c r="L100" s="4">
        <f t="shared" si="32"/>
        <v>0</v>
      </c>
      <c r="M100" s="4">
        <f t="shared" si="32"/>
        <v>0</v>
      </c>
      <c r="N100" s="4">
        <f t="shared" si="32"/>
        <v>0</v>
      </c>
      <c r="O100" s="4">
        <f t="shared" si="32"/>
        <v>0</v>
      </c>
      <c r="P100" s="4">
        <f t="shared" si="32"/>
        <v>0</v>
      </c>
      <c r="Q100" s="4">
        <f t="shared" si="32"/>
        <v>0</v>
      </c>
      <c r="R100" s="4">
        <f t="shared" si="32"/>
        <v>0</v>
      </c>
      <c r="S100" s="4">
        <f t="shared" si="32"/>
        <v>0</v>
      </c>
      <c r="U100" s="10">
        <f>191056000*0</f>
        <v>0</v>
      </c>
      <c r="V100" t="str">
        <f>B100</f>
        <v>Ductos Del Horno</v>
      </c>
    </row>
    <row r="101" spans="2:22" ht="15" x14ac:dyDescent="0.35">
      <c r="B101" t="s">
        <v>128</v>
      </c>
      <c r="C101" s="3" t="s">
        <v>805</v>
      </c>
      <c r="D101" s="2"/>
      <c r="E101" s="2"/>
      <c r="F101" s="2"/>
      <c r="G101" s="2"/>
      <c r="H101" s="2">
        <v>0</v>
      </c>
      <c r="I101" s="4">
        <f>H101</f>
        <v>0</v>
      </c>
      <c r="J101" s="4">
        <f t="shared" ref="J101:S101" si="33">I101</f>
        <v>0</v>
      </c>
      <c r="K101" s="4">
        <f t="shared" si="33"/>
        <v>0</v>
      </c>
      <c r="L101" s="4">
        <f t="shared" si="33"/>
        <v>0</v>
      </c>
      <c r="M101" s="4">
        <f t="shared" si="33"/>
        <v>0</v>
      </c>
      <c r="N101" s="4">
        <f t="shared" si="33"/>
        <v>0</v>
      </c>
      <c r="O101" s="4">
        <f t="shared" si="33"/>
        <v>0</v>
      </c>
      <c r="P101" s="4">
        <f t="shared" si="33"/>
        <v>0</v>
      </c>
      <c r="Q101" s="4">
        <f t="shared" si="33"/>
        <v>0</v>
      </c>
      <c r="R101" s="4">
        <f t="shared" si="33"/>
        <v>0</v>
      </c>
      <c r="S101" s="4">
        <f t="shared" si="33"/>
        <v>0</v>
      </c>
      <c r="U101" s="10"/>
    </row>
    <row r="102" spans="2:22" ht="15" x14ac:dyDescent="0.35">
      <c r="B102" t="s">
        <v>129</v>
      </c>
      <c r="C102" s="3" t="s">
        <v>36</v>
      </c>
      <c r="D102" s="2"/>
      <c r="E102" s="2"/>
      <c r="F102" s="2"/>
      <c r="G102" s="2"/>
      <c r="H102" s="4">
        <f t="shared" ref="H102:S102" si="34">H103/SUM($H$266:$S$266,$H$269:$S$269)</f>
        <v>0</v>
      </c>
      <c r="I102" s="4">
        <f t="shared" si="34"/>
        <v>0</v>
      </c>
      <c r="J102" s="4">
        <f t="shared" si="34"/>
        <v>0</v>
      </c>
      <c r="K102" s="4">
        <f t="shared" si="34"/>
        <v>0</v>
      </c>
      <c r="L102" s="4">
        <f t="shared" si="34"/>
        <v>0</v>
      </c>
      <c r="M102" s="4">
        <f t="shared" si="34"/>
        <v>0</v>
      </c>
      <c r="N102" s="4">
        <f t="shared" si="34"/>
        <v>0</v>
      </c>
      <c r="O102" s="4">
        <f t="shared" si="34"/>
        <v>0</v>
      </c>
      <c r="P102" s="4">
        <f t="shared" si="34"/>
        <v>0</v>
      </c>
      <c r="Q102" s="4">
        <f t="shared" si="34"/>
        <v>0</v>
      </c>
      <c r="R102" s="4">
        <f t="shared" si="34"/>
        <v>0</v>
      </c>
      <c r="S102" s="4">
        <f t="shared" si="34"/>
        <v>0</v>
      </c>
      <c r="U102" s="10">
        <f>191056000*0</f>
        <v>0</v>
      </c>
      <c r="V102" t="str">
        <f t="shared" ref="V102:V126" si="35">B102</f>
        <v>Enfriador De Parrillas/Triturad</v>
      </c>
    </row>
    <row r="103" spans="2:22" ht="15" x14ac:dyDescent="0.35">
      <c r="B103" t="s">
        <v>129</v>
      </c>
      <c r="C103" s="3" t="s">
        <v>805</v>
      </c>
      <c r="D103" s="2"/>
      <c r="E103" s="2"/>
      <c r="F103" s="2"/>
      <c r="G103" s="2"/>
      <c r="H103" s="2">
        <v>0</v>
      </c>
      <c r="I103" s="4">
        <f>H103</f>
        <v>0</v>
      </c>
      <c r="J103" s="4">
        <f t="shared" ref="J103:S103" si="36">I103</f>
        <v>0</v>
      </c>
      <c r="K103" s="4">
        <f t="shared" si="36"/>
        <v>0</v>
      </c>
      <c r="L103" s="4">
        <f t="shared" si="36"/>
        <v>0</v>
      </c>
      <c r="M103" s="4">
        <f t="shared" si="36"/>
        <v>0</v>
      </c>
      <c r="N103" s="4">
        <f t="shared" si="36"/>
        <v>0</v>
      </c>
      <c r="O103" s="4">
        <f t="shared" si="36"/>
        <v>0</v>
      </c>
      <c r="P103" s="4">
        <f t="shared" si="36"/>
        <v>0</v>
      </c>
      <c r="Q103" s="4">
        <f t="shared" si="36"/>
        <v>0</v>
      </c>
      <c r="R103" s="4">
        <f t="shared" si="36"/>
        <v>0</v>
      </c>
      <c r="S103" s="4">
        <f t="shared" si="36"/>
        <v>0</v>
      </c>
      <c r="U103" s="10"/>
    </row>
    <row r="104" spans="2:22" ht="15" x14ac:dyDescent="0.35">
      <c r="B104" t="s">
        <v>42</v>
      </c>
      <c r="C104" s="3" t="s">
        <v>36</v>
      </c>
      <c r="D104" s="2"/>
      <c r="E104" s="2"/>
      <c r="F104" s="2"/>
      <c r="G104" s="2"/>
      <c r="H104" s="4">
        <f t="shared" ref="H104:S104" si="37">H105/SUM($H$260:$S$260)</f>
        <v>184.45896210804054</v>
      </c>
      <c r="I104" s="4">
        <f t="shared" si="37"/>
        <v>184.45896210804054</v>
      </c>
      <c r="J104" s="4">
        <f t="shared" si="37"/>
        <v>184.45896210804054</v>
      </c>
      <c r="K104" s="4">
        <f t="shared" si="37"/>
        <v>184.45896210804054</v>
      </c>
      <c r="L104" s="4">
        <f t="shared" si="37"/>
        <v>184.45896210804054</v>
      </c>
      <c r="M104" s="4">
        <f t="shared" si="37"/>
        <v>184.45896210804054</v>
      </c>
      <c r="N104" s="4">
        <f t="shared" si="37"/>
        <v>184.45896210804054</v>
      </c>
      <c r="O104" s="4">
        <f t="shared" si="37"/>
        <v>184.45896210804054</v>
      </c>
      <c r="P104" s="4">
        <f t="shared" si="37"/>
        <v>184.45896210804054</v>
      </c>
      <c r="Q104" s="4">
        <f t="shared" si="37"/>
        <v>184.45896210804054</v>
      </c>
      <c r="R104" s="4">
        <f t="shared" si="37"/>
        <v>184.45896210804054</v>
      </c>
      <c r="S104" s="4">
        <f t="shared" si="37"/>
        <v>184.45896210804054</v>
      </c>
      <c r="U104" s="10">
        <v>158000000</v>
      </c>
      <c r="V104" t="s">
        <v>42</v>
      </c>
    </row>
    <row r="105" spans="2:22" ht="15" x14ac:dyDescent="0.35">
      <c r="B105" t="s">
        <v>42</v>
      </c>
      <c r="C105" s="3" t="s">
        <v>805</v>
      </c>
      <c r="D105" s="2"/>
      <c r="E105" s="2"/>
      <c r="F105" s="2"/>
      <c r="G105" s="2"/>
      <c r="H105" s="2">
        <v>158000000</v>
      </c>
      <c r="I105" s="4">
        <f>H105</f>
        <v>158000000</v>
      </c>
      <c r="J105" s="4">
        <f t="shared" ref="J105:S105" si="38">I105</f>
        <v>158000000</v>
      </c>
      <c r="K105" s="4">
        <f t="shared" si="38"/>
        <v>158000000</v>
      </c>
      <c r="L105" s="4">
        <f t="shared" si="38"/>
        <v>158000000</v>
      </c>
      <c r="M105" s="4">
        <f t="shared" si="38"/>
        <v>158000000</v>
      </c>
      <c r="N105" s="4">
        <f t="shared" si="38"/>
        <v>158000000</v>
      </c>
      <c r="O105" s="4">
        <f t="shared" si="38"/>
        <v>158000000</v>
      </c>
      <c r="P105" s="4">
        <f t="shared" si="38"/>
        <v>158000000</v>
      </c>
      <c r="Q105" s="4">
        <f t="shared" si="38"/>
        <v>158000000</v>
      </c>
      <c r="R105" s="4">
        <f t="shared" si="38"/>
        <v>158000000</v>
      </c>
      <c r="S105" s="4">
        <f t="shared" si="38"/>
        <v>158000000</v>
      </c>
      <c r="U105" s="10"/>
    </row>
    <row r="106" spans="2:22" ht="15" x14ac:dyDescent="0.35">
      <c r="B106" t="s">
        <v>43</v>
      </c>
      <c r="C106" s="3" t="s">
        <v>36</v>
      </c>
      <c r="D106" s="2"/>
      <c r="E106" s="2"/>
      <c r="F106" s="2"/>
      <c r="G106" s="2"/>
      <c r="H106" s="4">
        <f t="shared" ref="H106:S106" si="39">H107/SUM($H$260:$S$260)</f>
        <v>1263.3116904631754</v>
      </c>
      <c r="I106" s="4">
        <f t="shared" si="39"/>
        <v>1263.3116904631754</v>
      </c>
      <c r="J106" s="4">
        <f t="shared" si="39"/>
        <v>1263.3116904631754</v>
      </c>
      <c r="K106" s="4">
        <f t="shared" si="39"/>
        <v>1263.3116904631754</v>
      </c>
      <c r="L106" s="4">
        <f t="shared" si="39"/>
        <v>1263.3116904631754</v>
      </c>
      <c r="M106" s="4">
        <f t="shared" si="39"/>
        <v>1263.3116904631754</v>
      </c>
      <c r="N106" s="4">
        <f t="shared" si="39"/>
        <v>1263.3116904631754</v>
      </c>
      <c r="O106" s="4">
        <f t="shared" si="39"/>
        <v>1263.3116904631754</v>
      </c>
      <c r="P106" s="4">
        <f t="shared" si="39"/>
        <v>1263.3116904631754</v>
      </c>
      <c r="Q106" s="4">
        <f t="shared" si="39"/>
        <v>1263.3116904631754</v>
      </c>
      <c r="R106" s="4">
        <f t="shared" si="39"/>
        <v>1263.3116904631754</v>
      </c>
      <c r="S106" s="4">
        <f t="shared" si="39"/>
        <v>1263.3116904631754</v>
      </c>
      <c r="U106" s="10">
        <f>1845101107-310000000-453000000</f>
        <v>1082101107</v>
      </c>
      <c r="V106" t="str">
        <f t="shared" si="35"/>
        <v>Placas Horno</v>
      </c>
    </row>
    <row r="107" spans="2:22" ht="15" x14ac:dyDescent="0.35">
      <c r="B107" t="s">
        <v>43</v>
      </c>
      <c r="C107" s="3" t="s">
        <v>805</v>
      </c>
      <c r="D107" s="2"/>
      <c r="E107" s="2"/>
      <c r="F107" s="2"/>
      <c r="G107" s="2"/>
      <c r="H107" s="2">
        <v>1082101107</v>
      </c>
      <c r="I107" s="4">
        <f>H107</f>
        <v>1082101107</v>
      </c>
      <c r="J107" s="4">
        <f t="shared" ref="J107:S107" si="40">I107</f>
        <v>1082101107</v>
      </c>
      <c r="K107" s="4">
        <f t="shared" si="40"/>
        <v>1082101107</v>
      </c>
      <c r="L107" s="4">
        <f t="shared" si="40"/>
        <v>1082101107</v>
      </c>
      <c r="M107" s="4">
        <f t="shared" si="40"/>
        <v>1082101107</v>
      </c>
      <c r="N107" s="4">
        <f t="shared" si="40"/>
        <v>1082101107</v>
      </c>
      <c r="O107" s="4">
        <f t="shared" si="40"/>
        <v>1082101107</v>
      </c>
      <c r="P107" s="4">
        <f t="shared" si="40"/>
        <v>1082101107</v>
      </c>
      <c r="Q107" s="4">
        <f t="shared" si="40"/>
        <v>1082101107</v>
      </c>
      <c r="R107" s="4">
        <f t="shared" si="40"/>
        <v>1082101107</v>
      </c>
      <c r="S107" s="4">
        <f t="shared" si="40"/>
        <v>1082101107</v>
      </c>
      <c r="U107" s="10"/>
    </row>
    <row r="108" spans="2:22" ht="15" x14ac:dyDescent="0.35">
      <c r="B108" t="s">
        <v>44</v>
      </c>
      <c r="C108" s="3" t="s">
        <v>36</v>
      </c>
      <c r="D108" s="2"/>
      <c r="E108" s="2"/>
      <c r="F108" s="2"/>
      <c r="G108" s="2"/>
      <c r="H108" s="4">
        <f t="shared" ref="H108:S108" si="41">H109/SUM($H$260:$S$260)</f>
        <v>0</v>
      </c>
      <c r="I108" s="4">
        <f t="shared" si="41"/>
        <v>0</v>
      </c>
      <c r="J108" s="4">
        <f t="shared" si="41"/>
        <v>0</v>
      </c>
      <c r="K108" s="4">
        <f t="shared" si="41"/>
        <v>0</v>
      </c>
      <c r="L108" s="4">
        <f t="shared" si="41"/>
        <v>0</v>
      </c>
      <c r="M108" s="4">
        <f t="shared" si="41"/>
        <v>0</v>
      </c>
      <c r="N108" s="4">
        <f t="shared" si="41"/>
        <v>0</v>
      </c>
      <c r="O108" s="4">
        <f t="shared" si="41"/>
        <v>0</v>
      </c>
      <c r="P108" s="4">
        <f t="shared" si="41"/>
        <v>0</v>
      </c>
      <c r="Q108" s="4">
        <f t="shared" si="41"/>
        <v>0</v>
      </c>
      <c r="R108" s="4">
        <f t="shared" si="41"/>
        <v>0</v>
      </c>
      <c r="S108" s="4">
        <f t="shared" si="41"/>
        <v>0</v>
      </c>
      <c r="U108" s="10"/>
      <c r="V108" t="str">
        <f t="shared" si="35"/>
        <v>Elementos Sellados Horno</v>
      </c>
    </row>
    <row r="109" spans="2:22" ht="15" x14ac:dyDescent="0.35">
      <c r="B109" t="s">
        <v>44</v>
      </c>
      <c r="C109" s="3" t="s">
        <v>805</v>
      </c>
      <c r="D109" s="2"/>
      <c r="E109" s="2"/>
      <c r="F109" s="2"/>
      <c r="G109" s="2"/>
      <c r="H109" s="2">
        <v>0</v>
      </c>
      <c r="I109" s="4">
        <f>H109</f>
        <v>0</v>
      </c>
      <c r="J109" s="4">
        <f t="shared" ref="J109:S109" si="42">I109</f>
        <v>0</v>
      </c>
      <c r="K109" s="4">
        <f t="shared" si="42"/>
        <v>0</v>
      </c>
      <c r="L109" s="4">
        <f t="shared" si="42"/>
        <v>0</v>
      </c>
      <c r="M109" s="4">
        <f t="shared" si="42"/>
        <v>0</v>
      </c>
      <c r="N109" s="4">
        <f t="shared" si="42"/>
        <v>0</v>
      </c>
      <c r="O109" s="4">
        <f t="shared" si="42"/>
        <v>0</v>
      </c>
      <c r="P109" s="4">
        <f t="shared" si="42"/>
        <v>0</v>
      </c>
      <c r="Q109" s="4">
        <f t="shared" si="42"/>
        <v>0</v>
      </c>
      <c r="R109" s="4">
        <f t="shared" si="42"/>
        <v>0</v>
      </c>
      <c r="S109" s="4">
        <f t="shared" si="42"/>
        <v>0</v>
      </c>
      <c r="U109" s="10"/>
    </row>
    <row r="110" spans="2:22" ht="15" x14ac:dyDescent="0.35">
      <c r="B110" t="s">
        <v>45</v>
      </c>
      <c r="C110" s="3" t="s">
        <v>36</v>
      </c>
      <c r="D110" s="2"/>
      <c r="E110" s="2"/>
      <c r="F110" s="2"/>
      <c r="G110" s="2"/>
      <c r="H110" s="4">
        <f t="shared" ref="H110:S110" si="43">H111/SUM($H$260:$S$260)</f>
        <v>3600.6055380998068</v>
      </c>
      <c r="I110" s="4">
        <f t="shared" si="43"/>
        <v>3600.6055380998068</v>
      </c>
      <c r="J110" s="4">
        <f t="shared" si="43"/>
        <v>3600.6055380998068</v>
      </c>
      <c r="K110" s="4">
        <f t="shared" si="43"/>
        <v>3600.6055380998068</v>
      </c>
      <c r="L110" s="4">
        <f t="shared" si="43"/>
        <v>3600.6055380998068</v>
      </c>
      <c r="M110" s="4">
        <f t="shared" si="43"/>
        <v>3600.6055380998068</v>
      </c>
      <c r="N110" s="4">
        <f t="shared" si="43"/>
        <v>3600.6055380998068</v>
      </c>
      <c r="O110" s="4">
        <f t="shared" si="43"/>
        <v>3600.6055380998068</v>
      </c>
      <c r="P110" s="4">
        <f t="shared" si="43"/>
        <v>3600.6055380998068</v>
      </c>
      <c r="Q110" s="4">
        <f t="shared" si="43"/>
        <v>3600.6055380998068</v>
      </c>
      <c r="R110" s="4">
        <f t="shared" si="43"/>
        <v>3600.6055380998068</v>
      </c>
      <c r="S110" s="4">
        <f t="shared" si="43"/>
        <v>3600.6055380998068</v>
      </c>
      <c r="U110" s="10">
        <f>3265962535.88-181831146.88</f>
        <v>3084131389</v>
      </c>
      <c r="V110" t="str">
        <f t="shared" si="35"/>
        <v>Refractario Horno</v>
      </c>
    </row>
    <row r="111" spans="2:22" ht="15" x14ac:dyDescent="0.35">
      <c r="B111" t="s">
        <v>45</v>
      </c>
      <c r="C111" s="3" t="s">
        <v>805</v>
      </c>
      <c r="D111" s="2"/>
      <c r="E111" s="2"/>
      <c r="F111" s="2"/>
      <c r="G111" s="2"/>
      <c r="H111" s="2">
        <v>3084131389</v>
      </c>
      <c r="I111" s="4">
        <f>H111</f>
        <v>3084131389</v>
      </c>
      <c r="J111" s="4">
        <f t="shared" ref="J111:S111" si="44">I111</f>
        <v>3084131389</v>
      </c>
      <c r="K111" s="4">
        <f t="shared" si="44"/>
        <v>3084131389</v>
      </c>
      <c r="L111" s="4">
        <f t="shared" si="44"/>
        <v>3084131389</v>
      </c>
      <c r="M111" s="4">
        <f t="shared" si="44"/>
        <v>3084131389</v>
      </c>
      <c r="N111" s="4">
        <f t="shared" si="44"/>
        <v>3084131389</v>
      </c>
      <c r="O111" s="4">
        <f t="shared" si="44"/>
        <v>3084131389</v>
      </c>
      <c r="P111" s="4">
        <f t="shared" si="44"/>
        <v>3084131389</v>
      </c>
      <c r="Q111" s="4">
        <f t="shared" si="44"/>
        <v>3084131389</v>
      </c>
      <c r="R111" s="4">
        <f t="shared" si="44"/>
        <v>3084131389</v>
      </c>
      <c r="S111" s="4">
        <f t="shared" si="44"/>
        <v>3084131389</v>
      </c>
      <c r="U111" s="10"/>
    </row>
    <row r="112" spans="2:22" ht="15" x14ac:dyDescent="0.35">
      <c r="B112" t="s">
        <v>46</v>
      </c>
      <c r="C112" s="3" t="s">
        <v>36</v>
      </c>
      <c r="D112" s="2"/>
      <c r="E112" s="2"/>
      <c r="F112" s="2"/>
      <c r="G112" s="2"/>
      <c r="H112" s="4">
        <f t="shared" ref="H112:S112" si="45">H113/SUM($H$263:$S$263)</f>
        <v>167.10951069178878</v>
      </c>
      <c r="I112" s="4">
        <f t="shared" si="45"/>
        <v>167.10951069178878</v>
      </c>
      <c r="J112" s="4">
        <f t="shared" si="45"/>
        <v>167.10951069178878</v>
      </c>
      <c r="K112" s="4">
        <f t="shared" si="45"/>
        <v>167.10951069178878</v>
      </c>
      <c r="L112" s="4">
        <f t="shared" si="45"/>
        <v>167.10951069178878</v>
      </c>
      <c r="M112" s="4">
        <f t="shared" si="45"/>
        <v>167.10951069178878</v>
      </c>
      <c r="N112" s="4">
        <f t="shared" si="45"/>
        <v>167.10951069178878</v>
      </c>
      <c r="O112" s="4">
        <f t="shared" si="45"/>
        <v>167.10951069178878</v>
      </c>
      <c r="P112" s="4">
        <f t="shared" si="45"/>
        <v>167.10951069178878</v>
      </c>
      <c r="Q112" s="4">
        <f t="shared" si="45"/>
        <v>167.10951069178878</v>
      </c>
      <c r="R112" s="4">
        <f t="shared" si="45"/>
        <v>167.10951069178878</v>
      </c>
      <c r="S112" s="4">
        <f t="shared" si="45"/>
        <v>167.10951069178878</v>
      </c>
      <c r="U112" s="10">
        <v>230000000</v>
      </c>
      <c r="V112" t="str">
        <f t="shared" si="35"/>
        <v>Masas Molino Crudo</v>
      </c>
    </row>
    <row r="113" spans="2:22" ht="15" x14ac:dyDescent="0.35">
      <c r="B113" t="s">
        <v>46</v>
      </c>
      <c r="C113" s="3" t="s">
        <v>805</v>
      </c>
      <c r="D113" s="2"/>
      <c r="E113" s="2"/>
      <c r="F113" s="2"/>
      <c r="G113" s="2"/>
      <c r="H113" s="2">
        <v>230000000</v>
      </c>
      <c r="I113" s="4">
        <f>H113</f>
        <v>230000000</v>
      </c>
      <c r="J113" s="4">
        <f t="shared" ref="J113:S113" si="46">I113</f>
        <v>230000000</v>
      </c>
      <c r="K113" s="4">
        <f t="shared" si="46"/>
        <v>230000000</v>
      </c>
      <c r="L113" s="4">
        <f t="shared" si="46"/>
        <v>230000000</v>
      </c>
      <c r="M113" s="4">
        <f t="shared" si="46"/>
        <v>230000000</v>
      </c>
      <c r="N113" s="4">
        <f t="shared" si="46"/>
        <v>230000000</v>
      </c>
      <c r="O113" s="4">
        <f t="shared" si="46"/>
        <v>230000000</v>
      </c>
      <c r="P113" s="4">
        <f t="shared" si="46"/>
        <v>230000000</v>
      </c>
      <c r="Q113" s="4">
        <f t="shared" si="46"/>
        <v>230000000</v>
      </c>
      <c r="R113" s="4">
        <f t="shared" si="46"/>
        <v>230000000</v>
      </c>
      <c r="S113" s="4">
        <f t="shared" si="46"/>
        <v>230000000</v>
      </c>
      <c r="U113" s="10"/>
    </row>
    <row r="114" spans="2:22" ht="15" x14ac:dyDescent="0.35">
      <c r="B114" t="s">
        <v>47</v>
      </c>
      <c r="C114" s="3" t="s">
        <v>36</v>
      </c>
      <c r="D114" s="2"/>
      <c r="E114" s="2"/>
      <c r="F114" s="2"/>
      <c r="G114" s="2"/>
      <c r="H114" s="4">
        <f t="shared" ref="H114:S114" si="47">H115/SUM($H$263:$S$263)</f>
        <v>119.88290984410935</v>
      </c>
      <c r="I114" s="4">
        <f t="shared" si="47"/>
        <v>119.88290984410935</v>
      </c>
      <c r="J114" s="4">
        <f t="shared" si="47"/>
        <v>119.88290984410935</v>
      </c>
      <c r="K114" s="4">
        <f t="shared" si="47"/>
        <v>119.88290984410935</v>
      </c>
      <c r="L114" s="4">
        <f t="shared" si="47"/>
        <v>119.88290984410935</v>
      </c>
      <c r="M114" s="4">
        <f t="shared" si="47"/>
        <v>119.88290984410935</v>
      </c>
      <c r="N114" s="4">
        <f t="shared" si="47"/>
        <v>119.88290984410935</v>
      </c>
      <c r="O114" s="4">
        <f t="shared" si="47"/>
        <v>119.88290984410935</v>
      </c>
      <c r="P114" s="4">
        <f t="shared" si="47"/>
        <v>119.88290984410935</v>
      </c>
      <c r="Q114" s="4">
        <f t="shared" si="47"/>
        <v>119.88290984410935</v>
      </c>
      <c r="R114" s="4">
        <f t="shared" si="47"/>
        <v>119.88290984410935</v>
      </c>
      <c r="S114" s="4">
        <f t="shared" si="47"/>
        <v>119.88290984410935</v>
      </c>
      <c r="U114" s="10">
        <v>165000000</v>
      </c>
      <c r="V114" t="str">
        <f t="shared" si="35"/>
        <v>Láminas Crudo</v>
      </c>
    </row>
    <row r="115" spans="2:22" ht="15" x14ac:dyDescent="0.35">
      <c r="B115" t="s">
        <v>47</v>
      </c>
      <c r="C115" s="3" t="s">
        <v>805</v>
      </c>
      <c r="D115" s="2"/>
      <c r="E115" s="2"/>
      <c r="F115" s="2"/>
      <c r="G115" s="2"/>
      <c r="H115" s="2">
        <v>165000000</v>
      </c>
      <c r="I115" s="4">
        <f>H115</f>
        <v>165000000</v>
      </c>
      <c r="J115" s="4">
        <f t="shared" ref="J115:S115" si="48">I115</f>
        <v>165000000</v>
      </c>
      <c r="K115" s="4">
        <f t="shared" si="48"/>
        <v>165000000</v>
      </c>
      <c r="L115" s="4">
        <f t="shared" si="48"/>
        <v>165000000</v>
      </c>
      <c r="M115" s="4">
        <f t="shared" si="48"/>
        <v>165000000</v>
      </c>
      <c r="N115" s="4">
        <f t="shared" si="48"/>
        <v>165000000</v>
      </c>
      <c r="O115" s="4">
        <f t="shared" si="48"/>
        <v>165000000</v>
      </c>
      <c r="P115" s="4">
        <f t="shared" si="48"/>
        <v>165000000</v>
      </c>
      <c r="Q115" s="4">
        <f t="shared" si="48"/>
        <v>165000000</v>
      </c>
      <c r="R115" s="4">
        <f t="shared" si="48"/>
        <v>165000000</v>
      </c>
      <c r="S115" s="4">
        <f t="shared" si="48"/>
        <v>165000000</v>
      </c>
      <c r="U115" s="10"/>
    </row>
    <row r="116" spans="2:22" ht="15" x14ac:dyDescent="0.35">
      <c r="B116" t="s">
        <v>48</v>
      </c>
      <c r="C116" s="3" t="s">
        <v>36</v>
      </c>
      <c r="D116" s="2"/>
      <c r="E116" s="2"/>
      <c r="F116" s="2"/>
      <c r="G116" s="2"/>
      <c r="H116" s="4">
        <f t="shared" ref="H116:S116" si="49">H117/SUM($H$272:$S$272)</f>
        <v>3788.9790024433137</v>
      </c>
      <c r="I116" s="4">
        <f t="shared" si="49"/>
        <v>3788.9790024433137</v>
      </c>
      <c r="J116" s="4">
        <f t="shared" si="49"/>
        <v>3788.9790024433137</v>
      </c>
      <c r="K116" s="4">
        <f t="shared" si="49"/>
        <v>3788.9790024433137</v>
      </c>
      <c r="L116" s="4">
        <f t="shared" si="49"/>
        <v>3788.9790024433137</v>
      </c>
      <c r="M116" s="4">
        <f t="shared" si="49"/>
        <v>3788.9790024433137</v>
      </c>
      <c r="N116" s="4">
        <f t="shared" si="49"/>
        <v>3788.9790024433137</v>
      </c>
      <c r="O116" s="4">
        <f t="shared" si="49"/>
        <v>3788.9790024433137</v>
      </c>
      <c r="P116" s="4">
        <f t="shared" si="49"/>
        <v>3788.9790024433137</v>
      </c>
      <c r="Q116" s="4">
        <f t="shared" si="49"/>
        <v>3788.9790024433137</v>
      </c>
      <c r="R116" s="4">
        <f t="shared" si="49"/>
        <v>3788.9790024433137</v>
      </c>
      <c r="S116" s="4">
        <f t="shared" si="49"/>
        <v>3788.9790024433137</v>
      </c>
      <c r="U116" s="10">
        <f>200000000*0+571600000-210000000</f>
        <v>361600000</v>
      </c>
      <c r="V116" t="str">
        <f>B116&amp;" y Laminas"</f>
        <v>Masas Molino Carbón y Laminas</v>
      </c>
    </row>
    <row r="117" spans="2:22" ht="15" x14ac:dyDescent="0.35">
      <c r="B117" t="s">
        <v>48</v>
      </c>
      <c r="C117" s="3" t="s">
        <v>805</v>
      </c>
      <c r="D117" s="2"/>
      <c r="E117" s="2"/>
      <c r="F117" s="2"/>
      <c r="G117" s="2"/>
      <c r="H117" s="2">
        <v>361600000</v>
      </c>
      <c r="I117" s="4">
        <f>H117</f>
        <v>361600000</v>
      </c>
      <c r="J117" s="4">
        <f t="shared" ref="J117:S117" si="50">I117</f>
        <v>361600000</v>
      </c>
      <c r="K117" s="4">
        <f t="shared" si="50"/>
        <v>361600000</v>
      </c>
      <c r="L117" s="4">
        <f t="shared" si="50"/>
        <v>361600000</v>
      </c>
      <c r="M117" s="4">
        <f t="shared" si="50"/>
        <v>361600000</v>
      </c>
      <c r="N117" s="4">
        <f t="shared" si="50"/>
        <v>361600000</v>
      </c>
      <c r="O117" s="4">
        <f t="shared" si="50"/>
        <v>361600000</v>
      </c>
      <c r="P117" s="4">
        <f t="shared" si="50"/>
        <v>361600000</v>
      </c>
      <c r="Q117" s="4">
        <f t="shared" si="50"/>
        <v>361600000</v>
      </c>
      <c r="R117" s="4">
        <f t="shared" si="50"/>
        <v>361600000</v>
      </c>
      <c r="S117" s="4">
        <f t="shared" si="50"/>
        <v>361600000</v>
      </c>
      <c r="U117" s="10"/>
    </row>
    <row r="118" spans="2:22" ht="15" x14ac:dyDescent="0.35">
      <c r="B118" t="s">
        <v>49</v>
      </c>
      <c r="C118" s="3" t="s">
        <v>36</v>
      </c>
      <c r="D118" s="2"/>
      <c r="E118" s="2"/>
      <c r="F118" s="2"/>
      <c r="G118" s="2"/>
      <c r="H118" s="4">
        <f t="shared" ref="H118:S118" si="51">H119/SUM($H$263:$S$263)</f>
        <v>498.70407357713634</v>
      </c>
      <c r="I118" s="4">
        <f t="shared" si="51"/>
        <v>498.70407357713634</v>
      </c>
      <c r="J118" s="4">
        <f t="shared" si="51"/>
        <v>498.70407357713634</v>
      </c>
      <c r="K118" s="4">
        <f t="shared" si="51"/>
        <v>498.70407357713634</v>
      </c>
      <c r="L118" s="4">
        <f t="shared" si="51"/>
        <v>498.70407357713634</v>
      </c>
      <c r="M118" s="4">
        <f t="shared" si="51"/>
        <v>498.70407357713634</v>
      </c>
      <c r="N118" s="4">
        <f t="shared" si="51"/>
        <v>498.70407357713634</v>
      </c>
      <c r="O118" s="4">
        <f t="shared" si="51"/>
        <v>498.70407357713634</v>
      </c>
      <c r="P118" s="4">
        <f t="shared" si="51"/>
        <v>498.70407357713634</v>
      </c>
      <c r="Q118" s="4">
        <f t="shared" si="51"/>
        <v>498.70407357713634</v>
      </c>
      <c r="R118" s="4">
        <f t="shared" si="51"/>
        <v>498.70407357713634</v>
      </c>
      <c r="S118" s="4">
        <f t="shared" si="51"/>
        <v>498.70407357713634</v>
      </c>
      <c r="U118" s="10">
        <v>686387845</v>
      </c>
      <c r="V118" t="str">
        <f t="shared" si="35"/>
        <v>Anillos/Tapas/Separadores Crudo</v>
      </c>
    </row>
    <row r="119" spans="2:22" ht="15" x14ac:dyDescent="0.35">
      <c r="B119" t="s">
        <v>49</v>
      </c>
      <c r="C119" s="3" t="s">
        <v>805</v>
      </c>
      <c r="D119" s="2"/>
      <c r="E119" s="2"/>
      <c r="F119" s="2"/>
      <c r="G119" s="2"/>
      <c r="H119" s="2">
        <v>686387845</v>
      </c>
      <c r="I119" s="4">
        <f>H119</f>
        <v>686387845</v>
      </c>
      <c r="J119" s="4">
        <f t="shared" ref="J119:S119" si="52">I119</f>
        <v>686387845</v>
      </c>
      <c r="K119" s="4">
        <f t="shared" si="52"/>
        <v>686387845</v>
      </c>
      <c r="L119" s="4">
        <f t="shared" si="52"/>
        <v>686387845</v>
      </c>
      <c r="M119" s="4">
        <f t="shared" si="52"/>
        <v>686387845</v>
      </c>
      <c r="N119" s="4">
        <f t="shared" si="52"/>
        <v>686387845</v>
      </c>
      <c r="O119" s="4">
        <f t="shared" si="52"/>
        <v>686387845</v>
      </c>
      <c r="P119" s="4">
        <f t="shared" si="52"/>
        <v>686387845</v>
      </c>
      <c r="Q119" s="4">
        <f t="shared" si="52"/>
        <v>686387845</v>
      </c>
      <c r="R119" s="4">
        <f t="shared" si="52"/>
        <v>686387845</v>
      </c>
      <c r="S119" s="4">
        <f t="shared" si="52"/>
        <v>686387845</v>
      </c>
      <c r="U119" s="10"/>
    </row>
    <row r="120" spans="2:22" ht="15" x14ac:dyDescent="0.35">
      <c r="B120" t="s">
        <v>130</v>
      </c>
      <c r="C120" s="3" t="s">
        <v>36</v>
      </c>
      <c r="D120" s="2"/>
      <c r="E120" s="2"/>
      <c r="F120" s="2"/>
      <c r="G120" s="2"/>
      <c r="H120" s="4">
        <f>H121/SUM($H$245:$S$245)</f>
        <v>1492.6804261538459</v>
      </c>
      <c r="I120" s="4">
        <f t="shared" ref="I120:S120" si="53">I121/SUM($H$245:$S$245)</f>
        <v>1492.6804261538459</v>
      </c>
      <c r="J120" s="4">
        <f t="shared" si="53"/>
        <v>1492.6804261538459</v>
      </c>
      <c r="K120" s="4">
        <f t="shared" si="53"/>
        <v>1492.6804261538459</v>
      </c>
      <c r="L120" s="4">
        <f t="shared" si="53"/>
        <v>1492.6804261538459</v>
      </c>
      <c r="M120" s="4">
        <f t="shared" si="53"/>
        <v>1492.6804261538459</v>
      </c>
      <c r="N120" s="4">
        <f t="shared" si="53"/>
        <v>1492.6804261538459</v>
      </c>
      <c r="O120" s="4">
        <f t="shared" si="53"/>
        <v>1492.6804261538459</v>
      </c>
      <c r="P120" s="4">
        <f t="shared" si="53"/>
        <v>1492.6804261538459</v>
      </c>
      <c r="Q120" s="4">
        <f t="shared" si="53"/>
        <v>1492.6804261538459</v>
      </c>
      <c r="R120" s="4">
        <f t="shared" si="53"/>
        <v>1492.6804261538459</v>
      </c>
      <c r="S120" s="4">
        <f t="shared" si="53"/>
        <v>1492.6804261538459</v>
      </c>
      <c r="U120" s="10">
        <v>1940484554</v>
      </c>
      <c r="V120" t="str">
        <f t="shared" si="35"/>
        <v>Placas Y Segmentos Rodillo Cemento</v>
      </c>
    </row>
    <row r="121" spans="2:22" ht="15" x14ac:dyDescent="0.35">
      <c r="B121" t="s">
        <v>130</v>
      </c>
      <c r="C121" s="3" t="s">
        <v>805</v>
      </c>
      <c r="D121" s="2"/>
      <c r="E121" s="2"/>
      <c r="F121" s="2"/>
      <c r="G121" s="2"/>
      <c r="H121" s="2">
        <v>1940484554</v>
      </c>
      <c r="I121" s="4">
        <f>H121</f>
        <v>1940484554</v>
      </c>
      <c r="J121" s="4">
        <f t="shared" ref="J121:S121" si="54">I121</f>
        <v>1940484554</v>
      </c>
      <c r="K121" s="4">
        <f t="shared" si="54"/>
        <v>1940484554</v>
      </c>
      <c r="L121" s="4">
        <f t="shared" si="54"/>
        <v>1940484554</v>
      </c>
      <c r="M121" s="4">
        <f t="shared" si="54"/>
        <v>1940484554</v>
      </c>
      <c r="N121" s="4">
        <f t="shared" si="54"/>
        <v>1940484554</v>
      </c>
      <c r="O121" s="4">
        <f t="shared" si="54"/>
        <v>1940484554</v>
      </c>
      <c r="P121" s="4">
        <f t="shared" si="54"/>
        <v>1940484554</v>
      </c>
      <c r="Q121" s="4">
        <f t="shared" si="54"/>
        <v>1940484554</v>
      </c>
      <c r="R121" s="4">
        <f t="shared" si="54"/>
        <v>1940484554</v>
      </c>
      <c r="S121" s="4">
        <f t="shared" si="54"/>
        <v>1940484554</v>
      </c>
      <c r="U121" s="10"/>
    </row>
    <row r="122" spans="2:22" ht="15" x14ac:dyDescent="0.35">
      <c r="B122" t="s">
        <v>396</v>
      </c>
      <c r="C122" s="3" t="s">
        <v>36</v>
      </c>
      <c r="D122" s="2"/>
      <c r="E122" s="2"/>
      <c r="F122" s="2"/>
      <c r="G122" s="2"/>
      <c r="H122" s="4">
        <f>H123/SUM($H$245:$S$245)</f>
        <v>46.956545384615374</v>
      </c>
      <c r="I122" s="4">
        <f t="shared" ref="I122:S122" si="55">I123/SUM($H$245:$S$245)</f>
        <v>46.956545384615374</v>
      </c>
      <c r="J122" s="4">
        <f t="shared" si="55"/>
        <v>46.956545384615374</v>
      </c>
      <c r="K122" s="4">
        <f t="shared" si="55"/>
        <v>46.956545384615374</v>
      </c>
      <c r="L122" s="4">
        <f t="shared" si="55"/>
        <v>46.956545384615374</v>
      </c>
      <c r="M122" s="4">
        <f t="shared" si="55"/>
        <v>46.956545384615374</v>
      </c>
      <c r="N122" s="4">
        <f t="shared" si="55"/>
        <v>46.956545384615374</v>
      </c>
      <c r="O122" s="4">
        <f t="shared" si="55"/>
        <v>46.956545384615374</v>
      </c>
      <c r="P122" s="4">
        <f t="shared" si="55"/>
        <v>46.956545384615374</v>
      </c>
      <c r="Q122" s="4">
        <f t="shared" si="55"/>
        <v>46.956545384615374</v>
      </c>
      <c r="R122" s="4">
        <f t="shared" si="55"/>
        <v>46.956545384615374</v>
      </c>
      <c r="S122" s="4">
        <f t="shared" si="55"/>
        <v>46.956545384615374</v>
      </c>
      <c r="U122" s="10">
        <v>61043509</v>
      </c>
      <c r="V122" t="s">
        <v>35</v>
      </c>
    </row>
    <row r="123" spans="2:22" ht="15" x14ac:dyDescent="0.35">
      <c r="B123" t="s">
        <v>396</v>
      </c>
      <c r="C123" s="3" t="s">
        <v>805</v>
      </c>
      <c r="D123" s="2"/>
      <c r="E123" s="2"/>
      <c r="F123" s="2"/>
      <c r="G123" s="2"/>
      <c r="H123" s="2">
        <v>61043509</v>
      </c>
      <c r="I123" s="4">
        <f>H123</f>
        <v>61043509</v>
      </c>
      <c r="J123" s="4">
        <f t="shared" ref="J123:S123" si="56">I123</f>
        <v>61043509</v>
      </c>
      <c r="K123" s="4">
        <f t="shared" si="56"/>
        <v>61043509</v>
      </c>
      <c r="L123" s="4">
        <f t="shared" si="56"/>
        <v>61043509</v>
      </c>
      <c r="M123" s="4">
        <f t="shared" si="56"/>
        <v>61043509</v>
      </c>
      <c r="N123" s="4">
        <f t="shared" si="56"/>
        <v>61043509</v>
      </c>
      <c r="O123" s="4">
        <f t="shared" si="56"/>
        <v>61043509</v>
      </c>
      <c r="P123" s="4">
        <f t="shared" si="56"/>
        <v>61043509</v>
      </c>
      <c r="Q123" s="4">
        <f t="shared" si="56"/>
        <v>61043509</v>
      </c>
      <c r="R123" s="4">
        <f t="shared" si="56"/>
        <v>61043509</v>
      </c>
      <c r="S123" s="4">
        <f t="shared" si="56"/>
        <v>61043509</v>
      </c>
      <c r="U123" s="10"/>
    </row>
    <row r="124" spans="2:22" ht="15" x14ac:dyDescent="0.35">
      <c r="B124" t="s">
        <v>50</v>
      </c>
      <c r="C124" s="3" t="s">
        <v>36</v>
      </c>
      <c r="D124" s="2"/>
      <c r="E124" s="2"/>
      <c r="F124" s="2"/>
      <c r="G124" s="2"/>
      <c r="H124" s="4">
        <f t="shared" ref="H124:S124" si="57">H125/SUM($H$266:$S$266,$H$269:$S$269)</f>
        <v>903.51193901033014</v>
      </c>
      <c r="I124" s="4">
        <f t="shared" si="57"/>
        <v>903.51193901033014</v>
      </c>
      <c r="J124" s="4">
        <f t="shared" si="57"/>
        <v>903.51193901033014</v>
      </c>
      <c r="K124" s="4">
        <f t="shared" si="57"/>
        <v>903.51193901033014</v>
      </c>
      <c r="L124" s="4">
        <f t="shared" si="57"/>
        <v>903.51193901033014</v>
      </c>
      <c r="M124" s="4">
        <f t="shared" si="57"/>
        <v>903.51193901033014</v>
      </c>
      <c r="N124" s="4">
        <f t="shared" si="57"/>
        <v>903.51193901033014</v>
      </c>
      <c r="O124" s="4">
        <f t="shared" si="57"/>
        <v>903.51193901033014</v>
      </c>
      <c r="P124" s="4">
        <f t="shared" si="57"/>
        <v>903.51193901033014</v>
      </c>
      <c r="Q124" s="4">
        <f t="shared" si="57"/>
        <v>903.51193901033014</v>
      </c>
      <c r="R124" s="4">
        <f t="shared" si="57"/>
        <v>903.51193901033014</v>
      </c>
      <c r="S124" s="4">
        <f t="shared" si="57"/>
        <v>903.51193901033014</v>
      </c>
      <c r="U124" s="10">
        <f>910000000*0+1580000000</f>
        <v>1580000000</v>
      </c>
      <c r="V124" t="str">
        <f t="shared" si="35"/>
        <v>Barras Trituradora</v>
      </c>
    </row>
    <row r="125" spans="2:22" ht="15" x14ac:dyDescent="0.35">
      <c r="B125" t="s">
        <v>50</v>
      </c>
      <c r="C125" s="3" t="s">
        <v>805</v>
      </c>
      <c r="D125" s="2"/>
      <c r="E125" s="2"/>
      <c r="F125" s="2"/>
      <c r="G125" s="2"/>
      <c r="H125" s="2">
        <v>1580000000</v>
      </c>
      <c r="I125" s="4">
        <f>H125</f>
        <v>1580000000</v>
      </c>
      <c r="J125" s="4">
        <f t="shared" ref="J125:S125" si="58">I125</f>
        <v>1580000000</v>
      </c>
      <c r="K125" s="4">
        <f t="shared" si="58"/>
        <v>1580000000</v>
      </c>
      <c r="L125" s="4">
        <f t="shared" si="58"/>
        <v>1580000000</v>
      </c>
      <c r="M125" s="4">
        <f t="shared" si="58"/>
        <v>1580000000</v>
      </c>
      <c r="N125" s="4">
        <f t="shared" si="58"/>
        <v>1580000000</v>
      </c>
      <c r="O125" s="4">
        <f t="shared" si="58"/>
        <v>1580000000</v>
      </c>
      <c r="P125" s="4">
        <f t="shared" si="58"/>
        <v>1580000000</v>
      </c>
      <c r="Q125" s="4">
        <f t="shared" si="58"/>
        <v>1580000000</v>
      </c>
      <c r="R125" s="4">
        <f t="shared" si="58"/>
        <v>1580000000</v>
      </c>
      <c r="S125" s="4">
        <f t="shared" si="58"/>
        <v>1580000000</v>
      </c>
      <c r="U125" s="10"/>
    </row>
    <row r="126" spans="2:22" ht="15" x14ac:dyDescent="0.35">
      <c r="B126" t="s">
        <v>51</v>
      </c>
      <c r="C126" s="3" t="s">
        <v>36</v>
      </c>
      <c r="D126" s="2"/>
      <c r="E126" s="2"/>
      <c r="F126" s="2"/>
      <c r="G126" s="2"/>
      <c r="H126" s="4">
        <f t="shared" ref="H126:S126" si="59">H127/SUM($H$266:$S$266,$H$269:$S$269)</f>
        <v>369.16354141963342</v>
      </c>
      <c r="I126" s="4">
        <f t="shared" si="59"/>
        <v>369.16354141963342</v>
      </c>
      <c r="J126" s="4">
        <f t="shared" si="59"/>
        <v>369.16354141963342</v>
      </c>
      <c r="K126" s="4">
        <f t="shared" si="59"/>
        <v>369.16354141963342</v>
      </c>
      <c r="L126" s="4">
        <f t="shared" si="59"/>
        <v>369.16354141963342</v>
      </c>
      <c r="M126" s="4">
        <f t="shared" si="59"/>
        <v>369.16354141963342</v>
      </c>
      <c r="N126" s="4">
        <f t="shared" si="59"/>
        <v>369.16354141963342</v>
      </c>
      <c r="O126" s="4">
        <f t="shared" si="59"/>
        <v>369.16354141963342</v>
      </c>
      <c r="P126" s="4">
        <f t="shared" si="59"/>
        <v>369.16354141963342</v>
      </c>
      <c r="Q126" s="4">
        <f t="shared" si="59"/>
        <v>369.16354141963342</v>
      </c>
      <c r="R126" s="4">
        <f t="shared" si="59"/>
        <v>369.16354141963342</v>
      </c>
      <c r="S126" s="4">
        <f t="shared" si="59"/>
        <v>369.16354141963342</v>
      </c>
      <c r="U126" s="10">
        <v>645568000</v>
      </c>
      <c r="V126" t="str">
        <f t="shared" si="35"/>
        <v>Material Dique</v>
      </c>
    </row>
    <row r="127" spans="2:22" ht="15" x14ac:dyDescent="0.35">
      <c r="B127" t="s">
        <v>51</v>
      </c>
      <c r="C127" s="3" t="s">
        <v>805</v>
      </c>
      <c r="D127" s="2"/>
      <c r="E127" s="2"/>
      <c r="F127" s="2"/>
      <c r="G127" s="2"/>
      <c r="H127" s="2">
        <v>645568000</v>
      </c>
      <c r="I127" s="4">
        <f>H127</f>
        <v>645568000</v>
      </c>
      <c r="J127" s="4">
        <f t="shared" ref="J127:S127" si="60">I127</f>
        <v>645568000</v>
      </c>
      <c r="K127" s="4">
        <f t="shared" si="60"/>
        <v>645568000</v>
      </c>
      <c r="L127" s="4">
        <f t="shared" si="60"/>
        <v>645568000</v>
      </c>
      <c r="M127" s="4">
        <f t="shared" si="60"/>
        <v>645568000</v>
      </c>
      <c r="N127" s="4">
        <f t="shared" si="60"/>
        <v>645568000</v>
      </c>
      <c r="O127" s="4">
        <f t="shared" si="60"/>
        <v>645568000</v>
      </c>
      <c r="P127" s="4">
        <f t="shared" si="60"/>
        <v>645568000</v>
      </c>
      <c r="Q127" s="4">
        <f t="shared" si="60"/>
        <v>645568000</v>
      </c>
      <c r="R127" s="4">
        <f t="shared" si="60"/>
        <v>645568000</v>
      </c>
      <c r="S127" s="4">
        <f t="shared" si="60"/>
        <v>645568000</v>
      </c>
      <c r="U127" s="10"/>
    </row>
    <row r="128" spans="2:22" ht="15" x14ac:dyDescent="0.35">
      <c r="B128" s="12" t="s">
        <v>131</v>
      </c>
      <c r="C128" s="3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U128" s="10"/>
    </row>
    <row r="129" spans="2:21" ht="15" x14ac:dyDescent="0.35">
      <c r="B129" s="347" t="s">
        <v>2</v>
      </c>
      <c r="C129" s="3" t="s">
        <v>266</v>
      </c>
      <c r="D129" s="2"/>
      <c r="E129" s="2"/>
      <c r="F129" s="2"/>
      <c r="G129" s="2"/>
      <c r="H129" s="23">
        <v>0.95</v>
      </c>
      <c r="I129" s="23">
        <v>0.95</v>
      </c>
      <c r="J129" s="23">
        <v>0.95</v>
      </c>
      <c r="K129" s="23">
        <v>0.95</v>
      </c>
      <c r="L129" s="23">
        <v>0.95</v>
      </c>
      <c r="M129" s="23">
        <v>0.95</v>
      </c>
      <c r="N129" s="23">
        <v>0.95</v>
      </c>
      <c r="O129" s="23">
        <v>0.95</v>
      </c>
      <c r="P129" s="23">
        <v>0.95</v>
      </c>
      <c r="Q129" s="23">
        <v>0.95</v>
      </c>
      <c r="R129" s="23">
        <v>0.95</v>
      </c>
      <c r="S129" s="23">
        <v>0.95</v>
      </c>
      <c r="U129" s="10"/>
    </row>
    <row r="130" spans="2:21" ht="15" x14ac:dyDescent="0.35">
      <c r="B130" t="s">
        <v>85</v>
      </c>
      <c r="C130" s="3" t="s">
        <v>266</v>
      </c>
      <c r="D130" s="2"/>
      <c r="E130" s="2"/>
      <c r="F130" s="2"/>
      <c r="G130" s="2"/>
      <c r="H130" s="23">
        <v>0.05</v>
      </c>
      <c r="I130" s="23">
        <v>0.05</v>
      </c>
      <c r="J130" s="23">
        <v>0.05</v>
      </c>
      <c r="K130" s="23">
        <v>0.05</v>
      </c>
      <c r="L130" s="23">
        <v>0.05</v>
      </c>
      <c r="M130" s="23">
        <v>0.05</v>
      </c>
      <c r="N130" s="23">
        <v>0.05</v>
      </c>
      <c r="O130" s="23">
        <v>0.05</v>
      </c>
      <c r="P130" s="23">
        <v>0.05</v>
      </c>
      <c r="Q130" s="23">
        <v>0.05</v>
      </c>
      <c r="R130" s="23">
        <v>0.05</v>
      </c>
      <c r="S130" s="23">
        <v>0.05</v>
      </c>
      <c r="U130" s="10"/>
    </row>
    <row r="131" spans="2:21" ht="15" x14ac:dyDescent="0.35">
      <c r="B131" t="s">
        <v>8</v>
      </c>
      <c r="C131" s="3" t="s">
        <v>266</v>
      </c>
      <c r="D131" s="2"/>
      <c r="E131" s="2"/>
      <c r="F131" s="2"/>
      <c r="G131" s="2"/>
      <c r="H131" s="23">
        <v>0.3</v>
      </c>
      <c r="I131" s="23">
        <v>0.3</v>
      </c>
      <c r="J131" s="23">
        <v>0.3</v>
      </c>
      <c r="K131" s="23">
        <v>0.3</v>
      </c>
      <c r="L131" s="23">
        <v>0.3</v>
      </c>
      <c r="M131" s="23">
        <v>0.3</v>
      </c>
      <c r="N131" s="23">
        <v>0.3</v>
      </c>
      <c r="O131" s="23">
        <v>0.3</v>
      </c>
      <c r="P131" s="23">
        <v>0.3</v>
      </c>
      <c r="Q131" s="23">
        <v>0.3</v>
      </c>
      <c r="R131" s="23">
        <v>0.3</v>
      </c>
      <c r="S131" s="23">
        <v>0.3</v>
      </c>
      <c r="U131" s="10"/>
    </row>
    <row r="132" spans="2:21" ht="15" x14ac:dyDescent="0.35">
      <c r="B132" t="s">
        <v>9</v>
      </c>
      <c r="C132" s="3" t="s">
        <v>266</v>
      </c>
      <c r="D132" s="2"/>
      <c r="E132" s="2"/>
      <c r="F132" s="2"/>
      <c r="G132" s="2"/>
      <c r="H132" s="23">
        <v>0.3</v>
      </c>
      <c r="I132" s="23">
        <v>0.3</v>
      </c>
      <c r="J132" s="23">
        <v>0.3</v>
      </c>
      <c r="K132" s="23">
        <v>0.3</v>
      </c>
      <c r="L132" s="23">
        <v>0.3</v>
      </c>
      <c r="M132" s="23">
        <v>0.3</v>
      </c>
      <c r="N132" s="23">
        <v>0.3</v>
      </c>
      <c r="O132" s="23">
        <v>0.3</v>
      </c>
      <c r="P132" s="23">
        <v>0.3</v>
      </c>
      <c r="Q132" s="23">
        <v>0.3</v>
      </c>
      <c r="R132" s="23">
        <v>0.3</v>
      </c>
      <c r="S132" s="23">
        <v>0.3</v>
      </c>
      <c r="U132" s="10"/>
    </row>
    <row r="133" spans="2:21" ht="15" x14ac:dyDescent="0.35">
      <c r="B133" t="s">
        <v>10</v>
      </c>
      <c r="C133" s="3" t="s">
        <v>266</v>
      </c>
      <c r="D133" s="2"/>
      <c r="E133" s="2"/>
      <c r="F133" s="2"/>
      <c r="G133" s="2"/>
      <c r="H133" s="23">
        <v>0.05</v>
      </c>
      <c r="I133" s="23">
        <v>0.05</v>
      </c>
      <c r="J133" s="23">
        <v>0.05</v>
      </c>
      <c r="K133" s="23">
        <v>0.05</v>
      </c>
      <c r="L133" s="23">
        <v>0.05</v>
      </c>
      <c r="M133" s="23">
        <v>0.05</v>
      </c>
      <c r="N133" s="23">
        <v>0.05</v>
      </c>
      <c r="O133" s="23">
        <v>0.05</v>
      </c>
      <c r="P133" s="23">
        <v>0.05</v>
      </c>
      <c r="Q133" s="23">
        <v>0.05</v>
      </c>
      <c r="R133" s="23">
        <v>0.05</v>
      </c>
      <c r="S133" s="23">
        <v>0.05</v>
      </c>
      <c r="U133" s="10"/>
    </row>
    <row r="134" spans="2:21" ht="15" x14ac:dyDescent="0.35">
      <c r="B134" t="s">
        <v>87</v>
      </c>
      <c r="C134" s="3" t="s">
        <v>266</v>
      </c>
      <c r="D134" s="2"/>
      <c r="E134" s="2"/>
      <c r="F134" s="2"/>
      <c r="G134" s="2"/>
      <c r="H134" s="23">
        <v>0.17</v>
      </c>
      <c r="I134" s="23">
        <v>0.17</v>
      </c>
      <c r="J134" s="23">
        <v>0.17</v>
      </c>
      <c r="K134" s="23">
        <v>0.17</v>
      </c>
      <c r="L134" s="23">
        <v>0.17</v>
      </c>
      <c r="M134" s="23">
        <v>0.17</v>
      </c>
      <c r="N134" s="23">
        <v>0.17</v>
      </c>
      <c r="O134" s="23">
        <v>0.17</v>
      </c>
      <c r="P134" s="23">
        <v>0.17</v>
      </c>
      <c r="Q134" s="23">
        <v>0.17</v>
      </c>
      <c r="R134" s="23">
        <v>0.17</v>
      </c>
      <c r="S134" s="23">
        <v>0.17</v>
      </c>
      <c r="U134" s="10"/>
    </row>
    <row r="135" spans="2:21" ht="15" x14ac:dyDescent="0.35">
      <c r="B135" t="s">
        <v>11</v>
      </c>
      <c r="C135" s="3" t="s">
        <v>266</v>
      </c>
      <c r="D135" s="2"/>
      <c r="E135" s="2"/>
      <c r="F135" s="2"/>
      <c r="G135" s="2"/>
      <c r="H135" s="23">
        <v>0.18</v>
      </c>
      <c r="I135" s="23">
        <v>0.18</v>
      </c>
      <c r="J135" s="23">
        <v>0.18</v>
      </c>
      <c r="K135" s="23">
        <v>0.18</v>
      </c>
      <c r="L135" s="23">
        <v>0.18</v>
      </c>
      <c r="M135" s="23">
        <v>0.18</v>
      </c>
      <c r="N135" s="23">
        <v>0.18</v>
      </c>
      <c r="O135" s="23">
        <v>0.18</v>
      </c>
      <c r="P135" s="23">
        <v>0.18</v>
      </c>
      <c r="Q135" s="23">
        <v>0.18</v>
      </c>
      <c r="R135" s="23">
        <v>0.18</v>
      </c>
      <c r="S135" s="23">
        <v>0.18</v>
      </c>
      <c r="U135" s="10"/>
    </row>
    <row r="136" spans="2:21" ht="15" x14ac:dyDescent="0.35">
      <c r="B136" t="s">
        <v>88</v>
      </c>
      <c r="C136" s="3" t="s">
        <v>266</v>
      </c>
      <c r="D136" s="2"/>
      <c r="E136" s="2"/>
      <c r="F136" s="2"/>
      <c r="G136" s="2"/>
      <c r="H136" s="23">
        <v>0.5</v>
      </c>
      <c r="I136" s="23">
        <v>0.5</v>
      </c>
      <c r="J136" s="23">
        <v>0.5</v>
      </c>
      <c r="K136" s="23">
        <v>0.5</v>
      </c>
      <c r="L136" s="23">
        <v>0.5</v>
      </c>
      <c r="M136" s="23">
        <v>0.5</v>
      </c>
      <c r="N136" s="23">
        <v>0.5</v>
      </c>
      <c r="O136" s="23">
        <v>0.5</v>
      </c>
      <c r="P136" s="23">
        <v>0.5</v>
      </c>
      <c r="Q136" s="23">
        <v>0.5</v>
      </c>
      <c r="R136" s="23">
        <v>0.5</v>
      </c>
      <c r="S136" s="23">
        <v>0.5</v>
      </c>
      <c r="U136" s="10"/>
    </row>
    <row r="137" spans="2:21" ht="15" x14ac:dyDescent="0.35">
      <c r="B137" t="s">
        <v>89</v>
      </c>
      <c r="C137" s="3" t="s">
        <v>266</v>
      </c>
      <c r="D137" s="2"/>
      <c r="E137" s="2"/>
      <c r="F137" s="2"/>
      <c r="G137" s="2"/>
      <c r="H137" s="23">
        <v>0.5</v>
      </c>
      <c r="I137" s="23">
        <v>0.5</v>
      </c>
      <c r="J137" s="23">
        <v>0.5</v>
      </c>
      <c r="K137" s="23">
        <v>0.5</v>
      </c>
      <c r="L137" s="23">
        <v>0.5</v>
      </c>
      <c r="M137" s="23">
        <v>0.5</v>
      </c>
      <c r="N137" s="23">
        <v>0.5</v>
      </c>
      <c r="O137" s="23">
        <v>0.5</v>
      </c>
      <c r="P137" s="23">
        <v>0.5</v>
      </c>
      <c r="Q137" s="23">
        <v>0.5</v>
      </c>
      <c r="R137" s="23">
        <v>0.5</v>
      </c>
      <c r="S137" s="23">
        <v>0.5</v>
      </c>
      <c r="U137" s="10"/>
    </row>
    <row r="138" spans="2:21" ht="15" x14ac:dyDescent="0.35">
      <c r="B138" t="s">
        <v>12</v>
      </c>
      <c r="C138" s="3" t="s">
        <v>266</v>
      </c>
      <c r="D138" s="2"/>
      <c r="E138" s="2"/>
      <c r="F138" s="2"/>
      <c r="G138" s="2"/>
      <c r="H138" s="23">
        <v>0.43</v>
      </c>
      <c r="I138" s="23">
        <v>0.43</v>
      </c>
      <c r="J138" s="23">
        <v>0.43</v>
      </c>
      <c r="K138" s="23">
        <v>0.43</v>
      </c>
      <c r="L138" s="23">
        <v>0.43</v>
      </c>
      <c r="M138" s="23">
        <v>0.43</v>
      </c>
      <c r="N138" s="23">
        <v>0.43</v>
      </c>
      <c r="O138" s="23">
        <v>0.43</v>
      </c>
      <c r="P138" s="23">
        <v>0.43</v>
      </c>
      <c r="Q138" s="23">
        <v>0.43</v>
      </c>
      <c r="R138" s="23">
        <v>0.43</v>
      </c>
      <c r="S138" s="23">
        <v>0.43</v>
      </c>
      <c r="U138" s="10"/>
    </row>
    <row r="139" spans="2:21" ht="15" x14ac:dyDescent="0.35">
      <c r="B139" t="s">
        <v>13</v>
      </c>
      <c r="C139" s="3" t="s">
        <v>266</v>
      </c>
      <c r="D139" s="2"/>
      <c r="E139" s="2"/>
      <c r="F139" s="2"/>
      <c r="G139" s="2"/>
      <c r="H139" s="23">
        <v>0.36</v>
      </c>
      <c r="I139" s="23">
        <v>0.36</v>
      </c>
      <c r="J139" s="23">
        <v>0.36</v>
      </c>
      <c r="K139" s="23">
        <v>0.36</v>
      </c>
      <c r="L139" s="23">
        <v>0.36</v>
      </c>
      <c r="M139" s="23">
        <v>0.36</v>
      </c>
      <c r="N139" s="23">
        <v>0.36</v>
      </c>
      <c r="O139" s="23">
        <v>0.36</v>
      </c>
      <c r="P139" s="23">
        <v>0.36</v>
      </c>
      <c r="Q139" s="23">
        <v>0.36</v>
      </c>
      <c r="R139" s="23">
        <v>0.36</v>
      </c>
      <c r="S139" s="23">
        <v>0.36</v>
      </c>
      <c r="U139" s="10"/>
    </row>
    <row r="140" spans="2:21" ht="15" x14ac:dyDescent="0.35">
      <c r="B140" t="s">
        <v>14</v>
      </c>
      <c r="C140" s="3" t="s">
        <v>266</v>
      </c>
      <c r="D140" s="2"/>
      <c r="E140" s="2"/>
      <c r="F140" s="2"/>
      <c r="G140" s="2"/>
      <c r="H140" s="23">
        <v>0.21</v>
      </c>
      <c r="I140" s="23">
        <v>0.21</v>
      </c>
      <c r="J140" s="23">
        <v>0.21</v>
      </c>
      <c r="K140" s="23">
        <v>0.21</v>
      </c>
      <c r="L140" s="23">
        <v>0.21</v>
      </c>
      <c r="M140" s="23">
        <v>0.21</v>
      </c>
      <c r="N140" s="23">
        <v>0.21</v>
      </c>
      <c r="O140" s="23">
        <v>0.21</v>
      </c>
      <c r="P140" s="23">
        <v>0.21</v>
      </c>
      <c r="Q140" s="23">
        <v>0.21</v>
      </c>
      <c r="R140" s="23">
        <v>0.21</v>
      </c>
      <c r="S140" s="23">
        <v>0.21</v>
      </c>
      <c r="U140" s="10"/>
    </row>
    <row r="141" spans="2:21" ht="15" x14ac:dyDescent="0.35">
      <c r="B141" t="s">
        <v>94</v>
      </c>
      <c r="C141" s="3" t="s">
        <v>266</v>
      </c>
      <c r="D141" s="2"/>
      <c r="E141" s="2"/>
      <c r="F141" s="2"/>
      <c r="G141" s="2"/>
      <c r="H141" s="23">
        <v>0.5</v>
      </c>
      <c r="I141" s="23">
        <v>0.5</v>
      </c>
      <c r="J141" s="23">
        <v>0.5</v>
      </c>
      <c r="K141" s="23">
        <v>0.5</v>
      </c>
      <c r="L141" s="23">
        <v>0.5</v>
      </c>
      <c r="M141" s="23">
        <v>0.5</v>
      </c>
      <c r="N141" s="23">
        <v>0.5</v>
      </c>
      <c r="O141" s="23">
        <v>0.5</v>
      </c>
      <c r="P141" s="23">
        <v>0.5</v>
      </c>
      <c r="Q141" s="23">
        <v>0.5</v>
      </c>
      <c r="R141" s="23">
        <v>0.5</v>
      </c>
      <c r="S141" s="23">
        <v>0.5</v>
      </c>
      <c r="U141" s="10"/>
    </row>
    <row r="142" spans="2:21" ht="15" x14ac:dyDescent="0.35">
      <c r="B142" t="s">
        <v>95</v>
      </c>
      <c r="C142" s="3" t="s">
        <v>266</v>
      </c>
      <c r="D142" s="2"/>
      <c r="E142" s="2"/>
      <c r="F142" s="2"/>
      <c r="G142" s="2"/>
      <c r="H142" s="23">
        <v>0.05</v>
      </c>
      <c r="I142" s="23">
        <v>0.05</v>
      </c>
      <c r="J142" s="23">
        <v>0.05</v>
      </c>
      <c r="K142" s="23">
        <v>0.05</v>
      </c>
      <c r="L142" s="23">
        <v>0.05</v>
      </c>
      <c r="M142" s="23">
        <v>0.05</v>
      </c>
      <c r="N142" s="23">
        <v>0.05</v>
      </c>
      <c r="O142" s="23">
        <v>0.05</v>
      </c>
      <c r="P142" s="23">
        <v>0.05</v>
      </c>
      <c r="Q142" s="23">
        <v>0.05</v>
      </c>
      <c r="R142" s="23">
        <v>0.05</v>
      </c>
      <c r="S142" s="23">
        <v>0.05</v>
      </c>
      <c r="U142" s="10"/>
    </row>
    <row r="143" spans="2:21" ht="15" x14ac:dyDescent="0.35">
      <c r="B143" t="s">
        <v>96</v>
      </c>
      <c r="C143" s="3" t="s">
        <v>266</v>
      </c>
      <c r="D143" s="2"/>
      <c r="E143" s="2"/>
      <c r="F143" s="2"/>
      <c r="G143" s="2"/>
      <c r="H143" s="23">
        <v>0.12</v>
      </c>
      <c r="I143" s="23">
        <v>0.12</v>
      </c>
      <c r="J143" s="23">
        <v>0.12</v>
      </c>
      <c r="K143" s="23">
        <v>0.12</v>
      </c>
      <c r="L143" s="23">
        <v>0.12</v>
      </c>
      <c r="M143" s="23">
        <v>0.12</v>
      </c>
      <c r="N143" s="23">
        <v>0.12</v>
      </c>
      <c r="O143" s="23">
        <v>0.12</v>
      </c>
      <c r="P143" s="23">
        <v>0.12</v>
      </c>
      <c r="Q143" s="23">
        <v>0.12</v>
      </c>
      <c r="R143" s="23">
        <v>0.12</v>
      </c>
      <c r="S143" s="23">
        <v>0.12</v>
      </c>
      <c r="U143" s="10"/>
    </row>
    <row r="144" spans="2:21" ht="15" x14ac:dyDescent="0.35">
      <c r="B144" t="s">
        <v>97</v>
      </c>
      <c r="C144" s="3" t="s">
        <v>266</v>
      </c>
      <c r="D144" s="2"/>
      <c r="E144" s="2"/>
      <c r="F144" s="2"/>
      <c r="G144" s="2"/>
      <c r="H144" s="23">
        <v>0.15</v>
      </c>
      <c r="I144" s="23">
        <v>0.15</v>
      </c>
      <c r="J144" s="23">
        <v>0.15</v>
      </c>
      <c r="K144" s="23">
        <v>0.15</v>
      </c>
      <c r="L144" s="23">
        <v>0.15</v>
      </c>
      <c r="M144" s="23">
        <v>0.15</v>
      </c>
      <c r="N144" s="23">
        <v>0.15</v>
      </c>
      <c r="O144" s="23">
        <v>0.15</v>
      </c>
      <c r="P144" s="23">
        <v>0.15</v>
      </c>
      <c r="Q144" s="23">
        <v>0.15</v>
      </c>
      <c r="R144" s="23">
        <v>0.15</v>
      </c>
      <c r="S144" s="23">
        <v>0.15</v>
      </c>
      <c r="U144" s="10"/>
    </row>
    <row r="145" spans="2:21" ht="15" x14ac:dyDescent="0.35">
      <c r="B145" t="s">
        <v>98</v>
      </c>
      <c r="C145" s="3" t="s">
        <v>266</v>
      </c>
      <c r="D145" s="2"/>
      <c r="E145" s="2"/>
      <c r="F145" s="2"/>
      <c r="G145" s="2"/>
      <c r="H145" s="23">
        <v>0.02</v>
      </c>
      <c r="I145" s="23">
        <v>0.02</v>
      </c>
      <c r="J145" s="23">
        <v>0.02</v>
      </c>
      <c r="K145" s="23">
        <v>0.02</v>
      </c>
      <c r="L145" s="23">
        <v>0.02</v>
      </c>
      <c r="M145" s="23">
        <v>0.02</v>
      </c>
      <c r="N145" s="23">
        <v>0.02</v>
      </c>
      <c r="O145" s="23">
        <v>0.02</v>
      </c>
      <c r="P145" s="23">
        <v>0.02</v>
      </c>
      <c r="Q145" s="23">
        <v>0.02</v>
      </c>
      <c r="R145" s="23">
        <v>0.02</v>
      </c>
      <c r="S145" s="23">
        <v>0.02</v>
      </c>
      <c r="U145" s="10"/>
    </row>
    <row r="146" spans="2:21" ht="15" x14ac:dyDescent="0.35">
      <c r="B146" t="s">
        <v>99</v>
      </c>
      <c r="C146" s="3" t="s">
        <v>266</v>
      </c>
      <c r="D146" s="2"/>
      <c r="E146" s="2"/>
      <c r="F146" s="2"/>
      <c r="G146" s="2"/>
      <c r="H146" s="23">
        <v>0.01</v>
      </c>
      <c r="I146" s="23">
        <v>0.01</v>
      </c>
      <c r="J146" s="23">
        <v>0.01</v>
      </c>
      <c r="K146" s="23">
        <v>0.01</v>
      </c>
      <c r="L146" s="23">
        <v>0.01</v>
      </c>
      <c r="M146" s="23">
        <v>0.01</v>
      </c>
      <c r="N146" s="23">
        <v>0.01</v>
      </c>
      <c r="O146" s="23">
        <v>0.01</v>
      </c>
      <c r="P146" s="23">
        <v>0.01</v>
      </c>
      <c r="Q146" s="23">
        <v>0.01</v>
      </c>
      <c r="R146" s="23">
        <v>0.01</v>
      </c>
      <c r="S146" s="23">
        <v>0.01</v>
      </c>
      <c r="U146" s="10"/>
    </row>
    <row r="147" spans="2:21" ht="15" x14ac:dyDescent="0.35">
      <c r="B147" t="s">
        <v>100</v>
      </c>
      <c r="C147" s="3" t="s">
        <v>266</v>
      </c>
      <c r="D147" s="2"/>
      <c r="E147" s="2"/>
      <c r="F147" s="2"/>
      <c r="G147" s="2"/>
      <c r="H147" s="23">
        <v>0.15</v>
      </c>
      <c r="I147" s="23">
        <v>0.15</v>
      </c>
      <c r="J147" s="23">
        <v>0.15</v>
      </c>
      <c r="K147" s="23">
        <v>0.15</v>
      </c>
      <c r="L147" s="23">
        <v>0.15</v>
      </c>
      <c r="M147" s="23">
        <v>0.15</v>
      </c>
      <c r="N147" s="23">
        <v>0.15</v>
      </c>
      <c r="O147" s="23">
        <v>0.15</v>
      </c>
      <c r="P147" s="23">
        <v>0.15</v>
      </c>
      <c r="Q147" s="23">
        <v>0.15</v>
      </c>
      <c r="R147" s="23">
        <v>0.15</v>
      </c>
      <c r="S147" s="23">
        <v>0.15</v>
      </c>
      <c r="U147" s="10"/>
    </row>
    <row r="148" spans="2:21" ht="15" x14ac:dyDescent="0.35">
      <c r="B148" t="s">
        <v>101</v>
      </c>
      <c r="C148" s="3" t="s">
        <v>266</v>
      </c>
      <c r="D148" s="2"/>
      <c r="E148" s="2"/>
      <c r="F148" s="2"/>
      <c r="G148" s="2"/>
      <c r="H148" s="23">
        <v>0</v>
      </c>
      <c r="I148" s="23">
        <v>0</v>
      </c>
      <c r="J148" s="23">
        <v>0</v>
      </c>
      <c r="K148" s="23">
        <v>0</v>
      </c>
      <c r="L148" s="23">
        <v>0</v>
      </c>
      <c r="M148" s="23">
        <v>0</v>
      </c>
      <c r="N148" s="23">
        <v>0</v>
      </c>
      <c r="O148" s="23">
        <v>0</v>
      </c>
      <c r="P148" s="23">
        <v>0</v>
      </c>
      <c r="Q148" s="23">
        <v>0</v>
      </c>
      <c r="R148" s="23">
        <v>0</v>
      </c>
      <c r="S148" s="23">
        <v>0</v>
      </c>
      <c r="U148" s="10"/>
    </row>
    <row r="149" spans="2:21" ht="15" x14ac:dyDescent="0.35">
      <c r="B149" t="s">
        <v>102</v>
      </c>
      <c r="C149" s="3" t="s">
        <v>266</v>
      </c>
      <c r="D149" s="2"/>
      <c r="E149" s="2"/>
      <c r="F149" s="2"/>
      <c r="G149" s="2"/>
      <c r="H149" s="23">
        <v>0.3</v>
      </c>
      <c r="I149" s="23">
        <v>0.3</v>
      </c>
      <c r="J149" s="23">
        <v>0.3</v>
      </c>
      <c r="K149" s="23">
        <v>0.3</v>
      </c>
      <c r="L149" s="23">
        <v>0.3</v>
      </c>
      <c r="M149" s="23">
        <v>0.3</v>
      </c>
      <c r="N149" s="23">
        <v>0.3</v>
      </c>
      <c r="O149" s="23">
        <v>0.3</v>
      </c>
      <c r="P149" s="23">
        <v>0.3</v>
      </c>
      <c r="Q149" s="23">
        <v>0.3</v>
      </c>
      <c r="R149" s="23">
        <v>0.3</v>
      </c>
      <c r="S149" s="23">
        <v>0.3</v>
      </c>
      <c r="U149" s="10"/>
    </row>
    <row r="150" spans="2:21" ht="15" x14ac:dyDescent="0.35">
      <c r="B150" t="s">
        <v>103</v>
      </c>
      <c r="C150" s="3" t="s">
        <v>266</v>
      </c>
      <c r="D150" s="2"/>
      <c r="E150" s="2"/>
      <c r="F150" s="2"/>
      <c r="G150" s="2"/>
      <c r="H150" s="23">
        <v>0.3</v>
      </c>
      <c r="I150" s="23">
        <v>0.3</v>
      </c>
      <c r="J150" s="23">
        <v>0.3</v>
      </c>
      <c r="K150" s="23">
        <v>0.3</v>
      </c>
      <c r="L150" s="23">
        <v>0.3</v>
      </c>
      <c r="M150" s="23">
        <v>0.3</v>
      </c>
      <c r="N150" s="23">
        <v>0.3</v>
      </c>
      <c r="O150" s="23">
        <v>0.3</v>
      </c>
      <c r="P150" s="23">
        <v>0.3</v>
      </c>
      <c r="Q150" s="23">
        <v>0.3</v>
      </c>
      <c r="R150" s="23">
        <v>0.3</v>
      </c>
      <c r="S150" s="23">
        <v>0.3</v>
      </c>
      <c r="U150" s="10"/>
    </row>
    <row r="151" spans="2:21" ht="15" x14ac:dyDescent="0.35">
      <c r="B151" t="s">
        <v>104</v>
      </c>
      <c r="C151" s="3" t="s">
        <v>266</v>
      </c>
      <c r="D151" s="2"/>
      <c r="E151" s="2"/>
      <c r="F151" s="2"/>
      <c r="G151" s="2"/>
      <c r="H151" s="23">
        <v>0.4</v>
      </c>
      <c r="I151" s="23">
        <v>0.4</v>
      </c>
      <c r="J151" s="23">
        <v>0.4</v>
      </c>
      <c r="K151" s="23">
        <v>0.4</v>
      </c>
      <c r="L151" s="23">
        <v>0.4</v>
      </c>
      <c r="M151" s="23">
        <v>0.4</v>
      </c>
      <c r="N151" s="23">
        <v>0.4</v>
      </c>
      <c r="O151" s="23">
        <v>0.4</v>
      </c>
      <c r="P151" s="23">
        <v>0.4</v>
      </c>
      <c r="Q151" s="23">
        <v>0.4</v>
      </c>
      <c r="R151" s="23">
        <v>0.4</v>
      </c>
      <c r="S151" s="23">
        <v>0.4</v>
      </c>
      <c r="U151" s="10"/>
    </row>
    <row r="152" spans="2:21" ht="15" x14ac:dyDescent="0.35">
      <c r="B152" t="s">
        <v>105</v>
      </c>
      <c r="C152" s="3" t="s">
        <v>266</v>
      </c>
      <c r="D152" s="2"/>
      <c r="E152" s="2"/>
      <c r="F152" s="2"/>
      <c r="G152" s="2"/>
      <c r="H152" s="23">
        <v>1</v>
      </c>
      <c r="I152" s="23">
        <v>1</v>
      </c>
      <c r="J152" s="23">
        <v>1</v>
      </c>
      <c r="K152" s="23">
        <v>1</v>
      </c>
      <c r="L152" s="23">
        <v>1</v>
      </c>
      <c r="M152" s="23">
        <v>1</v>
      </c>
      <c r="N152" s="23">
        <v>1</v>
      </c>
      <c r="O152" s="23">
        <v>1</v>
      </c>
      <c r="P152" s="23">
        <v>1</v>
      </c>
      <c r="Q152" s="23">
        <v>1</v>
      </c>
      <c r="R152" s="23">
        <v>1</v>
      </c>
      <c r="S152" s="23">
        <v>1</v>
      </c>
      <c r="U152" s="10"/>
    </row>
    <row r="153" spans="2:21" ht="15" x14ac:dyDescent="0.35">
      <c r="B153" t="s">
        <v>106</v>
      </c>
      <c r="C153" s="3" t="s">
        <v>266</v>
      </c>
      <c r="D153" s="2"/>
      <c r="E153" s="2"/>
      <c r="F153" s="2"/>
      <c r="G153" s="2"/>
      <c r="H153" s="23">
        <v>1</v>
      </c>
      <c r="I153" s="23">
        <v>1</v>
      </c>
      <c r="J153" s="23">
        <v>1</v>
      </c>
      <c r="K153" s="23">
        <v>1</v>
      </c>
      <c r="L153" s="23">
        <v>1</v>
      </c>
      <c r="M153" s="23">
        <v>1</v>
      </c>
      <c r="N153" s="23">
        <v>1</v>
      </c>
      <c r="O153" s="23">
        <v>1</v>
      </c>
      <c r="P153" s="23">
        <v>1</v>
      </c>
      <c r="Q153" s="23">
        <v>1</v>
      </c>
      <c r="R153" s="23">
        <v>1</v>
      </c>
      <c r="S153" s="23">
        <v>1</v>
      </c>
      <c r="U153" s="10"/>
    </row>
    <row r="154" spans="2:21" ht="15" x14ac:dyDescent="0.35">
      <c r="B154" t="s">
        <v>111</v>
      </c>
      <c r="C154" s="3" t="s">
        <v>266</v>
      </c>
      <c r="D154" s="2"/>
      <c r="E154" s="2"/>
      <c r="F154" s="2"/>
      <c r="G154" s="2"/>
      <c r="H154" s="23">
        <v>0</v>
      </c>
      <c r="I154" s="23">
        <v>0</v>
      </c>
      <c r="J154" s="23">
        <v>0</v>
      </c>
      <c r="K154" s="23">
        <v>0</v>
      </c>
      <c r="L154" s="23">
        <v>0</v>
      </c>
      <c r="M154" s="23">
        <v>0</v>
      </c>
      <c r="N154" s="23">
        <v>0</v>
      </c>
      <c r="O154" s="23">
        <v>0</v>
      </c>
      <c r="P154" s="23">
        <v>0</v>
      </c>
      <c r="Q154" s="23">
        <v>0</v>
      </c>
      <c r="R154" s="23">
        <v>0</v>
      </c>
      <c r="S154" s="23">
        <v>0</v>
      </c>
      <c r="U154" s="10"/>
    </row>
    <row r="155" spans="2:21" ht="15" x14ac:dyDescent="0.35">
      <c r="B155" t="s">
        <v>112</v>
      </c>
      <c r="C155" s="3" t="s">
        <v>266</v>
      </c>
      <c r="D155" s="2"/>
      <c r="E155" s="2"/>
      <c r="F155" s="2"/>
      <c r="G155" s="2"/>
      <c r="H155" s="23">
        <v>0.7</v>
      </c>
      <c r="I155" s="23">
        <v>0.7</v>
      </c>
      <c r="J155" s="23">
        <v>0.7</v>
      </c>
      <c r="K155" s="23">
        <v>0.7</v>
      </c>
      <c r="L155" s="23">
        <v>0.7</v>
      </c>
      <c r="M155" s="23">
        <v>0.7</v>
      </c>
      <c r="N155" s="23">
        <v>0.7</v>
      </c>
      <c r="O155" s="23">
        <v>0.7</v>
      </c>
      <c r="P155" s="23">
        <v>0.7</v>
      </c>
      <c r="Q155" s="23">
        <v>0.7</v>
      </c>
      <c r="R155" s="23">
        <v>0.7</v>
      </c>
      <c r="S155" s="23">
        <v>0.7</v>
      </c>
      <c r="U155" s="10"/>
    </row>
    <row r="156" spans="2:21" ht="15" x14ac:dyDescent="0.35">
      <c r="B156" t="s">
        <v>113</v>
      </c>
      <c r="C156" s="3" t="s">
        <v>266</v>
      </c>
      <c r="D156" s="2"/>
      <c r="E156" s="2"/>
      <c r="F156" s="2"/>
      <c r="G156" s="2"/>
      <c r="H156" s="23">
        <v>0.3</v>
      </c>
      <c r="I156" s="23">
        <v>0.3</v>
      </c>
      <c r="J156" s="23">
        <v>0.3</v>
      </c>
      <c r="K156" s="23">
        <v>0.3</v>
      </c>
      <c r="L156" s="23">
        <v>0.3</v>
      </c>
      <c r="M156" s="23">
        <v>0.3</v>
      </c>
      <c r="N156" s="23">
        <v>0.3</v>
      </c>
      <c r="O156" s="23">
        <v>0.3</v>
      </c>
      <c r="P156" s="23">
        <v>0.3</v>
      </c>
      <c r="Q156" s="23">
        <v>0.3</v>
      </c>
      <c r="R156" s="23">
        <v>0.3</v>
      </c>
      <c r="S156" s="23">
        <v>0.3</v>
      </c>
      <c r="U156" s="10"/>
    </row>
    <row r="157" spans="2:21" ht="15" x14ac:dyDescent="0.35">
      <c r="B157" t="s">
        <v>21</v>
      </c>
      <c r="C157" s="3" t="s">
        <v>266</v>
      </c>
      <c r="D157" s="2"/>
      <c r="E157" s="2"/>
      <c r="F157" s="2"/>
      <c r="G157" s="2"/>
      <c r="H157" s="23">
        <v>0.3</v>
      </c>
      <c r="I157" s="23">
        <v>0.3</v>
      </c>
      <c r="J157" s="23">
        <v>0.3</v>
      </c>
      <c r="K157" s="23">
        <v>0.3</v>
      </c>
      <c r="L157" s="23">
        <v>0.3</v>
      </c>
      <c r="M157" s="23">
        <v>0.3</v>
      </c>
      <c r="N157" s="23">
        <v>0.3</v>
      </c>
      <c r="O157" s="23">
        <v>0.3</v>
      </c>
      <c r="P157" s="23">
        <v>0.3</v>
      </c>
      <c r="Q157" s="23">
        <v>0.3</v>
      </c>
      <c r="R157" s="23">
        <v>0.3</v>
      </c>
      <c r="S157" s="23">
        <v>0.3</v>
      </c>
      <c r="U157" s="10"/>
    </row>
    <row r="158" spans="2:21" ht="15" x14ac:dyDescent="0.35">
      <c r="B158" t="s">
        <v>22</v>
      </c>
      <c r="C158" s="3" t="s">
        <v>266</v>
      </c>
      <c r="D158" s="2"/>
      <c r="E158" s="2"/>
      <c r="F158" s="2"/>
      <c r="G158" s="2"/>
      <c r="H158" s="23">
        <v>0.6</v>
      </c>
      <c r="I158" s="23">
        <v>0.6</v>
      </c>
      <c r="J158" s="23">
        <v>0.6</v>
      </c>
      <c r="K158" s="23">
        <v>0.6</v>
      </c>
      <c r="L158" s="23">
        <v>0.6</v>
      </c>
      <c r="M158" s="23">
        <v>0.6</v>
      </c>
      <c r="N158" s="23">
        <v>0.6</v>
      </c>
      <c r="O158" s="23">
        <v>0.6</v>
      </c>
      <c r="P158" s="23">
        <v>0.6</v>
      </c>
      <c r="Q158" s="23">
        <v>0.6</v>
      </c>
      <c r="R158" s="23">
        <v>0.6</v>
      </c>
      <c r="S158" s="23">
        <v>0.6</v>
      </c>
      <c r="U158" s="10"/>
    </row>
    <row r="159" spans="2:21" ht="15" x14ac:dyDescent="0.35">
      <c r="B159" t="s">
        <v>23</v>
      </c>
      <c r="C159" s="3" t="s">
        <v>266</v>
      </c>
      <c r="D159" s="2"/>
      <c r="E159" s="2"/>
      <c r="F159" s="2"/>
      <c r="G159" s="2"/>
      <c r="H159" s="23">
        <v>0.1</v>
      </c>
      <c r="I159" s="23">
        <v>0.1</v>
      </c>
      <c r="J159" s="23">
        <v>0.1</v>
      </c>
      <c r="K159" s="23">
        <v>0.1</v>
      </c>
      <c r="L159" s="23">
        <v>0.1</v>
      </c>
      <c r="M159" s="23">
        <v>0.1</v>
      </c>
      <c r="N159" s="23">
        <v>0.1</v>
      </c>
      <c r="O159" s="23">
        <v>0.1</v>
      </c>
      <c r="P159" s="23">
        <v>0.1</v>
      </c>
      <c r="Q159" s="23">
        <v>0.1</v>
      </c>
      <c r="R159" s="23">
        <v>0.1</v>
      </c>
      <c r="S159" s="23">
        <v>0.1</v>
      </c>
      <c r="U159" s="10"/>
    </row>
    <row r="160" spans="2:21" ht="15" x14ac:dyDescent="0.35">
      <c r="B160" t="s">
        <v>24</v>
      </c>
      <c r="C160" s="3" t="s">
        <v>266</v>
      </c>
      <c r="D160" s="2"/>
      <c r="E160" s="2"/>
      <c r="F160" s="2"/>
      <c r="G160" s="2"/>
      <c r="H160" s="23">
        <v>0</v>
      </c>
      <c r="I160" s="23">
        <v>0</v>
      </c>
      <c r="J160" s="23">
        <v>0</v>
      </c>
      <c r="K160" s="23">
        <v>0</v>
      </c>
      <c r="L160" s="23">
        <v>0</v>
      </c>
      <c r="M160" s="23">
        <v>0</v>
      </c>
      <c r="N160" s="23">
        <v>0</v>
      </c>
      <c r="O160" s="23">
        <v>0</v>
      </c>
      <c r="P160" s="23">
        <v>0</v>
      </c>
      <c r="Q160" s="23">
        <v>0</v>
      </c>
      <c r="R160" s="23">
        <v>0</v>
      </c>
      <c r="S160" s="23">
        <v>0</v>
      </c>
      <c r="U160" s="10"/>
    </row>
    <row r="161" spans="2:21" ht="15" x14ac:dyDescent="0.35">
      <c r="B161" t="s">
        <v>79</v>
      </c>
      <c r="C161" s="3" t="s">
        <v>266</v>
      </c>
      <c r="D161" s="2"/>
      <c r="E161" s="2"/>
      <c r="F161" s="2"/>
      <c r="G161" s="2"/>
      <c r="H161" s="23">
        <v>0</v>
      </c>
      <c r="I161" s="23">
        <v>0</v>
      </c>
      <c r="J161" s="23">
        <v>0</v>
      </c>
      <c r="K161" s="23">
        <v>0</v>
      </c>
      <c r="L161" s="23">
        <v>0</v>
      </c>
      <c r="M161" s="23">
        <v>0</v>
      </c>
      <c r="N161" s="23">
        <v>0</v>
      </c>
      <c r="O161" s="23">
        <v>0</v>
      </c>
      <c r="P161" s="23">
        <v>0</v>
      </c>
      <c r="Q161" s="23">
        <v>0</v>
      </c>
      <c r="R161" s="23">
        <v>0</v>
      </c>
      <c r="S161" s="23">
        <v>0</v>
      </c>
      <c r="U161" s="10"/>
    </row>
    <row r="162" spans="2:21" ht="15" x14ac:dyDescent="0.35">
      <c r="B162" t="s">
        <v>81</v>
      </c>
      <c r="C162" s="3" t="s">
        <v>266</v>
      </c>
      <c r="D162" s="2"/>
      <c r="E162" s="2"/>
      <c r="F162" s="2"/>
      <c r="G162" s="2"/>
      <c r="H162" s="23">
        <v>0.7</v>
      </c>
      <c r="I162" s="23">
        <v>0.7</v>
      </c>
      <c r="J162" s="23">
        <v>0.7</v>
      </c>
      <c r="K162" s="23">
        <v>0.7</v>
      </c>
      <c r="L162" s="23">
        <v>0.7</v>
      </c>
      <c r="M162" s="23">
        <v>0.7</v>
      </c>
      <c r="N162" s="23">
        <v>0.7</v>
      </c>
      <c r="O162" s="23">
        <v>0.7</v>
      </c>
      <c r="P162" s="23">
        <v>0.7</v>
      </c>
      <c r="Q162" s="23">
        <v>0.7</v>
      </c>
      <c r="R162" s="23">
        <v>0.7</v>
      </c>
      <c r="S162" s="23">
        <v>0.7</v>
      </c>
      <c r="U162" s="10"/>
    </row>
    <row r="163" spans="2:21" ht="15" x14ac:dyDescent="0.35">
      <c r="B163" t="s">
        <v>83</v>
      </c>
      <c r="C163" s="3" t="s">
        <v>266</v>
      </c>
      <c r="D163" s="2"/>
      <c r="E163" s="2"/>
      <c r="F163" s="2"/>
      <c r="G163" s="2"/>
      <c r="H163" s="23">
        <v>0.3</v>
      </c>
      <c r="I163" s="23">
        <v>0.3</v>
      </c>
      <c r="J163" s="23">
        <v>0.3</v>
      </c>
      <c r="K163" s="23">
        <v>0.3</v>
      </c>
      <c r="L163" s="23">
        <v>0.3</v>
      </c>
      <c r="M163" s="23">
        <v>0.3</v>
      </c>
      <c r="N163" s="23">
        <v>0.3</v>
      </c>
      <c r="O163" s="23">
        <v>0.3</v>
      </c>
      <c r="P163" s="23">
        <v>0.3</v>
      </c>
      <c r="Q163" s="23">
        <v>0.3</v>
      </c>
      <c r="R163" s="23">
        <v>0.3</v>
      </c>
      <c r="S163" s="23">
        <v>0.3</v>
      </c>
      <c r="U163" s="10"/>
    </row>
    <row r="164" spans="2:21" x14ac:dyDescent="0.3">
      <c r="B164" s="12" t="s">
        <v>132</v>
      </c>
    </row>
    <row r="165" spans="2:21" ht="15" x14ac:dyDescent="0.35">
      <c r="B165" t="s">
        <v>133</v>
      </c>
      <c r="C165" s="3" t="s">
        <v>807</v>
      </c>
      <c r="H165" s="22">
        <v>0.79207920792079212</v>
      </c>
      <c r="I165" s="22">
        <v>0.79207920792079212</v>
      </c>
      <c r="J165" s="22">
        <v>0.79207920792079212</v>
      </c>
      <c r="K165" s="22">
        <v>0.79207920792079212</v>
      </c>
      <c r="L165" s="22">
        <v>0.79207920792079212</v>
      </c>
      <c r="M165" s="22">
        <v>0.79207920792079212</v>
      </c>
      <c r="N165" s="22">
        <v>0.79207920792079212</v>
      </c>
      <c r="O165" s="22">
        <v>0.79207920792079212</v>
      </c>
      <c r="P165" s="22">
        <v>0.79207920792079212</v>
      </c>
      <c r="Q165" s="22">
        <v>0.79207920792079212</v>
      </c>
      <c r="R165" s="22">
        <v>0.79207920792079212</v>
      </c>
      <c r="S165" s="22">
        <v>0.79207920792079212</v>
      </c>
    </row>
    <row r="166" spans="2:21" ht="15" x14ac:dyDescent="0.35">
      <c r="B166" t="s">
        <v>134</v>
      </c>
      <c r="C166" s="3" t="s">
        <v>807</v>
      </c>
      <c r="H166" s="22">
        <v>0.20792079207920788</v>
      </c>
      <c r="I166" s="22">
        <v>0.20792079207920788</v>
      </c>
      <c r="J166" s="22">
        <v>0.20792079207920788</v>
      </c>
      <c r="K166" s="22">
        <v>0.20792079207920788</v>
      </c>
      <c r="L166" s="22">
        <v>0.20792079207920788</v>
      </c>
      <c r="M166" s="22">
        <v>0.20792079207920788</v>
      </c>
      <c r="N166" s="22">
        <v>0.20792079207920788</v>
      </c>
      <c r="O166" s="22">
        <v>0.20792079207920788</v>
      </c>
      <c r="P166" s="22">
        <v>0.20792079207920788</v>
      </c>
      <c r="Q166" s="22">
        <v>0.20792079207920788</v>
      </c>
      <c r="R166" s="22">
        <v>0.20792079207920788</v>
      </c>
      <c r="S166" s="22">
        <v>0.20792079207920788</v>
      </c>
    </row>
    <row r="167" spans="2:21" ht="15" x14ac:dyDescent="0.35">
      <c r="B167" t="s">
        <v>135</v>
      </c>
      <c r="C167" s="3" t="s">
        <v>807</v>
      </c>
      <c r="H167" s="22">
        <v>0.79525000000000001</v>
      </c>
      <c r="I167" s="22">
        <v>0.79525000000000001</v>
      </c>
      <c r="J167" s="22">
        <v>0.79525000000000001</v>
      </c>
      <c r="K167" s="22">
        <v>0.79525000000000001</v>
      </c>
      <c r="L167" s="22">
        <v>0.79525000000000001</v>
      </c>
      <c r="M167" s="22">
        <v>0.79525000000000001</v>
      </c>
      <c r="N167" s="22">
        <v>0.79525000000000001</v>
      </c>
      <c r="O167" s="22">
        <v>0.79525000000000001</v>
      </c>
      <c r="P167" s="22">
        <v>0.79525000000000001</v>
      </c>
      <c r="Q167" s="22">
        <v>0.79525000000000001</v>
      </c>
      <c r="R167" s="22">
        <v>0.79525000000000001</v>
      </c>
      <c r="S167" s="22">
        <v>0.79525000000000001</v>
      </c>
    </row>
    <row r="168" spans="2:21" ht="15" x14ac:dyDescent="0.35">
      <c r="B168" t="s">
        <v>136</v>
      </c>
      <c r="C168" s="3" t="s">
        <v>807</v>
      </c>
      <c r="H168" s="22">
        <v>0.18099999999999999</v>
      </c>
      <c r="I168" s="22">
        <v>0.18099999999999999</v>
      </c>
      <c r="J168" s="22">
        <v>0.18099999999999999</v>
      </c>
      <c r="K168" s="22">
        <v>0.18099999999999999</v>
      </c>
      <c r="L168" s="22">
        <v>0.18099999999999999</v>
      </c>
      <c r="M168" s="22">
        <v>0.18099999999999999</v>
      </c>
      <c r="N168" s="22">
        <v>0.18099999999999999</v>
      </c>
      <c r="O168" s="22">
        <v>0.18099999999999999</v>
      </c>
      <c r="P168" s="22">
        <v>0.18099999999999999</v>
      </c>
      <c r="Q168" s="22">
        <v>0.18099999999999999</v>
      </c>
      <c r="R168" s="22">
        <v>0.18099999999999999</v>
      </c>
      <c r="S168" s="22">
        <v>0.18099999999999999</v>
      </c>
    </row>
    <row r="169" spans="2:21" ht="15" x14ac:dyDescent="0.35">
      <c r="B169" t="s">
        <v>137</v>
      </c>
      <c r="C169" s="3" t="s">
        <v>807</v>
      </c>
      <c r="H169" s="22">
        <v>2.0187499999999997E-2</v>
      </c>
      <c r="I169" s="22">
        <v>2.0187499999999997E-2</v>
      </c>
      <c r="J169" s="22">
        <v>2.0187499999999997E-2</v>
      </c>
      <c r="K169" s="22">
        <v>2.0187499999999997E-2</v>
      </c>
      <c r="L169" s="22">
        <v>2.0187499999999997E-2</v>
      </c>
      <c r="M169" s="22">
        <v>2.0187499999999997E-2</v>
      </c>
      <c r="N169" s="22">
        <v>2.0187499999999997E-2</v>
      </c>
      <c r="O169" s="22">
        <v>2.0187499999999997E-2</v>
      </c>
      <c r="P169" s="22">
        <v>2.0187499999999997E-2</v>
      </c>
      <c r="Q169" s="22">
        <v>2.0187499999999997E-2</v>
      </c>
      <c r="R169" s="22">
        <v>2.0187499999999997E-2</v>
      </c>
      <c r="S169" s="22">
        <v>2.0187499999999997E-2</v>
      </c>
    </row>
    <row r="170" spans="2:21" ht="15" x14ac:dyDescent="0.35">
      <c r="B170" t="s">
        <v>138</v>
      </c>
      <c r="C170" s="3" t="s">
        <v>807</v>
      </c>
      <c r="H170" s="22">
        <v>3.5625000000000001E-3</v>
      </c>
      <c r="I170" s="22">
        <v>3.5625000000000001E-3</v>
      </c>
      <c r="J170" s="22">
        <v>3.5625000000000001E-3</v>
      </c>
      <c r="K170" s="22">
        <v>3.5625000000000001E-3</v>
      </c>
      <c r="L170" s="22">
        <v>3.5625000000000001E-3</v>
      </c>
      <c r="M170" s="22">
        <v>3.5625000000000001E-3</v>
      </c>
      <c r="N170" s="22">
        <v>3.5625000000000001E-3</v>
      </c>
      <c r="O170" s="22">
        <v>3.5625000000000001E-3</v>
      </c>
      <c r="P170" s="22">
        <v>3.5625000000000001E-3</v>
      </c>
      <c r="Q170" s="22">
        <v>3.5625000000000001E-3</v>
      </c>
      <c r="R170" s="22">
        <v>3.5625000000000001E-3</v>
      </c>
      <c r="S170" s="22">
        <v>3.5625000000000001E-3</v>
      </c>
    </row>
    <row r="171" spans="2:21" ht="15" x14ac:dyDescent="0.35">
      <c r="B171" t="s">
        <v>139</v>
      </c>
      <c r="C171" s="3" t="s">
        <v>807</v>
      </c>
      <c r="H171" s="22">
        <v>0.2</v>
      </c>
      <c r="I171" s="22">
        <v>0.2</v>
      </c>
      <c r="J171" s="22">
        <v>0.2</v>
      </c>
      <c r="K171" s="22">
        <v>0.2</v>
      </c>
      <c r="L171" s="22">
        <v>0.2</v>
      </c>
      <c r="M171" s="22">
        <v>0.2</v>
      </c>
      <c r="N171" s="22">
        <v>0.2</v>
      </c>
      <c r="O171" s="22">
        <v>0.2</v>
      </c>
      <c r="P171" s="22">
        <v>0.2</v>
      </c>
      <c r="Q171" s="22">
        <v>0.2</v>
      </c>
      <c r="R171" s="22">
        <v>0.2</v>
      </c>
      <c r="S171" s="22">
        <v>0.2</v>
      </c>
    </row>
    <row r="172" spans="2:21" ht="15" x14ac:dyDescent="0.35">
      <c r="B172" t="s">
        <v>346</v>
      </c>
      <c r="C172" s="3" t="s">
        <v>807</v>
      </c>
      <c r="H172" s="22">
        <v>0</v>
      </c>
      <c r="I172" s="22">
        <v>0</v>
      </c>
      <c r="J172" s="22">
        <v>0</v>
      </c>
      <c r="K172" s="22">
        <v>0</v>
      </c>
      <c r="L172" s="22">
        <v>0</v>
      </c>
      <c r="M172" s="22">
        <v>0</v>
      </c>
      <c r="N172" s="22">
        <v>0</v>
      </c>
      <c r="O172" s="22">
        <v>0</v>
      </c>
      <c r="P172" s="22">
        <v>0</v>
      </c>
      <c r="Q172" s="22">
        <v>0</v>
      </c>
      <c r="R172" s="22">
        <v>0</v>
      </c>
      <c r="S172" s="22">
        <v>0</v>
      </c>
    </row>
    <row r="173" spans="2:21" ht="15" x14ac:dyDescent="0.35">
      <c r="B173" t="s">
        <v>140</v>
      </c>
      <c r="C173" s="3" t="s">
        <v>807</v>
      </c>
      <c r="H173" s="22">
        <v>0.8</v>
      </c>
      <c r="I173" s="22">
        <v>0.8</v>
      </c>
      <c r="J173" s="22">
        <v>0.8</v>
      </c>
      <c r="K173" s="22">
        <v>0.8</v>
      </c>
      <c r="L173" s="22">
        <v>0.8</v>
      </c>
      <c r="M173" s="22">
        <v>0.8</v>
      </c>
      <c r="N173" s="22">
        <v>0.8</v>
      </c>
      <c r="O173" s="22">
        <v>0.8</v>
      </c>
      <c r="P173" s="22">
        <v>0.8</v>
      </c>
      <c r="Q173" s="22">
        <v>0.8</v>
      </c>
      <c r="R173" s="22">
        <v>0.8</v>
      </c>
      <c r="S173" s="22">
        <v>0.8</v>
      </c>
    </row>
    <row r="174" spans="2:21" ht="15" x14ac:dyDescent="0.35">
      <c r="B174" t="s">
        <v>141</v>
      </c>
      <c r="C174" s="3" t="s">
        <v>807</v>
      </c>
      <c r="H174" s="22">
        <v>0.76190476190476197</v>
      </c>
      <c r="I174" s="22">
        <v>0.76190476190476186</v>
      </c>
      <c r="J174" s="22">
        <v>0.76190476190476186</v>
      </c>
      <c r="K174" s="22">
        <v>0.76190476190476186</v>
      </c>
      <c r="L174" s="22">
        <v>0.76190476190476186</v>
      </c>
      <c r="M174" s="22">
        <v>0.76190476190476197</v>
      </c>
      <c r="N174" s="22">
        <v>0.76190476190476186</v>
      </c>
      <c r="O174" s="22">
        <v>0.76190476190476186</v>
      </c>
      <c r="P174" s="22">
        <v>0.76190476190476186</v>
      </c>
      <c r="Q174" s="22">
        <v>0.76190476190476186</v>
      </c>
      <c r="R174" s="22">
        <v>0.76190476190476186</v>
      </c>
      <c r="S174" s="22">
        <v>0.76190476190476186</v>
      </c>
    </row>
    <row r="175" spans="2:21" ht="15" x14ac:dyDescent="0.35">
      <c r="B175" t="s">
        <v>142</v>
      </c>
      <c r="C175" s="3" t="s">
        <v>807</v>
      </c>
      <c r="H175" s="22">
        <v>0.23809523809523811</v>
      </c>
      <c r="I175" s="22">
        <v>0.23809523809523814</v>
      </c>
      <c r="J175" s="22">
        <v>0.23809523809523811</v>
      </c>
      <c r="K175" s="22">
        <v>0.23809523809523814</v>
      </c>
      <c r="L175" s="22">
        <v>0.23809523809523811</v>
      </c>
      <c r="M175" s="22">
        <v>0.23809523809523814</v>
      </c>
      <c r="N175" s="22">
        <v>0.23809523809523808</v>
      </c>
      <c r="O175" s="22">
        <v>0.23809523809523811</v>
      </c>
      <c r="P175" s="22">
        <v>0.23809523809523808</v>
      </c>
      <c r="Q175" s="22">
        <v>0.23809523809523811</v>
      </c>
      <c r="R175" s="22">
        <v>0.23809523809523811</v>
      </c>
      <c r="S175" s="22">
        <v>0.23809523809523805</v>
      </c>
    </row>
    <row r="176" spans="2:21" ht="15" x14ac:dyDescent="0.35">
      <c r="B176" t="s">
        <v>143</v>
      </c>
      <c r="C176" s="3" t="s">
        <v>807</v>
      </c>
      <c r="H176" s="22">
        <v>0</v>
      </c>
      <c r="I176" s="22">
        <v>0</v>
      </c>
      <c r="J176" s="22">
        <v>0</v>
      </c>
      <c r="K176" s="22">
        <v>0</v>
      </c>
      <c r="L176" s="22">
        <v>0</v>
      </c>
      <c r="M176" s="22">
        <v>0</v>
      </c>
      <c r="N176" s="22">
        <v>0</v>
      </c>
      <c r="O176" s="22">
        <v>0</v>
      </c>
      <c r="P176" s="22">
        <v>0</v>
      </c>
      <c r="Q176" s="22">
        <v>0</v>
      </c>
      <c r="R176" s="22">
        <v>0</v>
      </c>
      <c r="S176" s="22">
        <v>0</v>
      </c>
    </row>
    <row r="177" spans="2:19" ht="15" x14ac:dyDescent="0.35">
      <c r="B177" t="s">
        <v>144</v>
      </c>
      <c r="C177" s="3" t="s">
        <v>807</v>
      </c>
      <c r="H177" s="22">
        <v>0</v>
      </c>
      <c r="I177" s="22">
        <v>0</v>
      </c>
      <c r="J177" s="22">
        <v>0</v>
      </c>
      <c r="K177" s="22">
        <v>0</v>
      </c>
      <c r="L177" s="22">
        <v>0</v>
      </c>
      <c r="M177" s="22">
        <v>0</v>
      </c>
      <c r="N177" s="22">
        <v>0</v>
      </c>
      <c r="O177" s="22">
        <v>0</v>
      </c>
      <c r="P177" s="22">
        <v>0</v>
      </c>
      <c r="Q177" s="22">
        <v>0</v>
      </c>
      <c r="R177" s="22">
        <v>0</v>
      </c>
      <c r="S177" s="22">
        <v>0</v>
      </c>
    </row>
    <row r="178" spans="2:19" ht="15" x14ac:dyDescent="0.35">
      <c r="B178" t="s">
        <v>145</v>
      </c>
      <c r="C178" s="3" t="s">
        <v>807</v>
      </c>
      <c r="H178" s="22">
        <v>1.56</v>
      </c>
      <c r="I178" s="22">
        <v>1.56</v>
      </c>
      <c r="J178" s="22">
        <v>1.56</v>
      </c>
      <c r="K178" s="22">
        <v>1.56</v>
      </c>
      <c r="L178" s="22">
        <v>1.56</v>
      </c>
      <c r="M178" s="22">
        <v>1.56</v>
      </c>
      <c r="N178" s="22">
        <v>1.56</v>
      </c>
      <c r="O178" s="22">
        <v>1.56</v>
      </c>
      <c r="P178" s="22">
        <v>1.56</v>
      </c>
      <c r="Q178" s="22">
        <v>1.56</v>
      </c>
      <c r="R178" s="22">
        <v>1.56</v>
      </c>
      <c r="S178" s="22">
        <v>1.56</v>
      </c>
    </row>
    <row r="179" spans="2:19" ht="15" x14ac:dyDescent="0.35">
      <c r="B179" t="s">
        <v>146</v>
      </c>
      <c r="C179" s="3" t="s">
        <v>807</v>
      </c>
      <c r="H179" s="22">
        <v>0.52</v>
      </c>
      <c r="I179" s="22">
        <v>0.52</v>
      </c>
      <c r="J179" s="22">
        <v>0.52</v>
      </c>
      <c r="K179" s="22">
        <v>0.52</v>
      </c>
      <c r="L179" s="22">
        <v>0.52</v>
      </c>
      <c r="M179" s="22">
        <v>0.52</v>
      </c>
      <c r="N179" s="22">
        <v>0.52</v>
      </c>
      <c r="O179" s="22">
        <v>0.52</v>
      </c>
      <c r="P179" s="22">
        <v>0.52</v>
      </c>
      <c r="Q179" s="22">
        <v>0.52</v>
      </c>
      <c r="R179" s="22">
        <v>0.52</v>
      </c>
      <c r="S179" s="22">
        <v>0.52</v>
      </c>
    </row>
    <row r="180" spans="2:19" ht="15" x14ac:dyDescent="0.35">
      <c r="B180" t="s">
        <v>147</v>
      </c>
      <c r="C180" s="3" t="s">
        <v>807</v>
      </c>
      <c r="H180" s="22">
        <v>0.38400000000000001</v>
      </c>
      <c r="I180" s="22">
        <v>0.38400000000000001</v>
      </c>
      <c r="J180" s="22">
        <v>0.38400000000000001</v>
      </c>
      <c r="K180" s="22">
        <v>0.38400000000000001</v>
      </c>
      <c r="L180" s="22">
        <v>0.38400000000000001</v>
      </c>
      <c r="M180" s="22">
        <v>0.38400000000000001</v>
      </c>
      <c r="N180" s="22">
        <v>0.38400000000000001</v>
      </c>
      <c r="O180" s="22">
        <v>0.38400000000000001</v>
      </c>
      <c r="P180" s="22">
        <v>0.38400000000000001</v>
      </c>
      <c r="Q180" s="22">
        <v>0.38400000000000001</v>
      </c>
      <c r="R180" s="22">
        <v>0.38400000000000001</v>
      </c>
      <c r="S180" s="22">
        <v>0.38400000000000001</v>
      </c>
    </row>
    <row r="181" spans="2:19" ht="15" x14ac:dyDescent="0.35">
      <c r="B181" t="s">
        <v>148</v>
      </c>
      <c r="C181" s="3" t="s">
        <v>807</v>
      </c>
      <c r="H181" s="22">
        <v>4.0500000000000001E-2</v>
      </c>
      <c r="I181" s="22">
        <v>4.0500000000000001E-2</v>
      </c>
      <c r="J181" s="22">
        <v>4.0500000000000001E-2</v>
      </c>
      <c r="K181" s="22">
        <v>4.0500000000000001E-2</v>
      </c>
      <c r="L181" s="22">
        <v>4.0500000000000001E-2</v>
      </c>
      <c r="M181" s="22">
        <v>4.0500000000000001E-2</v>
      </c>
      <c r="N181" s="22">
        <v>4.0500000000000001E-2</v>
      </c>
      <c r="O181" s="22">
        <v>4.0500000000000001E-2</v>
      </c>
      <c r="P181" s="22">
        <v>4.0500000000000001E-2</v>
      </c>
      <c r="Q181" s="22">
        <v>4.0500000000000001E-2</v>
      </c>
      <c r="R181" s="22">
        <v>4.0500000000000001E-2</v>
      </c>
      <c r="S181" s="22">
        <v>4.0500000000000001E-2</v>
      </c>
    </row>
    <row r="182" spans="2:19" ht="15" x14ac:dyDescent="0.35">
      <c r="B182" t="s">
        <v>149</v>
      </c>
      <c r="C182" s="3" t="s">
        <v>807</v>
      </c>
      <c r="H182" s="22">
        <v>0</v>
      </c>
      <c r="I182" s="22">
        <v>0</v>
      </c>
      <c r="J182" s="22">
        <v>0</v>
      </c>
      <c r="K182" s="22">
        <v>0</v>
      </c>
      <c r="L182" s="22">
        <v>0</v>
      </c>
      <c r="M182" s="22">
        <v>0</v>
      </c>
      <c r="N182" s="22">
        <v>0</v>
      </c>
      <c r="O182" s="22">
        <v>0</v>
      </c>
      <c r="P182" s="22">
        <v>0</v>
      </c>
      <c r="Q182" s="22">
        <v>0</v>
      </c>
      <c r="R182" s="22">
        <v>0</v>
      </c>
      <c r="S182" s="22">
        <v>0</v>
      </c>
    </row>
    <row r="183" spans="2:19" ht="15" x14ac:dyDescent="0.35">
      <c r="B183" t="s">
        <v>150</v>
      </c>
      <c r="C183" s="3" t="s">
        <v>807</v>
      </c>
      <c r="H183" s="22">
        <v>0.03</v>
      </c>
      <c r="I183" s="22">
        <v>0.03</v>
      </c>
      <c r="J183" s="22">
        <v>0.03</v>
      </c>
      <c r="K183" s="22">
        <v>0.03</v>
      </c>
      <c r="L183" s="22">
        <v>0.03</v>
      </c>
      <c r="M183" s="22">
        <v>0.03</v>
      </c>
      <c r="N183" s="22">
        <v>0.03</v>
      </c>
      <c r="O183" s="22">
        <v>0.03</v>
      </c>
      <c r="P183" s="22">
        <v>0.03</v>
      </c>
      <c r="Q183" s="22">
        <v>0.03</v>
      </c>
      <c r="R183" s="22">
        <v>0.03</v>
      </c>
      <c r="S183" s="22">
        <v>0.03</v>
      </c>
    </row>
    <row r="184" spans="2:19" ht="15" x14ac:dyDescent="0.35">
      <c r="B184" t="s">
        <v>151</v>
      </c>
      <c r="C184" s="3" t="s">
        <v>807</v>
      </c>
      <c r="H184" s="22">
        <v>2.5000000000000001E-2</v>
      </c>
      <c r="I184" s="22">
        <v>2.5000000000000001E-2</v>
      </c>
      <c r="J184" s="22">
        <v>2.5000000000000001E-2</v>
      </c>
      <c r="K184" s="22">
        <v>2.5000000000000001E-2</v>
      </c>
      <c r="L184" s="22">
        <v>2.5000000000000001E-2</v>
      </c>
      <c r="M184" s="22">
        <v>2.5000000000000001E-2</v>
      </c>
      <c r="N184" s="22">
        <v>2.5000000000000001E-2</v>
      </c>
      <c r="O184" s="22">
        <v>2.5000000000000001E-2</v>
      </c>
      <c r="P184" s="22">
        <v>2.5000000000000001E-2</v>
      </c>
      <c r="Q184" s="22">
        <v>2.5000000000000001E-2</v>
      </c>
      <c r="R184" s="22">
        <v>2.5000000000000001E-2</v>
      </c>
      <c r="S184" s="22">
        <v>2.5000000000000001E-2</v>
      </c>
    </row>
    <row r="185" spans="2:19" ht="15" x14ac:dyDescent="0.35">
      <c r="B185" t="s">
        <v>152</v>
      </c>
      <c r="C185" s="3" t="s">
        <v>807</v>
      </c>
      <c r="H185" s="22">
        <v>0</v>
      </c>
      <c r="I185" s="22">
        <v>0</v>
      </c>
      <c r="J185" s="22">
        <v>0</v>
      </c>
      <c r="K185" s="22">
        <v>0</v>
      </c>
      <c r="L185" s="22">
        <v>0</v>
      </c>
      <c r="M185" s="22">
        <v>0</v>
      </c>
      <c r="N185" s="22">
        <v>0</v>
      </c>
      <c r="O185" s="22">
        <v>0</v>
      </c>
      <c r="P185" s="22">
        <v>0</v>
      </c>
      <c r="Q185" s="22">
        <v>0</v>
      </c>
      <c r="R185" s="22">
        <v>0</v>
      </c>
      <c r="S185" s="22">
        <v>0</v>
      </c>
    </row>
    <row r="186" spans="2:19" ht="15" x14ac:dyDescent="0.35">
      <c r="B186" t="s">
        <v>153</v>
      </c>
      <c r="C186" s="3" t="s">
        <v>807</v>
      </c>
      <c r="H186" s="22">
        <v>5.0000000000000001E-4</v>
      </c>
      <c r="I186" s="22">
        <v>5.0000000000000001E-4</v>
      </c>
      <c r="J186" s="22">
        <v>5.0000000000000001E-4</v>
      </c>
      <c r="K186" s="22">
        <v>5.0000000000000001E-4</v>
      </c>
      <c r="L186" s="22">
        <v>5.0000000000000001E-4</v>
      </c>
      <c r="M186" s="22">
        <v>5.0000000000000001E-4</v>
      </c>
      <c r="N186" s="22">
        <v>5.0000000000000001E-4</v>
      </c>
      <c r="O186" s="22">
        <v>5.0000000000000001E-4</v>
      </c>
      <c r="P186" s="22">
        <v>5.0000000000000001E-4</v>
      </c>
      <c r="Q186" s="22">
        <v>5.0000000000000001E-4</v>
      </c>
      <c r="R186" s="22">
        <v>5.0000000000000001E-4</v>
      </c>
      <c r="S186" s="22">
        <v>5.0000000000000001E-4</v>
      </c>
    </row>
    <row r="187" spans="2:19" ht="15" x14ac:dyDescent="0.35">
      <c r="B187" t="s">
        <v>154</v>
      </c>
      <c r="C187" s="3" t="s">
        <v>807</v>
      </c>
      <c r="H187" s="22">
        <v>0.83000000000000007</v>
      </c>
      <c r="I187" s="22">
        <v>0.83000000000000007</v>
      </c>
      <c r="J187" s="22">
        <v>0.83000000000000007</v>
      </c>
      <c r="K187" s="22">
        <v>0.83000000000000007</v>
      </c>
      <c r="L187" s="22">
        <v>0.83000000000000007</v>
      </c>
      <c r="M187" s="22">
        <v>0.83000000000000007</v>
      </c>
      <c r="N187" s="22">
        <v>0.83000000000000007</v>
      </c>
      <c r="O187" s="22">
        <v>0.83000000000000007</v>
      </c>
      <c r="P187" s="22">
        <v>0.83000000000000007</v>
      </c>
      <c r="Q187" s="22">
        <v>0.83000000000000007</v>
      </c>
      <c r="R187" s="22">
        <v>0.83000000000000007</v>
      </c>
      <c r="S187" s="22">
        <v>0.83000000000000007</v>
      </c>
    </row>
    <row r="188" spans="2:19" ht="15" x14ac:dyDescent="0.35">
      <c r="B188" t="s">
        <v>155</v>
      </c>
      <c r="C188" s="3" t="s">
        <v>807</v>
      </c>
      <c r="H188" s="22">
        <v>6.1600000000000106E-2</v>
      </c>
      <c r="I188" s="22">
        <v>6.1600000000000106E-2</v>
      </c>
      <c r="J188" s="22">
        <v>6.1600000000000106E-2</v>
      </c>
      <c r="K188" s="22">
        <v>6.1600000000000106E-2</v>
      </c>
      <c r="L188" s="22">
        <v>6.1600000000000106E-2</v>
      </c>
      <c r="M188" s="22">
        <v>6.1600000000000106E-2</v>
      </c>
      <c r="N188" s="22">
        <v>6.1600000000000106E-2</v>
      </c>
      <c r="O188" s="22">
        <v>6.1600000000000106E-2</v>
      </c>
      <c r="P188" s="22">
        <v>6.1600000000000106E-2</v>
      </c>
      <c r="Q188" s="22">
        <v>6.1600000000000106E-2</v>
      </c>
      <c r="R188" s="22">
        <v>6.1600000000000106E-2</v>
      </c>
      <c r="S188" s="22">
        <v>6.1600000000000106E-2</v>
      </c>
    </row>
    <row r="189" spans="2:19" ht="15" x14ac:dyDescent="0.35">
      <c r="B189" t="s">
        <v>156</v>
      </c>
      <c r="C189" s="3" t="s">
        <v>807</v>
      </c>
      <c r="H189" s="22">
        <v>7.7999999999999986E-2</v>
      </c>
      <c r="I189" s="22">
        <v>7.7999999999999986E-2</v>
      </c>
      <c r="J189" s="22">
        <v>7.7999999999999986E-2</v>
      </c>
      <c r="K189" s="22">
        <v>7.7999999999999986E-2</v>
      </c>
      <c r="L189" s="22">
        <v>7.7999999999999986E-2</v>
      </c>
      <c r="M189" s="22">
        <v>7.7999999999999986E-2</v>
      </c>
      <c r="N189" s="22">
        <v>7.7999999999999986E-2</v>
      </c>
      <c r="O189" s="22">
        <v>7.7999999999999986E-2</v>
      </c>
      <c r="P189" s="22">
        <v>7.7999999999999986E-2</v>
      </c>
      <c r="Q189" s="22">
        <v>7.7999999999999986E-2</v>
      </c>
      <c r="R189" s="22">
        <v>7.7999999999999986E-2</v>
      </c>
      <c r="S189" s="22">
        <v>7.7999999999999986E-2</v>
      </c>
    </row>
    <row r="190" spans="2:19" ht="15" x14ac:dyDescent="0.35">
      <c r="B190" t="s">
        <v>157</v>
      </c>
      <c r="C190" s="3" t="s">
        <v>807</v>
      </c>
      <c r="H190" s="22">
        <v>0</v>
      </c>
      <c r="I190" s="22">
        <v>0</v>
      </c>
      <c r="J190" s="22">
        <v>0</v>
      </c>
      <c r="K190" s="22">
        <v>0</v>
      </c>
      <c r="L190" s="22">
        <v>0</v>
      </c>
      <c r="M190" s="22">
        <v>0</v>
      </c>
      <c r="N190" s="22">
        <v>0</v>
      </c>
      <c r="O190" s="22">
        <v>0</v>
      </c>
      <c r="P190" s="22">
        <v>0</v>
      </c>
      <c r="Q190" s="22">
        <v>0</v>
      </c>
      <c r="R190" s="22">
        <v>0</v>
      </c>
      <c r="S190" s="22">
        <v>0</v>
      </c>
    </row>
    <row r="191" spans="2:19" ht="15" x14ac:dyDescent="0.35">
      <c r="B191" t="s">
        <v>158</v>
      </c>
      <c r="C191" s="3" t="s">
        <v>807</v>
      </c>
      <c r="H191" s="22">
        <v>2.9899999999999999E-2</v>
      </c>
      <c r="I191" s="22">
        <v>2.9899999999999999E-2</v>
      </c>
      <c r="J191" s="22">
        <v>2.9899999999999999E-2</v>
      </c>
      <c r="K191" s="22">
        <v>2.9899999999999999E-2</v>
      </c>
      <c r="L191" s="22">
        <v>2.9899999999999999E-2</v>
      </c>
      <c r="M191" s="22">
        <v>2.9899999999999999E-2</v>
      </c>
      <c r="N191" s="22">
        <v>2.9899999999999999E-2</v>
      </c>
      <c r="O191" s="22">
        <v>2.9899999999999999E-2</v>
      </c>
      <c r="P191" s="22">
        <v>2.9899999999999999E-2</v>
      </c>
      <c r="Q191" s="22">
        <v>2.9899999999999999E-2</v>
      </c>
      <c r="R191" s="22">
        <v>2.9899999999999999E-2</v>
      </c>
      <c r="S191" s="22">
        <v>2.9899999999999999E-2</v>
      </c>
    </row>
    <row r="192" spans="2:19" ht="15" x14ac:dyDescent="0.35">
      <c r="B192" t="s">
        <v>159</v>
      </c>
      <c r="C192" s="3" t="s">
        <v>807</v>
      </c>
      <c r="H192" s="22">
        <v>0</v>
      </c>
      <c r="I192" s="22">
        <v>0</v>
      </c>
      <c r="J192" s="22">
        <v>0</v>
      </c>
      <c r="K192" s="22">
        <v>0</v>
      </c>
      <c r="L192" s="22">
        <v>0</v>
      </c>
      <c r="M192" s="22">
        <v>0</v>
      </c>
      <c r="N192" s="22">
        <v>0</v>
      </c>
      <c r="O192" s="22">
        <v>0</v>
      </c>
      <c r="P192" s="22">
        <v>0</v>
      </c>
      <c r="Q192" s="22">
        <v>0</v>
      </c>
      <c r="R192" s="22">
        <v>0</v>
      </c>
      <c r="S192" s="22">
        <v>0</v>
      </c>
    </row>
    <row r="193" spans="2:19" ht="15" x14ac:dyDescent="0.35">
      <c r="B193" t="s">
        <v>160</v>
      </c>
      <c r="C193" s="3" t="s">
        <v>807</v>
      </c>
      <c r="H193" s="22">
        <v>0</v>
      </c>
      <c r="I193" s="22">
        <v>0</v>
      </c>
      <c r="J193" s="22">
        <v>0</v>
      </c>
      <c r="K193" s="22">
        <v>0</v>
      </c>
      <c r="L193" s="22">
        <v>0</v>
      </c>
      <c r="M193" s="22">
        <v>0</v>
      </c>
      <c r="N193" s="22">
        <v>0</v>
      </c>
      <c r="O193" s="22">
        <v>0</v>
      </c>
      <c r="P193" s="22">
        <v>0</v>
      </c>
      <c r="Q193" s="22">
        <v>0</v>
      </c>
      <c r="R193" s="22">
        <v>0</v>
      </c>
      <c r="S193" s="22">
        <v>0</v>
      </c>
    </row>
    <row r="194" spans="2:19" ht="15" x14ac:dyDescent="0.35">
      <c r="B194" t="s">
        <v>161</v>
      </c>
      <c r="C194" s="3" t="s">
        <v>807</v>
      </c>
      <c r="H194" s="22">
        <v>5.0000000000000001E-4</v>
      </c>
      <c r="I194" s="22">
        <v>5.0000000000000001E-4</v>
      </c>
      <c r="J194" s="22">
        <v>5.0000000000000001E-4</v>
      </c>
      <c r="K194" s="22">
        <v>5.0000000000000001E-4</v>
      </c>
      <c r="L194" s="22">
        <v>5.0000000000000001E-4</v>
      </c>
      <c r="M194" s="22">
        <v>5.0000000000000001E-4</v>
      </c>
      <c r="N194" s="22">
        <v>5.0000000000000001E-4</v>
      </c>
      <c r="O194" s="22">
        <v>5.0000000000000001E-4</v>
      </c>
      <c r="P194" s="22">
        <v>5.0000000000000001E-4</v>
      </c>
      <c r="Q194" s="22">
        <v>5.0000000000000001E-4</v>
      </c>
      <c r="R194" s="22">
        <v>5.0000000000000001E-4</v>
      </c>
      <c r="S194" s="22">
        <v>5.0000000000000001E-4</v>
      </c>
    </row>
    <row r="195" spans="2:19" ht="15" x14ac:dyDescent="0.35">
      <c r="B195" t="s">
        <v>162</v>
      </c>
      <c r="C195" s="3" t="s">
        <v>807</v>
      </c>
      <c r="H195" s="22">
        <v>0.91400000000000003</v>
      </c>
      <c r="I195" s="22">
        <v>0.91400000000000003</v>
      </c>
      <c r="J195" s="22">
        <v>0.91400000000000003</v>
      </c>
      <c r="K195" s="22">
        <v>0.91400000000000003</v>
      </c>
      <c r="L195" s="22">
        <v>0.91400000000000003</v>
      </c>
      <c r="M195" s="22">
        <v>0.91400000000000003</v>
      </c>
      <c r="N195" s="22">
        <v>0.91400000000000003</v>
      </c>
      <c r="O195" s="22">
        <v>0.91400000000000003</v>
      </c>
      <c r="P195" s="22">
        <v>0.91400000000000003</v>
      </c>
      <c r="Q195" s="22">
        <v>0.91400000000000003</v>
      </c>
      <c r="R195" s="22">
        <v>0.91400000000000003</v>
      </c>
      <c r="S195" s="22">
        <v>0.91400000000000003</v>
      </c>
    </row>
    <row r="196" spans="2:19" ht="15" x14ac:dyDescent="0.35">
      <c r="B196" t="s">
        <v>163</v>
      </c>
      <c r="C196" s="3" t="s">
        <v>807</v>
      </c>
      <c r="H196" s="22">
        <v>0</v>
      </c>
      <c r="I196" s="22">
        <v>0</v>
      </c>
      <c r="J196" s="22">
        <v>0</v>
      </c>
      <c r="K196" s="22">
        <v>0</v>
      </c>
      <c r="L196" s="22">
        <v>0</v>
      </c>
      <c r="M196" s="22">
        <v>0</v>
      </c>
      <c r="N196" s="22">
        <v>0</v>
      </c>
      <c r="O196" s="22">
        <v>0</v>
      </c>
      <c r="P196" s="22">
        <v>0</v>
      </c>
      <c r="Q196" s="22">
        <v>0</v>
      </c>
      <c r="R196" s="22">
        <v>0</v>
      </c>
      <c r="S196" s="22">
        <v>0</v>
      </c>
    </row>
    <row r="197" spans="2:19" ht="15" x14ac:dyDescent="0.35">
      <c r="B197" t="s">
        <v>164</v>
      </c>
      <c r="C197" s="3" t="s">
        <v>807</v>
      </c>
      <c r="H197" s="22">
        <v>8.5999999999999965E-2</v>
      </c>
      <c r="I197" s="22">
        <v>8.5999999999999965E-2</v>
      </c>
      <c r="J197" s="22">
        <v>8.5999999999999965E-2</v>
      </c>
      <c r="K197" s="22">
        <v>8.5999999999999965E-2</v>
      </c>
      <c r="L197" s="22">
        <v>8.5999999999999965E-2</v>
      </c>
      <c r="M197" s="22">
        <v>8.5999999999999965E-2</v>
      </c>
      <c r="N197" s="22">
        <v>8.5999999999999965E-2</v>
      </c>
      <c r="O197" s="22">
        <v>8.5999999999999965E-2</v>
      </c>
      <c r="P197" s="22">
        <v>8.5999999999999965E-2</v>
      </c>
      <c r="Q197" s="22">
        <v>8.5999999999999965E-2</v>
      </c>
      <c r="R197" s="22">
        <v>8.5999999999999965E-2</v>
      </c>
      <c r="S197" s="22">
        <v>8.5999999999999965E-2</v>
      </c>
    </row>
    <row r="198" spans="2:19" ht="15" x14ac:dyDescent="0.35">
      <c r="B198" t="s">
        <v>165</v>
      </c>
      <c r="C198" s="3" t="s">
        <v>807</v>
      </c>
      <c r="H198" s="22">
        <v>0</v>
      </c>
      <c r="I198" s="22">
        <v>0</v>
      </c>
      <c r="J198" s="22">
        <v>0</v>
      </c>
      <c r="K198" s="22">
        <v>0</v>
      </c>
      <c r="L198" s="22">
        <v>0</v>
      </c>
      <c r="M198" s="22">
        <v>0</v>
      </c>
      <c r="N198" s="22">
        <v>0</v>
      </c>
      <c r="O198" s="22">
        <v>0</v>
      </c>
      <c r="P198" s="22">
        <v>0</v>
      </c>
      <c r="Q198" s="22">
        <v>0</v>
      </c>
      <c r="R198" s="22">
        <v>0</v>
      </c>
      <c r="S198" s="22">
        <v>0</v>
      </c>
    </row>
    <row r="199" spans="2:19" ht="15" x14ac:dyDescent="0.35">
      <c r="B199" t="s">
        <v>166</v>
      </c>
      <c r="C199" s="3" t="s">
        <v>807</v>
      </c>
      <c r="H199" s="22">
        <v>0</v>
      </c>
      <c r="I199" s="22">
        <v>0</v>
      </c>
      <c r="J199" s="22">
        <v>0</v>
      </c>
      <c r="K199" s="22">
        <v>0</v>
      </c>
      <c r="L199" s="22">
        <v>0</v>
      </c>
      <c r="M199" s="22">
        <v>0</v>
      </c>
      <c r="N199" s="22">
        <v>0</v>
      </c>
      <c r="O199" s="22">
        <v>0</v>
      </c>
      <c r="P199" s="22">
        <v>0</v>
      </c>
      <c r="Q199" s="22">
        <v>0</v>
      </c>
      <c r="R199" s="22">
        <v>0</v>
      </c>
      <c r="S199" s="22">
        <v>0</v>
      </c>
    </row>
    <row r="200" spans="2:19" ht="15" x14ac:dyDescent="0.35">
      <c r="B200" t="s">
        <v>167</v>
      </c>
      <c r="C200" s="3" t="s">
        <v>807</v>
      </c>
      <c r="H200" s="22">
        <v>0</v>
      </c>
      <c r="I200" s="22">
        <v>0</v>
      </c>
      <c r="J200" s="22">
        <v>0</v>
      </c>
      <c r="K200" s="22">
        <v>0</v>
      </c>
      <c r="L200" s="22">
        <v>0</v>
      </c>
      <c r="M200" s="22">
        <v>0</v>
      </c>
      <c r="N200" s="22">
        <v>0</v>
      </c>
      <c r="O200" s="22">
        <v>0</v>
      </c>
      <c r="P200" s="22">
        <v>0</v>
      </c>
      <c r="Q200" s="22">
        <v>0</v>
      </c>
      <c r="R200" s="22">
        <v>0</v>
      </c>
      <c r="S200" s="22">
        <v>0</v>
      </c>
    </row>
    <row r="201" spans="2:19" ht="15" x14ac:dyDescent="0.35">
      <c r="B201" t="s">
        <v>168</v>
      </c>
      <c r="C201" s="3" t="s">
        <v>807</v>
      </c>
      <c r="H201" s="22">
        <v>0</v>
      </c>
      <c r="I201" s="22">
        <v>0</v>
      </c>
      <c r="J201" s="22">
        <v>0</v>
      </c>
      <c r="K201" s="22">
        <v>0</v>
      </c>
      <c r="L201" s="22">
        <v>0</v>
      </c>
      <c r="M201" s="22">
        <v>0</v>
      </c>
      <c r="N201" s="22">
        <v>0</v>
      </c>
      <c r="O201" s="22">
        <v>0</v>
      </c>
      <c r="P201" s="22">
        <v>0</v>
      </c>
      <c r="Q201" s="22">
        <v>0</v>
      </c>
      <c r="R201" s="22">
        <v>0</v>
      </c>
      <c r="S201" s="22">
        <v>0</v>
      </c>
    </row>
    <row r="202" spans="2:19" ht="15" x14ac:dyDescent="0.35">
      <c r="B202" t="s">
        <v>169</v>
      </c>
      <c r="C202" s="3" t="s">
        <v>807</v>
      </c>
      <c r="H202" s="22">
        <v>0</v>
      </c>
      <c r="I202" s="22">
        <v>0</v>
      </c>
      <c r="J202" s="22">
        <v>0</v>
      </c>
      <c r="K202" s="22">
        <v>0</v>
      </c>
      <c r="L202" s="22">
        <v>0</v>
      </c>
      <c r="M202" s="22">
        <v>0</v>
      </c>
      <c r="N202" s="22">
        <v>0</v>
      </c>
      <c r="O202" s="22">
        <v>0</v>
      </c>
      <c r="P202" s="22">
        <v>0</v>
      </c>
      <c r="Q202" s="22">
        <v>0</v>
      </c>
      <c r="R202" s="22">
        <v>0</v>
      </c>
      <c r="S202" s="22">
        <v>0</v>
      </c>
    </row>
    <row r="203" spans="2:19" x14ac:dyDescent="0.3">
      <c r="B203" t="s">
        <v>414</v>
      </c>
      <c r="C203" t="s">
        <v>809</v>
      </c>
      <c r="H203" s="19">
        <f>1000/50</f>
        <v>20</v>
      </c>
      <c r="I203" s="19">
        <f t="shared" ref="I203:S203" si="61">1000/50</f>
        <v>20</v>
      </c>
      <c r="J203" s="19">
        <f t="shared" si="61"/>
        <v>20</v>
      </c>
      <c r="K203" s="19">
        <f t="shared" si="61"/>
        <v>20</v>
      </c>
      <c r="L203" s="19">
        <f t="shared" si="61"/>
        <v>20</v>
      </c>
      <c r="M203" s="19">
        <f t="shared" si="61"/>
        <v>20</v>
      </c>
      <c r="N203" s="19">
        <f t="shared" si="61"/>
        <v>20</v>
      </c>
      <c r="O203" s="19">
        <f t="shared" si="61"/>
        <v>20</v>
      </c>
      <c r="P203" s="19">
        <f t="shared" si="61"/>
        <v>20</v>
      </c>
      <c r="Q203" s="19">
        <f t="shared" si="61"/>
        <v>20</v>
      </c>
      <c r="R203" s="19">
        <f t="shared" si="61"/>
        <v>20</v>
      </c>
      <c r="S203" s="19">
        <f t="shared" si="61"/>
        <v>20</v>
      </c>
    </row>
    <row r="204" spans="2:19" x14ac:dyDescent="0.3">
      <c r="B204" t="s">
        <v>415</v>
      </c>
      <c r="C204" t="s">
        <v>809</v>
      </c>
      <c r="H204" s="19">
        <f>1000/42.5</f>
        <v>23.529411764705884</v>
      </c>
      <c r="I204" s="19">
        <f t="shared" ref="I204:S204" si="62">1000/42.5</f>
        <v>23.529411764705884</v>
      </c>
      <c r="J204" s="19">
        <f t="shared" si="62"/>
        <v>23.529411764705884</v>
      </c>
      <c r="K204" s="19">
        <f t="shared" si="62"/>
        <v>23.529411764705884</v>
      </c>
      <c r="L204" s="19">
        <f t="shared" si="62"/>
        <v>23.529411764705884</v>
      </c>
      <c r="M204" s="19">
        <f t="shared" si="62"/>
        <v>23.529411764705884</v>
      </c>
      <c r="N204" s="19">
        <f t="shared" si="62"/>
        <v>23.529411764705884</v>
      </c>
      <c r="O204" s="19">
        <f t="shared" si="62"/>
        <v>23.529411764705884</v>
      </c>
      <c r="P204" s="19">
        <f t="shared" si="62"/>
        <v>23.529411764705884</v>
      </c>
      <c r="Q204" s="19">
        <f t="shared" si="62"/>
        <v>23.529411764705884</v>
      </c>
      <c r="R204" s="19">
        <f t="shared" si="62"/>
        <v>23.529411764705884</v>
      </c>
      <c r="S204" s="19">
        <f t="shared" si="62"/>
        <v>23.529411764705884</v>
      </c>
    </row>
    <row r="205" spans="2:19" x14ac:dyDescent="0.3">
      <c r="B205" t="s">
        <v>416</v>
      </c>
      <c r="C205" t="s">
        <v>809</v>
      </c>
      <c r="H205" s="19">
        <f>1000/25</f>
        <v>40</v>
      </c>
      <c r="I205" s="19">
        <f t="shared" ref="I205:S205" si="63">1000/25</f>
        <v>40</v>
      </c>
      <c r="J205" s="19">
        <f t="shared" si="63"/>
        <v>40</v>
      </c>
      <c r="K205" s="19">
        <f t="shared" si="63"/>
        <v>40</v>
      </c>
      <c r="L205" s="19">
        <f t="shared" si="63"/>
        <v>40</v>
      </c>
      <c r="M205" s="19">
        <f t="shared" si="63"/>
        <v>40</v>
      </c>
      <c r="N205" s="19">
        <f t="shared" si="63"/>
        <v>40</v>
      </c>
      <c r="O205" s="19">
        <f t="shared" si="63"/>
        <v>40</v>
      </c>
      <c r="P205" s="19">
        <f t="shared" si="63"/>
        <v>40</v>
      </c>
      <c r="Q205" s="19">
        <f t="shared" si="63"/>
        <v>40</v>
      </c>
      <c r="R205" s="19">
        <f t="shared" si="63"/>
        <v>40</v>
      </c>
      <c r="S205" s="19">
        <f t="shared" si="63"/>
        <v>40</v>
      </c>
    </row>
    <row r="206" spans="2:19" x14ac:dyDescent="0.3">
      <c r="B206" t="s">
        <v>417</v>
      </c>
      <c r="C206" t="s">
        <v>809</v>
      </c>
      <c r="H206" s="19">
        <f>1000/50</f>
        <v>20</v>
      </c>
      <c r="I206" s="19">
        <f t="shared" ref="I206:S206" si="64">1000/50</f>
        <v>20</v>
      </c>
      <c r="J206" s="19">
        <f t="shared" si="64"/>
        <v>20</v>
      </c>
      <c r="K206" s="19">
        <f t="shared" si="64"/>
        <v>20</v>
      </c>
      <c r="L206" s="19">
        <f t="shared" si="64"/>
        <v>20</v>
      </c>
      <c r="M206" s="19">
        <f t="shared" si="64"/>
        <v>20</v>
      </c>
      <c r="N206" s="19">
        <f t="shared" si="64"/>
        <v>20</v>
      </c>
      <c r="O206" s="19">
        <f t="shared" si="64"/>
        <v>20</v>
      </c>
      <c r="P206" s="19">
        <f t="shared" si="64"/>
        <v>20</v>
      </c>
      <c r="Q206" s="19">
        <f t="shared" si="64"/>
        <v>20</v>
      </c>
      <c r="R206" s="19">
        <f t="shared" si="64"/>
        <v>20</v>
      </c>
      <c r="S206" s="19">
        <f t="shared" si="64"/>
        <v>20</v>
      </c>
    </row>
    <row r="207" spans="2:19" x14ac:dyDescent="0.3">
      <c r="B207" t="s">
        <v>418</v>
      </c>
      <c r="C207" t="s">
        <v>809</v>
      </c>
      <c r="H207" s="19">
        <f>1000/42.5</f>
        <v>23.529411764705884</v>
      </c>
      <c r="I207" s="19">
        <f t="shared" ref="I207:S207" si="65">1000/42.5</f>
        <v>23.529411764705884</v>
      </c>
      <c r="J207" s="19">
        <f t="shared" si="65"/>
        <v>23.529411764705884</v>
      </c>
      <c r="K207" s="19">
        <f t="shared" si="65"/>
        <v>23.529411764705884</v>
      </c>
      <c r="L207" s="19">
        <f t="shared" si="65"/>
        <v>23.529411764705884</v>
      </c>
      <c r="M207" s="19">
        <f t="shared" si="65"/>
        <v>23.529411764705884</v>
      </c>
      <c r="N207" s="19">
        <f t="shared" si="65"/>
        <v>23.529411764705884</v>
      </c>
      <c r="O207" s="19">
        <f t="shared" si="65"/>
        <v>23.529411764705884</v>
      </c>
      <c r="P207" s="19">
        <f t="shared" si="65"/>
        <v>23.529411764705884</v>
      </c>
      <c r="Q207" s="19">
        <f t="shared" si="65"/>
        <v>23.529411764705884</v>
      </c>
      <c r="R207" s="19">
        <f t="shared" si="65"/>
        <v>23.529411764705884</v>
      </c>
      <c r="S207" s="19">
        <f t="shared" si="65"/>
        <v>23.529411764705884</v>
      </c>
    </row>
    <row r="208" spans="2:19" x14ac:dyDescent="0.3">
      <c r="B208" t="s">
        <v>680</v>
      </c>
      <c r="C208" t="s">
        <v>809</v>
      </c>
      <c r="H208" s="167">
        <v>0</v>
      </c>
      <c r="I208" s="167">
        <v>0</v>
      </c>
      <c r="J208" s="167">
        <v>0</v>
      </c>
      <c r="K208" s="167">
        <v>0</v>
      </c>
      <c r="L208" s="167">
        <v>0</v>
      </c>
      <c r="M208" s="167">
        <v>0</v>
      </c>
      <c r="N208" s="167">
        <v>0</v>
      </c>
      <c r="O208" s="167">
        <v>0</v>
      </c>
      <c r="P208" s="167">
        <v>0</v>
      </c>
      <c r="Q208" s="167">
        <v>0</v>
      </c>
      <c r="R208" s="167">
        <v>0</v>
      </c>
      <c r="S208" s="167">
        <v>0</v>
      </c>
    </row>
    <row r="209" spans="2:19" x14ac:dyDescent="0.3">
      <c r="B209" s="12" t="s">
        <v>170</v>
      </c>
    </row>
    <row r="210" spans="2:19" ht="15" x14ac:dyDescent="0.35">
      <c r="B210" t="s">
        <v>2</v>
      </c>
      <c r="C210" s="3" t="s">
        <v>806</v>
      </c>
      <c r="H210" s="22">
        <v>0.01</v>
      </c>
      <c r="I210" s="22">
        <v>0.01</v>
      </c>
      <c r="J210" s="22">
        <v>0.01</v>
      </c>
      <c r="K210" s="22">
        <v>0.01</v>
      </c>
      <c r="L210" s="22">
        <v>0.01</v>
      </c>
      <c r="M210" s="22">
        <v>0.01</v>
      </c>
      <c r="N210" s="22">
        <v>0.01</v>
      </c>
      <c r="O210" s="22">
        <v>0.01</v>
      </c>
      <c r="P210" s="22">
        <v>0.01</v>
      </c>
      <c r="Q210" s="22">
        <v>0.01</v>
      </c>
      <c r="R210" s="22">
        <v>0.01</v>
      </c>
      <c r="S210" s="22">
        <v>0.01</v>
      </c>
    </row>
    <row r="211" spans="2:19" ht="15" x14ac:dyDescent="0.35">
      <c r="B211" t="s">
        <v>3</v>
      </c>
      <c r="C211" s="3" t="s">
        <v>806</v>
      </c>
      <c r="H211" s="22">
        <v>0.18</v>
      </c>
      <c r="I211" s="22">
        <v>0.18</v>
      </c>
      <c r="J211" s="22">
        <v>0.18</v>
      </c>
      <c r="K211" s="22">
        <v>0.18</v>
      </c>
      <c r="L211" s="22">
        <v>0.18</v>
      </c>
      <c r="M211" s="22">
        <v>0.18</v>
      </c>
      <c r="N211" s="22">
        <v>0.18</v>
      </c>
      <c r="O211" s="22">
        <v>0.18</v>
      </c>
      <c r="P211" s="22">
        <v>0.18</v>
      </c>
      <c r="Q211" s="22">
        <v>0.18</v>
      </c>
      <c r="R211" s="22">
        <v>0.18</v>
      </c>
      <c r="S211" s="22">
        <v>0.18</v>
      </c>
    </row>
    <row r="212" spans="2:19" ht="15" x14ac:dyDescent="0.35">
      <c r="B212" t="s">
        <v>53</v>
      </c>
      <c r="C212" s="3" t="s">
        <v>806</v>
      </c>
      <c r="H212" s="22">
        <v>4.5346534653465338E-2</v>
      </c>
      <c r="I212" s="22">
        <v>4.5346534653465338E-2</v>
      </c>
      <c r="J212" s="22">
        <v>4.5346534653465338E-2</v>
      </c>
      <c r="K212" s="22">
        <v>4.5346534653465338E-2</v>
      </c>
      <c r="L212" s="22">
        <v>4.5346534653465338E-2</v>
      </c>
      <c r="M212" s="22">
        <v>4.5346534653465338E-2</v>
      </c>
      <c r="N212" s="22">
        <v>4.5346534653465338E-2</v>
      </c>
      <c r="O212" s="22">
        <v>4.5346534653465338E-2</v>
      </c>
      <c r="P212" s="22">
        <v>4.5346534653465338E-2</v>
      </c>
      <c r="Q212" s="22">
        <v>4.5346534653465338E-2</v>
      </c>
      <c r="R212" s="22">
        <v>4.5346534653465338E-2</v>
      </c>
      <c r="S212" s="22">
        <v>4.5346534653465338E-2</v>
      </c>
    </row>
    <row r="213" spans="2:19" ht="15" x14ac:dyDescent="0.35">
      <c r="B213" t="s">
        <v>110</v>
      </c>
      <c r="C213" s="3" t="s">
        <v>806</v>
      </c>
      <c r="H213" s="22">
        <v>0.1</v>
      </c>
      <c r="I213" s="22">
        <v>0.1</v>
      </c>
      <c r="J213" s="22">
        <v>0.1</v>
      </c>
      <c r="K213" s="22">
        <v>0.1</v>
      </c>
      <c r="L213" s="22">
        <v>0.1</v>
      </c>
      <c r="M213" s="22">
        <v>0.1</v>
      </c>
      <c r="N213" s="22">
        <v>0.1</v>
      </c>
      <c r="O213" s="22">
        <v>0.1</v>
      </c>
      <c r="P213" s="22">
        <v>0.1</v>
      </c>
      <c r="Q213" s="22">
        <v>0.1</v>
      </c>
      <c r="R213" s="22">
        <v>0.1</v>
      </c>
      <c r="S213" s="22">
        <v>0.1</v>
      </c>
    </row>
    <row r="214" spans="2:19" ht="15" x14ac:dyDescent="0.35">
      <c r="B214" t="s">
        <v>20</v>
      </c>
      <c r="C214" s="3" t="s">
        <v>806</v>
      </c>
      <c r="H214" s="22">
        <v>6.3E-2</v>
      </c>
      <c r="I214" s="22">
        <v>6.3E-2</v>
      </c>
      <c r="J214" s="22">
        <v>6.3E-2</v>
      </c>
      <c r="K214" s="22">
        <v>6.3E-2</v>
      </c>
      <c r="L214" s="22">
        <v>6.3E-2</v>
      </c>
      <c r="M214" s="22">
        <v>6.3E-2</v>
      </c>
      <c r="N214" s="22">
        <v>6.3E-2</v>
      </c>
      <c r="O214" s="22">
        <v>6.3E-2</v>
      </c>
      <c r="P214" s="22">
        <v>6.3E-2</v>
      </c>
      <c r="Q214" s="22">
        <v>6.3E-2</v>
      </c>
      <c r="R214" s="22">
        <v>6.3E-2</v>
      </c>
      <c r="S214" s="22">
        <v>6.3E-2</v>
      </c>
    </row>
    <row r="215" spans="2:19" ht="15" x14ac:dyDescent="0.35">
      <c r="B215" t="s">
        <v>55</v>
      </c>
      <c r="C215" s="3" t="s">
        <v>806</v>
      </c>
      <c r="H215" s="22">
        <v>0.15</v>
      </c>
      <c r="I215" s="22">
        <v>0.15</v>
      </c>
      <c r="J215" s="22">
        <v>0.15</v>
      </c>
      <c r="K215" s="22">
        <v>0.15</v>
      </c>
      <c r="L215" s="22">
        <v>0.15</v>
      </c>
      <c r="M215" s="22">
        <v>0.15</v>
      </c>
      <c r="N215" s="22">
        <v>0.15</v>
      </c>
      <c r="O215" s="22">
        <v>0.15</v>
      </c>
      <c r="P215" s="22">
        <v>0.15</v>
      </c>
      <c r="Q215" s="22">
        <v>0.15</v>
      </c>
      <c r="R215" s="22">
        <v>0.15</v>
      </c>
      <c r="S215" s="22">
        <v>0.15</v>
      </c>
    </row>
    <row r="216" spans="2:19" ht="15" x14ac:dyDescent="0.35">
      <c r="B216" t="s">
        <v>347</v>
      </c>
      <c r="C216" s="3" t="s">
        <v>806</v>
      </c>
      <c r="H216" s="22">
        <v>0.12</v>
      </c>
      <c r="I216" s="22">
        <v>0.12</v>
      </c>
      <c r="J216" s="22">
        <v>0.12</v>
      </c>
      <c r="K216" s="22">
        <v>0.12</v>
      </c>
      <c r="L216" s="22">
        <v>0.12</v>
      </c>
      <c r="M216" s="22">
        <v>0.12</v>
      </c>
      <c r="N216" s="22">
        <v>0.12</v>
      </c>
      <c r="O216" s="22">
        <v>0.12</v>
      </c>
      <c r="P216" s="22">
        <v>0.12</v>
      </c>
      <c r="Q216" s="22">
        <v>0.12</v>
      </c>
      <c r="R216" s="22">
        <v>0.12</v>
      </c>
      <c r="S216" s="22">
        <v>0.12</v>
      </c>
    </row>
    <row r="217" spans="2:19" ht="15" x14ac:dyDescent="0.35">
      <c r="B217" t="s">
        <v>684</v>
      </c>
      <c r="C217" s="3" t="s">
        <v>806</v>
      </c>
      <c r="H217" s="22">
        <v>0</v>
      </c>
      <c r="I217" s="22">
        <v>0</v>
      </c>
      <c r="J217" s="22">
        <v>0</v>
      </c>
      <c r="K217" s="22">
        <v>0</v>
      </c>
      <c r="L217" s="22">
        <v>0</v>
      </c>
      <c r="M217" s="22">
        <v>0</v>
      </c>
      <c r="N217" s="22">
        <v>0</v>
      </c>
      <c r="O217" s="22">
        <v>0</v>
      </c>
      <c r="P217" s="22">
        <v>0</v>
      </c>
      <c r="Q217" s="22">
        <v>0</v>
      </c>
      <c r="R217" s="22">
        <v>0</v>
      </c>
      <c r="S217" s="22">
        <v>0</v>
      </c>
    </row>
    <row r="218" spans="2:19" ht="15" x14ac:dyDescent="0.35">
      <c r="B218" t="s">
        <v>687</v>
      </c>
      <c r="C218" s="3" t="s">
        <v>806</v>
      </c>
      <c r="H218" s="22">
        <v>5.0000000000000001E-3</v>
      </c>
      <c r="I218" s="22">
        <v>5.0000000000000001E-3</v>
      </c>
      <c r="J218" s="22">
        <v>5.0000000000000001E-3</v>
      </c>
      <c r="K218" s="22">
        <v>5.0000000000000001E-3</v>
      </c>
      <c r="L218" s="22">
        <v>5.0000000000000001E-3</v>
      </c>
      <c r="M218" s="22">
        <v>5.0000000000000001E-3</v>
      </c>
      <c r="N218" s="22">
        <v>5.0000000000000001E-3</v>
      </c>
      <c r="O218" s="22">
        <v>5.0000000000000001E-3</v>
      </c>
      <c r="P218" s="22">
        <v>5.0000000000000001E-3</v>
      </c>
      <c r="Q218" s="22">
        <v>5.0000000000000001E-3</v>
      </c>
      <c r="R218" s="22">
        <v>5.0000000000000001E-3</v>
      </c>
      <c r="S218" s="22">
        <v>5.0000000000000001E-3</v>
      </c>
    </row>
    <row r="219" spans="2:19" ht="15" x14ac:dyDescent="0.35">
      <c r="B219" t="s">
        <v>182</v>
      </c>
      <c r="C219" s="3" t="s">
        <v>806</v>
      </c>
      <c r="H219" s="22">
        <v>0</v>
      </c>
      <c r="I219" s="22">
        <v>0</v>
      </c>
      <c r="J219" s="22">
        <v>0</v>
      </c>
      <c r="K219" s="22">
        <v>0</v>
      </c>
      <c r="L219" s="22">
        <v>0</v>
      </c>
      <c r="M219" s="22">
        <v>0</v>
      </c>
      <c r="N219" s="22">
        <v>0</v>
      </c>
      <c r="O219" s="22">
        <v>0</v>
      </c>
      <c r="P219" s="22">
        <v>0</v>
      </c>
      <c r="Q219" s="22">
        <v>0</v>
      </c>
      <c r="R219" s="22">
        <v>0</v>
      </c>
      <c r="S219" s="22">
        <v>0</v>
      </c>
    </row>
    <row r="220" spans="2:19" ht="15" x14ac:dyDescent="0.35">
      <c r="B220" t="s">
        <v>56</v>
      </c>
      <c r="C220" s="3" t="s">
        <v>806</v>
      </c>
      <c r="H220" s="22">
        <v>0.04</v>
      </c>
      <c r="I220" s="22">
        <v>0.04</v>
      </c>
      <c r="J220" s="22">
        <v>0.04</v>
      </c>
      <c r="K220" s="22">
        <v>0.04</v>
      </c>
      <c r="L220" s="22">
        <v>0.04</v>
      </c>
      <c r="M220" s="22">
        <v>0.04</v>
      </c>
      <c r="N220" s="22">
        <v>0.04</v>
      </c>
      <c r="O220" s="22">
        <v>0.04</v>
      </c>
      <c r="P220" s="22">
        <v>0.04</v>
      </c>
      <c r="Q220" s="22">
        <v>0.04</v>
      </c>
      <c r="R220" s="22">
        <v>0.04</v>
      </c>
      <c r="S220" s="22">
        <v>0.04</v>
      </c>
    </row>
    <row r="221" spans="2:19" ht="15" x14ac:dyDescent="0.35">
      <c r="B221" t="s">
        <v>57</v>
      </c>
      <c r="C221" s="3" t="s">
        <v>806</v>
      </c>
      <c r="H221" s="22">
        <v>1.34E-2</v>
      </c>
      <c r="I221" s="22">
        <v>1.34E-2</v>
      </c>
      <c r="J221" s="22">
        <v>1.34E-2</v>
      </c>
      <c r="K221" s="22">
        <v>1.34E-2</v>
      </c>
      <c r="L221" s="22">
        <v>1.34E-2</v>
      </c>
      <c r="M221" s="22">
        <v>1.34E-2</v>
      </c>
      <c r="N221" s="22">
        <v>1.34E-2</v>
      </c>
      <c r="O221" s="22">
        <v>1.34E-2</v>
      </c>
      <c r="P221" s="22">
        <v>1.34E-2</v>
      </c>
      <c r="Q221" s="22">
        <v>1.34E-2</v>
      </c>
      <c r="R221" s="22">
        <v>1.34E-2</v>
      </c>
      <c r="S221" s="22">
        <v>1.34E-2</v>
      </c>
    </row>
    <row r="222" spans="2:19" ht="15" x14ac:dyDescent="0.35">
      <c r="B222" t="s">
        <v>32</v>
      </c>
      <c r="C222" s="3" t="s">
        <v>806</v>
      </c>
      <c r="H222" s="22">
        <v>0.04</v>
      </c>
      <c r="I222" s="22">
        <v>0.04</v>
      </c>
      <c r="J222" s="22">
        <v>0.04</v>
      </c>
      <c r="K222" s="22">
        <v>0.04</v>
      </c>
      <c r="L222" s="22">
        <v>0.04</v>
      </c>
      <c r="M222" s="22">
        <v>0.04</v>
      </c>
      <c r="N222" s="22">
        <v>0.04</v>
      </c>
      <c r="O222" s="22">
        <v>0.04</v>
      </c>
      <c r="P222" s="22">
        <v>0.04</v>
      </c>
      <c r="Q222" s="22">
        <v>0.04</v>
      </c>
      <c r="R222" s="22">
        <v>0.04</v>
      </c>
      <c r="S222" s="22">
        <v>0.04</v>
      </c>
    </row>
    <row r="223" spans="2:19" ht="15" x14ac:dyDescent="0.35">
      <c r="B223" t="s">
        <v>58</v>
      </c>
      <c r="C223" s="3" t="s">
        <v>806</v>
      </c>
      <c r="H223" s="22">
        <v>0.2</v>
      </c>
      <c r="I223" s="22">
        <v>0.2</v>
      </c>
      <c r="J223" s="22">
        <v>0.2</v>
      </c>
      <c r="K223" s="22">
        <v>0.2</v>
      </c>
      <c r="L223" s="22">
        <v>0.2</v>
      </c>
      <c r="M223" s="22">
        <v>0.2</v>
      </c>
      <c r="N223" s="22">
        <v>0.2</v>
      </c>
      <c r="O223" s="22">
        <v>0.2</v>
      </c>
      <c r="P223" s="22">
        <v>0.2</v>
      </c>
      <c r="Q223" s="22">
        <v>0.2</v>
      </c>
      <c r="R223" s="22">
        <v>0.2</v>
      </c>
      <c r="S223" s="22">
        <v>0.2</v>
      </c>
    </row>
    <row r="224" spans="2:19" ht="15" x14ac:dyDescent="0.35">
      <c r="B224" t="s">
        <v>171</v>
      </c>
      <c r="C224" s="3" t="s">
        <v>806</v>
      </c>
      <c r="H224" s="22">
        <v>0</v>
      </c>
      <c r="I224" s="22">
        <v>0</v>
      </c>
      <c r="J224" s="22">
        <v>0</v>
      </c>
      <c r="K224" s="22">
        <v>0</v>
      </c>
      <c r="L224" s="22">
        <v>0</v>
      </c>
      <c r="M224" s="22">
        <v>0</v>
      </c>
      <c r="N224" s="22">
        <v>0</v>
      </c>
      <c r="O224" s="22">
        <v>0</v>
      </c>
      <c r="P224" s="22">
        <v>0</v>
      </c>
      <c r="Q224" s="22">
        <v>0</v>
      </c>
      <c r="R224" s="22">
        <v>0</v>
      </c>
      <c r="S224" s="22">
        <v>0</v>
      </c>
    </row>
    <row r="225" spans="2:19" ht="15" x14ac:dyDescent="0.35">
      <c r="B225" t="s">
        <v>90</v>
      </c>
      <c r="C225" s="3" t="s">
        <v>806</v>
      </c>
      <c r="H225" s="22">
        <v>0</v>
      </c>
      <c r="I225" s="22">
        <v>0</v>
      </c>
      <c r="J225" s="22">
        <v>0</v>
      </c>
      <c r="K225" s="22">
        <v>0</v>
      </c>
      <c r="L225" s="22">
        <v>0</v>
      </c>
      <c r="M225" s="22">
        <v>0</v>
      </c>
      <c r="N225" s="22">
        <v>0</v>
      </c>
      <c r="O225" s="22">
        <v>0</v>
      </c>
      <c r="P225" s="22">
        <v>0</v>
      </c>
      <c r="Q225" s="22">
        <v>0</v>
      </c>
      <c r="R225" s="22">
        <v>0</v>
      </c>
      <c r="S225" s="22">
        <v>0</v>
      </c>
    </row>
    <row r="226" spans="2:19" ht="15" x14ac:dyDescent="0.35">
      <c r="B226" t="s">
        <v>91</v>
      </c>
      <c r="C226" s="3" t="s">
        <v>806</v>
      </c>
      <c r="H226" s="22">
        <v>0</v>
      </c>
      <c r="I226" s="22">
        <v>0</v>
      </c>
      <c r="J226" s="22">
        <v>0</v>
      </c>
      <c r="K226" s="22">
        <v>0</v>
      </c>
      <c r="L226" s="22">
        <v>0</v>
      </c>
      <c r="M226" s="22">
        <v>0</v>
      </c>
      <c r="N226" s="22">
        <v>0</v>
      </c>
      <c r="O226" s="22">
        <v>0</v>
      </c>
      <c r="P226" s="22">
        <v>0</v>
      </c>
      <c r="Q226" s="22">
        <v>0</v>
      </c>
      <c r="R226" s="22">
        <v>0</v>
      </c>
      <c r="S226" s="22">
        <v>0</v>
      </c>
    </row>
    <row r="227" spans="2:19" ht="15" x14ac:dyDescent="0.35">
      <c r="B227" t="s">
        <v>92</v>
      </c>
      <c r="C227" s="3" t="s">
        <v>806</v>
      </c>
      <c r="H227" s="22">
        <v>0</v>
      </c>
      <c r="I227" s="22">
        <v>0</v>
      </c>
      <c r="J227" s="22">
        <v>0</v>
      </c>
      <c r="K227" s="22">
        <v>0</v>
      </c>
      <c r="L227" s="22">
        <v>0</v>
      </c>
      <c r="M227" s="22">
        <v>0</v>
      </c>
      <c r="N227" s="22">
        <v>0</v>
      </c>
      <c r="O227" s="22">
        <v>0</v>
      </c>
      <c r="P227" s="22">
        <v>0</v>
      </c>
      <c r="Q227" s="22">
        <v>0</v>
      </c>
      <c r="R227" s="22">
        <v>0</v>
      </c>
      <c r="S227" s="22">
        <v>0</v>
      </c>
    </row>
    <row r="228" spans="2:19" ht="15" x14ac:dyDescent="0.35">
      <c r="B228" t="s">
        <v>685</v>
      </c>
      <c r="C228" s="3" t="s">
        <v>806</v>
      </c>
      <c r="H228" s="22">
        <v>0</v>
      </c>
      <c r="I228" s="22">
        <v>0</v>
      </c>
      <c r="J228" s="22">
        <v>0</v>
      </c>
      <c r="K228" s="22">
        <v>0</v>
      </c>
      <c r="L228" s="22">
        <v>0</v>
      </c>
      <c r="M228" s="22">
        <v>0</v>
      </c>
      <c r="N228" s="22">
        <v>0</v>
      </c>
      <c r="O228" s="22">
        <v>0</v>
      </c>
      <c r="P228" s="22">
        <v>0</v>
      </c>
      <c r="Q228" s="22">
        <v>0</v>
      </c>
      <c r="R228" s="22">
        <v>0</v>
      </c>
      <c r="S228" s="22">
        <v>0</v>
      </c>
    </row>
    <row r="229" spans="2:19" ht="15" x14ac:dyDescent="0.35">
      <c r="B229" t="s">
        <v>411</v>
      </c>
      <c r="C229" s="3" t="s">
        <v>806</v>
      </c>
      <c r="H229" s="22">
        <v>0</v>
      </c>
      <c r="I229" s="22">
        <v>0</v>
      </c>
      <c r="J229" s="22">
        <v>0</v>
      </c>
      <c r="K229" s="22">
        <v>0</v>
      </c>
      <c r="L229" s="22">
        <v>0</v>
      </c>
      <c r="M229" s="22">
        <v>0</v>
      </c>
      <c r="N229" s="22">
        <v>0</v>
      </c>
      <c r="O229" s="22">
        <v>0</v>
      </c>
      <c r="P229" s="22">
        <v>0</v>
      </c>
      <c r="Q229" s="22">
        <v>0</v>
      </c>
      <c r="R229" s="22">
        <v>0</v>
      </c>
      <c r="S229" s="22">
        <v>0</v>
      </c>
    </row>
    <row r="230" spans="2:19" x14ac:dyDescent="0.3">
      <c r="B230" s="12" t="s">
        <v>412</v>
      </c>
      <c r="H230" s="22"/>
      <c r="I230" s="22"/>
      <c r="J230" s="22"/>
      <c r="K230" s="22"/>
      <c r="L230" s="22"/>
      <c r="M230" s="22"/>
      <c r="N230" s="22"/>
      <c r="O230" s="22"/>
      <c r="P230" s="22"/>
      <c r="Q230" s="22"/>
      <c r="R230" s="22"/>
      <c r="S230" s="22"/>
    </row>
    <row r="231" spans="2:19" ht="15" x14ac:dyDescent="0.35">
      <c r="B231" t="s">
        <v>413</v>
      </c>
      <c r="C231" s="3" t="s">
        <v>806</v>
      </c>
      <c r="H231" s="22">
        <v>0.02</v>
      </c>
      <c r="I231" s="22">
        <v>0.02</v>
      </c>
      <c r="J231" s="22">
        <v>0.02</v>
      </c>
      <c r="K231" s="22">
        <v>0.02</v>
      </c>
      <c r="L231" s="22">
        <v>0.02</v>
      </c>
      <c r="M231" s="22">
        <v>0.02</v>
      </c>
      <c r="N231" s="22">
        <v>0.02</v>
      </c>
      <c r="O231" s="22">
        <v>0.02</v>
      </c>
      <c r="P231" s="22">
        <v>0.02</v>
      </c>
      <c r="Q231" s="22">
        <v>0.02</v>
      </c>
      <c r="R231" s="22">
        <v>0.02</v>
      </c>
      <c r="S231" s="22">
        <v>0.02</v>
      </c>
    </row>
    <row r="232" spans="2:19" x14ac:dyDescent="0.3">
      <c r="B232" s="12" t="s">
        <v>172</v>
      </c>
    </row>
    <row r="233" spans="2:19" x14ac:dyDescent="0.3">
      <c r="B233" s="14" t="s">
        <v>173</v>
      </c>
      <c r="C233" t="s">
        <v>4</v>
      </c>
      <c r="H233" s="13">
        <v>57703.095103641623</v>
      </c>
      <c r="I233" s="13">
        <v>60164.087491713377</v>
      </c>
      <c r="J233" s="13">
        <v>64639.035180177751</v>
      </c>
      <c r="K233" s="13">
        <v>61507.183495679346</v>
      </c>
      <c r="L233" s="13">
        <v>57797.504865822011</v>
      </c>
      <c r="M233" s="13">
        <v>57584.787272509653</v>
      </c>
      <c r="N233" s="13">
        <v>67828.441618974015</v>
      </c>
      <c r="O233" s="13">
        <v>61801.120063564136</v>
      </c>
      <c r="P233" s="13">
        <v>65460.781309133381</v>
      </c>
      <c r="Q233" s="13">
        <v>66476.807240467606</v>
      </c>
      <c r="R233" s="13">
        <v>62192.240130452992</v>
      </c>
      <c r="S233" s="13">
        <v>64042.594082061041</v>
      </c>
    </row>
    <row r="234" spans="2:19" x14ac:dyDescent="0.3">
      <c r="B234" s="14" t="s">
        <v>174</v>
      </c>
      <c r="C234" t="s">
        <v>4</v>
      </c>
      <c r="H234" s="13">
        <v>2560.8522959791653</v>
      </c>
      <c r="I234" s="13">
        <v>2658.0105240064186</v>
      </c>
      <c r="J234" s="13">
        <v>2862.1895753213021</v>
      </c>
      <c r="K234" s="13">
        <v>2725.0547797079867</v>
      </c>
      <c r="L234" s="13">
        <v>2551.8438151051146</v>
      </c>
      <c r="M234" s="13">
        <v>2544.6281933975642</v>
      </c>
      <c r="N234" s="13">
        <v>2999.9410261466555</v>
      </c>
      <c r="O234" s="13">
        <v>2729.8954788504893</v>
      </c>
      <c r="P234" s="13">
        <v>2891.7355634410037</v>
      </c>
      <c r="Q234" s="13">
        <v>2938.2027138787703</v>
      </c>
      <c r="R234" s="13">
        <v>2753.9586748532015</v>
      </c>
      <c r="S234" s="13">
        <v>2850.3275597760935</v>
      </c>
    </row>
    <row r="235" spans="2:19" x14ac:dyDescent="0.3">
      <c r="B235" s="14" t="s">
        <v>175</v>
      </c>
      <c r="C235" t="s">
        <v>4</v>
      </c>
      <c r="H235" s="13">
        <v>573.21357307263816</v>
      </c>
      <c r="I235" s="13">
        <v>594.95159941392683</v>
      </c>
      <c r="J235" s="13">
        <v>640.65791881369057</v>
      </c>
      <c r="K235" s="13">
        <v>609.96309867899527</v>
      </c>
      <c r="L235" s="13">
        <v>571.18618727357523</v>
      </c>
      <c r="M235" s="13">
        <v>569.57286193028267</v>
      </c>
      <c r="N235" s="13">
        <v>671.48893826023016</v>
      </c>
      <c r="O235" s="13">
        <v>611.04085477707883</v>
      </c>
      <c r="P235" s="13">
        <v>647.26613290305477</v>
      </c>
      <c r="Q235" s="13">
        <v>657.66872740202234</v>
      </c>
      <c r="R235" s="13">
        <v>616.4325217762314</v>
      </c>
      <c r="S235" s="13">
        <v>638.01338240654604</v>
      </c>
    </row>
    <row r="236" spans="2:19" x14ac:dyDescent="0.3">
      <c r="B236" s="14" t="s">
        <v>176</v>
      </c>
      <c r="C236" t="s">
        <v>4</v>
      </c>
      <c r="H236" s="13">
        <v>2631.6700735272484</v>
      </c>
      <c r="I236" s="13">
        <v>2731.4721414922278</v>
      </c>
      <c r="J236" s="13">
        <v>2941.3163037671056</v>
      </c>
      <c r="K236" s="13">
        <v>2800.3952444931665</v>
      </c>
      <c r="L236" s="13">
        <v>2622.364884590625</v>
      </c>
      <c r="M236" s="13">
        <v>2614.957681993807</v>
      </c>
      <c r="N236" s="13">
        <v>3082.8638007769068</v>
      </c>
      <c r="O236" s="13">
        <v>2805.341480275883</v>
      </c>
      <c r="P236" s="13">
        <v>2971.6549575565587</v>
      </c>
      <c r="Q236" s="13">
        <v>3019.4125391609223</v>
      </c>
      <c r="R236" s="13">
        <v>2830.0941471040696</v>
      </c>
      <c r="S236" s="13">
        <v>2929.1771288361251</v>
      </c>
    </row>
    <row r="237" spans="2:19" x14ac:dyDescent="0.3">
      <c r="B237" s="14" t="s">
        <v>177</v>
      </c>
      <c r="C237" t="s">
        <v>4</v>
      </c>
      <c r="H237" s="13">
        <v>25365.007396694633</v>
      </c>
      <c r="I237" s="13">
        <v>28746.112401872208</v>
      </c>
      <c r="J237" s="13">
        <v>30099.644078018973</v>
      </c>
      <c r="K237" s="13">
        <v>27582.939401346743</v>
      </c>
      <c r="L237" s="13">
        <v>28410.165447126845</v>
      </c>
      <c r="M237" s="13">
        <v>27559.340620368763</v>
      </c>
      <c r="N237" s="13">
        <v>31855.887561167121</v>
      </c>
      <c r="O237" s="13">
        <v>29289.05740846373</v>
      </c>
      <c r="P237" s="13">
        <v>31109.10958094415</v>
      </c>
      <c r="Q237" s="13">
        <v>31523.395059154303</v>
      </c>
      <c r="R237" s="13">
        <v>28892.005428758661</v>
      </c>
      <c r="S237" s="13">
        <v>28312.540838621997</v>
      </c>
    </row>
    <row r="238" spans="2:19" x14ac:dyDescent="0.3">
      <c r="B238" s="14" t="s">
        <v>178</v>
      </c>
      <c r="C238" t="s">
        <v>4</v>
      </c>
      <c r="H238" s="13">
        <v>2800.7372425705471</v>
      </c>
      <c r="I238" s="13">
        <v>2837.3698133247003</v>
      </c>
      <c r="J238" s="13">
        <v>2874.5703224075828</v>
      </c>
      <c r="K238" s="13">
        <v>2632.5896120307852</v>
      </c>
      <c r="L238" s="13">
        <v>2606.9839245340072</v>
      </c>
      <c r="M238" s="13">
        <v>2619.1523024869539</v>
      </c>
      <c r="N238" s="13">
        <v>3040.0021677813743</v>
      </c>
      <c r="O238" s="13">
        <v>2762.2819327620641</v>
      </c>
      <c r="P238" s="13">
        <v>2920.0385741494201</v>
      </c>
      <c r="Q238" s="13">
        <v>3077.9332689156681</v>
      </c>
      <c r="R238" s="13">
        <v>2850.7915806118876</v>
      </c>
      <c r="S238" s="13">
        <v>2718.4218860767392</v>
      </c>
    </row>
    <row r="239" spans="2:19" x14ac:dyDescent="0.3">
      <c r="B239" s="14" t="s">
        <v>179</v>
      </c>
      <c r="C239" t="s">
        <v>4</v>
      </c>
      <c r="H239" s="13">
        <v>262.32151555148363</v>
      </c>
      <c r="I239" s="13">
        <v>308.12518978125064</v>
      </c>
      <c r="J239" s="13">
        <v>326.65743456320592</v>
      </c>
      <c r="K239" s="13">
        <v>298.23024648750101</v>
      </c>
      <c r="L239" s="13">
        <v>311.77194803987692</v>
      </c>
      <c r="M239" s="13">
        <v>298.9921668771301</v>
      </c>
      <c r="N239" s="13">
        <v>345.0893524391098</v>
      </c>
      <c r="O239" s="13">
        <v>317.65616973376109</v>
      </c>
      <c r="P239" s="13">
        <v>338.05251064110854</v>
      </c>
      <c r="Q239" s="13">
        <v>339.03956834393296</v>
      </c>
      <c r="R239" s="13">
        <v>310.46485538588081</v>
      </c>
      <c r="S239" s="13">
        <v>309.13886586447018</v>
      </c>
    </row>
    <row r="240" spans="2:19" x14ac:dyDescent="0.3">
      <c r="B240" s="14" t="s">
        <v>180</v>
      </c>
      <c r="C240" t="s">
        <v>4</v>
      </c>
      <c r="H240" s="13">
        <v>0</v>
      </c>
      <c r="I240" s="13">
        <v>0</v>
      </c>
      <c r="J240" s="13">
        <v>0</v>
      </c>
      <c r="K240" s="13">
        <v>0</v>
      </c>
      <c r="L240" s="13">
        <v>0</v>
      </c>
      <c r="M240" s="13">
        <v>0</v>
      </c>
      <c r="N240" s="13">
        <v>0</v>
      </c>
      <c r="O240" s="13">
        <v>0</v>
      </c>
      <c r="P240" s="13">
        <v>0</v>
      </c>
      <c r="Q240" s="13">
        <v>0</v>
      </c>
      <c r="R240" s="13">
        <v>0</v>
      </c>
      <c r="S240" s="13">
        <v>0</v>
      </c>
    </row>
    <row r="241" spans="2:19" x14ac:dyDescent="0.3">
      <c r="B241" s="14" t="s">
        <v>181</v>
      </c>
      <c r="C241" t="s">
        <v>4</v>
      </c>
      <c r="H241" s="13">
        <v>6854.3521128499751</v>
      </c>
      <c r="I241" s="13">
        <v>7609.9566485048763</v>
      </c>
      <c r="J241" s="13">
        <v>7904.0427333529033</v>
      </c>
      <c r="K241" s="13">
        <v>7408.4657695751612</v>
      </c>
      <c r="L241" s="13">
        <v>7372.1783724025563</v>
      </c>
      <c r="M241" s="13">
        <v>7249.0107360631127</v>
      </c>
      <c r="N241" s="13">
        <v>8420.340998961472</v>
      </c>
      <c r="O241" s="13">
        <v>7791.9102301981011</v>
      </c>
      <c r="P241" s="13">
        <v>8249.8897576595282</v>
      </c>
      <c r="Q241" s="13">
        <v>8346.2186252856318</v>
      </c>
      <c r="R241" s="13">
        <v>7614.7110920655841</v>
      </c>
      <c r="S241" s="13">
        <v>7280.8110142391133</v>
      </c>
    </row>
    <row r="242" spans="2:19" x14ac:dyDescent="0.3">
      <c r="B242" s="14" t="s">
        <v>182</v>
      </c>
      <c r="C242" t="s">
        <v>4</v>
      </c>
      <c r="H242">
        <v>2500</v>
      </c>
      <c r="I242">
        <v>2500</v>
      </c>
      <c r="J242">
        <v>2500</v>
      </c>
      <c r="K242">
        <v>2500</v>
      </c>
      <c r="L242">
        <v>2500</v>
      </c>
      <c r="M242">
        <v>2500</v>
      </c>
      <c r="N242">
        <v>2500</v>
      </c>
      <c r="O242">
        <v>2500</v>
      </c>
      <c r="P242">
        <v>2500</v>
      </c>
      <c r="Q242">
        <v>2500</v>
      </c>
      <c r="R242">
        <v>2500</v>
      </c>
      <c r="S242">
        <v>2500</v>
      </c>
    </row>
    <row r="243" spans="2:19" x14ac:dyDescent="0.3">
      <c r="B243" s="12" t="s">
        <v>59</v>
      </c>
    </row>
    <row r="244" spans="2:19" x14ac:dyDescent="0.3">
      <c r="B244" t="s">
        <v>60</v>
      </c>
      <c r="C244" t="s">
        <v>782</v>
      </c>
      <c r="H244" s="5">
        <f>31*24</f>
        <v>744</v>
      </c>
      <c r="I244" s="5">
        <f>28*24</f>
        <v>672</v>
      </c>
      <c r="J244" s="5">
        <f>31*24</f>
        <v>744</v>
      </c>
      <c r="K244" s="5">
        <f>30*24</f>
        <v>720</v>
      </c>
      <c r="L244" s="5">
        <f>31*24</f>
        <v>744</v>
      </c>
      <c r="M244" s="5">
        <f>30*24</f>
        <v>720</v>
      </c>
      <c r="N244" s="5">
        <f>31*24</f>
        <v>744</v>
      </c>
      <c r="O244" s="5">
        <f>31*24</f>
        <v>744</v>
      </c>
      <c r="P244" s="5">
        <f>30*24</f>
        <v>720</v>
      </c>
      <c r="Q244" s="5">
        <f>31*24</f>
        <v>744</v>
      </c>
      <c r="R244" s="5">
        <f>30*24</f>
        <v>720</v>
      </c>
      <c r="S244" s="5">
        <f>31*24</f>
        <v>744</v>
      </c>
    </row>
    <row r="245" spans="2:19" x14ac:dyDescent="0.3">
      <c r="B245" t="s">
        <v>183</v>
      </c>
      <c r="C245" t="s">
        <v>75</v>
      </c>
      <c r="H245" s="16">
        <f>(H248+H251+H254)</f>
        <v>98751.249313887325</v>
      </c>
      <c r="I245" s="16">
        <f t="shared" ref="I245:S245" si="66">(I248+I251+I254)</f>
        <v>105650.08581010897</v>
      </c>
      <c r="J245" s="16">
        <f t="shared" si="66"/>
        <v>112288.11354642251</v>
      </c>
      <c r="K245" s="16">
        <f t="shared" si="66"/>
        <v>105564.82164799968</v>
      </c>
      <c r="L245" s="16">
        <f t="shared" si="66"/>
        <v>102243.99944489462</v>
      </c>
      <c r="M245" s="16">
        <f t="shared" si="66"/>
        <v>101040.44183562727</v>
      </c>
      <c r="N245" s="16">
        <f t="shared" si="66"/>
        <v>118244.05546450688</v>
      </c>
      <c r="O245" s="16">
        <f t="shared" si="66"/>
        <v>108108.30361862524</v>
      </c>
      <c r="P245" s="16">
        <f t="shared" si="66"/>
        <v>114588.52838642821</v>
      </c>
      <c r="Q245" s="16">
        <f t="shared" si="66"/>
        <v>116378.67774260887</v>
      </c>
      <c r="R245" s="16">
        <f t="shared" si="66"/>
        <v>108060.69843100851</v>
      </c>
      <c r="S245" s="16">
        <f t="shared" si="66"/>
        <v>109081.02475788211</v>
      </c>
    </row>
    <row r="246" spans="2:19" x14ac:dyDescent="0.3">
      <c r="B246" t="s">
        <v>184</v>
      </c>
      <c r="C246" t="s">
        <v>782</v>
      </c>
      <c r="H246" s="16">
        <f>(H249+H252+H255)</f>
        <v>471.22752960968228</v>
      </c>
      <c r="I246" s="16">
        <f t="shared" ref="I246:S246" si="67">(I249+I252+I255)</f>
        <v>506.25723876231194</v>
      </c>
      <c r="J246" s="16">
        <f t="shared" si="67"/>
        <v>537.14744793217926</v>
      </c>
      <c r="K246" s="16">
        <f t="shared" si="67"/>
        <v>504.02180892634368</v>
      </c>
      <c r="L246" s="16">
        <f t="shared" si="67"/>
        <v>490.51161138978495</v>
      </c>
      <c r="M246" s="16">
        <f t="shared" si="67"/>
        <v>484.11530184404324</v>
      </c>
      <c r="N246" s="16">
        <f t="shared" si="67"/>
        <v>565.96242051289948</v>
      </c>
      <c r="O246" s="16">
        <f t="shared" si="67"/>
        <v>517.74121227486819</v>
      </c>
      <c r="P246" s="16">
        <f t="shared" si="67"/>
        <v>548.8341887453654</v>
      </c>
      <c r="Q246" s="16">
        <f t="shared" si="67"/>
        <v>557.40111697194948</v>
      </c>
      <c r="R246" s="16">
        <f t="shared" si="67"/>
        <v>516.93429917393451</v>
      </c>
      <c r="S246" s="16">
        <f t="shared" si="67"/>
        <v>520.12741171871801</v>
      </c>
    </row>
    <row r="247" spans="2:19" x14ac:dyDescent="0.3">
      <c r="B247" t="s">
        <v>185</v>
      </c>
      <c r="C247" t="s">
        <v>76</v>
      </c>
      <c r="H247" s="31">
        <f>H245/H246</f>
        <v>209.56171511389195</v>
      </c>
      <c r="I247" s="31">
        <f t="shared" ref="I247:S247" si="68">I245/I246</f>
        <v>208.68854353253354</v>
      </c>
      <c r="J247" s="31">
        <f t="shared" si="68"/>
        <v>209.04523325707044</v>
      </c>
      <c r="K247" s="31">
        <f t="shared" si="68"/>
        <v>209.44494817173006</v>
      </c>
      <c r="L247" s="31">
        <f t="shared" si="68"/>
        <v>208.44358639177341</v>
      </c>
      <c r="M247" s="31">
        <f t="shared" si="68"/>
        <v>208.71152275243975</v>
      </c>
      <c r="N247" s="31">
        <f t="shared" si="68"/>
        <v>208.92563035784076</v>
      </c>
      <c r="O247" s="31">
        <f t="shared" si="68"/>
        <v>208.80760707384189</v>
      </c>
      <c r="P247" s="31">
        <f t="shared" si="68"/>
        <v>208.78533213897902</v>
      </c>
      <c r="Q247" s="31">
        <f t="shared" si="68"/>
        <v>208.78802391862712</v>
      </c>
      <c r="R247" s="31">
        <f t="shared" si="68"/>
        <v>209.04145575886616</v>
      </c>
      <c r="S247" s="31">
        <f t="shared" si="68"/>
        <v>209.71981537645343</v>
      </c>
    </row>
    <row r="248" spans="2:19" x14ac:dyDescent="0.3">
      <c r="B248" t="s">
        <v>186</v>
      </c>
      <c r="C248" t="s">
        <v>75</v>
      </c>
      <c r="H248" s="16">
        <f>(H233+H234+H235+H236+H239)</f>
        <v>63731.152561772156</v>
      </c>
      <c r="I248" s="16">
        <f t="shared" ref="I248:S248" si="69">(I233+I234+I235+I236+I239)</f>
        <v>66456.6469464072</v>
      </c>
      <c r="J248" s="16">
        <f t="shared" si="69"/>
        <v>71409.856412643057</v>
      </c>
      <c r="K248" s="16">
        <f t="shared" si="69"/>
        <v>67940.826865046984</v>
      </c>
      <c r="L248" s="16">
        <f t="shared" si="69"/>
        <v>63854.671700831204</v>
      </c>
      <c r="M248" s="16">
        <f t="shared" si="69"/>
        <v>63612.938176708434</v>
      </c>
      <c r="N248" s="16">
        <f t="shared" si="69"/>
        <v>74927.824736596915</v>
      </c>
      <c r="O248" s="16">
        <f t="shared" si="69"/>
        <v>68265.054047201353</v>
      </c>
      <c r="P248" s="16">
        <f t="shared" si="69"/>
        <v>72309.490473675105</v>
      </c>
      <c r="Q248" s="16">
        <f t="shared" si="69"/>
        <v>73431.13078925325</v>
      </c>
      <c r="R248" s="16">
        <f t="shared" si="69"/>
        <v>68703.19032957239</v>
      </c>
      <c r="S248" s="16">
        <f t="shared" si="69"/>
        <v>70769.251018944269</v>
      </c>
    </row>
    <row r="249" spans="2:19" x14ac:dyDescent="0.3">
      <c r="B249" t="s">
        <v>187</v>
      </c>
      <c r="C249" t="s">
        <v>782</v>
      </c>
      <c r="H249" s="16">
        <f>H248/H250</f>
        <v>277.09196765987895</v>
      </c>
      <c r="I249" s="16">
        <f t="shared" ref="I249:S249" si="70">I248/I250</f>
        <v>288.94194324524869</v>
      </c>
      <c r="J249" s="16">
        <f t="shared" si="70"/>
        <v>310.47763657670896</v>
      </c>
      <c r="K249" s="16">
        <f t="shared" si="70"/>
        <v>295.3948994132478</v>
      </c>
      <c r="L249" s="16">
        <f t="shared" si="70"/>
        <v>277.62900739491829</v>
      </c>
      <c r="M249" s="16">
        <f t="shared" si="70"/>
        <v>276.57799207264537</v>
      </c>
      <c r="N249" s="16">
        <f t="shared" si="70"/>
        <v>325.77315102868226</v>
      </c>
      <c r="O249" s="16">
        <f t="shared" si="70"/>
        <v>296.80458281391896</v>
      </c>
      <c r="P249" s="16">
        <f t="shared" si="70"/>
        <v>314.3890890159787</v>
      </c>
      <c r="Q249" s="16">
        <f t="shared" si="70"/>
        <v>319.26578604023155</v>
      </c>
      <c r="R249" s="16">
        <f t="shared" si="70"/>
        <v>298.70952317205388</v>
      </c>
      <c r="S249" s="16">
        <f t="shared" si="70"/>
        <v>307.69239573454036</v>
      </c>
    </row>
    <row r="250" spans="2:19" x14ac:dyDescent="0.3">
      <c r="B250" t="s">
        <v>188</v>
      </c>
      <c r="C250" t="s">
        <v>76</v>
      </c>
      <c r="H250">
        <v>230</v>
      </c>
      <c r="I250">
        <v>230</v>
      </c>
      <c r="J250">
        <v>230</v>
      </c>
      <c r="K250">
        <v>229.99999999999997</v>
      </c>
      <c r="L250">
        <v>230</v>
      </c>
      <c r="M250">
        <v>230</v>
      </c>
      <c r="N250">
        <v>230</v>
      </c>
      <c r="O250">
        <v>229.99999999999997</v>
      </c>
      <c r="P250">
        <v>230</v>
      </c>
      <c r="Q250">
        <v>229.99999999999997</v>
      </c>
      <c r="R250">
        <v>230</v>
      </c>
      <c r="S250">
        <v>229.99999999999997</v>
      </c>
    </row>
    <row r="251" spans="2:19" x14ac:dyDescent="0.3">
      <c r="B251" t="s">
        <v>189</v>
      </c>
      <c r="C251" t="s">
        <v>75</v>
      </c>
      <c r="H251" s="16">
        <f>(H237+H241)</f>
        <v>32219.359509544607</v>
      </c>
      <c r="I251" s="16">
        <f t="shared" ref="I251:S251" si="71">(I237+I241)</f>
        <v>36356.069050377082</v>
      </c>
      <c r="J251" s="16">
        <f t="shared" si="71"/>
        <v>38003.686811371874</v>
      </c>
      <c r="K251" s="16">
        <f t="shared" si="71"/>
        <v>34991.405170921906</v>
      </c>
      <c r="L251" s="16">
        <f t="shared" si="71"/>
        <v>35782.3438195294</v>
      </c>
      <c r="M251" s="16">
        <f t="shared" si="71"/>
        <v>34808.351356431878</v>
      </c>
      <c r="N251" s="16">
        <f t="shared" si="71"/>
        <v>40276.228560128591</v>
      </c>
      <c r="O251" s="16">
        <f t="shared" si="71"/>
        <v>37080.96763866183</v>
      </c>
      <c r="P251" s="16">
        <f t="shared" si="71"/>
        <v>39358.99933860368</v>
      </c>
      <c r="Q251" s="16">
        <f t="shared" si="71"/>
        <v>39869.613684439937</v>
      </c>
      <c r="R251" s="16">
        <f t="shared" si="71"/>
        <v>36506.716520824244</v>
      </c>
      <c r="S251" s="16">
        <f t="shared" si="71"/>
        <v>35593.351852861109</v>
      </c>
    </row>
    <row r="252" spans="2:19" x14ac:dyDescent="0.3">
      <c r="B252" t="s">
        <v>190</v>
      </c>
      <c r="C252" t="s">
        <v>782</v>
      </c>
      <c r="H252" s="16">
        <f>H251/H253</f>
        <v>178.99644171969226</v>
      </c>
      <c r="I252" s="16">
        <f t="shared" ref="I252" si="72">I251/I253</f>
        <v>201.97816139098379</v>
      </c>
      <c r="J252" s="16">
        <f t="shared" ref="J252" si="73">J251/J253</f>
        <v>211.1315933965104</v>
      </c>
      <c r="K252" s="16">
        <f t="shared" ref="K252" si="74">K251/K253</f>
        <v>194.39669539401058</v>
      </c>
      <c r="L252" s="16">
        <f t="shared" ref="L252" si="75">L251/L253</f>
        <v>198.79079899738556</v>
      </c>
      <c r="M252" s="16">
        <f t="shared" ref="M252" si="76">M251/M253</f>
        <v>193.37972975795489</v>
      </c>
      <c r="N252" s="16">
        <f t="shared" ref="N252" si="77">N251/N253</f>
        <v>223.75682533404773</v>
      </c>
      <c r="O252" s="16">
        <f t="shared" ref="O252" si="78">O251/O253</f>
        <v>206.00537577034351</v>
      </c>
      <c r="P252" s="16">
        <f t="shared" ref="P252" si="79">P251/P253</f>
        <v>218.6611074366871</v>
      </c>
      <c r="Q252" s="16">
        <f t="shared" ref="Q252" si="80">Q251/Q253</f>
        <v>221.4978538024441</v>
      </c>
      <c r="R252" s="16">
        <f t="shared" ref="R252" si="81">R251/R253</f>
        <v>202.81509178235692</v>
      </c>
      <c r="S252" s="16">
        <f t="shared" ref="S252" si="82">S251/S253</f>
        <v>197.74084362700617</v>
      </c>
    </row>
    <row r="253" spans="2:19" x14ac:dyDescent="0.3">
      <c r="B253" t="s">
        <v>191</v>
      </c>
      <c r="C253" t="s">
        <v>76</v>
      </c>
      <c r="H253">
        <v>180</v>
      </c>
      <c r="I253">
        <v>180</v>
      </c>
      <c r="J253">
        <v>180</v>
      </c>
      <c r="K253">
        <v>180</v>
      </c>
      <c r="L253">
        <v>180</v>
      </c>
      <c r="M253">
        <v>180</v>
      </c>
      <c r="N253">
        <v>180</v>
      </c>
      <c r="O253">
        <v>180</v>
      </c>
      <c r="P253">
        <v>180</v>
      </c>
      <c r="Q253">
        <v>180</v>
      </c>
      <c r="R253">
        <v>180</v>
      </c>
      <c r="S253">
        <v>180</v>
      </c>
    </row>
    <row r="254" spans="2:19" x14ac:dyDescent="0.3">
      <c r="B254" t="s">
        <v>192</v>
      </c>
      <c r="C254" t="s">
        <v>75</v>
      </c>
      <c r="H254" s="16">
        <f>H238</f>
        <v>2800.7372425705471</v>
      </c>
      <c r="I254" s="16">
        <f t="shared" ref="I254:S254" si="83">I238</f>
        <v>2837.3698133247003</v>
      </c>
      <c r="J254" s="16">
        <f t="shared" si="83"/>
        <v>2874.5703224075828</v>
      </c>
      <c r="K254" s="16">
        <f t="shared" si="83"/>
        <v>2632.5896120307852</v>
      </c>
      <c r="L254" s="16">
        <f t="shared" si="83"/>
        <v>2606.9839245340072</v>
      </c>
      <c r="M254" s="16">
        <f t="shared" si="83"/>
        <v>2619.1523024869539</v>
      </c>
      <c r="N254" s="16">
        <f t="shared" si="83"/>
        <v>3040.0021677813743</v>
      </c>
      <c r="O254" s="16">
        <f t="shared" si="83"/>
        <v>2762.2819327620641</v>
      </c>
      <c r="P254" s="16">
        <f t="shared" si="83"/>
        <v>2920.0385741494201</v>
      </c>
      <c r="Q254" s="16">
        <f t="shared" si="83"/>
        <v>3077.9332689156681</v>
      </c>
      <c r="R254" s="16">
        <f t="shared" si="83"/>
        <v>2850.7915806118876</v>
      </c>
      <c r="S254" s="16">
        <f t="shared" si="83"/>
        <v>2718.4218860767392</v>
      </c>
    </row>
    <row r="255" spans="2:19" x14ac:dyDescent="0.3">
      <c r="B255" t="s">
        <v>193</v>
      </c>
      <c r="C255" t="s">
        <v>782</v>
      </c>
      <c r="H255" s="16">
        <f>H254/H256</f>
        <v>15.139120230111065</v>
      </c>
      <c r="I255" s="16">
        <f t="shared" ref="I255" si="84">I254/I256</f>
        <v>15.33713412607946</v>
      </c>
      <c r="J255" s="16">
        <f t="shared" ref="J255" si="85">J254/J256</f>
        <v>15.538217958959907</v>
      </c>
      <c r="K255" s="16">
        <f t="shared" ref="K255" si="86">K254/K256</f>
        <v>14.230214119085325</v>
      </c>
      <c r="L255" s="16">
        <f t="shared" ref="L255" si="87">L254/L256</f>
        <v>14.09180499748112</v>
      </c>
      <c r="M255" s="16">
        <f t="shared" ref="M255" si="88">M254/M256</f>
        <v>14.157580013442994</v>
      </c>
      <c r="N255" s="16">
        <f t="shared" ref="N255" si="89">N254/N256</f>
        <v>16.432444150169591</v>
      </c>
      <c r="O255" s="16">
        <f t="shared" ref="O255" si="90">O254/O256</f>
        <v>14.931253690605752</v>
      </c>
      <c r="P255" s="16">
        <f t="shared" ref="P255" si="91">P254/P256</f>
        <v>15.783992292699569</v>
      </c>
      <c r="Q255" s="16">
        <f t="shared" ref="Q255" si="92">Q254/Q256</f>
        <v>16.637477129273883</v>
      </c>
      <c r="R255" s="16">
        <f t="shared" ref="R255" si="93">R254/R256</f>
        <v>15.409684219523717</v>
      </c>
      <c r="S255" s="16">
        <f t="shared" ref="S255" si="94">S254/S256</f>
        <v>14.694172357171563</v>
      </c>
    </row>
    <row r="256" spans="2:19" x14ac:dyDescent="0.3">
      <c r="B256" t="s">
        <v>194</v>
      </c>
      <c r="C256" t="s">
        <v>76</v>
      </c>
      <c r="H256">
        <v>185</v>
      </c>
      <c r="I256">
        <v>185</v>
      </c>
      <c r="J256">
        <v>185</v>
      </c>
      <c r="K256">
        <v>185</v>
      </c>
      <c r="L256">
        <v>185</v>
      </c>
      <c r="M256">
        <v>185</v>
      </c>
      <c r="N256">
        <v>185</v>
      </c>
      <c r="O256">
        <v>185</v>
      </c>
      <c r="P256">
        <v>185</v>
      </c>
      <c r="Q256">
        <v>185</v>
      </c>
      <c r="R256">
        <v>185</v>
      </c>
      <c r="S256">
        <v>185</v>
      </c>
    </row>
    <row r="257" spans="2:19" x14ac:dyDescent="0.3">
      <c r="B257" t="s">
        <v>295</v>
      </c>
      <c r="C257" t="s">
        <v>75</v>
      </c>
      <c r="H257" s="16">
        <f>(H233+H234+H235+H236+H241)</f>
        <v>70323.183159070642</v>
      </c>
      <c r="I257" s="16">
        <f t="shared" ref="I257:S257" si="95">(I233+I234+I235+I236+I241)</f>
        <v>73758.478405130823</v>
      </c>
      <c r="J257" s="16">
        <f t="shared" si="95"/>
        <v>78987.241711432755</v>
      </c>
      <c r="K257" s="16">
        <f t="shared" si="95"/>
        <v>75051.062388134655</v>
      </c>
      <c r="L257" s="16">
        <f t="shared" si="95"/>
        <v>70915.07812519389</v>
      </c>
      <c r="M257" s="16">
        <f t="shared" si="95"/>
        <v>70562.956745894422</v>
      </c>
      <c r="N257" s="16">
        <f t="shared" si="95"/>
        <v>83003.076383119274</v>
      </c>
      <c r="O257" s="16">
        <f t="shared" si="95"/>
        <v>75739.308107665696</v>
      </c>
      <c r="P257" s="16">
        <f t="shared" si="95"/>
        <v>80221.327720693531</v>
      </c>
      <c r="Q257" s="16">
        <f t="shared" si="95"/>
        <v>81438.309846194956</v>
      </c>
      <c r="R257" s="16">
        <f t="shared" si="95"/>
        <v>76007.436566252087</v>
      </c>
      <c r="S257" s="16">
        <f t="shared" si="95"/>
        <v>77740.923167318906</v>
      </c>
    </row>
    <row r="258" spans="2:19" x14ac:dyDescent="0.3">
      <c r="B258" t="s">
        <v>296</v>
      </c>
      <c r="C258" t="s">
        <v>782</v>
      </c>
      <c r="H258" s="16">
        <f>H257/H259</f>
        <v>390.68435088372581</v>
      </c>
      <c r="I258" s="16">
        <f t="shared" ref="I258" si="96">I257/I259</f>
        <v>409.76932447294899</v>
      </c>
      <c r="J258" s="16">
        <f t="shared" ref="J258" si="97">J257/J259</f>
        <v>438.81800950795974</v>
      </c>
      <c r="K258" s="16">
        <f t="shared" ref="K258" si="98">K257/K259</f>
        <v>416.95034660074811</v>
      </c>
      <c r="L258" s="16">
        <f t="shared" ref="L258" si="99">L257/L259</f>
        <v>393.97265625107718</v>
      </c>
      <c r="M258" s="16">
        <f t="shared" ref="M258" si="100">M257/M259</f>
        <v>392.01642636608011</v>
      </c>
      <c r="N258" s="16">
        <f t="shared" ref="N258" si="101">N257/N259</f>
        <v>461.12820212844042</v>
      </c>
      <c r="O258" s="16">
        <f t="shared" ref="O258" si="102">O257/O259</f>
        <v>420.77393393147611</v>
      </c>
      <c r="P258" s="16">
        <f t="shared" ref="P258" si="103">P257/P259</f>
        <v>445.67404289274185</v>
      </c>
      <c r="Q258" s="16">
        <f t="shared" ref="Q258" si="104">Q257/Q259</f>
        <v>452.43505470108306</v>
      </c>
      <c r="R258" s="16">
        <f t="shared" ref="R258" si="105">R257/R259</f>
        <v>422.26353647917824</v>
      </c>
      <c r="S258" s="16">
        <f t="shared" ref="S258" si="106">S257/S259</f>
        <v>431.89401759621614</v>
      </c>
    </row>
    <row r="259" spans="2:19" x14ac:dyDescent="0.3">
      <c r="B259" t="s">
        <v>297</v>
      </c>
      <c r="C259" t="s">
        <v>76</v>
      </c>
      <c r="H259">
        <v>180</v>
      </c>
      <c r="I259">
        <v>180</v>
      </c>
      <c r="J259">
        <v>180</v>
      </c>
      <c r="K259">
        <v>180</v>
      </c>
      <c r="L259">
        <v>180</v>
      </c>
      <c r="M259">
        <v>180</v>
      </c>
      <c r="N259">
        <v>180</v>
      </c>
      <c r="O259">
        <v>180</v>
      </c>
      <c r="P259">
        <v>180</v>
      </c>
      <c r="Q259">
        <v>180</v>
      </c>
      <c r="R259">
        <v>180</v>
      </c>
      <c r="S259">
        <v>180</v>
      </c>
    </row>
    <row r="260" spans="2:19" x14ac:dyDescent="0.3">
      <c r="B260" t="s">
        <v>63</v>
      </c>
      <c r="C260" t="s">
        <v>75</v>
      </c>
      <c r="H260" s="18">
        <f>H261*H262</f>
        <v>82349.999999999782</v>
      </c>
      <c r="I260" s="18">
        <f t="shared" ref="I260:S260" si="107">I261*I262</f>
        <v>83366.666666666453</v>
      </c>
      <c r="J260" s="18">
        <f t="shared" si="107"/>
        <v>57949.999999999847</v>
      </c>
      <c r="K260" s="18">
        <f t="shared" si="107"/>
        <v>60999.99999999984</v>
      </c>
      <c r="L260" s="18">
        <f t="shared" si="107"/>
        <v>92516.666666666424</v>
      </c>
      <c r="M260" s="18">
        <f t="shared" si="107"/>
        <v>39649.999999999898</v>
      </c>
      <c r="N260" s="18">
        <f t="shared" si="107"/>
        <v>76249.999999999796</v>
      </c>
      <c r="O260" s="18">
        <f t="shared" si="107"/>
        <v>92516.666666666424</v>
      </c>
      <c r="P260" s="18">
        <f t="shared" si="107"/>
        <v>70149.999999999811</v>
      </c>
      <c r="Q260" s="18">
        <f t="shared" si="107"/>
        <v>54899.999999999854</v>
      </c>
      <c r="R260" s="18">
        <f t="shared" si="107"/>
        <v>89466.666666666439</v>
      </c>
      <c r="S260" s="18">
        <f t="shared" si="107"/>
        <v>56442.419399627557</v>
      </c>
    </row>
    <row r="261" spans="2:19" x14ac:dyDescent="0.3">
      <c r="B261" t="s">
        <v>195</v>
      </c>
      <c r="C261" t="s">
        <v>782</v>
      </c>
      <c r="H261" s="15">
        <v>648</v>
      </c>
      <c r="I261" s="15">
        <v>656</v>
      </c>
      <c r="J261" s="15">
        <v>456</v>
      </c>
      <c r="K261" s="15">
        <v>480</v>
      </c>
      <c r="L261" s="15">
        <v>728</v>
      </c>
      <c r="M261" s="15">
        <v>312</v>
      </c>
      <c r="N261" s="15">
        <v>600</v>
      </c>
      <c r="O261" s="15">
        <v>728</v>
      </c>
      <c r="P261" s="15">
        <v>552</v>
      </c>
      <c r="Q261" s="15">
        <v>432</v>
      </c>
      <c r="R261" s="15">
        <v>704</v>
      </c>
      <c r="S261" s="15">
        <v>444.13707068559506</v>
      </c>
    </row>
    <row r="262" spans="2:19" x14ac:dyDescent="0.3">
      <c r="B262" t="s">
        <v>64</v>
      </c>
      <c r="C262" t="s">
        <v>76</v>
      </c>
      <c r="H262" s="21">
        <v>127.083333333333</v>
      </c>
      <c r="I262" s="21">
        <v>127.083333333333</v>
      </c>
      <c r="J262" s="21">
        <v>127.083333333333</v>
      </c>
      <c r="K262" s="21">
        <v>127.083333333333</v>
      </c>
      <c r="L262" s="21">
        <v>127.083333333333</v>
      </c>
      <c r="M262" s="21">
        <v>127.083333333333</v>
      </c>
      <c r="N262" s="21">
        <v>127.08333333333299</v>
      </c>
      <c r="O262" s="21">
        <v>127.083333333333</v>
      </c>
      <c r="P262" s="21">
        <v>127.08333333333299</v>
      </c>
      <c r="Q262" s="21">
        <v>127.083333333333</v>
      </c>
      <c r="R262" s="21">
        <v>127.08333333333302</v>
      </c>
      <c r="S262" s="21">
        <v>127.083333333333</v>
      </c>
    </row>
    <row r="263" spans="2:19" x14ac:dyDescent="0.3">
      <c r="B263" t="s">
        <v>65</v>
      </c>
      <c r="C263" t="s">
        <v>75</v>
      </c>
      <c r="H263" s="18">
        <f>H264*H265</f>
        <v>132000</v>
      </c>
      <c r="I263" s="18">
        <f t="shared" ref="I263" si="108">I264*I265</f>
        <v>133250</v>
      </c>
      <c r="J263" s="18">
        <f t="shared" ref="J263" si="109">J264*J265</f>
        <v>95000</v>
      </c>
      <c r="K263" s="18">
        <f t="shared" ref="K263" si="110">K264*K265</f>
        <v>97500</v>
      </c>
      <c r="L263" s="18">
        <f t="shared" ref="L263" si="111">L264*L265</f>
        <v>147500</v>
      </c>
      <c r="M263" s="18">
        <f t="shared" ref="M263" si="112">M264*M265</f>
        <v>65000</v>
      </c>
      <c r="N263" s="18">
        <f t="shared" ref="N263" si="113">N264*N265</f>
        <v>122500</v>
      </c>
      <c r="O263" s="18">
        <f t="shared" ref="O263" si="114">O264*O265</f>
        <v>146500</v>
      </c>
      <c r="P263" s="18">
        <f t="shared" ref="P263" si="115">P264*P265</f>
        <v>113750</v>
      </c>
      <c r="Q263" s="18">
        <f t="shared" ref="Q263" si="116">Q264*Q265</f>
        <v>89500</v>
      </c>
      <c r="R263" s="18">
        <f t="shared" ref="R263" si="117">R264*R265</f>
        <v>142500</v>
      </c>
      <c r="S263" s="18">
        <f t="shared" ref="S263" si="118">S264*S265</f>
        <v>91342.968439446457</v>
      </c>
    </row>
    <row r="264" spans="2:19" x14ac:dyDescent="0.3">
      <c r="B264" t="s">
        <v>196</v>
      </c>
      <c r="C264" t="s">
        <v>782</v>
      </c>
      <c r="H264" s="15">
        <v>528</v>
      </c>
      <c r="I264" s="15">
        <v>533</v>
      </c>
      <c r="J264" s="15">
        <v>380</v>
      </c>
      <c r="K264" s="15">
        <v>390</v>
      </c>
      <c r="L264" s="15">
        <v>590</v>
      </c>
      <c r="M264" s="15">
        <v>260</v>
      </c>
      <c r="N264" s="15">
        <v>490</v>
      </c>
      <c r="O264" s="15">
        <v>586</v>
      </c>
      <c r="P264" s="15">
        <v>455</v>
      </c>
      <c r="Q264" s="15">
        <v>358</v>
      </c>
      <c r="R264" s="15">
        <v>570</v>
      </c>
      <c r="S264" s="15">
        <v>365.37187375778581</v>
      </c>
    </row>
    <row r="265" spans="2:19" x14ac:dyDescent="0.3">
      <c r="B265" t="s">
        <v>66</v>
      </c>
      <c r="C265" t="s">
        <v>76</v>
      </c>
      <c r="H265" s="21">
        <v>250</v>
      </c>
      <c r="I265" s="21">
        <v>250</v>
      </c>
      <c r="J265" s="21">
        <v>250</v>
      </c>
      <c r="K265" s="21">
        <v>250</v>
      </c>
      <c r="L265" s="21">
        <v>250</v>
      </c>
      <c r="M265" s="21">
        <v>250</v>
      </c>
      <c r="N265" s="21">
        <v>250</v>
      </c>
      <c r="O265" s="21">
        <v>250</v>
      </c>
      <c r="P265" s="21">
        <v>250</v>
      </c>
      <c r="Q265" s="21">
        <v>250</v>
      </c>
      <c r="R265" s="21">
        <v>250</v>
      </c>
      <c r="S265" s="21">
        <v>250</v>
      </c>
    </row>
    <row r="266" spans="2:19" x14ac:dyDescent="0.3">
      <c r="B266" t="s">
        <v>68</v>
      </c>
      <c r="C266" t="s">
        <v>75</v>
      </c>
      <c r="H266" s="18">
        <f>H267*H268</f>
        <v>108900</v>
      </c>
      <c r="I266" s="18">
        <f t="shared" ref="I266" si="119">I267*I268</f>
        <v>110550</v>
      </c>
      <c r="J266" s="18">
        <f t="shared" ref="J266" si="120">J267*J268</f>
        <v>82500</v>
      </c>
      <c r="K266" s="18">
        <f t="shared" ref="K266" si="121">K267*K268</f>
        <v>80850</v>
      </c>
      <c r="L266" s="18">
        <f t="shared" ref="L266" si="122">L267*L268</f>
        <v>122100</v>
      </c>
      <c r="M266" s="18">
        <f t="shared" ref="M266" si="123">M267*M268</f>
        <v>53625</v>
      </c>
      <c r="N266" s="18">
        <f t="shared" ref="N266" si="124">N267*N268</f>
        <v>100650</v>
      </c>
      <c r="O266" s="18">
        <f t="shared" ref="O266" si="125">O267*O268</f>
        <v>123750</v>
      </c>
      <c r="P266" s="18">
        <f t="shared" ref="P266" si="126">P267*P268</f>
        <v>94875</v>
      </c>
      <c r="Q266" s="18">
        <f t="shared" ref="Q266" si="127">Q267*Q268</f>
        <v>74250</v>
      </c>
      <c r="R266" s="18">
        <f t="shared" ref="R266" si="128">R267*R268</f>
        <v>118800</v>
      </c>
      <c r="S266" s="18">
        <f t="shared" ref="S266" si="129">S267*S268</f>
        <v>75744.672966655286</v>
      </c>
    </row>
    <row r="267" spans="2:19" x14ac:dyDescent="0.3">
      <c r="B267" t="s">
        <v>197</v>
      </c>
      <c r="C267" t="s">
        <v>782</v>
      </c>
      <c r="H267" s="15">
        <v>132</v>
      </c>
      <c r="I267" s="15">
        <v>134</v>
      </c>
      <c r="J267" s="15">
        <v>100</v>
      </c>
      <c r="K267" s="15">
        <v>98</v>
      </c>
      <c r="L267" s="15">
        <v>148</v>
      </c>
      <c r="M267" s="15">
        <v>65</v>
      </c>
      <c r="N267" s="15">
        <v>122</v>
      </c>
      <c r="O267" s="15">
        <v>150</v>
      </c>
      <c r="P267" s="15">
        <v>115</v>
      </c>
      <c r="Q267" s="15">
        <v>90</v>
      </c>
      <c r="R267" s="15">
        <v>144</v>
      </c>
      <c r="S267" s="15">
        <v>91.811724808067012</v>
      </c>
    </row>
    <row r="268" spans="2:19" x14ac:dyDescent="0.3">
      <c r="B268" t="s">
        <v>67</v>
      </c>
      <c r="C268" t="s">
        <v>76</v>
      </c>
      <c r="H268" s="21">
        <v>825</v>
      </c>
      <c r="I268" s="21">
        <v>825</v>
      </c>
      <c r="J268" s="21">
        <v>825</v>
      </c>
      <c r="K268" s="21">
        <v>825</v>
      </c>
      <c r="L268" s="21">
        <v>825</v>
      </c>
      <c r="M268" s="21">
        <v>825</v>
      </c>
      <c r="N268" s="21">
        <v>825</v>
      </c>
      <c r="O268" s="21">
        <v>825</v>
      </c>
      <c r="P268" s="21">
        <v>825</v>
      </c>
      <c r="Q268" s="21">
        <v>825</v>
      </c>
      <c r="R268" s="21">
        <v>825</v>
      </c>
      <c r="S268" s="21">
        <v>825</v>
      </c>
    </row>
    <row r="269" spans="2:19" x14ac:dyDescent="0.3">
      <c r="B269" t="s">
        <v>70</v>
      </c>
      <c r="C269" t="s">
        <v>75</v>
      </c>
      <c r="H269" s="18">
        <f>H270*H271</f>
        <v>50242.574257425731</v>
      </c>
      <c r="I269" s="18">
        <f t="shared" ref="I269" si="130">I270*I271</f>
        <v>52435.643564356425</v>
      </c>
      <c r="J269" s="18">
        <f t="shared" ref="J269" si="131">J270*J271</f>
        <v>48053.465346534649</v>
      </c>
      <c r="K269" s="18">
        <f t="shared" ref="K269" si="132">K270*K271</f>
        <v>44460.396039603962</v>
      </c>
      <c r="L269" s="18">
        <f t="shared" ref="L269" si="133">L270*L271</f>
        <v>55187.128712871287</v>
      </c>
      <c r="M269" s="18">
        <f t="shared" ref="M269" si="134">M270*M271</f>
        <v>40824.752475247522</v>
      </c>
      <c r="N269" s="18">
        <f t="shared" ref="N269" si="135">N270*N271</f>
        <v>51877.227722772281</v>
      </c>
      <c r="O269" s="18">
        <f t="shared" ref="O269" si="136">O270*O271</f>
        <v>55980.198019801974</v>
      </c>
      <c r="P269" s="18">
        <f t="shared" ref="P269" si="137">P270*P271</f>
        <v>50851.485148514854</v>
      </c>
      <c r="Q269" s="18">
        <f t="shared" ref="Q269" si="138">Q270*Q271</f>
        <v>48288.118811881184</v>
      </c>
      <c r="R269" s="18">
        <f t="shared" ref="R269" si="139">R270*R271</f>
        <v>56400.990099009898</v>
      </c>
      <c r="S269" s="18">
        <f t="shared" ref="S269" si="140">S270*S271</f>
        <v>47535.08106195517</v>
      </c>
    </row>
    <row r="270" spans="2:19" x14ac:dyDescent="0.3">
      <c r="B270" t="s">
        <v>198</v>
      </c>
      <c r="C270" t="s">
        <v>782</v>
      </c>
      <c r="H270" s="15">
        <v>71.775106082036757</v>
      </c>
      <c r="I270" s="15">
        <v>74.908062234794897</v>
      </c>
      <c r="J270" s="15">
        <v>68.647807637906638</v>
      </c>
      <c r="K270" s="15">
        <v>63.514851485148519</v>
      </c>
      <c r="L270" s="15">
        <v>78.838755304101838</v>
      </c>
      <c r="M270" s="15">
        <v>58.321074964639315</v>
      </c>
      <c r="N270" s="15">
        <v>74.110325318246112</v>
      </c>
      <c r="O270" s="15">
        <v>79.971711456859964</v>
      </c>
      <c r="P270" s="15">
        <v>72.644978783592649</v>
      </c>
      <c r="Q270" s="15">
        <v>68.983026874115978</v>
      </c>
      <c r="R270" s="15">
        <v>80.572842998585571</v>
      </c>
      <c r="S270" s="15">
        <v>67.907258659935962</v>
      </c>
    </row>
    <row r="271" spans="2:19" x14ac:dyDescent="0.3">
      <c r="B271" t="s">
        <v>69</v>
      </c>
      <c r="C271" t="s">
        <v>76</v>
      </c>
      <c r="H271" s="21">
        <v>700</v>
      </c>
      <c r="I271" s="21">
        <v>700</v>
      </c>
      <c r="J271" s="21">
        <v>700</v>
      </c>
      <c r="K271" s="21">
        <v>700</v>
      </c>
      <c r="L271" s="21">
        <v>700</v>
      </c>
      <c r="M271" s="21">
        <v>700</v>
      </c>
      <c r="N271" s="21">
        <v>700</v>
      </c>
      <c r="O271" s="21">
        <v>700</v>
      </c>
      <c r="P271" s="21">
        <v>700</v>
      </c>
      <c r="Q271" s="21">
        <v>700</v>
      </c>
      <c r="R271" s="21">
        <v>700</v>
      </c>
      <c r="S271" s="21">
        <v>700</v>
      </c>
    </row>
    <row r="272" spans="2:19" x14ac:dyDescent="0.3">
      <c r="B272" t="s">
        <v>72</v>
      </c>
      <c r="C272" t="s">
        <v>75</v>
      </c>
      <c r="H272" s="18">
        <f>SUM(H425:H427)</f>
        <v>9193.1270585948077</v>
      </c>
      <c r="I272" s="18">
        <f t="shared" ref="I272:S272" si="141">SUM(I425:I427)</f>
        <v>9306.729420387499</v>
      </c>
      <c r="J272" s="18">
        <f t="shared" si="141"/>
        <v>6466.6703755702074</v>
      </c>
      <c r="K272" s="18">
        <f t="shared" si="141"/>
        <v>6764.1562278822057</v>
      </c>
      <c r="L272" s="18">
        <f t="shared" si="141"/>
        <v>10329.150676521722</v>
      </c>
      <c r="M272" s="18">
        <f t="shared" si="141"/>
        <v>4421.827863301759</v>
      </c>
      <c r="N272" s="18">
        <f t="shared" si="141"/>
        <v>8468.1916547725796</v>
      </c>
      <c r="O272" s="18">
        <f t="shared" si="141"/>
        <v>10329.150676521722</v>
      </c>
      <c r="P272" s="18">
        <f t="shared" si="141"/>
        <v>7829.8987170825058</v>
      </c>
      <c r="Q272" s="18">
        <f t="shared" si="141"/>
        <v>6082.5420571260565</v>
      </c>
      <c r="R272" s="18">
        <f t="shared" si="141"/>
        <v>9988.3435911436482</v>
      </c>
      <c r="S272" s="18">
        <f t="shared" si="141"/>
        <v>6254.8920440171096</v>
      </c>
    </row>
    <row r="273" spans="2:19" x14ac:dyDescent="0.3">
      <c r="B273" t="s">
        <v>199</v>
      </c>
      <c r="C273" t="s">
        <v>782</v>
      </c>
      <c r="H273" s="16">
        <f>H272/H274</f>
        <v>496.92578695107068</v>
      </c>
      <c r="I273" s="16">
        <f t="shared" ref="I273:S273" si="142">I272/I274</f>
        <v>503.06645515608102</v>
      </c>
      <c r="J273" s="16">
        <f t="shared" si="142"/>
        <v>349.549750030822</v>
      </c>
      <c r="K273" s="16">
        <f t="shared" si="142"/>
        <v>365.63006637201113</v>
      </c>
      <c r="L273" s="16">
        <f t="shared" si="142"/>
        <v>558.3324690011741</v>
      </c>
      <c r="M273" s="16">
        <f t="shared" si="142"/>
        <v>239.01772234063563</v>
      </c>
      <c r="N273" s="16">
        <f t="shared" si="142"/>
        <v>457.74008944716644</v>
      </c>
      <c r="O273" s="16">
        <f t="shared" si="142"/>
        <v>558.3324690011741</v>
      </c>
      <c r="P273" s="16">
        <f t="shared" si="142"/>
        <v>423.23776849094628</v>
      </c>
      <c r="Q273" s="16">
        <f t="shared" si="142"/>
        <v>328.78605714194902</v>
      </c>
      <c r="R273" s="16">
        <f t="shared" si="142"/>
        <v>539.91046438614319</v>
      </c>
      <c r="S273" s="16">
        <f t="shared" si="142"/>
        <v>338.10227264957348</v>
      </c>
    </row>
    <row r="274" spans="2:19" x14ac:dyDescent="0.3">
      <c r="B274" t="s">
        <v>71</v>
      </c>
      <c r="C274" t="s">
        <v>76</v>
      </c>
      <c r="H274">
        <v>18.5</v>
      </c>
      <c r="I274">
        <v>18.5</v>
      </c>
      <c r="J274">
        <v>18.5</v>
      </c>
      <c r="K274">
        <v>18.5</v>
      </c>
      <c r="L274">
        <v>18.5</v>
      </c>
      <c r="M274">
        <v>18.5</v>
      </c>
      <c r="N274">
        <v>18.5</v>
      </c>
      <c r="O274">
        <v>18.5</v>
      </c>
      <c r="P274">
        <v>18.5</v>
      </c>
      <c r="Q274">
        <v>18.5</v>
      </c>
      <c r="R274">
        <v>18.5</v>
      </c>
      <c r="S274">
        <v>18.5</v>
      </c>
    </row>
    <row r="275" spans="2:19" x14ac:dyDescent="0.3">
      <c r="B275" t="s">
        <v>73</v>
      </c>
      <c r="C275" t="s">
        <v>75</v>
      </c>
      <c r="H275" s="18">
        <f>SUM(H421:H424)</f>
        <v>1578.8742818877511</v>
      </c>
      <c r="I275" s="18">
        <f t="shared" ref="I275:S275" si="143">SUM(I421:I424)</f>
        <v>1598.366556972785</v>
      </c>
      <c r="J275" s="18">
        <f t="shared" si="143"/>
        <v>1111.059679846936</v>
      </c>
      <c r="K275" s="18">
        <f t="shared" si="143"/>
        <v>1169.5365051020378</v>
      </c>
      <c r="L275" s="18">
        <f t="shared" si="143"/>
        <v>1773.7970327380904</v>
      </c>
      <c r="M275" s="18">
        <f t="shared" si="143"/>
        <v>760.1987283163246</v>
      </c>
      <c r="N275" s="18">
        <f t="shared" si="143"/>
        <v>1461.9206313775471</v>
      </c>
      <c r="O275" s="18">
        <f t="shared" si="143"/>
        <v>1773.7970327380904</v>
      </c>
      <c r="P275" s="18">
        <f t="shared" si="143"/>
        <v>1344.9669808673436</v>
      </c>
      <c r="Q275" s="18">
        <f t="shared" si="143"/>
        <v>1052.5828545918339</v>
      </c>
      <c r="R275" s="18">
        <f t="shared" si="143"/>
        <v>1715.320207482989</v>
      </c>
      <c r="S275" s="18">
        <f t="shared" si="143"/>
        <v>1082.1552446580988</v>
      </c>
    </row>
    <row r="276" spans="2:19" x14ac:dyDescent="0.3">
      <c r="B276" t="s">
        <v>200</v>
      </c>
      <c r="C276" t="s">
        <v>782</v>
      </c>
      <c r="H276" s="16">
        <f>H275/H277</f>
        <v>526.29142729591706</v>
      </c>
      <c r="I276" s="16">
        <f t="shared" ref="I276:S276" si="144">I275/I277</f>
        <v>532.78885232426171</v>
      </c>
      <c r="J276" s="16">
        <f t="shared" si="144"/>
        <v>370.35322661564533</v>
      </c>
      <c r="K276" s="16">
        <f t="shared" si="144"/>
        <v>389.84550170067928</v>
      </c>
      <c r="L276" s="16">
        <f t="shared" si="144"/>
        <v>591.26567757936346</v>
      </c>
      <c r="M276" s="16">
        <f t="shared" si="144"/>
        <v>253.39957610544153</v>
      </c>
      <c r="N276" s="16">
        <f t="shared" si="144"/>
        <v>487.30687712584904</v>
      </c>
      <c r="O276" s="16">
        <f t="shared" si="144"/>
        <v>591.26567757936346</v>
      </c>
      <c r="P276" s="16">
        <f t="shared" si="144"/>
        <v>448.32232695578119</v>
      </c>
      <c r="Q276" s="16">
        <f t="shared" si="144"/>
        <v>350.86095153061132</v>
      </c>
      <c r="R276" s="16">
        <f t="shared" si="144"/>
        <v>571.77340249432962</v>
      </c>
      <c r="S276" s="16">
        <f t="shared" si="144"/>
        <v>360.71841488603292</v>
      </c>
    </row>
    <row r="277" spans="2:19" x14ac:dyDescent="0.3">
      <c r="B277" t="s">
        <v>74</v>
      </c>
      <c r="C277" t="s">
        <v>76</v>
      </c>
      <c r="H277" s="21">
        <v>3</v>
      </c>
      <c r="I277" s="21">
        <v>3</v>
      </c>
      <c r="J277" s="21">
        <v>3</v>
      </c>
      <c r="K277" s="21">
        <v>3</v>
      </c>
      <c r="L277" s="21">
        <v>3</v>
      </c>
      <c r="M277" s="21">
        <v>3</v>
      </c>
      <c r="N277" s="21">
        <v>3</v>
      </c>
      <c r="O277" s="21">
        <v>3</v>
      </c>
      <c r="P277" s="21">
        <v>3</v>
      </c>
      <c r="Q277" s="21">
        <v>3</v>
      </c>
      <c r="R277" s="21">
        <v>3</v>
      </c>
      <c r="S277" s="21">
        <v>3</v>
      </c>
    </row>
    <row r="278" spans="2:19" x14ac:dyDescent="0.3">
      <c r="B278" s="12" t="s">
        <v>201</v>
      </c>
    </row>
    <row r="279" spans="2:19" x14ac:dyDescent="0.3">
      <c r="B279" t="s">
        <v>202</v>
      </c>
      <c r="C279" t="s">
        <v>808</v>
      </c>
      <c r="H279">
        <v>0</v>
      </c>
      <c r="I279">
        <v>0</v>
      </c>
      <c r="J279">
        <v>0</v>
      </c>
      <c r="K279">
        <v>20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</row>
    <row r="280" spans="2:19" x14ac:dyDescent="0.3">
      <c r="B280" t="s">
        <v>203</v>
      </c>
      <c r="C280" t="s">
        <v>808</v>
      </c>
      <c r="H280">
        <v>0</v>
      </c>
      <c r="I280">
        <v>0</v>
      </c>
      <c r="J280">
        <v>0</v>
      </c>
      <c r="K280">
        <v>6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</row>
    <row r="281" spans="2:19" x14ac:dyDescent="0.3">
      <c r="B281" t="s">
        <v>204</v>
      </c>
      <c r="C281" t="s">
        <v>808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</row>
    <row r="282" spans="2:19" x14ac:dyDescent="0.3">
      <c r="B282" t="s">
        <v>294</v>
      </c>
      <c r="C282" t="s">
        <v>808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</row>
    <row r="283" spans="2:19" x14ac:dyDescent="0.3">
      <c r="B283" t="s">
        <v>211</v>
      </c>
      <c r="C283" t="s">
        <v>809</v>
      </c>
      <c r="H283" s="27">
        <v>0</v>
      </c>
      <c r="I283" s="27">
        <v>0</v>
      </c>
      <c r="J283" s="27">
        <v>0</v>
      </c>
      <c r="K283" s="27">
        <v>0</v>
      </c>
      <c r="L283" s="27">
        <v>0</v>
      </c>
      <c r="M283" s="27">
        <v>0</v>
      </c>
      <c r="N283" s="27">
        <v>0</v>
      </c>
      <c r="O283" s="27">
        <v>0</v>
      </c>
      <c r="P283" s="27">
        <v>0</v>
      </c>
      <c r="Q283" s="27">
        <v>0</v>
      </c>
      <c r="R283" s="27">
        <v>0</v>
      </c>
      <c r="S283" s="27">
        <v>0</v>
      </c>
    </row>
    <row r="284" spans="2:19" x14ac:dyDescent="0.3">
      <c r="B284" t="s">
        <v>212</v>
      </c>
      <c r="C284" t="s">
        <v>809</v>
      </c>
      <c r="H284" s="27">
        <v>0</v>
      </c>
      <c r="I284" s="27">
        <v>0</v>
      </c>
      <c r="J284" s="27">
        <v>0</v>
      </c>
      <c r="K284" s="27">
        <v>0</v>
      </c>
      <c r="L284" s="27">
        <v>0</v>
      </c>
      <c r="M284" s="27">
        <v>0</v>
      </c>
      <c r="N284" s="27">
        <v>0</v>
      </c>
      <c r="O284" s="27">
        <v>0</v>
      </c>
      <c r="P284" s="27">
        <v>0</v>
      </c>
      <c r="Q284" s="27">
        <v>0</v>
      </c>
      <c r="R284" s="27">
        <v>0</v>
      </c>
      <c r="S284" s="27">
        <v>0</v>
      </c>
    </row>
    <row r="285" spans="2:19" x14ac:dyDescent="0.3">
      <c r="B285" t="s">
        <v>213</v>
      </c>
      <c r="C285" t="s">
        <v>809</v>
      </c>
      <c r="H285" s="27">
        <v>0</v>
      </c>
      <c r="I285" s="27">
        <v>0</v>
      </c>
      <c r="J285" s="27">
        <v>0</v>
      </c>
      <c r="K285" s="27">
        <v>0</v>
      </c>
      <c r="L285" s="27">
        <v>0</v>
      </c>
      <c r="M285" s="27">
        <v>0</v>
      </c>
      <c r="N285" s="27">
        <v>0</v>
      </c>
      <c r="O285" s="27">
        <v>0</v>
      </c>
      <c r="P285" s="27">
        <v>0</v>
      </c>
      <c r="Q285" s="27">
        <v>0</v>
      </c>
      <c r="R285" s="27">
        <v>0</v>
      </c>
      <c r="S285" s="27">
        <v>0</v>
      </c>
    </row>
    <row r="286" spans="2:19" x14ac:dyDescent="0.3">
      <c r="B286" t="s">
        <v>214</v>
      </c>
      <c r="C286" t="s">
        <v>809</v>
      </c>
      <c r="H286" s="27">
        <v>0</v>
      </c>
      <c r="I286" s="27">
        <v>0</v>
      </c>
      <c r="J286" s="27">
        <v>0</v>
      </c>
      <c r="K286" s="27">
        <v>0</v>
      </c>
      <c r="L286" s="27">
        <v>0</v>
      </c>
      <c r="M286" s="27">
        <v>0</v>
      </c>
      <c r="N286" s="27">
        <v>0</v>
      </c>
      <c r="O286" s="27">
        <v>0</v>
      </c>
      <c r="P286" s="27">
        <v>0</v>
      </c>
      <c r="Q286" s="27">
        <v>0</v>
      </c>
      <c r="R286" s="27">
        <v>0</v>
      </c>
      <c r="S286" s="27">
        <v>0</v>
      </c>
    </row>
    <row r="287" spans="2:19" x14ac:dyDescent="0.3">
      <c r="B287" t="s">
        <v>215</v>
      </c>
      <c r="C287" t="s">
        <v>809</v>
      </c>
      <c r="H287" s="28">
        <v>4</v>
      </c>
      <c r="I287" s="28">
        <v>0.6666666666666643</v>
      </c>
      <c r="J287" s="28">
        <v>12</v>
      </c>
      <c r="K287" s="28">
        <v>10</v>
      </c>
      <c r="L287" s="28">
        <v>0.6666666666666643</v>
      </c>
      <c r="M287" s="28">
        <v>17</v>
      </c>
      <c r="N287" s="28">
        <v>6</v>
      </c>
      <c r="O287" s="28">
        <v>0.6666666666666643</v>
      </c>
      <c r="P287" s="28">
        <v>7</v>
      </c>
      <c r="Q287" s="28">
        <v>13</v>
      </c>
      <c r="R287" s="28">
        <v>0.66666666666666785</v>
      </c>
      <c r="S287" s="28">
        <v>12.494288721433538</v>
      </c>
    </row>
    <row r="288" spans="2:19" x14ac:dyDescent="0.3">
      <c r="B288" t="s">
        <v>216</v>
      </c>
      <c r="C288" t="s">
        <v>809</v>
      </c>
      <c r="H288" s="27">
        <v>0</v>
      </c>
      <c r="I288" s="27">
        <v>0</v>
      </c>
      <c r="J288" s="27">
        <v>0</v>
      </c>
      <c r="K288" s="27">
        <v>0</v>
      </c>
      <c r="L288" s="27">
        <v>0</v>
      </c>
      <c r="M288" s="27">
        <v>0</v>
      </c>
      <c r="N288" s="27">
        <v>0</v>
      </c>
      <c r="O288" s="27">
        <v>0</v>
      </c>
      <c r="P288" s="27">
        <v>0</v>
      </c>
      <c r="Q288" s="27">
        <v>0</v>
      </c>
      <c r="R288" s="27">
        <v>0</v>
      </c>
      <c r="S288" s="27">
        <v>0</v>
      </c>
    </row>
    <row r="289" spans="2:19" x14ac:dyDescent="0.3">
      <c r="B289" t="s">
        <v>293</v>
      </c>
      <c r="C289" t="s">
        <v>809</v>
      </c>
      <c r="H289" s="27">
        <v>0</v>
      </c>
      <c r="I289" s="27">
        <v>0</v>
      </c>
      <c r="J289" s="27">
        <v>0</v>
      </c>
      <c r="K289" s="27">
        <v>0</v>
      </c>
      <c r="L289" s="27">
        <v>0</v>
      </c>
      <c r="M289" s="27">
        <v>0</v>
      </c>
      <c r="N289" s="27">
        <v>0</v>
      </c>
      <c r="O289" s="27">
        <v>0</v>
      </c>
      <c r="P289" s="27">
        <v>0</v>
      </c>
      <c r="Q289" s="27">
        <v>0</v>
      </c>
      <c r="R289" s="27">
        <v>0</v>
      </c>
      <c r="S289" s="27">
        <v>0</v>
      </c>
    </row>
    <row r="290" spans="2:19" x14ac:dyDescent="0.3">
      <c r="B290" t="s">
        <v>217</v>
      </c>
      <c r="C290" t="s">
        <v>809</v>
      </c>
      <c r="H290" s="27">
        <v>0</v>
      </c>
      <c r="I290" s="27">
        <v>0</v>
      </c>
      <c r="J290" s="27">
        <v>0</v>
      </c>
      <c r="K290" s="27">
        <v>0</v>
      </c>
      <c r="L290" s="27">
        <v>0</v>
      </c>
      <c r="M290" s="27">
        <v>0</v>
      </c>
      <c r="N290" s="27">
        <v>0</v>
      </c>
      <c r="O290" s="27">
        <v>0</v>
      </c>
      <c r="P290" s="27">
        <v>0</v>
      </c>
      <c r="Q290" s="27">
        <v>0</v>
      </c>
      <c r="R290" s="27">
        <v>0</v>
      </c>
      <c r="S290" s="27">
        <v>0</v>
      </c>
    </row>
    <row r="291" spans="2:19" x14ac:dyDescent="0.3">
      <c r="B291" t="s">
        <v>218</v>
      </c>
      <c r="C291" t="s">
        <v>809</v>
      </c>
      <c r="H291" s="27">
        <v>0</v>
      </c>
      <c r="I291" s="27">
        <v>0</v>
      </c>
      <c r="J291" s="27">
        <v>0</v>
      </c>
      <c r="K291" s="27">
        <v>0</v>
      </c>
      <c r="L291" s="27">
        <v>0</v>
      </c>
      <c r="M291" s="27">
        <v>0</v>
      </c>
      <c r="N291" s="27">
        <v>0</v>
      </c>
      <c r="O291" s="27">
        <v>0</v>
      </c>
      <c r="P291" s="27">
        <v>0</v>
      </c>
      <c r="Q291" s="27">
        <v>0</v>
      </c>
      <c r="R291" s="27">
        <v>0</v>
      </c>
      <c r="S291" s="27">
        <v>0</v>
      </c>
    </row>
    <row r="292" spans="2:19" x14ac:dyDescent="0.3">
      <c r="B292" t="s">
        <v>219</v>
      </c>
      <c r="C292" t="s">
        <v>809</v>
      </c>
      <c r="H292" s="27">
        <v>0</v>
      </c>
      <c r="I292" s="27">
        <v>0</v>
      </c>
      <c r="J292" s="27">
        <v>0</v>
      </c>
      <c r="K292" s="27">
        <v>0</v>
      </c>
      <c r="L292" s="27">
        <v>0</v>
      </c>
      <c r="M292" s="27">
        <v>0</v>
      </c>
      <c r="N292" s="27">
        <v>0</v>
      </c>
      <c r="O292" s="27">
        <v>0</v>
      </c>
      <c r="P292" s="27">
        <v>0</v>
      </c>
      <c r="Q292" s="27">
        <v>0</v>
      </c>
      <c r="R292" s="27">
        <v>0</v>
      </c>
      <c r="S292" s="27">
        <v>0</v>
      </c>
    </row>
    <row r="293" spans="2:19" x14ac:dyDescent="0.3">
      <c r="B293" t="s">
        <v>220</v>
      </c>
      <c r="C293" t="s">
        <v>809</v>
      </c>
      <c r="H293" s="27">
        <v>0</v>
      </c>
      <c r="I293" s="27">
        <v>0</v>
      </c>
      <c r="J293" s="27">
        <v>0</v>
      </c>
      <c r="K293" s="27">
        <v>0</v>
      </c>
      <c r="L293" s="27">
        <v>0</v>
      </c>
      <c r="M293" s="27">
        <v>0</v>
      </c>
      <c r="N293" s="27">
        <v>0</v>
      </c>
      <c r="O293" s="27">
        <v>0</v>
      </c>
      <c r="P293" s="27">
        <v>0</v>
      </c>
      <c r="Q293" s="27">
        <v>0</v>
      </c>
      <c r="R293" s="27">
        <v>0</v>
      </c>
      <c r="S293" s="27">
        <v>0</v>
      </c>
    </row>
    <row r="294" spans="2:19" x14ac:dyDescent="0.3">
      <c r="B294" t="s">
        <v>221</v>
      </c>
      <c r="C294" t="s">
        <v>809</v>
      </c>
      <c r="H294" s="27">
        <v>0</v>
      </c>
      <c r="I294" s="27">
        <v>0</v>
      </c>
      <c r="J294" s="27">
        <v>0</v>
      </c>
      <c r="K294" s="27">
        <v>0</v>
      </c>
      <c r="L294" s="27">
        <v>0</v>
      </c>
      <c r="M294" s="27">
        <v>0</v>
      </c>
      <c r="N294" s="27">
        <v>0</v>
      </c>
      <c r="O294" s="27">
        <v>0</v>
      </c>
      <c r="P294" s="27">
        <v>0</v>
      </c>
      <c r="Q294" s="27">
        <v>0</v>
      </c>
      <c r="R294" s="27">
        <v>0</v>
      </c>
      <c r="S294" s="27">
        <v>0</v>
      </c>
    </row>
    <row r="295" spans="2:19" x14ac:dyDescent="0.3">
      <c r="B295" t="s">
        <v>222</v>
      </c>
      <c r="C295" t="s">
        <v>809</v>
      </c>
      <c r="H295" s="27">
        <v>0</v>
      </c>
      <c r="I295" s="27">
        <v>0</v>
      </c>
      <c r="J295" s="27">
        <v>0</v>
      </c>
      <c r="K295" s="27">
        <v>0</v>
      </c>
      <c r="L295" s="27">
        <v>0</v>
      </c>
      <c r="M295" s="27">
        <v>0</v>
      </c>
      <c r="N295" s="27">
        <v>0</v>
      </c>
      <c r="O295" s="27">
        <v>0</v>
      </c>
      <c r="P295" s="27">
        <v>0</v>
      </c>
      <c r="Q295" s="27">
        <v>0</v>
      </c>
      <c r="R295" s="27">
        <v>0</v>
      </c>
      <c r="S295" s="27">
        <v>0</v>
      </c>
    </row>
    <row r="296" spans="2:19" x14ac:dyDescent="0.3">
      <c r="B296" t="s">
        <v>292</v>
      </c>
      <c r="C296" t="s">
        <v>809</v>
      </c>
      <c r="H296" s="27">
        <v>0</v>
      </c>
      <c r="I296" s="27">
        <v>0</v>
      </c>
      <c r="J296" s="27">
        <v>0</v>
      </c>
      <c r="K296" s="27">
        <v>0</v>
      </c>
      <c r="L296" s="27">
        <v>0</v>
      </c>
      <c r="M296" s="27">
        <v>0</v>
      </c>
      <c r="N296" s="27">
        <v>0</v>
      </c>
      <c r="O296" s="27">
        <v>0</v>
      </c>
      <c r="P296" s="27">
        <v>0</v>
      </c>
      <c r="Q296" s="27">
        <v>0</v>
      </c>
      <c r="R296" s="27">
        <v>0</v>
      </c>
      <c r="S296" s="27">
        <v>0</v>
      </c>
    </row>
    <row r="297" spans="2:19" x14ac:dyDescent="0.3">
      <c r="B297" t="s">
        <v>205</v>
      </c>
      <c r="C297" t="s">
        <v>806</v>
      </c>
      <c r="H297" s="25">
        <f>(H267+H270)/($H$244-H283-H290)</f>
        <v>0.27389127161564081</v>
      </c>
      <c r="I297" s="25">
        <f>(I267+I270)/($I$244-I283-I290)</f>
        <v>0.31087509261130192</v>
      </c>
      <c r="J297" s="25">
        <f>(J267+J270)/($J$244-J283-J290)</f>
        <v>0.22667716080363792</v>
      </c>
      <c r="K297" s="25">
        <f>(K267+K270)/($K$244-K283-K290)</f>
        <v>0.22432618261826182</v>
      </c>
      <c r="L297" s="25">
        <f>(L267+L270)/($L$244-L283-L290)</f>
        <v>0.30489080013992181</v>
      </c>
      <c r="M297" s="25">
        <f>(M267+M270)/($M$244-M283-M290)</f>
        <v>0.17127927078422125</v>
      </c>
      <c r="N297" s="25">
        <f>(N267+N270)/($N$244-N283-N290)</f>
        <v>0.26358914693312652</v>
      </c>
      <c r="O297" s="25">
        <f>(O267+O270)/($O$244-O283-O290)</f>
        <v>0.30910176271083328</v>
      </c>
      <c r="P297" s="25">
        <f>(P267+P270)/($P$244-P283-P290)</f>
        <v>0.26061802608832313</v>
      </c>
      <c r="Q297" s="25">
        <f>(Q267+Q270)/($Q$244-Q283-Q290)</f>
        <v>0.21368686407811288</v>
      </c>
      <c r="R297" s="25">
        <f>(R267+R270)/($R$244-R283-R290)</f>
        <v>0.3119067263869244</v>
      </c>
      <c r="S297" s="25">
        <f>(S267+S270)/($S$244-S283-S290)</f>
        <v>0.2146760530483911</v>
      </c>
    </row>
    <row r="298" spans="2:19" x14ac:dyDescent="0.3">
      <c r="B298" t="s">
        <v>206</v>
      </c>
      <c r="C298" t="s">
        <v>806</v>
      </c>
      <c r="H298" s="25">
        <f>(H264)/($H$244-H284-H291)</f>
        <v>0.70967741935483875</v>
      </c>
      <c r="I298" s="25">
        <f>(I264)/($I$244-I284-I291)</f>
        <v>0.79315476190476186</v>
      </c>
      <c r="J298" s="25">
        <f>(J264)/($J$244-J284-J291)</f>
        <v>0.510752688172043</v>
      </c>
      <c r="K298" s="25">
        <f>(K264)/($K$244-K284-K291)</f>
        <v>0.54166666666666663</v>
      </c>
      <c r="L298" s="25">
        <f>(L264)/($L$244-L284-L291)</f>
        <v>0.793010752688172</v>
      </c>
      <c r="M298" s="25">
        <f>(M264)/($M$244-M284-M291)</f>
        <v>0.3611111111111111</v>
      </c>
      <c r="N298" s="25">
        <f>(N264)/($N$244-N284-N291)</f>
        <v>0.65860215053763438</v>
      </c>
      <c r="O298" s="25">
        <f>(O264)/($O$244-O284-O291)</f>
        <v>0.7876344086021505</v>
      </c>
      <c r="P298" s="25">
        <f>(P264)/($P$244-P284-P291)</f>
        <v>0.63194444444444442</v>
      </c>
      <c r="Q298" s="25">
        <f>(Q264)/($Q$244-Q284-Q291)</f>
        <v>0.48118279569892475</v>
      </c>
      <c r="R298" s="25">
        <f>(R264)/($R$244-R284-R291)</f>
        <v>0.79166666666666663</v>
      </c>
      <c r="S298" s="25">
        <f>(S264)/($S$244-S284-S291)</f>
        <v>0.49109122816906692</v>
      </c>
    </row>
    <row r="299" spans="2:19" x14ac:dyDescent="0.3">
      <c r="B299" t="s">
        <v>207</v>
      </c>
      <c r="C299" t="s">
        <v>806</v>
      </c>
      <c r="H299" s="25">
        <f>(H273)/($H$244-H285-H292)</f>
        <v>0.66791100396649283</v>
      </c>
      <c r="I299" s="25">
        <f>(I273)/($I$244-I285-I292)</f>
        <v>0.74861079636321581</v>
      </c>
      <c r="J299" s="25">
        <f>(J273)/($J$244-J285-J292)</f>
        <v>0.46982493283712634</v>
      </c>
      <c r="K299" s="25">
        <f>(K273)/($K$244-K285-K292)</f>
        <v>0.50781953662779322</v>
      </c>
      <c r="L299" s="25">
        <f>(L273)/($L$244-L285-L292)</f>
        <v>0.75044686693706197</v>
      </c>
      <c r="M299" s="25">
        <f>(M273)/($M$244-M285-M292)</f>
        <v>0.3319690588064384</v>
      </c>
      <c r="N299" s="25">
        <f>(N273)/($N$244-N285-N292)</f>
        <v>0.61524205570855706</v>
      </c>
      <c r="O299" s="25">
        <f>(O273)/($O$244-O285-O292)</f>
        <v>0.75044686693706197</v>
      </c>
      <c r="P299" s="25">
        <f>(P273)/($P$244-P285-P292)</f>
        <v>0.58783023401520318</v>
      </c>
      <c r="Q299" s="25">
        <f>(Q273)/($Q$244-Q285-Q292)</f>
        <v>0.44191674347036158</v>
      </c>
      <c r="R299" s="25">
        <f>(R273)/($R$244-R285-R292)</f>
        <v>0.74987564498075443</v>
      </c>
      <c r="S299" s="25">
        <f>(S273)/($S$244-S285-S292)</f>
        <v>0.45443853850749122</v>
      </c>
    </row>
    <row r="300" spans="2:19" x14ac:dyDescent="0.3">
      <c r="B300" t="s">
        <v>208</v>
      </c>
      <c r="C300" t="s">
        <v>806</v>
      </c>
      <c r="H300" s="25">
        <f>(H276)/($H$244-H286-H293)</f>
        <v>0.70738095066655515</v>
      </c>
      <c r="I300" s="25">
        <f>(I276)/($I$244-I286-I293)</f>
        <v>0.79284055405396092</v>
      </c>
      <c r="J300" s="25">
        <f>(J276)/($J$244-J286-J293)</f>
        <v>0.4977865949135018</v>
      </c>
      <c r="K300" s="25">
        <f>(K276)/($K$244-K286-K293)</f>
        <v>0.54145208569538794</v>
      </c>
      <c r="L300" s="25">
        <f>(L276)/($L$244-L286-L293)</f>
        <v>0.79471193223032721</v>
      </c>
      <c r="M300" s="25">
        <f>(M276)/($M$244-M286-M293)</f>
        <v>0.3519438557020021</v>
      </c>
      <c r="N300" s="25">
        <f>(N276)/($N$244-N286-N293)</f>
        <v>0.65498236172829172</v>
      </c>
      <c r="O300" s="25">
        <f>(O276)/($O$244-O286-O293)</f>
        <v>0.79471193223032721</v>
      </c>
      <c r="P300" s="25">
        <f>(P276)/($P$244-P286-P293)</f>
        <v>0.62266989854969612</v>
      </c>
      <c r="Q300" s="25">
        <f>(Q276)/($Q$244-Q286-Q293)</f>
        <v>0.47158730044437003</v>
      </c>
      <c r="R300" s="25">
        <f>(R276)/($R$244-R286-R293)</f>
        <v>0.79412972568656892</v>
      </c>
      <c r="S300" s="25">
        <f>(S276)/($S$244-S286-S293)</f>
        <v>0.48483657914789369</v>
      </c>
    </row>
    <row r="301" spans="2:19" x14ac:dyDescent="0.3">
      <c r="B301" t="s">
        <v>209</v>
      </c>
      <c r="C301" t="s">
        <v>806</v>
      </c>
      <c r="H301" s="25">
        <f>(H261)/($H$244-H287-H294)</f>
        <v>0.87567567567567572</v>
      </c>
      <c r="I301" s="25">
        <f>(I261)/($I$244-I287-I294)</f>
        <v>0.97715988083416083</v>
      </c>
      <c r="J301" s="25">
        <f>(J261)/($J$244-J287-J294)</f>
        <v>0.62295081967213117</v>
      </c>
      <c r="K301" s="25">
        <f>(K261)/($K$244-K287-K294)</f>
        <v>0.676056338028169</v>
      </c>
      <c r="L301" s="25">
        <f>(L261)/($L$244-L287-L294)</f>
        <v>0.97937219730941694</v>
      </c>
      <c r="M301" s="25">
        <f>(M261)/($M$244-M287-M294)</f>
        <v>0.44381223328591751</v>
      </c>
      <c r="N301" s="25">
        <f>(N261)/($N$244-N287-N294)</f>
        <v>0.81300813008130079</v>
      </c>
      <c r="O301" s="25">
        <f>(O261)/($O$244-O287-O294)</f>
        <v>0.97937219730941694</v>
      </c>
      <c r="P301" s="25">
        <f>(P261)/($P$244-P287-P294)</f>
        <v>0.77419354838709675</v>
      </c>
      <c r="Q301" s="25">
        <f>(Q261)/($Q$244-Q287-Q294)</f>
        <v>0.59097127222982215</v>
      </c>
      <c r="R301" s="25">
        <f>(R261)/($R$244-R287-R294)</f>
        <v>0.97868396663577384</v>
      </c>
      <c r="S301" s="25">
        <f>(S261)/($S$244-S287-S294)</f>
        <v>0.60715461798556236</v>
      </c>
    </row>
    <row r="302" spans="2:19" x14ac:dyDescent="0.3">
      <c r="B302" t="s">
        <v>210</v>
      </c>
      <c r="C302" t="s">
        <v>806</v>
      </c>
      <c r="H302" s="25">
        <f>(H246)/($H$244-H288-H295)</f>
        <v>0.63337033549688482</v>
      </c>
      <c r="I302" s="25">
        <f>(I246)/($I$244-I288-I295)</f>
        <v>0.75335898625344044</v>
      </c>
      <c r="J302" s="25">
        <f>(J246)/($J$244-J288-J295)</f>
        <v>0.72197237625292909</v>
      </c>
      <c r="K302" s="25">
        <f>(K246)/($K$244-K288-K295)</f>
        <v>0.70003029017547735</v>
      </c>
      <c r="L302" s="25">
        <f>(L246)/($L$244-L288-L295)</f>
        <v>0.65928980025508732</v>
      </c>
      <c r="M302" s="25">
        <f>(M246)/($M$244-M288-M295)</f>
        <v>0.67238236367228232</v>
      </c>
      <c r="N302" s="25">
        <f>(N246)/($N$244-N288-N295)</f>
        <v>0.76070217810873586</v>
      </c>
      <c r="O302" s="25">
        <f>(O246)/($O$244-O288-O295)</f>
        <v>0.69588872617589814</v>
      </c>
      <c r="P302" s="25">
        <f>(P246)/($P$244-P288-P295)</f>
        <v>0.7622697065907853</v>
      </c>
      <c r="Q302" s="25">
        <f>(Q246)/($Q$244-Q288-Q295)</f>
        <v>0.7491950496934805</v>
      </c>
      <c r="R302" s="25">
        <f>(R246)/($R$244-R288-R295)</f>
        <v>0.71796430440824233</v>
      </c>
      <c r="S302" s="25">
        <f>(S246)/($S$244-S288-S295)</f>
        <v>0.69909598349290059</v>
      </c>
    </row>
    <row r="303" spans="2:19" x14ac:dyDescent="0.3">
      <c r="B303" t="s">
        <v>291</v>
      </c>
      <c r="C303" t="s">
        <v>806</v>
      </c>
      <c r="H303" s="25">
        <f>(H258)/($H$244-H289-H296)</f>
        <v>0.52511337484371745</v>
      </c>
      <c r="I303" s="25">
        <f>(I258)/($I$244-I289-I296)</f>
        <v>0.60977578046569791</v>
      </c>
      <c r="J303" s="25">
        <f>(J258)/($J$244-J289-J296)</f>
        <v>0.58980915256446198</v>
      </c>
      <c r="K303" s="25">
        <f>(K258)/($K$244-K289-K296)</f>
        <v>0.57909770361215018</v>
      </c>
      <c r="L303" s="25">
        <f>(L258)/($L$244-L289-L296)</f>
        <v>0.52953314012241559</v>
      </c>
      <c r="M303" s="25">
        <f>(M258)/($M$244-M289-M296)</f>
        <v>0.54446725884177793</v>
      </c>
      <c r="N303" s="25">
        <f>(N258)/($N$244-N289-N296)</f>
        <v>0.6197959706027425</v>
      </c>
      <c r="O303" s="25">
        <f>(O258)/($O$244-O289-O296)</f>
        <v>0.56555636281112376</v>
      </c>
      <c r="P303" s="25">
        <f>(P258)/($P$244-P289-P296)</f>
        <v>0.61899172623991927</v>
      </c>
      <c r="Q303" s="25">
        <f>(Q258)/($Q$244-Q289-Q296)</f>
        <v>0.60811163266274604</v>
      </c>
      <c r="R303" s="25">
        <f>(R258)/($R$244-R289-R296)</f>
        <v>0.5864771339988587</v>
      </c>
      <c r="S303" s="25">
        <f>(S258)/($S$244-S289-S296)</f>
        <v>0.58050271182287116</v>
      </c>
    </row>
    <row r="304" spans="2:19" x14ac:dyDescent="0.3">
      <c r="B304" t="s">
        <v>223</v>
      </c>
      <c r="C304" t="s">
        <v>806</v>
      </c>
      <c r="H304" s="25">
        <f t="shared" ref="H304:H310" si="145">($H$244-H283-H290)/$H$244</f>
        <v>1</v>
      </c>
      <c r="I304" s="25">
        <f t="shared" ref="I304:I310" si="146">($I$244-I283-I290)/$I$244</f>
        <v>1</v>
      </c>
      <c r="J304" s="25">
        <f t="shared" ref="J304:J310" si="147">($J$244-J283-J290)/$J$244</f>
        <v>1</v>
      </c>
      <c r="K304" s="25">
        <f t="shared" ref="K304:K310" si="148">($K$244-K283-K290)/$K$244</f>
        <v>1</v>
      </c>
      <c r="L304" s="25">
        <f t="shared" ref="L304:L310" si="149">($L$244-L283-L290)/$L$244</f>
        <v>1</v>
      </c>
      <c r="M304" s="25">
        <f t="shared" ref="M304:M310" si="150">($M$244-M283-M290)/$M$244</f>
        <v>1</v>
      </c>
      <c r="N304" s="25">
        <f t="shared" ref="N304:N310" si="151">($N$244-N283-N290)/$N$244</f>
        <v>1</v>
      </c>
      <c r="O304" s="25">
        <f t="shared" ref="O304:O310" si="152">($O$244-O283-O290)/$O$244</f>
        <v>1</v>
      </c>
      <c r="P304" s="25">
        <f t="shared" ref="P304:P310" si="153">($P$244-P283-P290)/$P$244</f>
        <v>1</v>
      </c>
      <c r="Q304" s="25">
        <f t="shared" ref="Q304:Q310" si="154">($Q$244-Q283-Q290)/$Q$244</f>
        <v>1</v>
      </c>
      <c r="R304" s="25">
        <f t="shared" ref="R304:R310" si="155">($R$244-R283-R290)/$R$244</f>
        <v>1</v>
      </c>
      <c r="S304" s="25">
        <f t="shared" ref="S304:S310" si="156">($S$244-S283-S290)/$S$244</f>
        <v>1</v>
      </c>
    </row>
    <row r="305" spans="2:19" x14ac:dyDescent="0.3">
      <c r="B305" t="s">
        <v>224</v>
      </c>
      <c r="C305" t="s">
        <v>806</v>
      </c>
      <c r="H305" s="25">
        <f t="shared" si="145"/>
        <v>1</v>
      </c>
      <c r="I305" s="25">
        <f t="shared" si="146"/>
        <v>1</v>
      </c>
      <c r="J305" s="25">
        <f t="shared" si="147"/>
        <v>1</v>
      </c>
      <c r="K305" s="25">
        <f t="shared" si="148"/>
        <v>1</v>
      </c>
      <c r="L305" s="25">
        <f t="shared" si="149"/>
        <v>1</v>
      </c>
      <c r="M305" s="25">
        <f t="shared" si="150"/>
        <v>1</v>
      </c>
      <c r="N305" s="25">
        <f t="shared" si="151"/>
        <v>1</v>
      </c>
      <c r="O305" s="25">
        <f t="shared" si="152"/>
        <v>1</v>
      </c>
      <c r="P305" s="25">
        <f t="shared" si="153"/>
        <v>1</v>
      </c>
      <c r="Q305" s="25">
        <f t="shared" si="154"/>
        <v>1</v>
      </c>
      <c r="R305" s="25">
        <f t="shared" si="155"/>
        <v>1</v>
      </c>
      <c r="S305" s="25">
        <f t="shared" si="156"/>
        <v>1</v>
      </c>
    </row>
    <row r="306" spans="2:19" x14ac:dyDescent="0.3">
      <c r="B306" t="s">
        <v>225</v>
      </c>
      <c r="C306" t="s">
        <v>806</v>
      </c>
      <c r="H306" s="25">
        <f t="shared" si="145"/>
        <v>1</v>
      </c>
      <c r="I306" s="25">
        <f t="shared" si="146"/>
        <v>1</v>
      </c>
      <c r="J306" s="25">
        <f t="shared" si="147"/>
        <v>1</v>
      </c>
      <c r="K306" s="25">
        <f t="shared" si="148"/>
        <v>1</v>
      </c>
      <c r="L306" s="25">
        <f t="shared" si="149"/>
        <v>1</v>
      </c>
      <c r="M306" s="25">
        <f t="shared" si="150"/>
        <v>1</v>
      </c>
      <c r="N306" s="25">
        <f t="shared" si="151"/>
        <v>1</v>
      </c>
      <c r="O306" s="25">
        <f t="shared" si="152"/>
        <v>1</v>
      </c>
      <c r="P306" s="25">
        <f t="shared" si="153"/>
        <v>1</v>
      </c>
      <c r="Q306" s="25">
        <f t="shared" si="154"/>
        <v>1</v>
      </c>
      <c r="R306" s="25">
        <f t="shared" si="155"/>
        <v>1</v>
      </c>
      <c r="S306" s="25">
        <f t="shared" si="156"/>
        <v>1</v>
      </c>
    </row>
    <row r="307" spans="2:19" x14ac:dyDescent="0.3">
      <c r="B307" t="s">
        <v>226</v>
      </c>
      <c r="C307" t="s">
        <v>806</v>
      </c>
      <c r="H307" s="25">
        <f t="shared" si="145"/>
        <v>1</v>
      </c>
      <c r="I307" s="25">
        <f t="shared" si="146"/>
        <v>1</v>
      </c>
      <c r="J307" s="25">
        <f t="shared" si="147"/>
        <v>1</v>
      </c>
      <c r="K307" s="25">
        <f t="shared" si="148"/>
        <v>1</v>
      </c>
      <c r="L307" s="25">
        <f t="shared" si="149"/>
        <v>1</v>
      </c>
      <c r="M307" s="25">
        <f t="shared" si="150"/>
        <v>1</v>
      </c>
      <c r="N307" s="25">
        <f t="shared" si="151"/>
        <v>1</v>
      </c>
      <c r="O307" s="25">
        <f t="shared" si="152"/>
        <v>1</v>
      </c>
      <c r="P307" s="25">
        <f t="shared" si="153"/>
        <v>1</v>
      </c>
      <c r="Q307" s="25">
        <f t="shared" si="154"/>
        <v>1</v>
      </c>
      <c r="R307" s="25">
        <f t="shared" si="155"/>
        <v>1</v>
      </c>
      <c r="S307" s="25">
        <f t="shared" si="156"/>
        <v>1</v>
      </c>
    </row>
    <row r="308" spans="2:19" x14ac:dyDescent="0.3">
      <c r="B308" t="s">
        <v>227</v>
      </c>
      <c r="C308" t="s">
        <v>806</v>
      </c>
      <c r="H308" s="25">
        <f t="shared" si="145"/>
        <v>0.9946236559139785</v>
      </c>
      <c r="I308" s="25">
        <f t="shared" si="146"/>
        <v>0.99900793650793651</v>
      </c>
      <c r="J308" s="25">
        <f t="shared" si="147"/>
        <v>0.9838709677419355</v>
      </c>
      <c r="K308" s="25">
        <f t="shared" si="148"/>
        <v>0.98611111111111116</v>
      </c>
      <c r="L308" s="25">
        <f t="shared" si="149"/>
        <v>0.99910394265232982</v>
      </c>
      <c r="M308" s="25">
        <f t="shared" si="150"/>
        <v>0.97638888888888886</v>
      </c>
      <c r="N308" s="25">
        <f t="shared" si="151"/>
        <v>0.99193548387096775</v>
      </c>
      <c r="O308" s="25">
        <f t="shared" si="152"/>
        <v>0.99910394265232982</v>
      </c>
      <c r="P308" s="25">
        <f t="shared" si="153"/>
        <v>0.99027777777777781</v>
      </c>
      <c r="Q308" s="25">
        <f t="shared" si="154"/>
        <v>0.98252688172043012</v>
      </c>
      <c r="R308" s="25">
        <f t="shared" si="155"/>
        <v>0.99907407407407411</v>
      </c>
      <c r="S308" s="25">
        <f t="shared" si="156"/>
        <v>0.98320660118086889</v>
      </c>
    </row>
    <row r="309" spans="2:19" x14ac:dyDescent="0.3">
      <c r="B309" t="s">
        <v>228</v>
      </c>
      <c r="C309" t="s">
        <v>806</v>
      </c>
      <c r="H309" s="25">
        <f t="shared" si="145"/>
        <v>1</v>
      </c>
      <c r="I309" s="25">
        <f t="shared" si="146"/>
        <v>1</v>
      </c>
      <c r="J309" s="25">
        <f t="shared" si="147"/>
        <v>1</v>
      </c>
      <c r="K309" s="25">
        <f t="shared" si="148"/>
        <v>1</v>
      </c>
      <c r="L309" s="25">
        <f t="shared" si="149"/>
        <v>1</v>
      </c>
      <c r="M309" s="25">
        <f t="shared" si="150"/>
        <v>1</v>
      </c>
      <c r="N309" s="25">
        <f t="shared" si="151"/>
        <v>1</v>
      </c>
      <c r="O309" s="25">
        <f t="shared" si="152"/>
        <v>1</v>
      </c>
      <c r="P309" s="25">
        <f t="shared" si="153"/>
        <v>1</v>
      </c>
      <c r="Q309" s="25">
        <f t="shared" si="154"/>
        <v>1</v>
      </c>
      <c r="R309" s="25">
        <f t="shared" si="155"/>
        <v>1</v>
      </c>
      <c r="S309" s="25">
        <f t="shared" si="156"/>
        <v>1</v>
      </c>
    </row>
    <row r="310" spans="2:19" x14ac:dyDescent="0.3">
      <c r="B310" t="s">
        <v>290</v>
      </c>
      <c r="C310" t="s">
        <v>806</v>
      </c>
      <c r="H310" s="25">
        <f t="shared" si="145"/>
        <v>1</v>
      </c>
      <c r="I310" s="25">
        <f t="shared" si="146"/>
        <v>1</v>
      </c>
      <c r="J310" s="25">
        <f t="shared" si="147"/>
        <v>1</v>
      </c>
      <c r="K310" s="25">
        <f t="shared" si="148"/>
        <v>1</v>
      </c>
      <c r="L310" s="25">
        <f t="shared" si="149"/>
        <v>1</v>
      </c>
      <c r="M310" s="25">
        <f t="shared" si="150"/>
        <v>1</v>
      </c>
      <c r="N310" s="25">
        <f t="shared" si="151"/>
        <v>1</v>
      </c>
      <c r="O310" s="25">
        <f t="shared" si="152"/>
        <v>1</v>
      </c>
      <c r="P310" s="25">
        <f t="shared" si="153"/>
        <v>1</v>
      </c>
      <c r="Q310" s="25">
        <f t="shared" si="154"/>
        <v>1</v>
      </c>
      <c r="R310" s="25">
        <f t="shared" si="155"/>
        <v>1</v>
      </c>
      <c r="S310" s="25">
        <f t="shared" si="156"/>
        <v>1</v>
      </c>
    </row>
    <row r="311" spans="2:19" x14ac:dyDescent="0.3">
      <c r="B311" t="s">
        <v>229</v>
      </c>
      <c r="C311" t="s">
        <v>809</v>
      </c>
      <c r="H311" s="20">
        <v>1</v>
      </c>
      <c r="I311" s="20">
        <v>1</v>
      </c>
      <c r="J311" s="20">
        <v>1</v>
      </c>
      <c r="K311" s="20">
        <v>1</v>
      </c>
      <c r="L311" s="20">
        <v>1</v>
      </c>
      <c r="M311" s="20">
        <v>1</v>
      </c>
      <c r="N311" s="20">
        <v>1</v>
      </c>
      <c r="O311" s="20">
        <v>1</v>
      </c>
      <c r="P311" s="20">
        <v>1</v>
      </c>
      <c r="Q311" s="20">
        <v>1</v>
      </c>
      <c r="R311" s="20">
        <v>1</v>
      </c>
      <c r="S311" s="20">
        <v>1</v>
      </c>
    </row>
    <row r="312" spans="2:19" x14ac:dyDescent="0.3">
      <c r="B312" t="s">
        <v>236</v>
      </c>
      <c r="C312" t="s">
        <v>76</v>
      </c>
      <c r="H312" s="27">
        <v>850</v>
      </c>
      <c r="I312" s="27">
        <v>850</v>
      </c>
      <c r="J312" s="27">
        <v>850</v>
      </c>
      <c r="K312" s="27">
        <v>850</v>
      </c>
      <c r="L312" s="27">
        <v>850</v>
      </c>
      <c r="M312" s="27">
        <v>850</v>
      </c>
      <c r="N312" s="27">
        <v>850</v>
      </c>
      <c r="O312" s="27">
        <v>850</v>
      </c>
      <c r="P312" s="27">
        <v>850</v>
      </c>
      <c r="Q312" s="27">
        <v>850</v>
      </c>
      <c r="R312" s="27">
        <v>850</v>
      </c>
      <c r="S312" s="27">
        <v>850</v>
      </c>
    </row>
    <row r="313" spans="2:19" x14ac:dyDescent="0.3">
      <c r="B313" t="s">
        <v>237</v>
      </c>
      <c r="C313" t="s">
        <v>76</v>
      </c>
      <c r="H313" s="27">
        <v>260</v>
      </c>
      <c r="I313" s="27">
        <v>260</v>
      </c>
      <c r="J313" s="27">
        <v>260</v>
      </c>
      <c r="K313" s="27">
        <v>260</v>
      </c>
      <c r="L313" s="27">
        <v>260</v>
      </c>
      <c r="M313" s="27">
        <v>260</v>
      </c>
      <c r="N313" s="27">
        <v>260</v>
      </c>
      <c r="O313" s="27">
        <v>260</v>
      </c>
      <c r="P313" s="27">
        <v>260</v>
      </c>
      <c r="Q313" s="27">
        <v>260</v>
      </c>
      <c r="R313" s="27">
        <v>260</v>
      </c>
      <c r="S313" s="27">
        <v>260</v>
      </c>
    </row>
    <row r="314" spans="2:19" x14ac:dyDescent="0.3">
      <c r="B314" t="s">
        <v>238</v>
      </c>
      <c r="C314" t="s">
        <v>76</v>
      </c>
      <c r="H314" s="27">
        <v>20</v>
      </c>
      <c r="I314" s="27">
        <v>20</v>
      </c>
      <c r="J314" s="27">
        <v>20</v>
      </c>
      <c r="K314" s="27">
        <v>20</v>
      </c>
      <c r="L314" s="27">
        <v>20</v>
      </c>
      <c r="M314" s="27">
        <v>20</v>
      </c>
      <c r="N314" s="27">
        <v>20</v>
      </c>
      <c r="O314" s="27">
        <v>20</v>
      </c>
      <c r="P314" s="27">
        <v>20</v>
      </c>
      <c r="Q314" s="27">
        <v>20</v>
      </c>
      <c r="R314" s="27">
        <v>20</v>
      </c>
      <c r="S314" s="27">
        <v>20</v>
      </c>
    </row>
    <row r="315" spans="2:19" x14ac:dyDescent="0.3">
      <c r="B315" t="s">
        <v>239</v>
      </c>
      <c r="C315" t="s">
        <v>76</v>
      </c>
      <c r="H315" s="27">
        <v>4</v>
      </c>
      <c r="I315" s="27">
        <v>4</v>
      </c>
      <c r="J315" s="27">
        <v>4</v>
      </c>
      <c r="K315" s="27">
        <v>4</v>
      </c>
      <c r="L315" s="27">
        <v>4</v>
      </c>
      <c r="M315" s="27">
        <v>4</v>
      </c>
      <c r="N315" s="27">
        <v>4</v>
      </c>
      <c r="O315" s="27">
        <v>4</v>
      </c>
      <c r="P315" s="27">
        <v>4</v>
      </c>
      <c r="Q315" s="27">
        <v>4</v>
      </c>
      <c r="R315" s="27">
        <v>4</v>
      </c>
      <c r="S315" s="27">
        <v>4</v>
      </c>
    </row>
    <row r="316" spans="2:19" x14ac:dyDescent="0.3">
      <c r="B316" t="s">
        <v>240</v>
      </c>
      <c r="C316" t="s">
        <v>76</v>
      </c>
      <c r="H316" s="20">
        <v>139</v>
      </c>
      <c r="I316" s="20">
        <v>139</v>
      </c>
      <c r="J316" s="20">
        <v>139</v>
      </c>
      <c r="K316" s="20">
        <v>139</v>
      </c>
      <c r="L316" s="20">
        <v>139</v>
      </c>
      <c r="M316" s="20">
        <v>139</v>
      </c>
      <c r="N316" s="20">
        <v>139</v>
      </c>
      <c r="O316" s="20">
        <v>139</v>
      </c>
      <c r="P316" s="20">
        <v>139</v>
      </c>
      <c r="Q316" s="20">
        <v>139</v>
      </c>
      <c r="R316" s="20">
        <v>139</v>
      </c>
      <c r="S316" s="20">
        <v>139</v>
      </c>
    </row>
    <row r="317" spans="2:19" x14ac:dyDescent="0.3">
      <c r="B317" t="s">
        <v>241</v>
      </c>
      <c r="C317" t="s">
        <v>76</v>
      </c>
      <c r="H317" s="27">
        <v>220</v>
      </c>
      <c r="I317" s="27">
        <v>220</v>
      </c>
      <c r="J317" s="27">
        <v>220</v>
      </c>
      <c r="K317" s="27">
        <v>220</v>
      </c>
      <c r="L317" s="27">
        <v>220</v>
      </c>
      <c r="M317" s="27">
        <v>220</v>
      </c>
      <c r="N317" s="27">
        <v>220</v>
      </c>
      <c r="O317" s="27">
        <v>220</v>
      </c>
      <c r="P317" s="27">
        <v>220</v>
      </c>
      <c r="Q317" s="27">
        <v>220</v>
      </c>
      <c r="R317" s="27">
        <v>220</v>
      </c>
      <c r="S317" s="27">
        <v>220</v>
      </c>
    </row>
    <row r="318" spans="2:19" x14ac:dyDescent="0.3">
      <c r="B318" t="s">
        <v>289</v>
      </c>
      <c r="C318" t="s">
        <v>76</v>
      </c>
      <c r="H318" s="27">
        <v>200</v>
      </c>
      <c r="I318" s="27">
        <v>200</v>
      </c>
      <c r="J318" s="27">
        <v>200</v>
      </c>
      <c r="K318" s="27">
        <v>200</v>
      </c>
      <c r="L318" s="27">
        <v>200</v>
      </c>
      <c r="M318" s="27">
        <v>200</v>
      </c>
      <c r="N318" s="27">
        <v>200</v>
      </c>
      <c r="O318" s="27">
        <v>200</v>
      </c>
      <c r="P318" s="27">
        <v>200</v>
      </c>
      <c r="Q318" s="27">
        <v>200</v>
      </c>
      <c r="R318" s="27">
        <v>200</v>
      </c>
      <c r="S318" s="27">
        <v>200</v>
      </c>
    </row>
    <row r="319" spans="2:19" x14ac:dyDescent="0.3">
      <c r="B319" t="s">
        <v>242</v>
      </c>
      <c r="C319" t="s">
        <v>806</v>
      </c>
      <c r="H319" s="25">
        <f>((H266+H269)/(H267+H270))/H312</f>
        <v>0.9187901385488082</v>
      </c>
      <c r="I319" s="25">
        <f t="shared" ref="I319:S319" si="157">((I266+I269)/(I267+I270))/I312</f>
        <v>0.91785742449019581</v>
      </c>
      <c r="J319" s="25">
        <f t="shared" si="157"/>
        <v>0.91072818747909468</v>
      </c>
      <c r="K319" s="25">
        <f t="shared" si="157"/>
        <v>0.91275813948456852</v>
      </c>
      <c r="L319" s="25">
        <f t="shared" si="157"/>
        <v>0.91947732795378478</v>
      </c>
      <c r="M319" s="25">
        <f t="shared" si="157"/>
        <v>0.90104109038210867</v>
      </c>
      <c r="N319" s="25">
        <f t="shared" si="157"/>
        <v>0.91501453087545881</v>
      </c>
      <c r="O319" s="25">
        <f t="shared" si="157"/>
        <v>0.91944913767216707</v>
      </c>
      <c r="P319" s="25">
        <f t="shared" si="157"/>
        <v>0.91365580265196944</v>
      </c>
      <c r="Q319" s="25">
        <f t="shared" si="157"/>
        <v>0.90677914211565003</v>
      </c>
      <c r="R319" s="25">
        <f t="shared" si="157"/>
        <v>0.91782607874134758</v>
      </c>
      <c r="S319" s="25">
        <f t="shared" si="157"/>
        <v>0.9080636602511124</v>
      </c>
    </row>
    <row r="320" spans="2:19" x14ac:dyDescent="0.3">
      <c r="B320" t="s">
        <v>243</v>
      </c>
      <c r="C320" t="s">
        <v>806</v>
      </c>
      <c r="H320" s="25">
        <f>H265/H313</f>
        <v>0.96153846153846156</v>
      </c>
      <c r="I320" s="25">
        <f t="shared" ref="I320:S320" si="158">I265/I313</f>
        <v>0.96153846153846156</v>
      </c>
      <c r="J320" s="25">
        <f t="shared" si="158"/>
        <v>0.96153846153846156</v>
      </c>
      <c r="K320" s="25">
        <f t="shared" si="158"/>
        <v>0.96153846153846156</v>
      </c>
      <c r="L320" s="25">
        <f t="shared" si="158"/>
        <v>0.96153846153846156</v>
      </c>
      <c r="M320" s="25">
        <f t="shared" si="158"/>
        <v>0.96153846153846156</v>
      </c>
      <c r="N320" s="25">
        <f t="shared" si="158"/>
        <v>0.96153846153846156</v>
      </c>
      <c r="O320" s="25">
        <f t="shared" si="158"/>
        <v>0.96153846153846156</v>
      </c>
      <c r="P320" s="25">
        <f t="shared" si="158"/>
        <v>0.96153846153846156</v>
      </c>
      <c r="Q320" s="25">
        <f t="shared" si="158"/>
        <v>0.96153846153846156</v>
      </c>
      <c r="R320" s="25">
        <f t="shared" si="158"/>
        <v>0.96153846153846156</v>
      </c>
      <c r="S320" s="25">
        <f t="shared" si="158"/>
        <v>0.96153846153846156</v>
      </c>
    </row>
    <row r="321" spans="2:19" x14ac:dyDescent="0.3">
      <c r="B321" t="s">
        <v>244</v>
      </c>
      <c r="C321" t="s">
        <v>806</v>
      </c>
      <c r="H321" s="25">
        <f>H274/H314</f>
        <v>0.92500000000000004</v>
      </c>
      <c r="I321" s="25">
        <f t="shared" ref="I321:S321" si="159">I274/I314</f>
        <v>0.92500000000000004</v>
      </c>
      <c r="J321" s="25">
        <f t="shared" si="159"/>
        <v>0.92500000000000004</v>
      </c>
      <c r="K321" s="25">
        <f t="shared" si="159"/>
        <v>0.92500000000000004</v>
      </c>
      <c r="L321" s="25">
        <f t="shared" si="159"/>
        <v>0.92500000000000004</v>
      </c>
      <c r="M321" s="25">
        <f t="shared" si="159"/>
        <v>0.92500000000000004</v>
      </c>
      <c r="N321" s="25">
        <f t="shared" si="159"/>
        <v>0.92500000000000004</v>
      </c>
      <c r="O321" s="25">
        <f t="shared" si="159"/>
        <v>0.92500000000000004</v>
      </c>
      <c r="P321" s="25">
        <f t="shared" si="159"/>
        <v>0.92500000000000004</v>
      </c>
      <c r="Q321" s="25">
        <f t="shared" si="159"/>
        <v>0.92500000000000004</v>
      </c>
      <c r="R321" s="25">
        <f t="shared" si="159"/>
        <v>0.92500000000000004</v>
      </c>
      <c r="S321" s="25">
        <f t="shared" si="159"/>
        <v>0.92500000000000004</v>
      </c>
    </row>
    <row r="322" spans="2:19" x14ac:dyDescent="0.3">
      <c r="B322" t="s">
        <v>245</v>
      </c>
      <c r="C322" t="s">
        <v>806</v>
      </c>
      <c r="H322" s="25">
        <f>I277/H315</f>
        <v>0.75</v>
      </c>
      <c r="I322" s="25">
        <f>J277/I315</f>
        <v>0.75</v>
      </c>
      <c r="J322" s="25">
        <f t="shared" ref="J322:S322" si="160">J277/J315</f>
        <v>0.75</v>
      </c>
      <c r="K322" s="25">
        <f t="shared" si="160"/>
        <v>0.75</v>
      </c>
      <c r="L322" s="25">
        <f t="shared" si="160"/>
        <v>0.75</v>
      </c>
      <c r="M322" s="25">
        <f t="shared" si="160"/>
        <v>0.75</v>
      </c>
      <c r="N322" s="25">
        <f t="shared" si="160"/>
        <v>0.75</v>
      </c>
      <c r="O322" s="25">
        <f t="shared" si="160"/>
        <v>0.75</v>
      </c>
      <c r="P322" s="25">
        <f t="shared" si="160"/>
        <v>0.75</v>
      </c>
      <c r="Q322" s="25">
        <f t="shared" si="160"/>
        <v>0.75</v>
      </c>
      <c r="R322" s="25">
        <f t="shared" si="160"/>
        <v>0.75</v>
      </c>
      <c r="S322" s="25">
        <f t="shared" si="160"/>
        <v>0.75</v>
      </c>
    </row>
    <row r="323" spans="2:19" x14ac:dyDescent="0.3">
      <c r="B323" t="s">
        <v>246</v>
      </c>
      <c r="C323" t="s">
        <v>806</v>
      </c>
      <c r="H323" s="25">
        <f>H262/H316</f>
        <v>0.91426858513189213</v>
      </c>
      <c r="I323" s="25">
        <f t="shared" ref="I323:S323" si="161">I262/I316</f>
        <v>0.91426858513189213</v>
      </c>
      <c r="J323" s="25">
        <f t="shared" si="161"/>
        <v>0.91426858513189213</v>
      </c>
      <c r="K323" s="25">
        <f t="shared" si="161"/>
        <v>0.91426858513189213</v>
      </c>
      <c r="L323" s="25">
        <f t="shared" si="161"/>
        <v>0.91426858513189213</v>
      </c>
      <c r="M323" s="25">
        <f t="shared" si="161"/>
        <v>0.91426858513189213</v>
      </c>
      <c r="N323" s="25">
        <f t="shared" si="161"/>
        <v>0.91426858513189202</v>
      </c>
      <c r="O323" s="25">
        <f t="shared" si="161"/>
        <v>0.91426858513189213</v>
      </c>
      <c r="P323" s="25">
        <f t="shared" si="161"/>
        <v>0.91426858513189202</v>
      </c>
      <c r="Q323" s="25">
        <f t="shared" si="161"/>
        <v>0.91426858513189213</v>
      </c>
      <c r="R323" s="25">
        <f t="shared" si="161"/>
        <v>0.91426858513189224</v>
      </c>
      <c r="S323" s="25">
        <f t="shared" si="161"/>
        <v>0.91426858513189213</v>
      </c>
    </row>
    <row r="324" spans="2:19" x14ac:dyDescent="0.3">
      <c r="B324" t="s">
        <v>247</v>
      </c>
      <c r="C324" t="s">
        <v>806</v>
      </c>
      <c r="H324" s="25">
        <f t="shared" ref="H324:S324" si="162">H247/H317</f>
        <v>0.95255325051769069</v>
      </c>
      <c r="I324" s="25">
        <f t="shared" si="162"/>
        <v>0.94858428878424339</v>
      </c>
      <c r="J324" s="25">
        <f t="shared" si="162"/>
        <v>0.95020560571395651</v>
      </c>
      <c r="K324" s="25">
        <f t="shared" si="162"/>
        <v>0.95202249168968212</v>
      </c>
      <c r="L324" s="25">
        <f t="shared" si="162"/>
        <v>0.9474708472353337</v>
      </c>
      <c r="M324" s="25">
        <f t="shared" si="162"/>
        <v>0.94868873978381707</v>
      </c>
      <c r="N324" s="25">
        <f t="shared" si="162"/>
        <v>0.94966195617200344</v>
      </c>
      <c r="O324" s="25">
        <f t="shared" si="162"/>
        <v>0.94912548669928132</v>
      </c>
      <c r="P324" s="25">
        <f t="shared" si="162"/>
        <v>0.9490242369953592</v>
      </c>
      <c r="Q324" s="25">
        <f t="shared" si="162"/>
        <v>0.94903647235739597</v>
      </c>
      <c r="R324" s="25">
        <f t="shared" si="162"/>
        <v>0.95018843526757346</v>
      </c>
      <c r="S324" s="25">
        <f t="shared" si="162"/>
        <v>0.95327188807478824</v>
      </c>
    </row>
    <row r="325" spans="2:19" x14ac:dyDescent="0.3">
      <c r="B325" t="s">
        <v>288</v>
      </c>
      <c r="C325" t="s">
        <v>806</v>
      </c>
      <c r="H325" s="25">
        <f>H259/H318</f>
        <v>0.9</v>
      </c>
      <c r="I325" s="25">
        <f t="shared" ref="I325:S325" si="163">I259/I318</f>
        <v>0.9</v>
      </c>
      <c r="J325" s="25">
        <f t="shared" si="163"/>
        <v>0.9</v>
      </c>
      <c r="K325" s="25">
        <f t="shared" si="163"/>
        <v>0.9</v>
      </c>
      <c r="L325" s="25">
        <f t="shared" si="163"/>
        <v>0.9</v>
      </c>
      <c r="M325" s="25">
        <f t="shared" si="163"/>
        <v>0.9</v>
      </c>
      <c r="N325" s="25">
        <f t="shared" si="163"/>
        <v>0.9</v>
      </c>
      <c r="O325" s="25">
        <f t="shared" si="163"/>
        <v>0.9</v>
      </c>
      <c r="P325" s="25">
        <f t="shared" si="163"/>
        <v>0.9</v>
      </c>
      <c r="Q325" s="25">
        <f t="shared" si="163"/>
        <v>0.9</v>
      </c>
      <c r="R325" s="25">
        <f t="shared" si="163"/>
        <v>0.9</v>
      </c>
      <c r="S325" s="25">
        <f t="shared" si="163"/>
        <v>0.9</v>
      </c>
    </row>
    <row r="326" spans="2:19" x14ac:dyDescent="0.3">
      <c r="B326" t="s">
        <v>230</v>
      </c>
      <c r="C326" t="s">
        <v>806</v>
      </c>
      <c r="H326" s="25">
        <f t="shared" ref="H326:H331" si="164">H297*H319*$H$311</f>
        <v>0.25164859939504386</v>
      </c>
      <c r="I326" s="25">
        <f t="shared" ref="I326:I331" si="165">I297*I319*$I$311</f>
        <v>0.28533901184236066</v>
      </c>
      <c r="J326" s="25">
        <f t="shared" ref="J326:J331" si="166">J297*J319*$J$311</f>
        <v>0.20644127980160445</v>
      </c>
      <c r="K326" s="25">
        <f t="shared" ref="K326:K331" si="167">K297*K319*$K$311</f>
        <v>0.2047555490843202</v>
      </c>
      <c r="L326" s="25">
        <f t="shared" ref="L326:L331" si="168">L297*L319*$L$311</f>
        <v>0.28034017823034674</v>
      </c>
      <c r="M326" s="25">
        <f t="shared" ref="M326:M331" si="169">M297*M319*$M$311</f>
        <v>0.15432966090726716</v>
      </c>
      <c r="N326" s="25">
        <f t="shared" ref="N326:N331" si="170">N297*N319*$N$311</f>
        <v>0.24118789962487713</v>
      </c>
      <c r="O326" s="25">
        <f t="shared" ref="O326:O331" si="171">O297*O319*$O$311</f>
        <v>0.28420334917742246</v>
      </c>
      <c r="P326" s="25">
        <f t="shared" ref="P326:P331" si="172">P297*P319*$P$311</f>
        <v>0.23811517181129879</v>
      </c>
      <c r="Q326" s="25">
        <f t="shared" ref="Q326:Q331" si="173">Q297*Q319*$Q$311</f>
        <v>0.19376679129013472</v>
      </c>
      <c r="R326" s="25">
        <f t="shared" ref="R326:R331" si="174">R297*R319*$R$311</f>
        <v>0.28627612761276122</v>
      </c>
      <c r="S326" s="25">
        <f t="shared" ref="S326:S331" si="175">S297*S319*$S$311</f>
        <v>0.19493952249938401</v>
      </c>
    </row>
    <row r="327" spans="2:19" x14ac:dyDescent="0.3">
      <c r="B327" t="s">
        <v>231</v>
      </c>
      <c r="C327" t="s">
        <v>806</v>
      </c>
      <c r="H327" s="25">
        <f t="shared" si="164"/>
        <v>0.68238213399503722</v>
      </c>
      <c r="I327" s="25">
        <f t="shared" si="165"/>
        <v>0.76264880952380953</v>
      </c>
      <c r="J327" s="25">
        <f t="shared" si="166"/>
        <v>0.49110835401157982</v>
      </c>
      <c r="K327" s="25">
        <f t="shared" si="167"/>
        <v>0.52083333333333326</v>
      </c>
      <c r="L327" s="25">
        <f t="shared" si="168"/>
        <v>0.76251033912324229</v>
      </c>
      <c r="M327" s="25">
        <f t="shared" si="169"/>
        <v>0.34722222222222221</v>
      </c>
      <c r="N327" s="25">
        <f t="shared" si="170"/>
        <v>0.63327129859387921</v>
      </c>
      <c r="O327" s="25">
        <f t="shared" si="171"/>
        <v>0.75734077750206785</v>
      </c>
      <c r="P327" s="25">
        <f t="shared" si="172"/>
        <v>0.60763888888888884</v>
      </c>
      <c r="Q327" s="25">
        <f t="shared" si="173"/>
        <v>0.46267576509511998</v>
      </c>
      <c r="R327" s="25">
        <f t="shared" si="174"/>
        <v>0.76121794871794868</v>
      </c>
      <c r="S327" s="25">
        <f t="shared" si="175"/>
        <v>0.47220310400871818</v>
      </c>
    </row>
    <row r="328" spans="2:19" x14ac:dyDescent="0.3">
      <c r="B328" t="s">
        <v>232</v>
      </c>
      <c r="C328" t="s">
        <v>806</v>
      </c>
      <c r="H328" s="25">
        <f t="shared" si="164"/>
        <v>0.61781767866900594</v>
      </c>
      <c r="I328" s="25">
        <f t="shared" si="165"/>
        <v>0.69246498663597467</v>
      </c>
      <c r="J328" s="25">
        <f t="shared" si="166"/>
        <v>0.43458806287434187</v>
      </c>
      <c r="K328" s="25">
        <f t="shared" si="167"/>
        <v>0.46973307138070874</v>
      </c>
      <c r="L328" s="25">
        <f t="shared" si="168"/>
        <v>0.69416335191678236</v>
      </c>
      <c r="M328" s="25">
        <f t="shared" si="169"/>
        <v>0.30707137939595552</v>
      </c>
      <c r="N328" s="25">
        <f t="shared" si="170"/>
        <v>0.56909890153041531</v>
      </c>
      <c r="O328" s="25">
        <f t="shared" si="171"/>
        <v>0.69416335191678236</v>
      </c>
      <c r="P328" s="25">
        <f t="shared" si="172"/>
        <v>0.54374296646406295</v>
      </c>
      <c r="Q328" s="25">
        <f t="shared" si="173"/>
        <v>0.40877298771008447</v>
      </c>
      <c r="R328" s="25">
        <f t="shared" si="174"/>
        <v>0.69363497160719789</v>
      </c>
      <c r="S328" s="25">
        <f t="shared" si="175"/>
        <v>0.42035564811942938</v>
      </c>
    </row>
    <row r="329" spans="2:19" x14ac:dyDescent="0.3">
      <c r="B329" t="s">
        <v>233</v>
      </c>
      <c r="C329" t="s">
        <v>806</v>
      </c>
      <c r="H329" s="25">
        <f t="shared" si="164"/>
        <v>0.53053571299991642</v>
      </c>
      <c r="I329" s="25">
        <f t="shared" si="165"/>
        <v>0.59463041554047069</v>
      </c>
      <c r="J329" s="25">
        <f t="shared" si="166"/>
        <v>0.37333994618512634</v>
      </c>
      <c r="K329" s="25">
        <f t="shared" si="167"/>
        <v>0.40608906427154096</v>
      </c>
      <c r="L329" s="25">
        <f t="shared" si="168"/>
        <v>0.59603394917274544</v>
      </c>
      <c r="M329" s="25">
        <f t="shared" si="169"/>
        <v>0.26395789177650159</v>
      </c>
      <c r="N329" s="25">
        <f t="shared" si="170"/>
        <v>0.49123677129621879</v>
      </c>
      <c r="O329" s="25">
        <f t="shared" si="171"/>
        <v>0.59603394917274544</v>
      </c>
      <c r="P329" s="25">
        <f t="shared" si="172"/>
        <v>0.46700242391227209</v>
      </c>
      <c r="Q329" s="25">
        <f t="shared" si="173"/>
        <v>0.35369047533327752</v>
      </c>
      <c r="R329" s="25">
        <f t="shared" si="174"/>
        <v>0.59559729426492669</v>
      </c>
      <c r="S329" s="25">
        <f t="shared" si="175"/>
        <v>0.36362743436092027</v>
      </c>
    </row>
    <row r="330" spans="2:19" x14ac:dyDescent="0.3">
      <c r="B330" t="s">
        <v>234</v>
      </c>
      <c r="C330" t="s">
        <v>806</v>
      </c>
      <c r="H330" s="25">
        <f t="shared" si="164"/>
        <v>0.80060276103441375</v>
      </c>
      <c r="I330" s="25">
        <f t="shared" si="165"/>
        <v>0.89338658169789653</v>
      </c>
      <c r="J330" s="25">
        <f t="shared" si="166"/>
        <v>0.56954436450839185</v>
      </c>
      <c r="K330" s="25">
        <f t="shared" si="167"/>
        <v>0.61809707163846228</v>
      </c>
      <c r="L330" s="25">
        <f t="shared" si="168"/>
        <v>0.89540923315159293</v>
      </c>
      <c r="M330" s="25">
        <f t="shared" si="169"/>
        <v>0.40576358259054107</v>
      </c>
      <c r="N330" s="25">
        <f t="shared" si="170"/>
        <v>0.74330779279015613</v>
      </c>
      <c r="O330" s="25">
        <f t="shared" si="171"/>
        <v>0.89540923315159293</v>
      </c>
      <c r="P330" s="25">
        <f t="shared" si="172"/>
        <v>0.70782084010210988</v>
      </c>
      <c r="Q330" s="25">
        <f t="shared" si="173"/>
        <v>0.54030646891515377</v>
      </c>
      <c r="R330" s="25">
        <f t="shared" si="174"/>
        <v>0.89478000546735703</v>
      </c>
      <c r="S330" s="25">
        <f t="shared" si="175"/>
        <v>0.55510239354195456</v>
      </c>
    </row>
    <row r="331" spans="2:19" x14ac:dyDescent="0.3">
      <c r="B331" t="s">
        <v>235</v>
      </c>
      <c r="C331" t="s">
        <v>806</v>
      </c>
      <c r="H331" s="25">
        <f t="shared" si="164"/>
        <v>0.60331897185903793</v>
      </c>
      <c r="I331" s="25">
        <f t="shared" si="165"/>
        <v>0.71462449817443841</v>
      </c>
      <c r="J331" s="25">
        <f t="shared" si="166"/>
        <v>0.68602219908615902</v>
      </c>
      <c r="K331" s="25">
        <f t="shared" si="167"/>
        <v>0.66644458111110916</v>
      </c>
      <c r="L331" s="25">
        <f t="shared" si="168"/>
        <v>0.62465786562130154</v>
      </c>
      <c r="M331" s="25">
        <f t="shared" si="169"/>
        <v>0.63788157724512173</v>
      </c>
      <c r="N331" s="25">
        <f t="shared" si="170"/>
        <v>0.72240991852704584</v>
      </c>
      <c r="O331" s="25">
        <f t="shared" si="171"/>
        <v>0.66048572592024224</v>
      </c>
      <c r="P331" s="25">
        <f t="shared" si="172"/>
        <v>0.72341242668199635</v>
      </c>
      <c r="Q331" s="25">
        <f t="shared" si="173"/>
        <v>0.71101342706872472</v>
      </c>
      <c r="R331" s="25">
        <f t="shared" si="174"/>
        <v>0.68220137898363953</v>
      </c>
      <c r="S331" s="25">
        <f t="shared" si="175"/>
        <v>0.66642854812977836</v>
      </c>
    </row>
    <row r="332" spans="2:19" x14ac:dyDescent="0.3">
      <c r="B332" t="s">
        <v>287</v>
      </c>
      <c r="C332" t="s">
        <v>806</v>
      </c>
      <c r="H332" s="25">
        <f>H303*H325*$H$310</f>
        <v>0.47260203735934569</v>
      </c>
      <c r="I332" s="25">
        <f>I303*I325*$I$310</f>
        <v>0.54879820241912813</v>
      </c>
      <c r="J332" s="25">
        <f>J303*J325*$J$310</f>
        <v>0.53082823730801576</v>
      </c>
      <c r="K332" s="25">
        <f>K303*K325*$K$310</f>
        <v>0.52118793325093515</v>
      </c>
      <c r="L332" s="25">
        <f>L303*L325*$L$310</f>
        <v>0.47657982611017402</v>
      </c>
      <c r="M332" s="25">
        <f>M303*M325*$M$310</f>
        <v>0.49002053295760017</v>
      </c>
      <c r="N332" s="25">
        <f>N303*N325*$N$310</f>
        <v>0.55781637354246827</v>
      </c>
      <c r="O332" s="25">
        <f>O303*O325*$O$310</f>
        <v>0.50900072653001138</v>
      </c>
      <c r="P332" s="25">
        <f>P303*P325*$P$310</f>
        <v>0.55709255361592736</v>
      </c>
      <c r="Q332" s="25">
        <f>Q303*Q325*$Q$310</f>
        <v>0.54730046939647148</v>
      </c>
      <c r="R332" s="25">
        <f>R303*R325*$R$310</f>
        <v>0.52782942059897286</v>
      </c>
      <c r="S332" s="25">
        <f>S303*S325*$S$310</f>
        <v>0.52245244064058405</v>
      </c>
    </row>
    <row r="333" spans="2:19" x14ac:dyDescent="0.3">
      <c r="B333" t="s">
        <v>254</v>
      </c>
      <c r="C333" t="s">
        <v>809</v>
      </c>
      <c r="H333" s="27">
        <v>2</v>
      </c>
      <c r="I333" s="27">
        <v>2</v>
      </c>
      <c r="J333" s="27">
        <v>2</v>
      </c>
      <c r="K333" s="27">
        <v>2</v>
      </c>
      <c r="L333" s="27">
        <v>2</v>
      </c>
      <c r="M333" s="27">
        <v>2</v>
      </c>
      <c r="N333" s="27">
        <v>2</v>
      </c>
      <c r="O333" s="27">
        <v>2</v>
      </c>
      <c r="P333" s="27">
        <v>2</v>
      </c>
      <c r="Q333" s="27">
        <v>2</v>
      </c>
      <c r="R333" s="27">
        <v>2</v>
      </c>
      <c r="S333" s="27">
        <v>2</v>
      </c>
    </row>
    <row r="334" spans="2:19" x14ac:dyDescent="0.3">
      <c r="B334" t="s">
        <v>255</v>
      </c>
      <c r="C334" t="s">
        <v>809</v>
      </c>
      <c r="H334" s="27">
        <v>2</v>
      </c>
      <c r="I334" s="27">
        <v>2</v>
      </c>
      <c r="J334" s="27">
        <v>2</v>
      </c>
      <c r="K334" s="27">
        <v>2</v>
      </c>
      <c r="L334" s="27">
        <v>2</v>
      </c>
      <c r="M334" s="27">
        <v>2</v>
      </c>
      <c r="N334" s="27">
        <v>2</v>
      </c>
      <c r="O334" s="27">
        <v>2</v>
      </c>
      <c r="P334" s="27">
        <v>2</v>
      </c>
      <c r="Q334" s="27">
        <v>2</v>
      </c>
      <c r="R334" s="27">
        <v>2</v>
      </c>
      <c r="S334" s="27">
        <v>2</v>
      </c>
    </row>
    <row r="335" spans="2:19" x14ac:dyDescent="0.3">
      <c r="B335" t="s">
        <v>256</v>
      </c>
      <c r="C335" t="s">
        <v>809</v>
      </c>
      <c r="H335" s="27">
        <v>2</v>
      </c>
      <c r="I335" s="27">
        <v>2</v>
      </c>
      <c r="J335" s="27">
        <v>2</v>
      </c>
      <c r="K335" s="27">
        <v>2</v>
      </c>
      <c r="L335" s="27">
        <v>2</v>
      </c>
      <c r="M335" s="27">
        <v>2</v>
      </c>
      <c r="N335" s="27">
        <v>2</v>
      </c>
      <c r="O335" s="27">
        <v>2</v>
      </c>
      <c r="P335" s="27">
        <v>2</v>
      </c>
      <c r="Q335" s="27">
        <v>2</v>
      </c>
      <c r="R335" s="27">
        <v>2</v>
      </c>
      <c r="S335" s="27">
        <v>2</v>
      </c>
    </row>
    <row r="336" spans="2:19" x14ac:dyDescent="0.3">
      <c r="B336" t="s">
        <v>257</v>
      </c>
      <c r="C336" t="s">
        <v>809</v>
      </c>
      <c r="H336" s="27">
        <v>2</v>
      </c>
      <c r="I336" s="27">
        <v>2</v>
      </c>
      <c r="J336" s="27">
        <v>2</v>
      </c>
      <c r="K336" s="27">
        <v>2</v>
      </c>
      <c r="L336" s="27">
        <v>2</v>
      </c>
      <c r="M336" s="27">
        <v>2</v>
      </c>
      <c r="N336" s="27">
        <v>2</v>
      </c>
      <c r="O336" s="27">
        <v>2</v>
      </c>
      <c r="P336" s="27">
        <v>2</v>
      </c>
      <c r="Q336" s="27">
        <v>2</v>
      </c>
      <c r="R336" s="27">
        <v>2</v>
      </c>
      <c r="S336" s="27">
        <v>2</v>
      </c>
    </row>
    <row r="337" spans="2:19" x14ac:dyDescent="0.3">
      <c r="B337" t="s">
        <v>258</v>
      </c>
      <c r="C337" t="s">
        <v>809</v>
      </c>
      <c r="H337" s="27">
        <v>2</v>
      </c>
      <c r="I337" s="27">
        <v>2</v>
      </c>
      <c r="J337" s="27">
        <v>2</v>
      </c>
      <c r="K337" s="27">
        <v>2</v>
      </c>
      <c r="L337" s="27">
        <v>2</v>
      </c>
      <c r="M337" s="27">
        <v>2</v>
      </c>
      <c r="N337" s="27">
        <v>2</v>
      </c>
      <c r="O337" s="27">
        <v>2</v>
      </c>
      <c r="P337" s="27">
        <v>2</v>
      </c>
      <c r="Q337" s="27">
        <v>2</v>
      </c>
      <c r="R337" s="27">
        <v>2</v>
      </c>
      <c r="S337" s="27">
        <v>2</v>
      </c>
    </row>
    <row r="338" spans="2:19" x14ac:dyDescent="0.3">
      <c r="B338" t="s">
        <v>259</v>
      </c>
      <c r="C338" t="s">
        <v>809</v>
      </c>
      <c r="H338" s="27">
        <v>2</v>
      </c>
      <c r="I338" s="27">
        <v>2</v>
      </c>
      <c r="J338" s="27">
        <v>2</v>
      </c>
      <c r="K338" s="27">
        <v>2</v>
      </c>
      <c r="L338" s="27">
        <v>2</v>
      </c>
      <c r="M338" s="27">
        <v>2</v>
      </c>
      <c r="N338" s="27">
        <v>2</v>
      </c>
      <c r="O338" s="27">
        <v>2</v>
      </c>
      <c r="P338" s="27">
        <v>2</v>
      </c>
      <c r="Q338" s="27">
        <v>2</v>
      </c>
      <c r="R338" s="27">
        <v>2</v>
      </c>
      <c r="S338" s="27">
        <v>2</v>
      </c>
    </row>
    <row r="339" spans="2:19" x14ac:dyDescent="0.3">
      <c r="B339" t="s">
        <v>286</v>
      </c>
      <c r="C339" t="s">
        <v>809</v>
      </c>
      <c r="H339" s="27">
        <v>2</v>
      </c>
      <c r="I339" s="27">
        <v>2</v>
      </c>
      <c r="J339" s="27">
        <v>2</v>
      </c>
      <c r="K339" s="27">
        <v>2</v>
      </c>
      <c r="L339" s="27">
        <v>2</v>
      </c>
      <c r="M339" s="27">
        <v>2</v>
      </c>
      <c r="N339" s="27">
        <v>2</v>
      </c>
      <c r="O339" s="27">
        <v>2</v>
      </c>
      <c r="P339" s="27">
        <v>2</v>
      </c>
      <c r="Q339" s="27">
        <v>2</v>
      </c>
      <c r="R339" s="27">
        <v>2</v>
      </c>
      <c r="S339" s="27">
        <v>2</v>
      </c>
    </row>
    <row r="340" spans="2:19" x14ac:dyDescent="0.3">
      <c r="B340" t="s">
        <v>248</v>
      </c>
      <c r="C340" t="s">
        <v>782</v>
      </c>
      <c r="H340" s="16">
        <f>($H$244-($H$244-H267-H270))/H333</f>
        <v>101.88755304101835</v>
      </c>
      <c r="I340" s="16">
        <f>($I$244-($I$244-I267-I270))/I333</f>
        <v>104.45403111739745</v>
      </c>
      <c r="J340" s="16">
        <f>($J$244-($J$244-J267-J270))/J333</f>
        <v>84.32390381895334</v>
      </c>
      <c r="K340" s="16">
        <f>($K$244-($K$244-K267-K270))/K333</f>
        <v>80.757425742574242</v>
      </c>
      <c r="L340" s="16">
        <f>($L$244-($L$244-L267-L270))/L333</f>
        <v>113.41937765205091</v>
      </c>
      <c r="M340" s="16">
        <f>($M$244-($M$244-M267-M270))/M333</f>
        <v>61.660537482319683</v>
      </c>
      <c r="N340" s="16">
        <f>($N$244-($N$244-N267-N270))/N333</f>
        <v>98.055162659123084</v>
      </c>
      <c r="O340" s="16">
        <f>($O$244-($O$244-O267-O270))/O333</f>
        <v>114.98585572843001</v>
      </c>
      <c r="P340" s="16">
        <f>($P$244-($P$244-P267-P270))/P333</f>
        <v>93.822489391796353</v>
      </c>
      <c r="Q340" s="16">
        <f>($Q$244-($Q$244-Q267-Q270))/Q333</f>
        <v>79.491513437057961</v>
      </c>
      <c r="R340" s="16">
        <f>($R$244-($R$244-R267-R270))/R333</f>
        <v>112.28642149929277</v>
      </c>
      <c r="S340" s="16">
        <f>($S$244-($S$244-S267-S270))/S333</f>
        <v>79.859491734001494</v>
      </c>
    </row>
    <row r="341" spans="2:19" x14ac:dyDescent="0.3">
      <c r="B341" t="s">
        <v>249</v>
      </c>
      <c r="C341" t="s">
        <v>782</v>
      </c>
      <c r="H341" s="16">
        <f>($H$244-($H$244-H264))/H334</f>
        <v>264</v>
      </c>
      <c r="I341" s="16">
        <f>($I$244-($I$244-I264))/I334</f>
        <v>266.5</v>
      </c>
      <c r="J341" s="16">
        <f>($J$244-($J$244-J264))/J334</f>
        <v>190</v>
      </c>
      <c r="K341" s="16">
        <f>($K$244-($K$244-K264))/K334</f>
        <v>195</v>
      </c>
      <c r="L341" s="16">
        <f>($L$244-($L$244-L264))/L334</f>
        <v>295</v>
      </c>
      <c r="M341" s="16">
        <f>($M$244-($M$244-M264))/M334</f>
        <v>130</v>
      </c>
      <c r="N341" s="16">
        <f>($N$244-($N$244-N264))/N334</f>
        <v>245</v>
      </c>
      <c r="O341" s="16">
        <f>($O$244-($O$244-O264))/O334</f>
        <v>293</v>
      </c>
      <c r="P341" s="16">
        <f>($P$244-($P$244-P264))/P334</f>
        <v>227.5</v>
      </c>
      <c r="Q341" s="16">
        <f>($Q$244-($Q$244-Q264))/Q334</f>
        <v>179</v>
      </c>
      <c r="R341" s="16">
        <f>($R$244-($R$244-R264))/R334</f>
        <v>285</v>
      </c>
      <c r="S341" s="16">
        <f>($S$244-($S$244-S264))/S334</f>
        <v>182.6859368788929</v>
      </c>
    </row>
    <row r="342" spans="2:19" x14ac:dyDescent="0.3">
      <c r="B342" t="s">
        <v>250</v>
      </c>
      <c r="C342" t="s">
        <v>782</v>
      </c>
      <c r="H342" s="16">
        <f>($H$244-($H$244-H273))/H335</f>
        <v>248.46289347553534</v>
      </c>
      <c r="I342" s="16">
        <f>($I$244-($I$244-I273))/I335</f>
        <v>251.53322757804051</v>
      </c>
      <c r="J342" s="16">
        <f>($J$244-($J$244-J273))/J335</f>
        <v>174.774875015411</v>
      </c>
      <c r="K342" s="16">
        <f>($K$244-($K$244-K273))/K335</f>
        <v>182.81503318600556</v>
      </c>
      <c r="L342" s="16">
        <f>($L$244-($L$244-L273))/L335</f>
        <v>279.16623450058705</v>
      </c>
      <c r="M342" s="16">
        <f>($M$244-($M$244-M273))/M335</f>
        <v>119.5088611703178</v>
      </c>
      <c r="N342" s="16">
        <f>($N$244-($N$244-N273))/N335</f>
        <v>228.87004472358322</v>
      </c>
      <c r="O342" s="16">
        <f>($O$244-($O$244-O273))/O335</f>
        <v>279.16623450058705</v>
      </c>
      <c r="P342" s="16">
        <f>($P$244-($P$244-P273))/P335</f>
        <v>211.61888424547314</v>
      </c>
      <c r="Q342" s="16">
        <f>($Q$244-($Q$244-Q273))/Q335</f>
        <v>164.39302857097451</v>
      </c>
      <c r="R342" s="16">
        <f>($R$244-($R$244-R273))/R335</f>
        <v>269.95523219307159</v>
      </c>
      <c r="S342" s="16">
        <f>($S$244-($S$244-S273))/S335</f>
        <v>169.05113632478674</v>
      </c>
    </row>
    <row r="343" spans="2:19" x14ac:dyDescent="0.3">
      <c r="B343" t="s">
        <v>251</v>
      </c>
      <c r="C343" t="s">
        <v>782</v>
      </c>
      <c r="H343" s="16">
        <f>($H$244-($H$244-H276))/H336</f>
        <v>263.14571364795853</v>
      </c>
      <c r="I343" s="16">
        <f>($I$244-($I$244-I276))/I336</f>
        <v>266.39442616213086</v>
      </c>
      <c r="J343" s="16">
        <f>($J$244-($J$244-J276))/J336</f>
        <v>185.17661330782266</v>
      </c>
      <c r="K343" s="16">
        <f>($K$244-($K$244-K276))/K336</f>
        <v>194.92275085033964</v>
      </c>
      <c r="L343" s="16">
        <f>($L$244-($L$244-L276))/L336</f>
        <v>295.63283878968173</v>
      </c>
      <c r="M343" s="16">
        <f>($M$244-($M$244-M276))/M336</f>
        <v>126.69978805272075</v>
      </c>
      <c r="N343" s="16">
        <f>($N$244-($N$244-N276))/N336</f>
        <v>243.65343856292452</v>
      </c>
      <c r="O343" s="16">
        <f>($O$244-($O$244-O276))/O336</f>
        <v>295.63283878968173</v>
      </c>
      <c r="P343" s="16">
        <f>($P$244-($P$244-P276))/P336</f>
        <v>224.1611634778906</v>
      </c>
      <c r="Q343" s="16">
        <f>($Q$244-($Q$244-Q276))/Q336</f>
        <v>175.43047576530566</v>
      </c>
      <c r="R343" s="16">
        <f>($R$244-($R$244-R276))/R336</f>
        <v>285.88670124716481</v>
      </c>
      <c r="S343" s="16">
        <f>($S$244-($S$244-S276))/S336</f>
        <v>180.35920744301646</v>
      </c>
    </row>
    <row r="344" spans="2:19" x14ac:dyDescent="0.3">
      <c r="B344" t="s">
        <v>252</v>
      </c>
      <c r="C344" t="s">
        <v>782</v>
      </c>
      <c r="H344" s="16">
        <f>($H$244-($H$244-H261))/H337</f>
        <v>324</v>
      </c>
      <c r="I344" s="16">
        <f>($I$244-($I$244-I261))/I337</f>
        <v>328</v>
      </c>
      <c r="J344" s="16">
        <f>($J$244-($J$244-J261))/J337</f>
        <v>228</v>
      </c>
      <c r="K344" s="16">
        <f>($K$244-($K$244-K261))/K337</f>
        <v>240</v>
      </c>
      <c r="L344" s="16">
        <f>($L$244-($L$244-L261))/L337</f>
        <v>364</v>
      </c>
      <c r="M344" s="16">
        <f>($M$244-($M$244-M261))/M337</f>
        <v>156</v>
      </c>
      <c r="N344" s="16">
        <f>($N$244-($N$244-N261))/N337</f>
        <v>300</v>
      </c>
      <c r="O344" s="16">
        <f>($O$244-($O$244-O261))/O337</f>
        <v>364</v>
      </c>
      <c r="P344" s="16">
        <f>($P$244-($P$244-P261))/P337</f>
        <v>276</v>
      </c>
      <c r="Q344" s="16">
        <f>($Q$244-($Q$244-Q261))/Q337</f>
        <v>216</v>
      </c>
      <c r="R344" s="16">
        <f>($R$244-($R$244-R261))/R337</f>
        <v>352</v>
      </c>
      <c r="S344" s="16">
        <f>($S$244-($S$244-S261))/S337</f>
        <v>222.06853534279753</v>
      </c>
    </row>
    <row r="345" spans="2:19" x14ac:dyDescent="0.3">
      <c r="B345" t="s">
        <v>253</v>
      </c>
      <c r="C345" t="s">
        <v>782</v>
      </c>
      <c r="H345" s="16">
        <f>($H$244-($H$244-H246))/H338</f>
        <v>235.61376480484114</v>
      </c>
      <c r="I345" s="16">
        <f>($I$244-($I$244-I246))/I338</f>
        <v>253.12861938115597</v>
      </c>
      <c r="J345" s="16">
        <f>($J$244-($J$244-J246))/J338</f>
        <v>268.57372396608963</v>
      </c>
      <c r="K345" s="16">
        <f>($K$244-($K$244-K246))/K338</f>
        <v>252.01090446317184</v>
      </c>
      <c r="L345" s="16">
        <f>($L$244-($L$244-L246))/L338</f>
        <v>245.25580569489247</v>
      </c>
      <c r="M345" s="16">
        <f>($M$244-($M$244-M246))/M338</f>
        <v>242.05765092202162</v>
      </c>
      <c r="N345" s="16">
        <f>($N$244-($N$244-N246))/N338</f>
        <v>282.98121025644974</v>
      </c>
      <c r="O345" s="16">
        <f>($O$244-($O$244-O246))/O338</f>
        <v>258.87060613743409</v>
      </c>
      <c r="P345" s="16">
        <f>($P$244-($P$244-P246))/P338</f>
        <v>274.4170943726827</v>
      </c>
      <c r="Q345" s="16">
        <f>($Q$244-($Q$244-Q246))/Q338</f>
        <v>278.70055848597474</v>
      </c>
      <c r="R345" s="16">
        <f>($R$244-($R$244-R246))/R338</f>
        <v>258.46714958696725</v>
      </c>
      <c r="S345" s="16">
        <f>($S$244-($S$244-S246))/S338</f>
        <v>260.063705859359</v>
      </c>
    </row>
    <row r="346" spans="2:19" x14ac:dyDescent="0.3">
      <c r="B346" t="s">
        <v>285</v>
      </c>
      <c r="C346" t="s">
        <v>782</v>
      </c>
      <c r="H346" s="16">
        <f>($H$244-($H$244-H258))/H339</f>
        <v>195.34217544186291</v>
      </c>
      <c r="I346" s="16">
        <f>($I$244-($I$244-I258))/I339</f>
        <v>204.8846622364745</v>
      </c>
      <c r="J346" s="16">
        <f>($J$244-($J$244-J258))/J339</f>
        <v>219.40900475397987</v>
      </c>
      <c r="K346" s="16">
        <f>($K$244-($K$244-K258))/K339</f>
        <v>208.47517330037405</v>
      </c>
      <c r="L346" s="16">
        <f>($L$244-($L$244-L258))/L339</f>
        <v>196.98632812553859</v>
      </c>
      <c r="M346" s="16">
        <f>($M$244-($M$244-M258))/M339</f>
        <v>196.00821318304006</v>
      </c>
      <c r="N346" s="16">
        <f>($N$244-($N$244-N258))/N339</f>
        <v>230.56410106422021</v>
      </c>
      <c r="O346" s="16">
        <f>($O$244-($O$244-O258))/O339</f>
        <v>210.38696696573805</v>
      </c>
      <c r="P346" s="16">
        <f>($P$244-($P$244-P258))/P339</f>
        <v>222.83702144637093</v>
      </c>
      <c r="Q346" s="16">
        <f>($Q$244-($Q$244-Q258))/Q339</f>
        <v>226.21752735054153</v>
      </c>
      <c r="R346" s="16">
        <f>($R$244-($R$244-R258))/R339</f>
        <v>211.13176823958912</v>
      </c>
      <c r="S346" s="16">
        <f>($S$244-($S$244-S258))/S339</f>
        <v>215.94700879810807</v>
      </c>
    </row>
    <row r="347" spans="2:19" x14ac:dyDescent="0.3">
      <c r="B347" t="s">
        <v>260</v>
      </c>
      <c r="C347" t="s">
        <v>782</v>
      </c>
      <c r="H347" s="16">
        <f>($H$244-($H$244-H267-H270))</f>
        <v>203.7751060820367</v>
      </c>
      <c r="I347" s="16">
        <f>($I$244-($I$244-I267-I270))</f>
        <v>208.9080622347949</v>
      </c>
      <c r="J347" s="16">
        <f>($J$244-($J$244-J267-J270))</f>
        <v>168.64780763790668</v>
      </c>
      <c r="K347" s="16">
        <f>($K$244-($K$244-K267-K270))</f>
        <v>161.51485148514848</v>
      </c>
      <c r="L347" s="16">
        <f>($L$244-($L$244-L267-L270))</f>
        <v>226.83875530410182</v>
      </c>
      <c r="M347" s="16">
        <f>($M$244-($M$244-M267-M270))</f>
        <v>123.32107496463937</v>
      </c>
      <c r="N347" s="16">
        <f>($N$244-($N$244-N267-N270))</f>
        <v>196.11032531824617</v>
      </c>
      <c r="O347" s="16">
        <f>($O$244-($O$244-O267-O270))</f>
        <v>229.97171145686002</v>
      </c>
      <c r="P347" s="16">
        <f>($P$244-($P$244-P267-P270))</f>
        <v>187.64497878359271</v>
      </c>
      <c r="Q347" s="16">
        <f>($Q$244-($Q$244-Q267-Q270))</f>
        <v>158.98302687411592</v>
      </c>
      <c r="R347" s="16">
        <f>($R$244-($R$244-R267-R270))</f>
        <v>224.57284299858554</v>
      </c>
      <c r="S347" s="16">
        <f>($S$244-($S$244-S267-S270))</f>
        <v>159.71898346800299</v>
      </c>
    </row>
    <row r="348" spans="2:19" x14ac:dyDescent="0.3">
      <c r="B348" t="s">
        <v>261</v>
      </c>
      <c r="C348" t="s">
        <v>782</v>
      </c>
      <c r="H348" s="16">
        <f>($H$244-($H$244-H264))</f>
        <v>528</v>
      </c>
      <c r="I348" s="16">
        <f>($I$244-($I$244-I264))</f>
        <v>533</v>
      </c>
      <c r="J348" s="16">
        <f>($J$244-($J$244-J264))</f>
        <v>380</v>
      </c>
      <c r="K348" s="16">
        <f>($K$244-($K$244-K264))</f>
        <v>390</v>
      </c>
      <c r="L348" s="16">
        <f>($L$244-($L$244-L264))</f>
        <v>590</v>
      </c>
      <c r="M348" s="16">
        <f>($M$244-($M$244-M264))</f>
        <v>260</v>
      </c>
      <c r="N348" s="16">
        <f>($N$244-($N$244-N264))</f>
        <v>490</v>
      </c>
      <c r="O348" s="16">
        <f>($O$244-($O$244-O264))</f>
        <v>586</v>
      </c>
      <c r="P348" s="16">
        <f>($P$244-($P$244-P264))</f>
        <v>455</v>
      </c>
      <c r="Q348" s="16">
        <f>($Q$244-($Q$244-Q264))</f>
        <v>358</v>
      </c>
      <c r="R348" s="16">
        <f>($R$244-($R$244-R264))</f>
        <v>570</v>
      </c>
      <c r="S348" s="16">
        <f>($S$244-($S$244-S264))</f>
        <v>365.37187375778581</v>
      </c>
    </row>
    <row r="349" spans="2:19" x14ac:dyDescent="0.3">
      <c r="B349" t="s">
        <v>262</v>
      </c>
      <c r="C349" t="s">
        <v>782</v>
      </c>
      <c r="H349" s="16">
        <f>($H$244-($H$244-H273))</f>
        <v>496.92578695107068</v>
      </c>
      <c r="I349" s="16">
        <f>($I$244-($I$244-I273))</f>
        <v>503.06645515608102</v>
      </c>
      <c r="J349" s="16">
        <f>($J$244-($J$244-J273))</f>
        <v>349.549750030822</v>
      </c>
      <c r="K349" s="16">
        <f>($K$244-($K$244-K273))</f>
        <v>365.63006637201113</v>
      </c>
      <c r="L349" s="16">
        <f>($L$244-($L$244-L273))</f>
        <v>558.3324690011741</v>
      </c>
      <c r="M349" s="16">
        <f>($M$244-($M$244-M273))</f>
        <v>239.0177223406356</v>
      </c>
      <c r="N349" s="16">
        <f>($N$244-($N$244-N273))</f>
        <v>457.74008944716644</v>
      </c>
      <c r="O349" s="16">
        <f>($O$244-($O$244-O273))</f>
        <v>558.3324690011741</v>
      </c>
      <c r="P349" s="16">
        <f>($P$244-($P$244-P273))</f>
        <v>423.23776849094628</v>
      </c>
      <c r="Q349" s="16">
        <f>($Q$244-($Q$244-Q273))</f>
        <v>328.78605714194902</v>
      </c>
      <c r="R349" s="16">
        <f>($R$244-($R$244-R273))</f>
        <v>539.91046438614319</v>
      </c>
      <c r="S349" s="16">
        <f>($S$244-($S$244-S273))</f>
        <v>338.10227264957348</v>
      </c>
    </row>
    <row r="350" spans="2:19" x14ac:dyDescent="0.3">
      <c r="B350" t="s">
        <v>263</v>
      </c>
      <c r="C350" t="s">
        <v>782</v>
      </c>
      <c r="H350" s="16">
        <f>($H$244-($H$244-H276))</f>
        <v>526.29142729591706</v>
      </c>
      <c r="I350" s="16">
        <f>($I$244-($I$244-I276))</f>
        <v>532.78885232426171</v>
      </c>
      <c r="J350" s="16">
        <f>($J$244-($J$244-J276))</f>
        <v>370.35322661564533</v>
      </c>
      <c r="K350" s="16">
        <f>($K$244-($K$244-K276))</f>
        <v>389.84550170067928</v>
      </c>
      <c r="L350" s="16">
        <f>($L$244-($L$244-L276))</f>
        <v>591.26567757936346</v>
      </c>
      <c r="M350" s="16">
        <f>($M$244-($M$244-M276))</f>
        <v>253.3995761054415</v>
      </c>
      <c r="N350" s="16">
        <f>($N$244-($N$244-N276))</f>
        <v>487.30687712584904</v>
      </c>
      <c r="O350" s="16">
        <f>($O$244-($O$244-O276))</f>
        <v>591.26567757936346</v>
      </c>
      <c r="P350" s="16">
        <f>($P$244-($P$244-P276))</f>
        <v>448.32232695578119</v>
      </c>
      <c r="Q350" s="16">
        <f>($Q$244-($Q$244-Q276))</f>
        <v>350.86095153061132</v>
      </c>
      <c r="R350" s="16">
        <f>($R$244-($R$244-R276))</f>
        <v>571.77340249432962</v>
      </c>
      <c r="S350" s="16">
        <f>($S$244-($S$244-S276))</f>
        <v>360.71841488603292</v>
      </c>
    </row>
    <row r="351" spans="2:19" x14ac:dyDescent="0.3">
      <c r="B351" t="s">
        <v>264</v>
      </c>
      <c r="C351" t="s">
        <v>782</v>
      </c>
      <c r="H351" s="16">
        <f>($H$244-($H$244-H261))</f>
        <v>648</v>
      </c>
      <c r="I351" s="16">
        <f>($I$244-($I$244-I261))</f>
        <v>656</v>
      </c>
      <c r="J351" s="16">
        <f>($J$244-($J$244-J261))</f>
        <v>456</v>
      </c>
      <c r="K351" s="16">
        <f>($K$244-($K$244-K261))</f>
        <v>480</v>
      </c>
      <c r="L351" s="16">
        <f>($L$244-($L$244-L261))</f>
        <v>728</v>
      </c>
      <c r="M351" s="16">
        <f>($M$244-($M$244-M261))</f>
        <v>312</v>
      </c>
      <c r="N351" s="16">
        <f>($N$244-($N$244-N261))</f>
        <v>600</v>
      </c>
      <c r="O351" s="16">
        <f>($O$244-($O$244-O261))</f>
        <v>728</v>
      </c>
      <c r="P351" s="16">
        <f>($P$244-($P$244-P261))</f>
        <v>552</v>
      </c>
      <c r="Q351" s="16">
        <f>($Q$244-($Q$244-Q261))</f>
        <v>432</v>
      </c>
      <c r="R351" s="16">
        <f>($R$244-($R$244-R261))</f>
        <v>704</v>
      </c>
      <c r="S351" s="16">
        <f>($S$244-($S$244-S261))</f>
        <v>444.13707068559506</v>
      </c>
    </row>
    <row r="352" spans="2:19" x14ac:dyDescent="0.3">
      <c r="B352" t="s">
        <v>265</v>
      </c>
      <c r="C352" t="s">
        <v>782</v>
      </c>
      <c r="H352" s="16">
        <f>($H$244-($H$244-H246))</f>
        <v>471.22752960968228</v>
      </c>
      <c r="I352" s="16">
        <f>($I$244-($I$244-I246))</f>
        <v>506.25723876231194</v>
      </c>
      <c r="J352" s="16">
        <f>($J$244-($J$244-J246))</f>
        <v>537.14744793217926</v>
      </c>
      <c r="K352" s="16">
        <f>($K$244-($K$244-K246))</f>
        <v>504.02180892634368</v>
      </c>
      <c r="L352" s="16">
        <f>($L$244-($L$244-L246))</f>
        <v>490.51161138978495</v>
      </c>
      <c r="M352" s="16">
        <f>($M$244-($M$244-M246))</f>
        <v>484.11530184404324</v>
      </c>
      <c r="N352" s="16">
        <f>($N$244-($N$244-N246))</f>
        <v>565.96242051289948</v>
      </c>
      <c r="O352" s="16">
        <f>($O$244-($O$244-O246))</f>
        <v>517.74121227486819</v>
      </c>
      <c r="P352" s="16">
        <f>($P$244-($P$244-P246))</f>
        <v>548.8341887453654</v>
      </c>
      <c r="Q352" s="16">
        <f>($Q$244-($Q$244-Q246))</f>
        <v>557.40111697194948</v>
      </c>
      <c r="R352" s="16">
        <f>($R$244-($R$244-R246))</f>
        <v>516.93429917393451</v>
      </c>
      <c r="S352" s="16">
        <f>($S$244-($S$244-S246))</f>
        <v>520.12741171871801</v>
      </c>
    </row>
    <row r="353" spans="2:19" x14ac:dyDescent="0.3">
      <c r="B353" t="s">
        <v>284</v>
      </c>
      <c r="C353" t="s">
        <v>782</v>
      </c>
      <c r="H353" s="16">
        <f>($H$244-($H$244-H258))</f>
        <v>390.68435088372581</v>
      </c>
      <c r="I353" s="16">
        <f>($I$244-($I$244-I258))</f>
        <v>409.76932447294899</v>
      </c>
      <c r="J353" s="16">
        <f>($J$244-($J$244-J258))</f>
        <v>438.81800950795974</v>
      </c>
      <c r="K353" s="16">
        <f>($K$244-($K$244-K258))</f>
        <v>416.95034660074811</v>
      </c>
      <c r="L353" s="16">
        <f>($L$244-($L$244-L258))</f>
        <v>393.97265625107718</v>
      </c>
      <c r="M353" s="16">
        <f>($M$244-($M$244-M258))</f>
        <v>392.01642636608011</v>
      </c>
      <c r="N353" s="16">
        <f>($N$244-($N$244-N258))</f>
        <v>461.12820212844042</v>
      </c>
      <c r="O353" s="16">
        <f>($O$244-($O$244-O258))</f>
        <v>420.77393393147611</v>
      </c>
      <c r="P353" s="16">
        <f>($P$244-($P$244-P258))</f>
        <v>445.67404289274185</v>
      </c>
      <c r="Q353" s="16">
        <f>($Q$244-($Q$244-Q258))</f>
        <v>452.43505470108306</v>
      </c>
      <c r="R353" s="16">
        <f>(R$244-($R$244-R258))</f>
        <v>422.26353647917824</v>
      </c>
      <c r="S353" s="16">
        <f>($S$244-($S$244-S258))</f>
        <v>431.89401759621614</v>
      </c>
    </row>
    <row r="354" spans="2:19" x14ac:dyDescent="0.3">
      <c r="B354" t="s">
        <v>324</v>
      </c>
      <c r="C354" t="s">
        <v>325</v>
      </c>
      <c r="H354" s="20">
        <v>797</v>
      </c>
      <c r="I354" s="20">
        <v>797</v>
      </c>
      <c r="J354" s="20">
        <v>797</v>
      </c>
      <c r="K354" s="20">
        <v>797</v>
      </c>
      <c r="L354" s="20">
        <v>797</v>
      </c>
      <c r="M354" s="20">
        <v>797</v>
      </c>
      <c r="N354" s="20">
        <v>797</v>
      </c>
      <c r="O354" s="20">
        <v>797</v>
      </c>
      <c r="P354" s="20">
        <v>797</v>
      </c>
      <c r="Q354" s="20">
        <v>797</v>
      </c>
      <c r="R354" s="20">
        <v>797</v>
      </c>
      <c r="S354" s="20">
        <v>797</v>
      </c>
    </row>
    <row r="355" spans="2:19" x14ac:dyDescent="0.3">
      <c r="B355" s="12" t="s">
        <v>267</v>
      </c>
    </row>
    <row r="356" spans="2:19" x14ac:dyDescent="0.3">
      <c r="B356" t="s">
        <v>672</v>
      </c>
      <c r="C356" t="s">
        <v>272</v>
      </c>
      <c r="D356" s="15">
        <f t="shared" ref="D356:S356" si="176">D357+D358+D359-D360</f>
        <v>521.42676251658975</v>
      </c>
      <c r="E356" s="15">
        <f t="shared" si="176"/>
        <v>522.1168869034633</v>
      </c>
      <c r="F356" s="15">
        <f t="shared" si="176"/>
        <v>522.80846055154927</v>
      </c>
      <c r="G356" s="15">
        <f t="shared" si="176"/>
        <v>523.50148650429628</v>
      </c>
      <c r="H356" s="16">
        <f>H357+H358+H359-H360</f>
        <v>521.36203770640964</v>
      </c>
      <c r="I356" s="16">
        <f t="shared" si="176"/>
        <v>522.05735239122612</v>
      </c>
      <c r="J356" s="16">
        <f t="shared" si="176"/>
        <v>522.75412723688066</v>
      </c>
      <c r="K356" s="16">
        <f t="shared" si="176"/>
        <v>523.45236530971113</v>
      </c>
      <c r="L356" s="16">
        <f t="shared" si="176"/>
        <v>524.15206968249447</v>
      </c>
      <c r="M356" s="16">
        <f t="shared" si="176"/>
        <v>524.85324343446075</v>
      </c>
      <c r="N356" s="16">
        <f t="shared" si="176"/>
        <v>525.55588965130607</v>
      </c>
      <c r="O356" s="16">
        <f t="shared" si="176"/>
        <v>526.26001142520681</v>
      </c>
      <c r="P356" s="16">
        <f t="shared" si="176"/>
        <v>526.96561185483279</v>
      </c>
      <c r="Q356" s="16">
        <f t="shared" si="176"/>
        <v>527.67269404536091</v>
      </c>
      <c r="R356" s="16">
        <f t="shared" si="176"/>
        <v>528.38126110848918</v>
      </c>
      <c r="S356" s="16">
        <f t="shared" si="176"/>
        <v>529.09131616244997</v>
      </c>
    </row>
    <row r="357" spans="2:19" x14ac:dyDescent="0.3">
      <c r="B357" t="s">
        <v>268</v>
      </c>
      <c r="C357" t="s">
        <v>272</v>
      </c>
      <c r="D357" s="15">
        <v>328.63066041598927</v>
      </c>
      <c r="E357" s="15">
        <v>329.32078480286282</v>
      </c>
      <c r="F357" s="15">
        <v>330.01235845094885</v>
      </c>
      <c r="G357" s="15">
        <v>330.70538440369586</v>
      </c>
      <c r="H357" s="15">
        <v>331.1022308649803</v>
      </c>
      <c r="I357" s="15">
        <v>331.79754554979678</v>
      </c>
      <c r="J357" s="15">
        <v>332.49432039545133</v>
      </c>
      <c r="K357" s="15">
        <v>333.19255846828179</v>
      </c>
      <c r="L357" s="15">
        <v>333.89226284106519</v>
      </c>
      <c r="M357" s="15">
        <v>334.59343659303141</v>
      </c>
      <c r="N357" s="15">
        <v>335.29608280987679</v>
      </c>
      <c r="O357" s="15">
        <v>336.00020458377753</v>
      </c>
      <c r="P357" s="15">
        <v>336.70580501340345</v>
      </c>
      <c r="Q357" s="15">
        <v>337.41288720393158</v>
      </c>
      <c r="R357" s="15">
        <v>338.12145426705985</v>
      </c>
      <c r="S357" s="15">
        <v>338.83150932102069</v>
      </c>
    </row>
    <row r="358" spans="2:19" x14ac:dyDescent="0.3">
      <c r="B358" t="s">
        <v>269</v>
      </c>
      <c r="C358" t="s">
        <v>272</v>
      </c>
      <c r="D358" s="15">
        <v>158.96892</v>
      </c>
      <c r="E358" s="15">
        <v>158.96892</v>
      </c>
      <c r="F358" s="15">
        <v>158.96892</v>
      </c>
      <c r="G358" s="15">
        <v>158.96892</v>
      </c>
      <c r="H358" s="15">
        <v>154.80892</v>
      </c>
      <c r="I358" s="15">
        <v>154.80892</v>
      </c>
      <c r="J358" s="15">
        <v>154.80892</v>
      </c>
      <c r="K358" s="15">
        <v>154.80892</v>
      </c>
      <c r="L358" s="15">
        <v>154.80892</v>
      </c>
      <c r="M358" s="15">
        <v>154.80892</v>
      </c>
      <c r="N358" s="15">
        <v>154.80892</v>
      </c>
      <c r="O358" s="15">
        <v>154.80892</v>
      </c>
      <c r="P358" s="15">
        <v>154.80892</v>
      </c>
      <c r="Q358" s="15">
        <v>154.80892</v>
      </c>
      <c r="R358" s="15">
        <v>154.80892</v>
      </c>
      <c r="S358" s="15">
        <v>154.80892</v>
      </c>
    </row>
    <row r="359" spans="2:19" x14ac:dyDescent="0.3">
      <c r="B359" t="s">
        <v>270</v>
      </c>
      <c r="C359" t="s">
        <v>272</v>
      </c>
      <c r="D359" s="15">
        <v>33.827182100600503</v>
      </c>
      <c r="E359" s="15">
        <v>33.827182100600503</v>
      </c>
      <c r="F359" s="15">
        <v>33.827182100600503</v>
      </c>
      <c r="G359" s="15">
        <v>33.827182100600503</v>
      </c>
      <c r="H359" s="15">
        <v>35.450886841429323</v>
      </c>
      <c r="I359" s="15">
        <v>35.450886841429323</v>
      </c>
      <c r="J359" s="15">
        <v>35.450886841429323</v>
      </c>
      <c r="K359" s="15">
        <v>35.450886841429323</v>
      </c>
      <c r="L359" s="15">
        <v>35.450886841429323</v>
      </c>
      <c r="M359" s="15">
        <v>35.450886841429323</v>
      </c>
      <c r="N359" s="15">
        <v>35.450886841429323</v>
      </c>
      <c r="O359" s="15">
        <v>35.450886841429323</v>
      </c>
      <c r="P359" s="15">
        <v>35.450886841429323</v>
      </c>
      <c r="Q359" s="15">
        <v>35.450886841429323</v>
      </c>
      <c r="R359" s="15">
        <v>35.450886841429323</v>
      </c>
      <c r="S359" s="15">
        <v>35.450886841429323</v>
      </c>
    </row>
    <row r="360" spans="2:19" x14ac:dyDescent="0.3">
      <c r="B360" t="s">
        <v>271</v>
      </c>
      <c r="C360" t="s">
        <v>272</v>
      </c>
      <c r="D360" s="15">
        <v>0</v>
      </c>
      <c r="E360" s="15">
        <v>0</v>
      </c>
      <c r="F360" s="15">
        <v>0</v>
      </c>
      <c r="G360" s="15">
        <v>0</v>
      </c>
      <c r="H360" s="15">
        <v>0</v>
      </c>
      <c r="I360" s="15">
        <v>0</v>
      </c>
      <c r="J360" s="15">
        <v>0</v>
      </c>
      <c r="K360" s="15">
        <v>0</v>
      </c>
      <c r="L360" s="15">
        <v>0</v>
      </c>
      <c r="M360" s="15">
        <v>0</v>
      </c>
      <c r="N360" s="15">
        <v>0</v>
      </c>
      <c r="O360" s="15">
        <v>0</v>
      </c>
      <c r="P360" s="15">
        <v>0</v>
      </c>
      <c r="Q360" s="15">
        <v>0</v>
      </c>
      <c r="R360" s="15">
        <v>0</v>
      </c>
      <c r="S360" s="15">
        <v>0</v>
      </c>
    </row>
    <row r="361" spans="2:19" x14ac:dyDescent="0.3">
      <c r="B361" t="s">
        <v>273</v>
      </c>
      <c r="C361" t="s">
        <v>279</v>
      </c>
      <c r="H361" s="20">
        <v>1.27</v>
      </c>
      <c r="I361" s="20">
        <v>1.27</v>
      </c>
      <c r="J361" s="20">
        <v>1.27</v>
      </c>
      <c r="K361" s="20">
        <v>1.27</v>
      </c>
      <c r="L361" s="20">
        <v>1.27</v>
      </c>
      <c r="M361" s="20">
        <v>1.27</v>
      </c>
      <c r="N361" s="20">
        <v>1.27</v>
      </c>
      <c r="O361" s="20">
        <v>1.27</v>
      </c>
      <c r="P361" s="20">
        <v>1.27</v>
      </c>
      <c r="Q361" s="20">
        <v>1.27</v>
      </c>
      <c r="R361" s="20">
        <v>1.27</v>
      </c>
      <c r="S361" s="20">
        <v>1.27</v>
      </c>
    </row>
    <row r="362" spans="2:19" x14ac:dyDescent="0.3">
      <c r="B362" t="s">
        <v>274</v>
      </c>
      <c r="C362" t="s">
        <v>279</v>
      </c>
      <c r="H362" s="20">
        <v>15.1</v>
      </c>
      <c r="I362" s="20">
        <v>15.1</v>
      </c>
      <c r="J362" s="20">
        <v>15.1</v>
      </c>
      <c r="K362" s="20">
        <v>15.1</v>
      </c>
      <c r="L362" s="20">
        <v>15.1</v>
      </c>
      <c r="M362" s="20">
        <v>15.1</v>
      </c>
      <c r="N362" s="20">
        <v>15.1</v>
      </c>
      <c r="O362" s="20">
        <v>15.1</v>
      </c>
      <c r="P362" s="20">
        <v>15.1</v>
      </c>
      <c r="Q362" s="20">
        <v>15.1</v>
      </c>
      <c r="R362" s="20">
        <v>15.1</v>
      </c>
      <c r="S362" s="20">
        <v>15.1</v>
      </c>
    </row>
    <row r="363" spans="2:19" x14ac:dyDescent="0.3">
      <c r="B363" t="s">
        <v>275</v>
      </c>
      <c r="C363" t="s">
        <v>279</v>
      </c>
      <c r="H363" s="20">
        <v>28</v>
      </c>
      <c r="I363" s="20">
        <v>28</v>
      </c>
      <c r="J363" s="20">
        <v>28</v>
      </c>
      <c r="K363" s="20">
        <v>28</v>
      </c>
      <c r="L363" s="20">
        <v>28</v>
      </c>
      <c r="M363" s="20">
        <v>28</v>
      </c>
      <c r="N363" s="20">
        <v>28</v>
      </c>
      <c r="O363" s="20">
        <v>28</v>
      </c>
      <c r="P363" s="20">
        <v>28</v>
      </c>
      <c r="Q363" s="20">
        <v>28</v>
      </c>
      <c r="R363" s="20">
        <v>28</v>
      </c>
      <c r="S363" s="20">
        <v>28</v>
      </c>
    </row>
    <row r="364" spans="2:19" x14ac:dyDescent="0.3">
      <c r="B364" t="s">
        <v>276</v>
      </c>
      <c r="C364" t="s">
        <v>279</v>
      </c>
      <c r="H364" s="20">
        <v>8.4</v>
      </c>
      <c r="I364" s="20">
        <v>8.4</v>
      </c>
      <c r="J364" s="20">
        <v>8.4</v>
      </c>
      <c r="K364" s="20">
        <v>8.4</v>
      </c>
      <c r="L364" s="20">
        <v>8.4</v>
      </c>
      <c r="M364" s="20">
        <v>8.4</v>
      </c>
      <c r="N364" s="20">
        <v>8.4</v>
      </c>
      <c r="O364" s="20">
        <v>8.4</v>
      </c>
      <c r="P364" s="20">
        <v>8.4</v>
      </c>
      <c r="Q364" s="20">
        <v>8.4</v>
      </c>
      <c r="R364" s="20">
        <v>8.4</v>
      </c>
      <c r="S364" s="20">
        <v>8.4</v>
      </c>
    </row>
    <row r="365" spans="2:19" x14ac:dyDescent="0.3">
      <c r="B365" t="s">
        <v>277</v>
      </c>
      <c r="C365" t="s">
        <v>279</v>
      </c>
      <c r="H365" s="20">
        <v>30.7</v>
      </c>
      <c r="I365" s="20">
        <v>30.7</v>
      </c>
      <c r="J365" s="20">
        <v>30.7</v>
      </c>
      <c r="K365" s="20">
        <v>30.7</v>
      </c>
      <c r="L365" s="20">
        <v>30.7</v>
      </c>
      <c r="M365" s="20">
        <v>30.7</v>
      </c>
      <c r="N365" s="20">
        <v>30.7</v>
      </c>
      <c r="O365" s="20">
        <v>30.7</v>
      </c>
      <c r="P365" s="20">
        <v>30.7</v>
      </c>
      <c r="Q365" s="20">
        <v>30.7</v>
      </c>
      <c r="R365" s="20">
        <v>30.7</v>
      </c>
      <c r="S365" s="20">
        <v>30.7</v>
      </c>
    </row>
    <row r="366" spans="2:19" x14ac:dyDescent="0.3">
      <c r="B366" t="s">
        <v>278</v>
      </c>
      <c r="C366" t="s">
        <v>279</v>
      </c>
      <c r="H366" s="20">
        <f>H248/H245*H367+H251/H245*H368+H254/H245*H369</f>
        <v>28.861874008802324</v>
      </c>
      <c r="I366" s="20">
        <f t="shared" ref="I366:S366" si="177">I248/I245*I367+I251/I245*I368+I254/I245*I369</f>
        <v>29.007040189987052</v>
      </c>
      <c r="J366" s="20">
        <f t="shared" si="177"/>
        <v>28.945146712741511</v>
      </c>
      <c r="K366" s="20">
        <f t="shared" si="177"/>
        <v>28.877005997405007</v>
      </c>
      <c r="L366" s="20">
        <f t="shared" si="177"/>
        <v>29.046762798451514</v>
      </c>
      <c r="M366" s="20">
        <f t="shared" si="177"/>
        <v>29.001931454017416</v>
      </c>
      <c r="N366" s="20">
        <f t="shared" si="177"/>
        <v>28.965470322335626</v>
      </c>
      <c r="O366" s="20">
        <f t="shared" si="177"/>
        <v>28.985199801350298</v>
      </c>
      <c r="P366" s="20">
        <f t="shared" si="177"/>
        <v>28.988875862576908</v>
      </c>
      <c r="Q366" s="20">
        <f t="shared" si="177"/>
        <v>28.989681254029904</v>
      </c>
      <c r="R366" s="20">
        <f t="shared" si="177"/>
        <v>28.94680467101465</v>
      </c>
      <c r="S366" s="20">
        <f t="shared" si="177"/>
        <v>28.830869657777797</v>
      </c>
    </row>
    <row r="367" spans="2:19" x14ac:dyDescent="0.3">
      <c r="B367" t="s">
        <v>281</v>
      </c>
      <c r="C367" t="s">
        <v>279</v>
      </c>
      <c r="H367" s="20">
        <v>25.7</v>
      </c>
      <c r="I367" s="20">
        <v>25.7</v>
      </c>
      <c r="J367" s="20">
        <v>25.7</v>
      </c>
      <c r="K367" s="20">
        <v>25.7</v>
      </c>
      <c r="L367" s="20">
        <v>25.7</v>
      </c>
      <c r="M367" s="20">
        <v>25.7</v>
      </c>
      <c r="N367" s="20">
        <v>25.7</v>
      </c>
      <c r="O367" s="20">
        <v>25.7</v>
      </c>
      <c r="P367" s="20">
        <v>25.7</v>
      </c>
      <c r="Q367" s="20">
        <v>25.7</v>
      </c>
      <c r="R367" s="20">
        <v>25.7</v>
      </c>
      <c r="S367" s="20">
        <v>25.7</v>
      </c>
    </row>
    <row r="368" spans="2:19" x14ac:dyDescent="0.3">
      <c r="B368" t="s">
        <v>282</v>
      </c>
      <c r="C368" t="s">
        <v>279</v>
      </c>
      <c r="H368" s="20">
        <v>34.6</v>
      </c>
      <c r="I368" s="20">
        <v>34.6</v>
      </c>
      <c r="J368" s="20">
        <v>34.6</v>
      </c>
      <c r="K368" s="20">
        <v>34.6</v>
      </c>
      <c r="L368" s="20">
        <v>34.6</v>
      </c>
      <c r="M368" s="20">
        <v>34.6</v>
      </c>
      <c r="N368" s="20">
        <v>34.6</v>
      </c>
      <c r="O368" s="20">
        <v>34.6</v>
      </c>
      <c r="P368" s="20">
        <v>34.6</v>
      </c>
      <c r="Q368" s="20">
        <v>34.6</v>
      </c>
      <c r="R368" s="20">
        <v>34.6</v>
      </c>
      <c r="S368" s="20">
        <v>34.6</v>
      </c>
    </row>
    <row r="369" spans="2:19" x14ac:dyDescent="0.3">
      <c r="B369" t="s">
        <v>283</v>
      </c>
      <c r="C369" t="s">
        <v>279</v>
      </c>
      <c r="H369" s="20">
        <v>34.799999999999997</v>
      </c>
      <c r="I369" s="20">
        <v>34.799999999999997</v>
      </c>
      <c r="J369" s="20">
        <v>34.799999999999997</v>
      </c>
      <c r="K369" s="20">
        <v>34.799999999999997</v>
      </c>
      <c r="L369" s="20">
        <v>34.799999999999997</v>
      </c>
      <c r="M369" s="20">
        <v>34.799999999999997</v>
      </c>
      <c r="N369" s="20">
        <v>34.799999999999997</v>
      </c>
      <c r="O369" s="20">
        <v>34.799999999999997</v>
      </c>
      <c r="P369" s="20">
        <v>34.799999999999997</v>
      </c>
      <c r="Q369" s="20">
        <v>34.799999999999997</v>
      </c>
      <c r="R369" s="20">
        <v>34.799999999999997</v>
      </c>
      <c r="S369" s="20">
        <v>34.799999999999997</v>
      </c>
    </row>
    <row r="370" spans="2:19" x14ac:dyDescent="0.3">
      <c r="B370" t="s">
        <v>280</v>
      </c>
      <c r="C370" t="s">
        <v>279</v>
      </c>
      <c r="H370" s="20">
        <v>1.5</v>
      </c>
      <c r="I370" s="20">
        <v>1.5</v>
      </c>
      <c r="J370" s="20">
        <v>1.5</v>
      </c>
      <c r="K370" s="20">
        <v>1.5</v>
      </c>
      <c r="L370" s="20">
        <v>1.5</v>
      </c>
      <c r="M370" s="20">
        <v>1.5</v>
      </c>
      <c r="N370" s="20">
        <v>1.5</v>
      </c>
      <c r="O370" s="20">
        <v>1.5</v>
      </c>
      <c r="P370" s="20">
        <v>1.5</v>
      </c>
      <c r="Q370" s="20">
        <v>1.5</v>
      </c>
      <c r="R370" s="20">
        <v>1.5</v>
      </c>
      <c r="S370" s="20">
        <v>1.5</v>
      </c>
    </row>
    <row r="371" spans="2:19" x14ac:dyDescent="0.3">
      <c r="B371" s="12" t="s">
        <v>298</v>
      </c>
    </row>
    <row r="372" spans="2:19" x14ac:dyDescent="0.3">
      <c r="B372" t="s">
        <v>299</v>
      </c>
      <c r="C372" t="s">
        <v>322</v>
      </c>
      <c r="H372" s="20">
        <v>6650</v>
      </c>
      <c r="I372" s="20">
        <v>6650</v>
      </c>
      <c r="J372" s="20">
        <v>6650</v>
      </c>
      <c r="K372" s="20">
        <v>6650</v>
      </c>
      <c r="L372" s="20">
        <v>6650</v>
      </c>
      <c r="M372" s="20">
        <v>6650</v>
      </c>
      <c r="N372" s="20">
        <v>6650</v>
      </c>
      <c r="O372" s="20">
        <v>6650</v>
      </c>
      <c r="P372" s="20">
        <v>6650</v>
      </c>
      <c r="Q372" s="20">
        <v>6650</v>
      </c>
      <c r="R372" s="20">
        <v>6650</v>
      </c>
      <c r="S372" s="20">
        <v>6650</v>
      </c>
    </row>
    <row r="373" spans="2:19" x14ac:dyDescent="0.3">
      <c r="B373" t="s">
        <v>300</v>
      </c>
      <c r="C373" t="s">
        <v>322</v>
      </c>
      <c r="H373" s="20">
        <v>6650</v>
      </c>
      <c r="I373" s="20">
        <v>6650</v>
      </c>
      <c r="J373" s="20">
        <v>6650</v>
      </c>
      <c r="K373" s="20">
        <v>6650</v>
      </c>
      <c r="L373" s="20">
        <v>6650</v>
      </c>
      <c r="M373" s="20">
        <v>6650</v>
      </c>
      <c r="N373" s="20">
        <v>6650</v>
      </c>
      <c r="O373" s="20">
        <v>6650</v>
      </c>
      <c r="P373" s="20">
        <v>6650</v>
      </c>
      <c r="Q373" s="20">
        <v>6650</v>
      </c>
      <c r="R373" s="20">
        <v>6650</v>
      </c>
      <c r="S373" s="20">
        <v>6650</v>
      </c>
    </row>
    <row r="374" spans="2:19" x14ac:dyDescent="0.3">
      <c r="B374" t="s">
        <v>301</v>
      </c>
      <c r="C374" t="s">
        <v>322</v>
      </c>
      <c r="H374" s="20">
        <v>6650</v>
      </c>
      <c r="I374" s="20">
        <v>6650</v>
      </c>
      <c r="J374" s="20">
        <v>6650</v>
      </c>
      <c r="K374" s="20">
        <v>6650</v>
      </c>
      <c r="L374" s="20">
        <v>6650</v>
      </c>
      <c r="M374" s="20">
        <v>6650</v>
      </c>
      <c r="N374" s="20">
        <v>6650</v>
      </c>
      <c r="O374" s="20">
        <v>6650</v>
      </c>
      <c r="P374" s="20">
        <v>6650</v>
      </c>
      <c r="Q374" s="20">
        <v>6650</v>
      </c>
      <c r="R374" s="20">
        <v>6650</v>
      </c>
      <c r="S374" s="20">
        <v>6650</v>
      </c>
    </row>
    <row r="375" spans="2:19" x14ac:dyDescent="0.3">
      <c r="B375" t="s">
        <v>302</v>
      </c>
      <c r="C375" t="s">
        <v>322</v>
      </c>
      <c r="H375" s="20">
        <v>6650</v>
      </c>
      <c r="I375" s="20">
        <v>6650</v>
      </c>
      <c r="J375" s="20">
        <v>6650</v>
      </c>
      <c r="K375" s="20">
        <v>6650</v>
      </c>
      <c r="L375" s="20">
        <v>6650</v>
      </c>
      <c r="M375" s="20">
        <v>6650</v>
      </c>
      <c r="N375" s="20">
        <v>6650</v>
      </c>
      <c r="O375" s="20">
        <v>6650</v>
      </c>
      <c r="P375" s="20">
        <v>6650</v>
      </c>
      <c r="Q375" s="20">
        <v>6650</v>
      </c>
      <c r="R375" s="20">
        <v>6650</v>
      </c>
      <c r="S375" s="20">
        <v>6650</v>
      </c>
    </row>
    <row r="376" spans="2:19" x14ac:dyDescent="0.3">
      <c r="B376" t="s">
        <v>303</v>
      </c>
      <c r="C376" t="s">
        <v>322</v>
      </c>
      <c r="H376" s="20">
        <v>6650</v>
      </c>
      <c r="I376" s="20">
        <v>6650</v>
      </c>
      <c r="J376" s="20">
        <v>6650</v>
      </c>
      <c r="K376" s="20">
        <v>6650</v>
      </c>
      <c r="L376" s="20">
        <v>6650</v>
      </c>
      <c r="M376" s="20">
        <v>6650</v>
      </c>
      <c r="N376" s="20">
        <v>6650</v>
      </c>
      <c r="O376" s="20">
        <v>6650</v>
      </c>
      <c r="P376" s="20">
        <v>6650</v>
      </c>
      <c r="Q376" s="20">
        <v>6650</v>
      </c>
      <c r="R376" s="20">
        <v>6650</v>
      </c>
      <c r="S376" s="20">
        <v>6650</v>
      </c>
    </row>
    <row r="377" spans="2:19" x14ac:dyDescent="0.3">
      <c r="B377" t="s">
        <v>304</v>
      </c>
      <c r="C377" t="s">
        <v>322</v>
      </c>
      <c r="H377" s="20">
        <v>4000</v>
      </c>
      <c r="I377" s="20">
        <v>4000</v>
      </c>
      <c r="J377" s="20">
        <v>4000</v>
      </c>
      <c r="K377" s="20">
        <v>4000</v>
      </c>
      <c r="L377" s="20">
        <v>4000</v>
      </c>
      <c r="M377" s="20">
        <v>4000</v>
      </c>
      <c r="N377" s="20">
        <v>4000</v>
      </c>
      <c r="O377" s="20">
        <v>4000</v>
      </c>
      <c r="P377" s="20">
        <v>4000</v>
      </c>
      <c r="Q377" s="20">
        <v>4000</v>
      </c>
      <c r="R377" s="20">
        <v>4000</v>
      </c>
      <c r="S377" s="20">
        <v>4000</v>
      </c>
    </row>
    <row r="378" spans="2:19" x14ac:dyDescent="0.3">
      <c r="B378" t="s">
        <v>305</v>
      </c>
      <c r="C378" t="s">
        <v>322</v>
      </c>
      <c r="H378" s="20">
        <v>4000</v>
      </c>
      <c r="I378" s="20">
        <v>4000</v>
      </c>
      <c r="J378" s="20">
        <v>4000</v>
      </c>
      <c r="K378" s="20">
        <v>4000</v>
      </c>
      <c r="L378" s="20">
        <v>4000</v>
      </c>
      <c r="M378" s="20">
        <v>4000</v>
      </c>
      <c r="N378" s="20">
        <v>4000</v>
      </c>
      <c r="O378" s="20">
        <v>4000</v>
      </c>
      <c r="P378" s="20">
        <v>4000</v>
      </c>
      <c r="Q378" s="20">
        <v>4000</v>
      </c>
      <c r="R378" s="20">
        <v>4000</v>
      </c>
      <c r="S378" s="20">
        <v>4000</v>
      </c>
    </row>
    <row r="379" spans="2:19" x14ac:dyDescent="0.3">
      <c r="B379" t="s">
        <v>306</v>
      </c>
      <c r="C379" t="s">
        <v>322</v>
      </c>
      <c r="H379" s="20">
        <v>4000</v>
      </c>
      <c r="I379" s="20">
        <v>4000</v>
      </c>
      <c r="J379" s="20">
        <v>4000</v>
      </c>
      <c r="K379" s="20">
        <v>4000</v>
      </c>
      <c r="L379" s="20">
        <v>4000</v>
      </c>
      <c r="M379" s="20">
        <v>4000</v>
      </c>
      <c r="N379" s="20">
        <v>4000</v>
      </c>
      <c r="O379" s="20">
        <v>4000</v>
      </c>
      <c r="P379" s="20">
        <v>4000</v>
      </c>
      <c r="Q379" s="20">
        <v>4000</v>
      </c>
      <c r="R379" s="20">
        <v>4000</v>
      </c>
      <c r="S379" s="20">
        <v>4000</v>
      </c>
    </row>
    <row r="380" spans="2:19" x14ac:dyDescent="0.3">
      <c r="B380" t="s">
        <v>307</v>
      </c>
      <c r="C380" t="s">
        <v>322</v>
      </c>
      <c r="H380" s="20">
        <v>4000</v>
      </c>
      <c r="I380" s="20">
        <v>4000</v>
      </c>
      <c r="J380" s="20">
        <v>4000</v>
      </c>
      <c r="K380" s="20">
        <v>4000</v>
      </c>
      <c r="L380" s="20">
        <v>4000</v>
      </c>
      <c r="M380" s="20">
        <v>4000</v>
      </c>
      <c r="N380" s="20">
        <v>4000</v>
      </c>
      <c r="O380" s="20">
        <v>4000</v>
      </c>
      <c r="P380" s="20">
        <v>4000</v>
      </c>
      <c r="Q380" s="20">
        <v>4000</v>
      </c>
      <c r="R380" s="20">
        <v>4000</v>
      </c>
      <c r="S380" s="20">
        <v>4000</v>
      </c>
    </row>
    <row r="381" spans="2:19" x14ac:dyDescent="0.3">
      <c r="B381" t="s">
        <v>308</v>
      </c>
      <c r="C381" t="s">
        <v>322</v>
      </c>
      <c r="H381" s="20">
        <v>4000</v>
      </c>
      <c r="I381" s="20">
        <v>4000</v>
      </c>
      <c r="J381" s="20">
        <v>4000</v>
      </c>
      <c r="K381" s="20">
        <v>4000</v>
      </c>
      <c r="L381" s="20">
        <v>4000</v>
      </c>
      <c r="M381" s="20">
        <v>4000</v>
      </c>
      <c r="N381" s="20">
        <v>4000</v>
      </c>
      <c r="O381" s="20">
        <v>4000</v>
      </c>
      <c r="P381" s="20">
        <v>4000</v>
      </c>
      <c r="Q381" s="20">
        <v>4000</v>
      </c>
      <c r="R381" s="20">
        <v>4000</v>
      </c>
      <c r="S381" s="20">
        <v>4000</v>
      </c>
    </row>
    <row r="382" spans="2:19" x14ac:dyDescent="0.3">
      <c r="B382" t="s">
        <v>309</v>
      </c>
      <c r="C382" t="s">
        <v>322</v>
      </c>
      <c r="H382" s="20">
        <v>5250</v>
      </c>
      <c r="I382" s="20">
        <v>5250</v>
      </c>
      <c r="J382" s="20">
        <v>5250</v>
      </c>
      <c r="K382" s="20">
        <v>5250</v>
      </c>
      <c r="L382" s="20">
        <v>5250</v>
      </c>
      <c r="M382" s="20">
        <v>5250</v>
      </c>
      <c r="N382" s="20">
        <v>5250</v>
      </c>
      <c r="O382" s="20">
        <v>5250</v>
      </c>
      <c r="P382" s="20">
        <v>5250</v>
      </c>
      <c r="Q382" s="20">
        <v>5250</v>
      </c>
      <c r="R382" s="20">
        <v>5250</v>
      </c>
      <c r="S382" s="20">
        <v>5250</v>
      </c>
    </row>
    <row r="383" spans="2:19" x14ac:dyDescent="0.3">
      <c r="B383" t="s">
        <v>310</v>
      </c>
      <c r="C383" t="s">
        <v>322</v>
      </c>
      <c r="H383" s="20">
        <v>5250</v>
      </c>
      <c r="I383" s="20">
        <v>5250</v>
      </c>
      <c r="J383" s="20">
        <v>5250</v>
      </c>
      <c r="K383" s="20">
        <v>5250</v>
      </c>
      <c r="L383" s="20">
        <v>5250</v>
      </c>
      <c r="M383" s="20">
        <v>5250</v>
      </c>
      <c r="N383" s="20">
        <v>5250</v>
      </c>
      <c r="O383" s="20">
        <v>5250</v>
      </c>
      <c r="P383" s="20">
        <v>5250</v>
      </c>
      <c r="Q383" s="20">
        <v>5250</v>
      </c>
      <c r="R383" s="20">
        <v>5250</v>
      </c>
      <c r="S383" s="20">
        <v>5250</v>
      </c>
    </row>
    <row r="384" spans="2:19" x14ac:dyDescent="0.3">
      <c r="B384" t="s">
        <v>311</v>
      </c>
      <c r="C384" t="s">
        <v>322</v>
      </c>
      <c r="H384" s="20">
        <v>5250</v>
      </c>
      <c r="I384" s="20">
        <v>5250</v>
      </c>
      <c r="J384" s="20">
        <v>5250</v>
      </c>
      <c r="K384" s="20">
        <v>5250</v>
      </c>
      <c r="L384" s="20">
        <v>5250</v>
      </c>
      <c r="M384" s="20">
        <v>5250</v>
      </c>
      <c r="N384" s="20">
        <v>5250</v>
      </c>
      <c r="O384" s="20">
        <v>5250</v>
      </c>
      <c r="P384" s="20">
        <v>5250</v>
      </c>
      <c r="Q384" s="20">
        <v>5250</v>
      </c>
      <c r="R384" s="20">
        <v>5250</v>
      </c>
      <c r="S384" s="20">
        <v>5250</v>
      </c>
    </row>
    <row r="385" spans="2:19" x14ac:dyDescent="0.3">
      <c r="B385" t="s">
        <v>312</v>
      </c>
      <c r="C385" t="s">
        <v>322</v>
      </c>
      <c r="H385" s="20">
        <v>5250</v>
      </c>
      <c r="I385" s="20">
        <v>5250</v>
      </c>
      <c r="J385" s="20">
        <v>5250</v>
      </c>
      <c r="K385" s="20">
        <v>5250</v>
      </c>
      <c r="L385" s="20">
        <v>5250</v>
      </c>
      <c r="M385" s="20">
        <v>5250</v>
      </c>
      <c r="N385" s="20">
        <v>5250</v>
      </c>
      <c r="O385" s="20">
        <v>5250</v>
      </c>
      <c r="P385" s="20">
        <v>5250</v>
      </c>
      <c r="Q385" s="20">
        <v>5250</v>
      </c>
      <c r="R385" s="20">
        <v>5250</v>
      </c>
      <c r="S385" s="20">
        <v>5250</v>
      </c>
    </row>
    <row r="386" spans="2:19" x14ac:dyDescent="0.3">
      <c r="B386" t="s">
        <v>313</v>
      </c>
      <c r="C386" t="s">
        <v>322</v>
      </c>
      <c r="H386" s="20">
        <v>5250</v>
      </c>
      <c r="I386" s="20">
        <v>5250</v>
      </c>
      <c r="J386" s="20">
        <v>5250</v>
      </c>
      <c r="K386" s="20">
        <v>5250</v>
      </c>
      <c r="L386" s="20">
        <v>5250</v>
      </c>
      <c r="M386" s="20">
        <v>5250</v>
      </c>
      <c r="N386" s="20">
        <v>5250</v>
      </c>
      <c r="O386" s="20">
        <v>5250</v>
      </c>
      <c r="P386" s="20">
        <v>5250</v>
      </c>
      <c r="Q386" s="20">
        <v>5250</v>
      </c>
      <c r="R386" s="20">
        <v>5250</v>
      </c>
      <c r="S386" s="20">
        <v>5250</v>
      </c>
    </row>
    <row r="387" spans="2:19" x14ac:dyDescent="0.3">
      <c r="B387" t="s">
        <v>314</v>
      </c>
      <c r="C387" t="s">
        <v>322</v>
      </c>
      <c r="H387" s="20">
        <v>5250</v>
      </c>
      <c r="I387" s="20">
        <v>5250</v>
      </c>
      <c r="J387" s="20">
        <v>5250</v>
      </c>
      <c r="K387" s="20">
        <v>5250</v>
      </c>
      <c r="L387" s="20">
        <v>5250</v>
      </c>
      <c r="M387" s="20">
        <v>5250</v>
      </c>
      <c r="N387" s="20">
        <v>5250</v>
      </c>
      <c r="O387" s="20">
        <v>5250</v>
      </c>
      <c r="P387" s="20">
        <v>5250</v>
      </c>
      <c r="Q387" s="20">
        <v>5250</v>
      </c>
      <c r="R387" s="20">
        <v>5250</v>
      </c>
      <c r="S387" s="20">
        <v>5250</v>
      </c>
    </row>
    <row r="388" spans="2:19" x14ac:dyDescent="0.3">
      <c r="B388" t="s">
        <v>315</v>
      </c>
      <c r="C388" t="s">
        <v>322</v>
      </c>
      <c r="H388" s="20">
        <v>5250</v>
      </c>
      <c r="I388" s="20">
        <v>5250</v>
      </c>
      <c r="J388" s="20">
        <v>5250</v>
      </c>
      <c r="K388" s="20">
        <v>5250</v>
      </c>
      <c r="L388" s="20">
        <v>5250</v>
      </c>
      <c r="M388" s="20">
        <v>5250</v>
      </c>
      <c r="N388" s="20">
        <v>5250</v>
      </c>
      <c r="O388" s="20">
        <v>5250</v>
      </c>
      <c r="P388" s="20">
        <v>5250</v>
      </c>
      <c r="Q388" s="20">
        <v>5250</v>
      </c>
      <c r="R388" s="20">
        <v>5250</v>
      </c>
      <c r="S388" s="20">
        <v>5250</v>
      </c>
    </row>
    <row r="389" spans="2:19" x14ac:dyDescent="0.3">
      <c r="B389" t="s">
        <v>316</v>
      </c>
      <c r="C389" t="s">
        <v>322</v>
      </c>
      <c r="H389" s="20">
        <v>5250</v>
      </c>
      <c r="I389" s="20">
        <v>5250</v>
      </c>
      <c r="J389" s="20">
        <v>5250</v>
      </c>
      <c r="K389" s="20">
        <v>5250</v>
      </c>
      <c r="L389" s="20">
        <v>5250</v>
      </c>
      <c r="M389" s="20">
        <v>5250</v>
      </c>
      <c r="N389" s="20">
        <v>5250</v>
      </c>
      <c r="O389" s="20">
        <v>5250</v>
      </c>
      <c r="P389" s="20">
        <v>5250</v>
      </c>
      <c r="Q389" s="20">
        <v>5250</v>
      </c>
      <c r="R389" s="20">
        <v>5250</v>
      </c>
      <c r="S389" s="20">
        <v>5250</v>
      </c>
    </row>
    <row r="390" spans="2:19" x14ac:dyDescent="0.3">
      <c r="B390" t="s">
        <v>317</v>
      </c>
      <c r="C390" t="s">
        <v>322</v>
      </c>
      <c r="H390" s="20">
        <v>7200</v>
      </c>
      <c r="I390" s="20">
        <v>7200</v>
      </c>
      <c r="J390" s="20">
        <v>7200</v>
      </c>
      <c r="K390" s="20">
        <v>7200</v>
      </c>
      <c r="L390" s="20">
        <v>7200</v>
      </c>
      <c r="M390" s="20">
        <v>7200</v>
      </c>
      <c r="N390" s="20">
        <v>7200</v>
      </c>
      <c r="O390" s="20">
        <v>7200</v>
      </c>
      <c r="P390" s="20">
        <v>7200</v>
      </c>
      <c r="Q390" s="20">
        <v>7200</v>
      </c>
      <c r="R390" s="20">
        <v>7200</v>
      </c>
      <c r="S390" s="20">
        <v>7200</v>
      </c>
    </row>
    <row r="391" spans="2:19" x14ac:dyDescent="0.3">
      <c r="B391" t="s">
        <v>318</v>
      </c>
      <c r="C391" t="s">
        <v>322</v>
      </c>
      <c r="H391" s="20">
        <v>7200</v>
      </c>
      <c r="I391" s="20">
        <v>7200</v>
      </c>
      <c r="J391" s="20">
        <v>7200</v>
      </c>
      <c r="K391" s="20">
        <v>7200</v>
      </c>
      <c r="L391" s="20">
        <v>7200</v>
      </c>
      <c r="M391" s="20">
        <v>7200</v>
      </c>
      <c r="N391" s="20">
        <v>7200</v>
      </c>
      <c r="O391" s="20">
        <v>7200</v>
      </c>
      <c r="P391" s="20">
        <v>7200</v>
      </c>
      <c r="Q391" s="20">
        <v>7200</v>
      </c>
      <c r="R391" s="20">
        <v>7200</v>
      </c>
      <c r="S391" s="20">
        <v>7200</v>
      </c>
    </row>
    <row r="392" spans="2:19" x14ac:dyDescent="0.3">
      <c r="B392" t="s">
        <v>319</v>
      </c>
      <c r="C392" t="s">
        <v>322</v>
      </c>
      <c r="H392" s="20">
        <v>7200</v>
      </c>
      <c r="I392" s="20">
        <v>7200</v>
      </c>
      <c r="J392" s="20">
        <v>7200</v>
      </c>
      <c r="K392" s="20">
        <v>7200</v>
      </c>
      <c r="L392" s="20">
        <v>7200</v>
      </c>
      <c r="M392" s="20">
        <v>7200</v>
      </c>
      <c r="N392" s="20">
        <v>7200</v>
      </c>
      <c r="O392" s="20">
        <v>7200</v>
      </c>
      <c r="P392" s="20">
        <v>7200</v>
      </c>
      <c r="Q392" s="20">
        <v>7200</v>
      </c>
      <c r="R392" s="20">
        <v>7200</v>
      </c>
      <c r="S392" s="20">
        <v>7200</v>
      </c>
    </row>
    <row r="393" spans="2:19" x14ac:dyDescent="0.3">
      <c r="B393" t="s">
        <v>320</v>
      </c>
      <c r="C393" t="s">
        <v>322</v>
      </c>
      <c r="H393" s="20">
        <v>5000</v>
      </c>
      <c r="I393" s="20">
        <v>5000</v>
      </c>
      <c r="J393" s="20">
        <v>5000</v>
      </c>
      <c r="K393" s="20">
        <v>5000</v>
      </c>
      <c r="L393" s="20">
        <v>5000</v>
      </c>
      <c r="M393" s="20">
        <v>5000</v>
      </c>
      <c r="N393" s="20">
        <v>5000</v>
      </c>
      <c r="O393" s="20">
        <v>5000</v>
      </c>
      <c r="P393" s="20">
        <v>5000</v>
      </c>
      <c r="Q393" s="20">
        <v>5000</v>
      </c>
      <c r="R393" s="20">
        <v>5000</v>
      </c>
      <c r="S393" s="20">
        <v>5000</v>
      </c>
    </row>
    <row r="394" spans="2:19" x14ac:dyDescent="0.3">
      <c r="B394" t="s">
        <v>321</v>
      </c>
      <c r="C394" t="s">
        <v>322</v>
      </c>
      <c r="H394" s="20">
        <v>5000</v>
      </c>
      <c r="I394" s="20">
        <v>5000</v>
      </c>
      <c r="J394" s="20">
        <v>5000</v>
      </c>
      <c r="K394" s="20">
        <v>5000</v>
      </c>
      <c r="L394" s="20">
        <v>5000</v>
      </c>
      <c r="M394" s="20">
        <v>5000</v>
      </c>
      <c r="N394" s="20">
        <v>5000</v>
      </c>
      <c r="O394" s="20">
        <v>5000</v>
      </c>
      <c r="P394" s="20">
        <v>5000</v>
      </c>
      <c r="Q394" s="20">
        <v>5000</v>
      </c>
      <c r="R394" s="20">
        <v>5000</v>
      </c>
      <c r="S394" s="20">
        <v>5000</v>
      </c>
    </row>
    <row r="395" spans="2:19" x14ac:dyDescent="0.3">
      <c r="B395" t="s">
        <v>323</v>
      </c>
      <c r="C395" t="s">
        <v>322</v>
      </c>
      <c r="H395" s="20">
        <v>10400</v>
      </c>
      <c r="I395" s="20">
        <v>10400</v>
      </c>
      <c r="J395" s="20">
        <v>10400</v>
      </c>
      <c r="K395" s="20">
        <v>10400</v>
      </c>
      <c r="L395" s="20">
        <v>10400</v>
      </c>
      <c r="M395" s="20">
        <v>10400</v>
      </c>
      <c r="N395" s="20">
        <v>10400</v>
      </c>
      <c r="O395" s="20">
        <v>10400</v>
      </c>
      <c r="P395" s="20">
        <v>10400</v>
      </c>
      <c r="Q395" s="20">
        <v>10400</v>
      </c>
      <c r="R395" s="20">
        <v>10400</v>
      </c>
      <c r="S395" s="20">
        <v>10400</v>
      </c>
    </row>
    <row r="396" spans="2:19" x14ac:dyDescent="0.3">
      <c r="B396" s="12" t="s">
        <v>345</v>
      </c>
      <c r="H396" s="20"/>
      <c r="I396" s="20"/>
      <c r="J396" s="20"/>
      <c r="K396" s="20"/>
      <c r="L396" s="20"/>
      <c r="M396" s="20"/>
      <c r="N396" s="20"/>
      <c r="O396" s="20"/>
      <c r="P396" s="20"/>
      <c r="Q396" s="20"/>
      <c r="R396" s="20"/>
      <c r="S396" s="20"/>
    </row>
    <row r="397" spans="2:19" x14ac:dyDescent="0.3">
      <c r="B397" t="s">
        <v>348</v>
      </c>
      <c r="C397" t="s">
        <v>811</v>
      </c>
      <c r="H397" s="24">
        <f>H354*H260</f>
        <v>65632949.999999829</v>
      </c>
      <c r="I397" s="24">
        <f t="shared" ref="I397:S397" si="178">I354*I260</f>
        <v>66443233.333333164</v>
      </c>
      <c r="J397" s="24">
        <f t="shared" si="178"/>
        <v>46186149.999999881</v>
      </c>
      <c r="K397" s="24">
        <f t="shared" si="178"/>
        <v>48616999.999999873</v>
      </c>
      <c r="L397" s="24">
        <f t="shared" si="178"/>
        <v>73735783.333333135</v>
      </c>
      <c r="M397" s="24">
        <f t="shared" si="178"/>
        <v>31601049.999999918</v>
      </c>
      <c r="N397" s="24">
        <f t="shared" si="178"/>
        <v>60771249.999999836</v>
      </c>
      <c r="O397" s="24">
        <f t="shared" si="178"/>
        <v>73735783.333333135</v>
      </c>
      <c r="P397" s="24">
        <f t="shared" si="178"/>
        <v>55909549.999999851</v>
      </c>
      <c r="Q397" s="24">
        <f t="shared" si="178"/>
        <v>43755299.999999881</v>
      </c>
      <c r="R397" s="24">
        <f t="shared" si="178"/>
        <v>71304933.33333315</v>
      </c>
      <c r="S397" s="24">
        <f t="shared" si="178"/>
        <v>44984608.26150316</v>
      </c>
    </row>
    <row r="398" spans="2:19" x14ac:dyDescent="0.3">
      <c r="B398" t="s">
        <v>349</v>
      </c>
      <c r="C398" t="s">
        <v>806</v>
      </c>
      <c r="H398" s="30">
        <v>1</v>
      </c>
      <c r="I398" s="30">
        <v>1</v>
      </c>
      <c r="J398" s="30">
        <v>1</v>
      </c>
      <c r="K398" s="30">
        <v>1</v>
      </c>
      <c r="L398" s="30">
        <v>1</v>
      </c>
      <c r="M398" s="30">
        <v>1</v>
      </c>
      <c r="N398" s="30">
        <v>1</v>
      </c>
      <c r="O398" s="30">
        <v>1</v>
      </c>
      <c r="P398" s="30">
        <v>1</v>
      </c>
      <c r="Q398" s="30">
        <v>1</v>
      </c>
      <c r="R398" s="30">
        <v>1</v>
      </c>
      <c r="S398" s="30">
        <v>1</v>
      </c>
    </row>
    <row r="399" spans="2:19" x14ac:dyDescent="0.3">
      <c r="B399" t="s">
        <v>376</v>
      </c>
      <c r="C399" t="s">
        <v>806</v>
      </c>
      <c r="H399" s="25">
        <f t="shared" ref="H399:S399" si="179">(H171*(1-H215))/((H171*(1-H215))+(H172*(1-H216))+(H173*(1-H220)))</f>
        <v>0.18123667377398722</v>
      </c>
      <c r="I399" s="25">
        <f t="shared" si="179"/>
        <v>0.18123667377398722</v>
      </c>
      <c r="J399" s="25">
        <f t="shared" si="179"/>
        <v>0.18123667377398722</v>
      </c>
      <c r="K399" s="25">
        <f t="shared" si="179"/>
        <v>0.18123667377398722</v>
      </c>
      <c r="L399" s="25">
        <f t="shared" si="179"/>
        <v>0.18123667377398722</v>
      </c>
      <c r="M399" s="25">
        <f t="shared" si="179"/>
        <v>0.18123667377398722</v>
      </c>
      <c r="N399" s="25">
        <f t="shared" si="179"/>
        <v>0.18123667377398722</v>
      </c>
      <c r="O399" s="25">
        <f t="shared" si="179"/>
        <v>0.18123667377398722</v>
      </c>
      <c r="P399" s="25">
        <f t="shared" si="179"/>
        <v>0.18123667377398722</v>
      </c>
      <c r="Q399" s="25">
        <f t="shared" si="179"/>
        <v>0.18123667377398722</v>
      </c>
      <c r="R399" s="25">
        <f t="shared" si="179"/>
        <v>0.18123667377398722</v>
      </c>
      <c r="S399" s="25">
        <f t="shared" si="179"/>
        <v>0.18123667377398722</v>
      </c>
    </row>
    <row r="400" spans="2:19" x14ac:dyDescent="0.3">
      <c r="B400" t="s">
        <v>377</v>
      </c>
      <c r="C400" t="s">
        <v>806</v>
      </c>
      <c r="H400" s="25">
        <f t="shared" ref="H400:S400" si="180">(H172*(1-H216))/((H171*(1-H215))+(H172*(1-H216))+(H173*(1-H220)))</f>
        <v>0</v>
      </c>
      <c r="I400" s="25">
        <f t="shared" si="180"/>
        <v>0</v>
      </c>
      <c r="J400" s="25">
        <f t="shared" si="180"/>
        <v>0</v>
      </c>
      <c r="K400" s="25">
        <f t="shared" si="180"/>
        <v>0</v>
      </c>
      <c r="L400" s="25">
        <f t="shared" si="180"/>
        <v>0</v>
      </c>
      <c r="M400" s="25">
        <f t="shared" si="180"/>
        <v>0</v>
      </c>
      <c r="N400" s="25">
        <f t="shared" si="180"/>
        <v>0</v>
      </c>
      <c r="O400" s="25">
        <f t="shared" si="180"/>
        <v>0</v>
      </c>
      <c r="P400" s="25">
        <f t="shared" si="180"/>
        <v>0</v>
      </c>
      <c r="Q400" s="25">
        <f t="shared" si="180"/>
        <v>0</v>
      </c>
      <c r="R400" s="25">
        <f t="shared" si="180"/>
        <v>0</v>
      </c>
      <c r="S400" s="25">
        <f t="shared" si="180"/>
        <v>0</v>
      </c>
    </row>
    <row r="401" spans="2:19" x14ac:dyDescent="0.3">
      <c r="B401" t="s">
        <v>378</v>
      </c>
      <c r="C401" t="s">
        <v>806</v>
      </c>
      <c r="H401" s="25">
        <f t="shared" ref="H401:S401" si="181">(H173*(1-H220))/((H171*(1-H215))+(H172*(1-H216))+(H173*(1-H220)))</f>
        <v>0.81876332622601278</v>
      </c>
      <c r="I401" s="25">
        <f t="shared" si="181"/>
        <v>0.81876332622601278</v>
      </c>
      <c r="J401" s="25">
        <f t="shared" si="181"/>
        <v>0.81876332622601278</v>
      </c>
      <c r="K401" s="25">
        <f t="shared" si="181"/>
        <v>0.81876332622601278</v>
      </c>
      <c r="L401" s="25">
        <f t="shared" si="181"/>
        <v>0.81876332622601278</v>
      </c>
      <c r="M401" s="25">
        <f t="shared" si="181"/>
        <v>0.81876332622601278</v>
      </c>
      <c r="N401" s="25">
        <f t="shared" si="181"/>
        <v>0.81876332622601278</v>
      </c>
      <c r="O401" s="25">
        <f t="shared" si="181"/>
        <v>0.81876332622601278</v>
      </c>
      <c r="P401" s="25">
        <f t="shared" si="181"/>
        <v>0.81876332622601278</v>
      </c>
      <c r="Q401" s="25">
        <f t="shared" si="181"/>
        <v>0.81876332622601278</v>
      </c>
      <c r="R401" s="25">
        <f t="shared" si="181"/>
        <v>0.81876332622601278</v>
      </c>
      <c r="S401" s="25">
        <f t="shared" si="181"/>
        <v>0.81876332622601278</v>
      </c>
    </row>
    <row r="402" spans="2:19" x14ac:dyDescent="0.3">
      <c r="B402" t="s">
        <v>379</v>
      </c>
      <c r="C402" t="s">
        <v>806</v>
      </c>
      <c r="H402" s="25">
        <f>SUMPRODUCT(H399,H417)/SUMPRODUCT(H399:H401,H417:H419)</f>
        <v>0.11750069118053637</v>
      </c>
      <c r="I402" s="25">
        <f t="shared" ref="I402:S402" si="182">SUMPRODUCT(I399,I417)/SUMPRODUCT(I399:I401,I417:I419)</f>
        <v>0.11750069118053637</v>
      </c>
      <c r="J402" s="25">
        <f t="shared" si="182"/>
        <v>0.11750069118053637</v>
      </c>
      <c r="K402" s="25">
        <f t="shared" si="182"/>
        <v>0.11750069118053637</v>
      </c>
      <c r="L402" s="25">
        <f t="shared" si="182"/>
        <v>0.11750069118053637</v>
      </c>
      <c r="M402" s="25">
        <f t="shared" si="182"/>
        <v>0.11750069118053637</v>
      </c>
      <c r="N402" s="25">
        <f t="shared" si="182"/>
        <v>0.11750069118053637</v>
      </c>
      <c r="O402" s="25">
        <f t="shared" si="182"/>
        <v>0.11750069118053637</v>
      </c>
      <c r="P402" s="25">
        <f t="shared" si="182"/>
        <v>0.11750069118053637</v>
      </c>
      <c r="Q402" s="25">
        <f t="shared" si="182"/>
        <v>0.11750069118053637</v>
      </c>
      <c r="R402" s="25">
        <f t="shared" si="182"/>
        <v>0.11750069118053637</v>
      </c>
      <c r="S402" s="25">
        <f t="shared" si="182"/>
        <v>0.11750069118053637</v>
      </c>
    </row>
    <row r="403" spans="2:19" x14ac:dyDescent="0.3">
      <c r="B403" t="s">
        <v>380</v>
      </c>
      <c r="C403" t="s">
        <v>806</v>
      </c>
      <c r="H403" s="25">
        <f>SUMPRODUCT(H400,H418)/SUMPRODUCT(H399:H401,H417:H419)</f>
        <v>0</v>
      </c>
      <c r="I403" s="25">
        <f t="shared" ref="I403:S403" si="183">SUMPRODUCT(I400,I418)/SUMPRODUCT(I399:I401,I417:I419)</f>
        <v>0</v>
      </c>
      <c r="J403" s="25">
        <f t="shared" si="183"/>
        <v>0</v>
      </c>
      <c r="K403" s="25">
        <f t="shared" si="183"/>
        <v>0</v>
      </c>
      <c r="L403" s="25">
        <f t="shared" si="183"/>
        <v>0</v>
      </c>
      <c r="M403" s="25">
        <f t="shared" si="183"/>
        <v>0</v>
      </c>
      <c r="N403" s="25">
        <f t="shared" si="183"/>
        <v>0</v>
      </c>
      <c r="O403" s="25">
        <f t="shared" si="183"/>
        <v>0</v>
      </c>
      <c r="P403" s="25">
        <f t="shared" si="183"/>
        <v>0</v>
      </c>
      <c r="Q403" s="25">
        <f t="shared" si="183"/>
        <v>0</v>
      </c>
      <c r="R403" s="25">
        <f t="shared" si="183"/>
        <v>0</v>
      </c>
      <c r="S403" s="25">
        <f t="shared" si="183"/>
        <v>0</v>
      </c>
    </row>
    <row r="404" spans="2:19" x14ac:dyDescent="0.3">
      <c r="B404" t="s">
        <v>381</v>
      </c>
      <c r="C404" t="s">
        <v>806</v>
      </c>
      <c r="H404" s="25">
        <f>SUMPRODUCT(H401,H419)/SUMPRODUCT(H399:H401,H417:H419)</f>
        <v>0.8824993088194637</v>
      </c>
      <c r="I404" s="25">
        <f t="shared" ref="I404:S404" si="184">SUMPRODUCT(I401,I419)/SUMPRODUCT(I399:I401,I417:I419)</f>
        <v>0.8824993088194637</v>
      </c>
      <c r="J404" s="25">
        <f t="shared" si="184"/>
        <v>0.8824993088194637</v>
      </c>
      <c r="K404" s="25">
        <f t="shared" si="184"/>
        <v>0.8824993088194637</v>
      </c>
      <c r="L404" s="25">
        <f t="shared" si="184"/>
        <v>0.8824993088194637</v>
      </c>
      <c r="M404" s="25">
        <f t="shared" si="184"/>
        <v>0.8824993088194637</v>
      </c>
      <c r="N404" s="25">
        <f t="shared" si="184"/>
        <v>0.8824993088194637</v>
      </c>
      <c r="O404" s="25">
        <f t="shared" si="184"/>
        <v>0.8824993088194637</v>
      </c>
      <c r="P404" s="25">
        <f t="shared" si="184"/>
        <v>0.8824993088194637</v>
      </c>
      <c r="Q404" s="25">
        <f t="shared" si="184"/>
        <v>0.8824993088194637</v>
      </c>
      <c r="R404" s="25">
        <f t="shared" si="184"/>
        <v>0.8824993088194637</v>
      </c>
      <c r="S404" s="25">
        <f t="shared" si="184"/>
        <v>0.8824993088194637</v>
      </c>
    </row>
    <row r="405" spans="2:19" x14ac:dyDescent="0.3">
      <c r="B405" t="s">
        <v>350</v>
      </c>
      <c r="C405" t="s">
        <v>806</v>
      </c>
      <c r="H405" s="29">
        <v>0.76190476190476197</v>
      </c>
      <c r="I405" s="29">
        <v>0.76190476190476197</v>
      </c>
      <c r="J405" s="29">
        <v>0.76190476190476197</v>
      </c>
      <c r="K405" s="29">
        <v>0.76190476190476197</v>
      </c>
      <c r="L405" s="29">
        <v>0.76190476190476197</v>
      </c>
      <c r="M405" s="29">
        <v>0.76190476190476197</v>
      </c>
      <c r="N405" s="29">
        <v>0.76190476190476197</v>
      </c>
      <c r="O405" s="29">
        <v>0.76190476190476197</v>
      </c>
      <c r="P405" s="29">
        <v>0.76190476190476197</v>
      </c>
      <c r="Q405" s="29">
        <v>0.76190476190476197</v>
      </c>
      <c r="R405" s="29">
        <v>0.76190476190476197</v>
      </c>
      <c r="S405" s="29">
        <v>0.76190476190476197</v>
      </c>
    </row>
    <row r="406" spans="2:19" x14ac:dyDescent="0.3">
      <c r="B406" t="s">
        <v>351</v>
      </c>
      <c r="C406" t="s">
        <v>806</v>
      </c>
      <c r="H406" s="22">
        <v>0.23809523809523803</v>
      </c>
      <c r="I406" s="22">
        <v>0.23809523809523803</v>
      </c>
      <c r="J406" s="22">
        <v>0.23809523809523803</v>
      </c>
      <c r="K406" s="22">
        <v>0.23809523809523803</v>
      </c>
      <c r="L406" s="22">
        <v>0.23809523809523803</v>
      </c>
      <c r="M406" s="22">
        <v>0.23809523809523803</v>
      </c>
      <c r="N406" s="22">
        <v>0.23809523809523803</v>
      </c>
      <c r="O406" s="22">
        <v>0.23809523809523803</v>
      </c>
      <c r="P406" s="22">
        <v>0.23809523809523803</v>
      </c>
      <c r="Q406" s="22">
        <v>0.23809523809523803</v>
      </c>
      <c r="R406" s="22">
        <v>0.23809523809523803</v>
      </c>
      <c r="S406" s="22">
        <v>0.23809523809523803</v>
      </c>
    </row>
    <row r="407" spans="2:19" x14ac:dyDescent="0.3">
      <c r="B407" t="s">
        <v>352</v>
      </c>
      <c r="C407" t="s">
        <v>806</v>
      </c>
      <c r="H407" s="22">
        <v>0</v>
      </c>
      <c r="I407" s="22">
        <v>0</v>
      </c>
      <c r="J407" s="22">
        <v>0</v>
      </c>
      <c r="K407" s="22">
        <v>0</v>
      </c>
      <c r="L407" s="22">
        <v>0</v>
      </c>
      <c r="M407" s="22">
        <v>0</v>
      </c>
      <c r="N407" s="22">
        <v>0</v>
      </c>
      <c r="O407" s="22">
        <v>0</v>
      </c>
      <c r="P407" s="22">
        <v>0</v>
      </c>
      <c r="Q407" s="22">
        <v>0</v>
      </c>
      <c r="R407" s="22">
        <v>0</v>
      </c>
      <c r="S407" s="22">
        <v>0</v>
      </c>
    </row>
    <row r="408" spans="2:19" x14ac:dyDescent="0.3">
      <c r="B408" t="s">
        <v>353</v>
      </c>
      <c r="C408" t="s">
        <v>806</v>
      </c>
      <c r="H408" s="22">
        <v>0</v>
      </c>
      <c r="I408" s="22">
        <v>0</v>
      </c>
      <c r="J408" s="22">
        <v>0</v>
      </c>
      <c r="K408" s="22">
        <v>0</v>
      </c>
      <c r="L408" s="22">
        <v>0</v>
      </c>
      <c r="M408" s="22">
        <v>0</v>
      </c>
      <c r="N408" s="22">
        <v>0</v>
      </c>
      <c r="O408" s="22">
        <v>0</v>
      </c>
      <c r="P408" s="22">
        <v>0</v>
      </c>
      <c r="Q408" s="22">
        <v>0</v>
      </c>
      <c r="R408" s="22">
        <v>0</v>
      </c>
      <c r="S408" s="22">
        <v>0</v>
      </c>
    </row>
    <row r="409" spans="2:19" x14ac:dyDescent="0.3">
      <c r="B409" t="s">
        <v>354</v>
      </c>
      <c r="C409" t="s">
        <v>806</v>
      </c>
      <c r="H409" s="25">
        <f t="shared" ref="H409:S409" si="185">(H460*2.57/1000*H395)/H397</f>
        <v>8.1446895195172756E-4</v>
      </c>
      <c r="I409" s="25">
        <f t="shared" si="185"/>
        <v>8.0453640375719425E-4</v>
      </c>
      <c r="J409" s="25">
        <f t="shared" si="185"/>
        <v>1.1574032475103497E-3</v>
      </c>
      <c r="K409" s="25">
        <f t="shared" si="185"/>
        <v>6.5971985108089926E-3</v>
      </c>
      <c r="L409" s="25">
        <f t="shared" si="185"/>
        <v>7.249668693196697E-4</v>
      </c>
      <c r="M409" s="25">
        <f t="shared" si="185"/>
        <v>1.6915893617458957E-3</v>
      </c>
      <c r="N409" s="25">
        <f t="shared" si="185"/>
        <v>5.2777588086471939E-3</v>
      </c>
      <c r="O409" s="25">
        <f t="shared" si="185"/>
        <v>7.249668693196697E-4</v>
      </c>
      <c r="P409" s="25">
        <f t="shared" si="185"/>
        <v>9.5611572620420203E-4</v>
      </c>
      <c r="Q409" s="25">
        <f t="shared" si="185"/>
        <v>7.3302205675655476E-3</v>
      </c>
      <c r="R409" s="25">
        <f t="shared" si="185"/>
        <v>7.4968164895556743E-4</v>
      </c>
      <c r="S409" s="25">
        <f t="shared" si="185"/>
        <v>7.1299053697546312E-3</v>
      </c>
    </row>
    <row r="410" spans="2:19" x14ac:dyDescent="0.3">
      <c r="B410" t="s">
        <v>355</v>
      </c>
      <c r="C410" t="s">
        <v>806</v>
      </c>
      <c r="H410" s="29">
        <v>0.13500000000000001</v>
      </c>
      <c r="I410" s="29">
        <v>0.13500000000000001</v>
      </c>
      <c r="J410" s="29">
        <v>0.13500000000000001</v>
      </c>
      <c r="K410" s="29">
        <v>0.13500000000000001</v>
      </c>
      <c r="L410" s="29">
        <v>0.13500000000000001</v>
      </c>
      <c r="M410" s="29">
        <v>0.13500000000000001</v>
      </c>
      <c r="N410" s="29">
        <v>0.13500000000000001</v>
      </c>
      <c r="O410" s="29">
        <v>0.13500000000000001</v>
      </c>
      <c r="P410" s="29">
        <v>0.13500000000000001</v>
      </c>
      <c r="Q410" s="29">
        <v>0.13500000000000001</v>
      </c>
      <c r="R410" s="29">
        <v>0.13500000000000001</v>
      </c>
      <c r="S410" s="29">
        <v>0.13500000000000001</v>
      </c>
    </row>
    <row r="411" spans="2:19" x14ac:dyDescent="0.3">
      <c r="B411" t="s">
        <v>356</v>
      </c>
      <c r="C411" t="s">
        <v>806</v>
      </c>
      <c r="H411" s="25">
        <f>100%-H409-H410</f>
        <v>0.86418553104804829</v>
      </c>
      <c r="I411" s="25">
        <f t="shared" ref="I411:S411" si="186">100%-I409-I410</f>
        <v>0.86419546359624277</v>
      </c>
      <c r="J411" s="25">
        <f t="shared" si="186"/>
        <v>0.86384259675248964</v>
      </c>
      <c r="K411" s="25">
        <f t="shared" si="186"/>
        <v>0.85840280148919101</v>
      </c>
      <c r="L411" s="25">
        <f t="shared" si="186"/>
        <v>0.86427503313068033</v>
      </c>
      <c r="M411" s="25">
        <f t="shared" si="186"/>
        <v>0.86330841063825414</v>
      </c>
      <c r="N411" s="25">
        <f t="shared" si="186"/>
        <v>0.85972224119135277</v>
      </c>
      <c r="O411" s="25">
        <f t="shared" si="186"/>
        <v>0.86427503313068033</v>
      </c>
      <c r="P411" s="25">
        <f t="shared" si="186"/>
        <v>0.86404388427379575</v>
      </c>
      <c r="Q411" s="25">
        <f t="shared" si="186"/>
        <v>0.8576697794324345</v>
      </c>
      <c r="R411" s="25">
        <f t="shared" si="186"/>
        <v>0.86425031835104438</v>
      </c>
      <c r="S411" s="25">
        <f t="shared" si="186"/>
        <v>0.85787009463024533</v>
      </c>
    </row>
    <row r="412" spans="2:19" x14ac:dyDescent="0.3">
      <c r="B412" t="s">
        <v>357</v>
      </c>
      <c r="C412" t="s">
        <v>322</v>
      </c>
      <c r="H412" s="31">
        <f t="shared" ref="H412:S412" si="187">H398*H395</f>
        <v>10400</v>
      </c>
      <c r="I412" s="31">
        <f t="shared" si="187"/>
        <v>10400</v>
      </c>
      <c r="J412" s="31">
        <f t="shared" si="187"/>
        <v>10400</v>
      </c>
      <c r="K412" s="31">
        <f t="shared" si="187"/>
        <v>10400</v>
      </c>
      <c r="L412" s="31">
        <f t="shared" si="187"/>
        <v>10400</v>
      </c>
      <c r="M412" s="31">
        <f t="shared" si="187"/>
        <v>10400</v>
      </c>
      <c r="N412" s="31">
        <f t="shared" si="187"/>
        <v>10400</v>
      </c>
      <c r="O412" s="31">
        <f t="shared" si="187"/>
        <v>10400</v>
      </c>
      <c r="P412" s="31">
        <f t="shared" si="187"/>
        <v>10400</v>
      </c>
      <c r="Q412" s="31">
        <f t="shared" si="187"/>
        <v>10400</v>
      </c>
      <c r="R412" s="31">
        <f t="shared" si="187"/>
        <v>10400</v>
      </c>
      <c r="S412" s="31">
        <f t="shared" si="187"/>
        <v>10400</v>
      </c>
    </row>
    <row r="413" spans="2:19" x14ac:dyDescent="0.3">
      <c r="B413" t="s">
        <v>358</v>
      </c>
      <c r="C413" t="s">
        <v>322</v>
      </c>
      <c r="H413" s="24">
        <f t="shared" ref="H413:S413" si="188">SUMPRODUCT(H141:H148,H382:H389)/SUM(H141:H148)</f>
        <v>5250</v>
      </c>
      <c r="I413" s="24">
        <f t="shared" si="188"/>
        <v>5250</v>
      </c>
      <c r="J413" s="24">
        <f t="shared" si="188"/>
        <v>5250</v>
      </c>
      <c r="K413" s="24">
        <f t="shared" si="188"/>
        <v>5250</v>
      </c>
      <c r="L413" s="24">
        <f t="shared" si="188"/>
        <v>5250</v>
      </c>
      <c r="M413" s="24">
        <f t="shared" si="188"/>
        <v>5250</v>
      </c>
      <c r="N413" s="24">
        <f t="shared" si="188"/>
        <v>5250</v>
      </c>
      <c r="O413" s="24">
        <f t="shared" si="188"/>
        <v>5250</v>
      </c>
      <c r="P413" s="24">
        <f t="shared" si="188"/>
        <v>5250</v>
      </c>
      <c r="Q413" s="24">
        <f t="shared" si="188"/>
        <v>5250</v>
      </c>
      <c r="R413" s="24">
        <f t="shared" si="188"/>
        <v>5250</v>
      </c>
      <c r="S413" s="24">
        <f t="shared" si="188"/>
        <v>5250</v>
      </c>
    </row>
    <row r="414" spans="2:19" x14ac:dyDescent="0.3">
      <c r="B414" t="s">
        <v>359</v>
      </c>
      <c r="C414" t="s">
        <v>322</v>
      </c>
      <c r="H414" s="24">
        <f t="shared" ref="H414:S414" si="189">SUMPRODUCT(H149:H151,H390:H392)/SUM(H149:H151)</f>
        <v>7200</v>
      </c>
      <c r="I414" s="24">
        <f t="shared" si="189"/>
        <v>7200</v>
      </c>
      <c r="J414" s="24">
        <f t="shared" si="189"/>
        <v>7200</v>
      </c>
      <c r="K414" s="24">
        <f t="shared" si="189"/>
        <v>7200</v>
      </c>
      <c r="L414" s="24">
        <f t="shared" si="189"/>
        <v>7200</v>
      </c>
      <c r="M414" s="24">
        <f t="shared" si="189"/>
        <v>7200</v>
      </c>
      <c r="N414" s="24">
        <f t="shared" si="189"/>
        <v>7200</v>
      </c>
      <c r="O414" s="24">
        <f t="shared" si="189"/>
        <v>7200</v>
      </c>
      <c r="P414" s="24">
        <f t="shared" si="189"/>
        <v>7200</v>
      </c>
      <c r="Q414" s="24">
        <f t="shared" si="189"/>
        <v>7200</v>
      </c>
      <c r="R414" s="24">
        <f t="shared" si="189"/>
        <v>7200</v>
      </c>
      <c r="S414" s="24">
        <f t="shared" si="189"/>
        <v>7200</v>
      </c>
    </row>
    <row r="415" spans="2:19" x14ac:dyDescent="0.3">
      <c r="B415" t="s">
        <v>360</v>
      </c>
      <c r="C415" t="s">
        <v>322</v>
      </c>
      <c r="H415" s="24">
        <f t="shared" ref="H415:S415" si="190">SUMPRODUCT(H152:H152,H393:H393)/SUM(H152:H152)</f>
        <v>5000</v>
      </c>
      <c r="I415" s="24">
        <f t="shared" si="190"/>
        <v>5000</v>
      </c>
      <c r="J415" s="24">
        <f t="shared" si="190"/>
        <v>5000</v>
      </c>
      <c r="K415" s="24">
        <f t="shared" si="190"/>
        <v>5000</v>
      </c>
      <c r="L415" s="24">
        <f t="shared" si="190"/>
        <v>5000</v>
      </c>
      <c r="M415" s="24">
        <f t="shared" si="190"/>
        <v>5000</v>
      </c>
      <c r="N415" s="24">
        <f t="shared" si="190"/>
        <v>5000</v>
      </c>
      <c r="O415" s="24">
        <f t="shared" si="190"/>
        <v>5000</v>
      </c>
      <c r="P415" s="24">
        <f t="shared" si="190"/>
        <v>5000</v>
      </c>
      <c r="Q415" s="24">
        <f t="shared" si="190"/>
        <v>5000</v>
      </c>
      <c r="R415" s="24">
        <f t="shared" si="190"/>
        <v>5000</v>
      </c>
      <c r="S415" s="24">
        <f t="shared" si="190"/>
        <v>5000</v>
      </c>
    </row>
    <row r="416" spans="2:19" x14ac:dyDescent="0.3">
      <c r="B416" t="s">
        <v>361</v>
      </c>
      <c r="C416" t="s">
        <v>322</v>
      </c>
      <c r="H416" s="24">
        <f t="shared" ref="H416:S416" si="191">SUMPRODUCT(H153:H153,H394:H394)/SUM(H153:H153)</f>
        <v>5000</v>
      </c>
      <c r="I416" s="24">
        <f t="shared" si="191"/>
        <v>5000</v>
      </c>
      <c r="J416" s="24">
        <f t="shared" si="191"/>
        <v>5000</v>
      </c>
      <c r="K416" s="24">
        <f t="shared" si="191"/>
        <v>5000</v>
      </c>
      <c r="L416" s="24">
        <f t="shared" si="191"/>
        <v>5000</v>
      </c>
      <c r="M416" s="24">
        <f t="shared" si="191"/>
        <v>5000</v>
      </c>
      <c r="N416" s="24">
        <f t="shared" si="191"/>
        <v>5000</v>
      </c>
      <c r="O416" s="24">
        <f t="shared" si="191"/>
        <v>5000</v>
      </c>
      <c r="P416" s="24">
        <f t="shared" si="191"/>
        <v>5000</v>
      </c>
      <c r="Q416" s="24">
        <f t="shared" si="191"/>
        <v>5000</v>
      </c>
      <c r="R416" s="24">
        <f t="shared" si="191"/>
        <v>5000</v>
      </c>
      <c r="S416" s="24">
        <f t="shared" si="191"/>
        <v>5000</v>
      </c>
    </row>
    <row r="417" spans="2:19" x14ac:dyDescent="0.3">
      <c r="B417" t="s">
        <v>362</v>
      </c>
      <c r="C417" t="s">
        <v>322</v>
      </c>
      <c r="H417" s="24">
        <f t="shared" ref="H417:S417" si="192">SUMPRODUCT(H138:H140,H379:H381)/SUM(H138:H140)</f>
        <v>4000</v>
      </c>
      <c r="I417" s="24">
        <f t="shared" si="192"/>
        <v>4000</v>
      </c>
      <c r="J417" s="24">
        <f t="shared" si="192"/>
        <v>4000</v>
      </c>
      <c r="K417" s="24">
        <f t="shared" si="192"/>
        <v>4000</v>
      </c>
      <c r="L417" s="24">
        <f t="shared" si="192"/>
        <v>4000</v>
      </c>
      <c r="M417" s="24">
        <f t="shared" si="192"/>
        <v>4000</v>
      </c>
      <c r="N417" s="24">
        <f t="shared" si="192"/>
        <v>4000</v>
      </c>
      <c r="O417" s="24">
        <f t="shared" si="192"/>
        <v>4000</v>
      </c>
      <c r="P417" s="24">
        <f t="shared" si="192"/>
        <v>4000</v>
      </c>
      <c r="Q417" s="24">
        <f t="shared" si="192"/>
        <v>4000</v>
      </c>
      <c r="R417" s="24">
        <f t="shared" si="192"/>
        <v>4000</v>
      </c>
      <c r="S417" s="24">
        <f t="shared" si="192"/>
        <v>4000</v>
      </c>
    </row>
    <row r="418" spans="2:19" x14ac:dyDescent="0.3">
      <c r="B418" t="s">
        <v>363</v>
      </c>
      <c r="C418" t="s">
        <v>322</v>
      </c>
      <c r="H418" s="24">
        <f t="shared" ref="H418:S418" si="193">SUMPRODUCT(H136:H137,H377:H378)/SUM(H136:H137)</f>
        <v>4000</v>
      </c>
      <c r="I418" s="24">
        <f t="shared" si="193"/>
        <v>4000</v>
      </c>
      <c r="J418" s="24">
        <f t="shared" si="193"/>
        <v>4000</v>
      </c>
      <c r="K418" s="24">
        <f t="shared" si="193"/>
        <v>4000</v>
      </c>
      <c r="L418" s="24">
        <f t="shared" si="193"/>
        <v>4000</v>
      </c>
      <c r="M418" s="24">
        <f t="shared" si="193"/>
        <v>4000</v>
      </c>
      <c r="N418" s="24">
        <f t="shared" si="193"/>
        <v>4000</v>
      </c>
      <c r="O418" s="24">
        <f t="shared" si="193"/>
        <v>4000</v>
      </c>
      <c r="P418" s="24">
        <f t="shared" si="193"/>
        <v>4000</v>
      </c>
      <c r="Q418" s="24">
        <f t="shared" si="193"/>
        <v>4000</v>
      </c>
      <c r="R418" s="24">
        <f t="shared" si="193"/>
        <v>4000</v>
      </c>
      <c r="S418" s="24">
        <f t="shared" si="193"/>
        <v>4000</v>
      </c>
    </row>
    <row r="419" spans="2:19" x14ac:dyDescent="0.3">
      <c r="B419" t="s">
        <v>364</v>
      </c>
      <c r="C419" t="s">
        <v>322</v>
      </c>
      <c r="H419" s="24">
        <f t="shared" ref="H419:S419" si="194">SUMPRODUCT(H131:H135,H372:H376)/SUM(H131:H135)</f>
        <v>6650</v>
      </c>
      <c r="I419" s="24">
        <f t="shared" si="194"/>
        <v>6650</v>
      </c>
      <c r="J419" s="24">
        <f t="shared" si="194"/>
        <v>6650</v>
      </c>
      <c r="K419" s="24">
        <f t="shared" si="194"/>
        <v>6650</v>
      </c>
      <c r="L419" s="24">
        <f t="shared" si="194"/>
        <v>6650</v>
      </c>
      <c r="M419" s="24">
        <f t="shared" si="194"/>
        <v>6650</v>
      </c>
      <c r="N419" s="24">
        <f t="shared" si="194"/>
        <v>6650</v>
      </c>
      <c r="O419" s="24">
        <f t="shared" si="194"/>
        <v>6650</v>
      </c>
      <c r="P419" s="24">
        <f t="shared" si="194"/>
        <v>6650</v>
      </c>
      <c r="Q419" s="24">
        <f t="shared" si="194"/>
        <v>6650</v>
      </c>
      <c r="R419" s="24">
        <f t="shared" si="194"/>
        <v>6650</v>
      </c>
      <c r="S419" s="24">
        <f t="shared" si="194"/>
        <v>6650</v>
      </c>
    </row>
    <row r="420" spans="2:19" x14ac:dyDescent="0.3">
      <c r="B420" t="s">
        <v>365</v>
      </c>
      <c r="C420" t="s">
        <v>4</v>
      </c>
      <c r="H420" s="32">
        <f t="shared" ref="H420:S420" si="195">(H397*H409)/H412</f>
        <v>5.14</v>
      </c>
      <c r="I420" s="32">
        <f t="shared" si="195"/>
        <v>5.14</v>
      </c>
      <c r="J420" s="32">
        <f t="shared" si="195"/>
        <v>5.14</v>
      </c>
      <c r="K420" s="32">
        <f t="shared" si="195"/>
        <v>30.839999999999993</v>
      </c>
      <c r="L420" s="32">
        <f t="shared" si="195"/>
        <v>5.14</v>
      </c>
      <c r="M420" s="32">
        <f t="shared" si="195"/>
        <v>5.14</v>
      </c>
      <c r="N420" s="32">
        <f t="shared" si="195"/>
        <v>30.839999999999993</v>
      </c>
      <c r="O420" s="32">
        <f t="shared" si="195"/>
        <v>5.14</v>
      </c>
      <c r="P420" s="32">
        <f t="shared" si="195"/>
        <v>5.14</v>
      </c>
      <c r="Q420" s="32">
        <f t="shared" si="195"/>
        <v>30.839999999999993</v>
      </c>
      <c r="R420" s="32">
        <f t="shared" si="195"/>
        <v>5.14</v>
      </c>
      <c r="S420" s="32">
        <f t="shared" si="195"/>
        <v>30.839999999999993</v>
      </c>
    </row>
    <row r="421" spans="2:19" x14ac:dyDescent="0.3">
      <c r="B421" t="s">
        <v>366</v>
      </c>
      <c r="C421" t="s">
        <v>4</v>
      </c>
      <c r="H421" s="24">
        <f t="shared" ref="H421:S421" si="196">(H397*H405*H410)/H413</f>
        <v>1285.8700408163234</v>
      </c>
      <c r="I421" s="24">
        <f t="shared" si="196"/>
        <v>1301.7449795918335</v>
      </c>
      <c r="J421" s="24">
        <f t="shared" si="196"/>
        <v>904.87151020407941</v>
      </c>
      <c r="K421" s="24">
        <f t="shared" si="196"/>
        <v>952.49632653060996</v>
      </c>
      <c r="L421" s="24">
        <f t="shared" si="196"/>
        <v>1444.6194285714248</v>
      </c>
      <c r="M421" s="24">
        <f t="shared" si="196"/>
        <v>619.12261224489646</v>
      </c>
      <c r="N421" s="24">
        <f t="shared" si="196"/>
        <v>1190.6204081632623</v>
      </c>
      <c r="O421" s="24">
        <f t="shared" si="196"/>
        <v>1444.6194285714248</v>
      </c>
      <c r="P421" s="24">
        <f t="shared" si="196"/>
        <v>1095.3707755102014</v>
      </c>
      <c r="Q421" s="24">
        <f t="shared" si="196"/>
        <v>857.24669387754886</v>
      </c>
      <c r="R421" s="24">
        <f t="shared" si="196"/>
        <v>1396.9946122448946</v>
      </c>
      <c r="S421" s="24">
        <f t="shared" si="196"/>
        <v>881.33110063353126</v>
      </c>
    </row>
    <row r="422" spans="2:19" x14ac:dyDescent="0.3">
      <c r="B422" t="s">
        <v>367</v>
      </c>
      <c r="C422" t="s">
        <v>4</v>
      </c>
      <c r="H422" s="24">
        <f t="shared" ref="H422:S422" si="197">(H397*H406*H410)/H414</f>
        <v>293.00424107142777</v>
      </c>
      <c r="I422" s="24">
        <f t="shared" si="197"/>
        <v>296.62157738095158</v>
      </c>
      <c r="J422" s="24">
        <f t="shared" si="197"/>
        <v>206.18816964285656</v>
      </c>
      <c r="K422" s="24">
        <f t="shared" si="197"/>
        <v>217.04017857142796</v>
      </c>
      <c r="L422" s="24">
        <f t="shared" si="197"/>
        <v>329.17760416666567</v>
      </c>
      <c r="M422" s="24">
        <f t="shared" si="197"/>
        <v>141.07611607142817</v>
      </c>
      <c r="N422" s="24">
        <f t="shared" si="197"/>
        <v>271.30022321428487</v>
      </c>
      <c r="O422" s="24">
        <f t="shared" si="197"/>
        <v>329.17760416666567</v>
      </c>
      <c r="P422" s="24">
        <f t="shared" si="197"/>
        <v>249.59620535714217</v>
      </c>
      <c r="Q422" s="24">
        <f t="shared" si="197"/>
        <v>195.33616071428511</v>
      </c>
      <c r="R422" s="24">
        <f t="shared" si="197"/>
        <v>318.32559523809437</v>
      </c>
      <c r="S422" s="24">
        <f t="shared" si="197"/>
        <v>200.82414402456763</v>
      </c>
    </row>
    <row r="423" spans="2:19" x14ac:dyDescent="0.3">
      <c r="B423" t="s">
        <v>368</v>
      </c>
      <c r="C423" t="s">
        <v>4</v>
      </c>
      <c r="H423" s="24">
        <f t="shared" ref="H423:S423" si="198">(H397*H407*H410)/H415</f>
        <v>0</v>
      </c>
      <c r="I423" s="24">
        <f t="shared" si="198"/>
        <v>0</v>
      </c>
      <c r="J423" s="24">
        <f t="shared" si="198"/>
        <v>0</v>
      </c>
      <c r="K423" s="24">
        <f t="shared" si="198"/>
        <v>0</v>
      </c>
      <c r="L423" s="24">
        <f t="shared" si="198"/>
        <v>0</v>
      </c>
      <c r="M423" s="24">
        <f t="shared" si="198"/>
        <v>0</v>
      </c>
      <c r="N423" s="24">
        <f t="shared" si="198"/>
        <v>0</v>
      </c>
      <c r="O423" s="24">
        <f t="shared" si="198"/>
        <v>0</v>
      </c>
      <c r="P423" s="24">
        <f t="shared" si="198"/>
        <v>0</v>
      </c>
      <c r="Q423" s="24">
        <f t="shared" si="198"/>
        <v>0</v>
      </c>
      <c r="R423" s="24">
        <f t="shared" si="198"/>
        <v>0</v>
      </c>
      <c r="S423" s="24">
        <f t="shared" si="198"/>
        <v>0</v>
      </c>
    </row>
    <row r="424" spans="2:19" x14ac:dyDescent="0.3">
      <c r="B424" t="s">
        <v>369</v>
      </c>
      <c r="C424" t="s">
        <v>4</v>
      </c>
      <c r="H424" s="24">
        <f t="shared" ref="H424:S424" si="199">(H397*H408*H410)/H416</f>
        <v>0</v>
      </c>
      <c r="I424" s="24">
        <f t="shared" si="199"/>
        <v>0</v>
      </c>
      <c r="J424" s="24">
        <f t="shared" si="199"/>
        <v>0</v>
      </c>
      <c r="K424" s="24">
        <f t="shared" si="199"/>
        <v>0</v>
      </c>
      <c r="L424" s="24">
        <f t="shared" si="199"/>
        <v>0</v>
      </c>
      <c r="M424" s="24">
        <f t="shared" si="199"/>
        <v>0</v>
      </c>
      <c r="N424" s="24">
        <f t="shared" si="199"/>
        <v>0</v>
      </c>
      <c r="O424" s="24">
        <f t="shared" si="199"/>
        <v>0</v>
      </c>
      <c r="P424" s="24">
        <f t="shared" si="199"/>
        <v>0</v>
      </c>
      <c r="Q424" s="24">
        <f t="shared" si="199"/>
        <v>0</v>
      </c>
      <c r="R424" s="24">
        <f t="shared" si="199"/>
        <v>0</v>
      </c>
      <c r="S424" s="24">
        <f t="shared" si="199"/>
        <v>0</v>
      </c>
    </row>
    <row r="425" spans="2:19" x14ac:dyDescent="0.3">
      <c r="B425" t="s">
        <v>370</v>
      </c>
      <c r="C425" t="s">
        <v>4</v>
      </c>
      <c r="H425" s="24">
        <f t="shared" ref="H425:S425" si="200">(H397*H402*H411)/H417</f>
        <v>1666.1317696813617</v>
      </c>
      <c r="I425" s="24">
        <f t="shared" si="200"/>
        <v>1686.7206838655381</v>
      </c>
      <c r="J425" s="24">
        <f t="shared" si="200"/>
        <v>1171.9978292611252</v>
      </c>
      <c r="K425" s="24">
        <f t="shared" si="200"/>
        <v>1225.9131756289712</v>
      </c>
      <c r="L425" s="24">
        <f t="shared" si="200"/>
        <v>1872.0209115231269</v>
      </c>
      <c r="M425" s="24">
        <f t="shared" si="200"/>
        <v>801.39737394594772</v>
      </c>
      <c r="N425" s="24">
        <f t="shared" si="200"/>
        <v>1534.7468883916185</v>
      </c>
      <c r="O425" s="24">
        <f t="shared" si="200"/>
        <v>1872.0209115231269</v>
      </c>
      <c r="P425" s="24">
        <f t="shared" si="200"/>
        <v>1419.0647994712431</v>
      </c>
      <c r="Q425" s="24">
        <f t="shared" si="200"/>
        <v>1102.3796905239119</v>
      </c>
      <c r="R425" s="24">
        <f t="shared" si="200"/>
        <v>1810.2541689705972</v>
      </c>
      <c r="S425" s="24">
        <f t="shared" si="200"/>
        <v>1133.6158288730371</v>
      </c>
    </row>
    <row r="426" spans="2:19" x14ac:dyDescent="0.3">
      <c r="B426" t="s">
        <v>371</v>
      </c>
      <c r="C426" t="s">
        <v>4</v>
      </c>
      <c r="H426" s="24">
        <f t="shared" ref="H426:S426" si="201">(H397*H403*H411)/H418</f>
        <v>0</v>
      </c>
      <c r="I426" s="24">
        <f t="shared" si="201"/>
        <v>0</v>
      </c>
      <c r="J426" s="24">
        <f t="shared" si="201"/>
        <v>0</v>
      </c>
      <c r="K426" s="24">
        <f t="shared" si="201"/>
        <v>0</v>
      </c>
      <c r="L426" s="24">
        <f t="shared" si="201"/>
        <v>0</v>
      </c>
      <c r="M426" s="24">
        <f t="shared" si="201"/>
        <v>0</v>
      </c>
      <c r="N426" s="24">
        <f t="shared" si="201"/>
        <v>0</v>
      </c>
      <c r="O426" s="24">
        <f t="shared" si="201"/>
        <v>0</v>
      </c>
      <c r="P426" s="24">
        <f t="shared" si="201"/>
        <v>0</v>
      </c>
      <c r="Q426" s="24">
        <f t="shared" si="201"/>
        <v>0</v>
      </c>
      <c r="R426" s="24">
        <f t="shared" si="201"/>
        <v>0</v>
      </c>
      <c r="S426" s="24">
        <f t="shared" si="201"/>
        <v>0</v>
      </c>
    </row>
    <row r="427" spans="2:19" x14ac:dyDescent="0.3">
      <c r="B427" t="s">
        <v>372</v>
      </c>
      <c r="C427" t="s">
        <v>4</v>
      </c>
      <c r="H427" s="24">
        <f t="shared" ref="H427:S427" si="202">(H397*H404*H411)/H419</f>
        <v>7526.9952889134456</v>
      </c>
      <c r="I427" s="24">
        <f t="shared" si="202"/>
        <v>7620.0087365219606</v>
      </c>
      <c r="J427" s="24">
        <f t="shared" si="202"/>
        <v>5294.6725463090825</v>
      </c>
      <c r="K427" s="24">
        <f t="shared" si="202"/>
        <v>5538.243052253235</v>
      </c>
      <c r="L427" s="24">
        <f t="shared" si="202"/>
        <v>8457.1297649985954</v>
      </c>
      <c r="M427" s="24">
        <f t="shared" si="202"/>
        <v>3620.430489355811</v>
      </c>
      <c r="N427" s="24">
        <f t="shared" si="202"/>
        <v>6933.4447663809606</v>
      </c>
      <c r="O427" s="24">
        <f t="shared" si="202"/>
        <v>8457.1297649985954</v>
      </c>
      <c r="P427" s="24">
        <f t="shared" si="202"/>
        <v>6410.8339176112622</v>
      </c>
      <c r="Q427" s="24">
        <f t="shared" si="202"/>
        <v>4980.1623666021442</v>
      </c>
      <c r="R427" s="24">
        <f t="shared" si="202"/>
        <v>8178.0894221730505</v>
      </c>
      <c r="S427" s="24">
        <f t="shared" si="202"/>
        <v>5121.2762151440729</v>
      </c>
    </row>
    <row r="428" spans="2:19" x14ac:dyDescent="0.3">
      <c r="B428" t="s">
        <v>373</v>
      </c>
      <c r="C428" t="s">
        <v>325</v>
      </c>
      <c r="H428" s="24">
        <f t="shared" ref="H428:S428" si="203">(H420*H412+H421*H413+H422*H414+H423*H415+H424*H416+H425*H417+H426*H418+H427*H419)/H260</f>
        <v>797.00000000000011</v>
      </c>
      <c r="I428" s="24">
        <f t="shared" si="203"/>
        <v>797</v>
      </c>
      <c r="J428" s="24">
        <f t="shared" si="203"/>
        <v>797</v>
      </c>
      <c r="K428" s="24">
        <f t="shared" si="203"/>
        <v>797.00000000000011</v>
      </c>
      <c r="L428" s="24">
        <f t="shared" si="203"/>
        <v>796.99999999999989</v>
      </c>
      <c r="M428" s="24">
        <f t="shared" si="203"/>
        <v>797.00000000000011</v>
      </c>
      <c r="N428" s="24">
        <f t="shared" si="203"/>
        <v>797</v>
      </c>
      <c r="O428" s="24">
        <f t="shared" si="203"/>
        <v>796.99999999999989</v>
      </c>
      <c r="P428" s="24">
        <f t="shared" si="203"/>
        <v>797</v>
      </c>
      <c r="Q428" s="24">
        <f t="shared" si="203"/>
        <v>797.00000000000011</v>
      </c>
      <c r="R428" s="24">
        <f t="shared" si="203"/>
        <v>797</v>
      </c>
      <c r="S428" s="24">
        <f t="shared" si="203"/>
        <v>797</v>
      </c>
    </row>
    <row r="429" spans="2:19" x14ac:dyDescent="0.3">
      <c r="B429" t="s">
        <v>375</v>
      </c>
      <c r="C429" t="s">
        <v>806</v>
      </c>
      <c r="H429" s="26">
        <f>SUMPRODUCT(H421:H424,H413:H416)/H397</f>
        <v>0.13500000000000001</v>
      </c>
      <c r="I429" s="26">
        <f t="shared" ref="I429:S429" si="204">SUMPRODUCT(I421:I424,I413:I416)/I397</f>
        <v>0.13500000000000001</v>
      </c>
      <c r="J429" s="26">
        <f t="shared" si="204"/>
        <v>0.13500000000000001</v>
      </c>
      <c r="K429" s="26">
        <f t="shared" si="204"/>
        <v>0.13500000000000001</v>
      </c>
      <c r="L429" s="26">
        <f t="shared" si="204"/>
        <v>0.13500000000000001</v>
      </c>
      <c r="M429" s="26">
        <f t="shared" si="204"/>
        <v>0.13500000000000004</v>
      </c>
      <c r="N429" s="26">
        <f t="shared" si="204"/>
        <v>0.13500000000000001</v>
      </c>
      <c r="O429" s="26">
        <f t="shared" si="204"/>
        <v>0.13500000000000001</v>
      </c>
      <c r="P429" s="26">
        <f t="shared" si="204"/>
        <v>0.13500000000000001</v>
      </c>
      <c r="Q429" s="26">
        <f t="shared" si="204"/>
        <v>0.13500000000000001</v>
      </c>
      <c r="R429" s="26">
        <f t="shared" si="204"/>
        <v>0.13500000000000001</v>
      </c>
      <c r="S429" s="26">
        <f t="shared" si="204"/>
        <v>0.13499999999999998</v>
      </c>
    </row>
    <row r="430" spans="2:19" x14ac:dyDescent="0.3">
      <c r="B430" s="12" t="s">
        <v>326</v>
      </c>
    </row>
    <row r="431" spans="2:19" x14ac:dyDescent="0.3">
      <c r="B431" t="s">
        <v>328</v>
      </c>
      <c r="C431" t="s">
        <v>4</v>
      </c>
      <c r="H431" s="15">
        <v>0</v>
      </c>
      <c r="I431" s="15">
        <v>0</v>
      </c>
      <c r="J431" s="15">
        <v>0</v>
      </c>
      <c r="K431" s="15">
        <v>0</v>
      </c>
      <c r="L431" s="15">
        <v>0</v>
      </c>
      <c r="M431" s="15">
        <v>0</v>
      </c>
      <c r="N431" s="15">
        <v>0</v>
      </c>
      <c r="O431" s="15">
        <v>0</v>
      </c>
      <c r="P431" s="15">
        <v>0</v>
      </c>
      <c r="Q431" s="15">
        <v>0</v>
      </c>
      <c r="R431" s="15">
        <v>0</v>
      </c>
      <c r="S431" s="15">
        <v>0</v>
      </c>
    </row>
    <row r="432" spans="2:19" x14ac:dyDescent="0.3">
      <c r="B432" t="s">
        <v>327</v>
      </c>
      <c r="C432" t="s">
        <v>4</v>
      </c>
      <c r="H432" s="16">
        <f t="shared" ref="H432:S432" si="205">(H233+H234+H235+H236+H239)</f>
        <v>63731.152561772156</v>
      </c>
      <c r="I432" s="16">
        <f t="shared" si="205"/>
        <v>66456.6469464072</v>
      </c>
      <c r="J432" s="16">
        <f t="shared" si="205"/>
        <v>71409.856412643057</v>
      </c>
      <c r="K432" s="16">
        <f t="shared" si="205"/>
        <v>67940.826865046984</v>
      </c>
      <c r="L432" s="16">
        <f t="shared" si="205"/>
        <v>63854.671700831204</v>
      </c>
      <c r="M432" s="16">
        <f t="shared" si="205"/>
        <v>63612.938176708434</v>
      </c>
      <c r="N432" s="16">
        <f t="shared" si="205"/>
        <v>74927.824736596915</v>
      </c>
      <c r="O432" s="16">
        <f t="shared" si="205"/>
        <v>68265.054047201353</v>
      </c>
      <c r="P432" s="16">
        <f t="shared" si="205"/>
        <v>72309.490473675105</v>
      </c>
      <c r="Q432" s="16">
        <f t="shared" si="205"/>
        <v>73431.13078925325</v>
      </c>
      <c r="R432" s="16">
        <f t="shared" si="205"/>
        <v>68703.19032957239</v>
      </c>
      <c r="S432" s="16">
        <f t="shared" si="205"/>
        <v>70769.251018944269</v>
      </c>
    </row>
    <row r="433" spans="2:19" x14ac:dyDescent="0.3">
      <c r="B433" t="s">
        <v>329</v>
      </c>
      <c r="C433" t="s">
        <v>4</v>
      </c>
      <c r="G433" s="15">
        <v>11792.955079347201</v>
      </c>
      <c r="H433" s="16">
        <f t="shared" ref="H433:S433" si="206">G433+H248-H431-H432</f>
        <v>11792.955079347208</v>
      </c>
      <c r="I433" s="16">
        <f t="shared" si="206"/>
        <v>11792.955079347201</v>
      </c>
      <c r="J433" s="16">
        <f t="shared" si="206"/>
        <v>11792.955079347201</v>
      </c>
      <c r="K433" s="16">
        <f t="shared" si="206"/>
        <v>11792.955079347201</v>
      </c>
      <c r="L433" s="16">
        <f t="shared" si="206"/>
        <v>11792.955079347194</v>
      </c>
      <c r="M433" s="16">
        <f t="shared" si="206"/>
        <v>11792.955079347194</v>
      </c>
      <c r="N433" s="16">
        <f t="shared" si="206"/>
        <v>11792.955079347201</v>
      </c>
      <c r="O433" s="16">
        <f t="shared" si="206"/>
        <v>11792.955079347201</v>
      </c>
      <c r="P433" s="16">
        <f t="shared" si="206"/>
        <v>11792.955079347201</v>
      </c>
      <c r="Q433" s="16">
        <f t="shared" si="206"/>
        <v>11792.955079347201</v>
      </c>
      <c r="R433" s="16">
        <f t="shared" si="206"/>
        <v>11792.955079347201</v>
      </c>
      <c r="S433" s="16">
        <f t="shared" si="206"/>
        <v>11792.955079347201</v>
      </c>
    </row>
    <row r="434" spans="2:19" x14ac:dyDescent="0.3">
      <c r="B434" t="s">
        <v>332</v>
      </c>
      <c r="C434" t="s">
        <v>4</v>
      </c>
      <c r="H434" s="15">
        <v>0</v>
      </c>
      <c r="I434" s="15">
        <v>0</v>
      </c>
      <c r="J434" s="15">
        <v>0</v>
      </c>
      <c r="K434" s="15">
        <v>0</v>
      </c>
      <c r="L434" s="15">
        <v>0</v>
      </c>
      <c r="M434" s="15">
        <v>0</v>
      </c>
      <c r="N434" s="15">
        <v>0</v>
      </c>
      <c r="O434" s="15">
        <v>0</v>
      </c>
      <c r="P434" s="15">
        <v>0</v>
      </c>
      <c r="Q434" s="15">
        <v>0</v>
      </c>
      <c r="R434" s="15">
        <v>0</v>
      </c>
      <c r="S434" s="15">
        <v>0</v>
      </c>
    </row>
    <row r="435" spans="2:19" x14ac:dyDescent="0.3">
      <c r="B435" t="s">
        <v>333</v>
      </c>
      <c r="C435" t="s">
        <v>4</v>
      </c>
      <c r="H435" s="16">
        <f t="shared" ref="H435:S435" si="207">(H237+H241)</f>
        <v>32219.359509544607</v>
      </c>
      <c r="I435" s="16">
        <f t="shared" si="207"/>
        <v>36356.069050377082</v>
      </c>
      <c r="J435" s="16">
        <f t="shared" si="207"/>
        <v>38003.686811371874</v>
      </c>
      <c r="K435" s="16">
        <f t="shared" si="207"/>
        <v>34991.405170921906</v>
      </c>
      <c r="L435" s="16">
        <f t="shared" si="207"/>
        <v>35782.3438195294</v>
      </c>
      <c r="M435" s="16">
        <f t="shared" si="207"/>
        <v>34808.351356431878</v>
      </c>
      <c r="N435" s="16">
        <f t="shared" si="207"/>
        <v>40276.228560128591</v>
      </c>
      <c r="O435" s="16">
        <f t="shared" si="207"/>
        <v>37080.96763866183</v>
      </c>
      <c r="P435" s="16">
        <f t="shared" si="207"/>
        <v>39358.99933860368</v>
      </c>
      <c r="Q435" s="16">
        <f t="shared" si="207"/>
        <v>39869.613684439937</v>
      </c>
      <c r="R435" s="16">
        <f t="shared" si="207"/>
        <v>36506.716520824244</v>
      </c>
      <c r="S435" s="16">
        <f t="shared" si="207"/>
        <v>35593.351852861109</v>
      </c>
    </row>
    <row r="436" spans="2:19" x14ac:dyDescent="0.3">
      <c r="B436" t="s">
        <v>334</v>
      </c>
      <c r="C436" t="s">
        <v>4</v>
      </c>
      <c r="G436" s="15">
        <v>7347.2958125994646</v>
      </c>
      <c r="H436" s="16">
        <f t="shared" ref="H436:S436" si="208">G436+H251-H434-H435</f>
        <v>7347.2958125994628</v>
      </c>
      <c r="I436" s="16">
        <f t="shared" si="208"/>
        <v>7347.2958125994628</v>
      </c>
      <c r="J436" s="16">
        <f t="shared" si="208"/>
        <v>7347.2958125994628</v>
      </c>
      <c r="K436" s="16">
        <f t="shared" si="208"/>
        <v>7347.2958125994628</v>
      </c>
      <c r="L436" s="16">
        <f t="shared" si="208"/>
        <v>7347.2958125994628</v>
      </c>
      <c r="M436" s="16">
        <f t="shared" si="208"/>
        <v>7347.2958125994628</v>
      </c>
      <c r="N436" s="16">
        <f t="shared" si="208"/>
        <v>7347.2958125994628</v>
      </c>
      <c r="O436" s="16">
        <f t="shared" si="208"/>
        <v>7347.2958125994628</v>
      </c>
      <c r="P436" s="16">
        <f t="shared" si="208"/>
        <v>7347.2958125994628</v>
      </c>
      <c r="Q436" s="16">
        <f t="shared" si="208"/>
        <v>7347.2958125994628</v>
      </c>
      <c r="R436" s="16">
        <f t="shared" si="208"/>
        <v>7347.2958125994628</v>
      </c>
      <c r="S436" s="16">
        <f t="shared" si="208"/>
        <v>7347.2958125994628</v>
      </c>
    </row>
    <row r="437" spans="2:19" x14ac:dyDescent="0.3">
      <c r="B437" t="s">
        <v>335</v>
      </c>
      <c r="C437" t="s">
        <v>4</v>
      </c>
      <c r="H437" s="15">
        <v>0</v>
      </c>
      <c r="I437" s="15">
        <v>0</v>
      </c>
      <c r="J437" s="15">
        <v>0</v>
      </c>
      <c r="K437" s="15">
        <v>0</v>
      </c>
      <c r="L437" s="15">
        <v>0</v>
      </c>
      <c r="M437" s="15">
        <v>0</v>
      </c>
      <c r="N437" s="15">
        <v>0</v>
      </c>
      <c r="O437" s="15">
        <v>0</v>
      </c>
      <c r="P437" s="15">
        <v>0</v>
      </c>
      <c r="Q437" s="15">
        <v>0</v>
      </c>
      <c r="R437" s="15">
        <v>0</v>
      </c>
      <c r="S437" s="15">
        <v>0</v>
      </c>
    </row>
    <row r="438" spans="2:19" x14ac:dyDescent="0.3">
      <c r="B438" t="s">
        <v>336</v>
      </c>
      <c r="C438" t="s">
        <v>4</v>
      </c>
      <c r="H438" s="16">
        <f t="shared" ref="H438:S438" si="209">H238</f>
        <v>2800.7372425705471</v>
      </c>
      <c r="I438" s="16">
        <f t="shared" si="209"/>
        <v>2837.3698133247003</v>
      </c>
      <c r="J438" s="16">
        <f t="shared" si="209"/>
        <v>2874.5703224075828</v>
      </c>
      <c r="K438" s="16">
        <f t="shared" si="209"/>
        <v>2632.5896120307852</v>
      </c>
      <c r="L438" s="16">
        <f t="shared" si="209"/>
        <v>2606.9839245340072</v>
      </c>
      <c r="M438" s="16">
        <f t="shared" si="209"/>
        <v>2619.1523024869539</v>
      </c>
      <c r="N438" s="16">
        <f t="shared" si="209"/>
        <v>3040.0021677813743</v>
      </c>
      <c r="O438" s="16">
        <f t="shared" si="209"/>
        <v>2762.2819327620641</v>
      </c>
      <c r="P438" s="16">
        <f t="shared" si="209"/>
        <v>2920.0385741494201</v>
      </c>
      <c r="Q438" s="16">
        <f t="shared" si="209"/>
        <v>3077.9332689156681</v>
      </c>
      <c r="R438" s="16">
        <f t="shared" si="209"/>
        <v>2850.7915806118876</v>
      </c>
      <c r="S438" s="16">
        <f t="shared" si="209"/>
        <v>2718.4218860767392</v>
      </c>
    </row>
    <row r="439" spans="2:19" x14ac:dyDescent="0.3">
      <c r="B439" t="s">
        <v>337</v>
      </c>
      <c r="C439" t="s">
        <v>4</v>
      </c>
      <c r="G439" s="15">
        <v>3425.588079829336</v>
      </c>
      <c r="H439" s="16">
        <f t="shared" ref="H439:S439" si="210">G439+H254-H437-H438</f>
        <v>3425.5880798293365</v>
      </c>
      <c r="I439" s="16">
        <f t="shared" si="210"/>
        <v>3425.588079829336</v>
      </c>
      <c r="J439" s="16">
        <f t="shared" si="210"/>
        <v>3425.588079829336</v>
      </c>
      <c r="K439" s="16">
        <f t="shared" si="210"/>
        <v>3425.5880798293356</v>
      </c>
      <c r="L439" s="16">
        <f t="shared" si="210"/>
        <v>3425.5880798293356</v>
      </c>
      <c r="M439" s="16">
        <f t="shared" si="210"/>
        <v>3425.5880798293356</v>
      </c>
      <c r="N439" s="16">
        <f t="shared" si="210"/>
        <v>3425.5880798293351</v>
      </c>
      <c r="O439" s="16">
        <f t="shared" si="210"/>
        <v>3425.5880798293351</v>
      </c>
      <c r="P439" s="16">
        <f t="shared" si="210"/>
        <v>3425.5880798293356</v>
      </c>
      <c r="Q439" s="16">
        <f t="shared" si="210"/>
        <v>3425.5880798293356</v>
      </c>
      <c r="R439" s="16">
        <f t="shared" si="210"/>
        <v>3425.588079829336</v>
      </c>
      <c r="S439" s="16">
        <f t="shared" si="210"/>
        <v>3425.588079829336</v>
      </c>
    </row>
    <row r="440" spans="2:19" x14ac:dyDescent="0.3">
      <c r="B440" t="s">
        <v>338</v>
      </c>
      <c r="C440" t="s">
        <v>4</v>
      </c>
      <c r="G440" s="15"/>
      <c r="H440" s="15">
        <f>H431+H434+H437</f>
        <v>0</v>
      </c>
      <c r="I440" s="15"/>
      <c r="J440" s="15"/>
      <c r="K440" s="15"/>
      <c r="L440" s="15"/>
      <c r="M440" s="15"/>
      <c r="N440" s="15"/>
      <c r="O440" s="15"/>
      <c r="P440" s="15"/>
      <c r="Q440" s="15"/>
      <c r="R440" s="15"/>
      <c r="S440" s="15"/>
    </row>
    <row r="441" spans="2:19" x14ac:dyDescent="0.3">
      <c r="B441" t="s">
        <v>339</v>
      </c>
      <c r="C441" t="s">
        <v>4</v>
      </c>
      <c r="G441" s="15"/>
      <c r="H441" s="16">
        <f>H432+H435+H438</f>
        <v>98751.249313887325</v>
      </c>
      <c r="I441" s="16">
        <f>I432+I435+I438</f>
        <v>105650.08581010897</v>
      </c>
      <c r="J441" s="16">
        <f t="shared" ref="J441:S441" si="211">J432+J435+J438</f>
        <v>112288.11354642251</v>
      </c>
      <c r="K441" s="16">
        <f t="shared" si="211"/>
        <v>105564.82164799968</v>
      </c>
      <c r="L441" s="16">
        <f t="shared" si="211"/>
        <v>102243.99944489462</v>
      </c>
      <c r="M441" s="16">
        <f t="shared" si="211"/>
        <v>101040.44183562727</v>
      </c>
      <c r="N441" s="16">
        <f t="shared" si="211"/>
        <v>118244.05546450688</v>
      </c>
      <c r="O441" s="16">
        <f t="shared" si="211"/>
        <v>108108.30361862524</v>
      </c>
      <c r="P441" s="16">
        <f t="shared" si="211"/>
        <v>114588.52838642821</v>
      </c>
      <c r="Q441" s="16">
        <f t="shared" si="211"/>
        <v>116378.67774260887</v>
      </c>
      <c r="R441" s="16">
        <f t="shared" si="211"/>
        <v>108060.69843100851</v>
      </c>
      <c r="S441" s="16">
        <f t="shared" si="211"/>
        <v>109081.02475788211</v>
      </c>
    </row>
    <row r="442" spans="2:19" x14ac:dyDescent="0.3">
      <c r="B442" t="s">
        <v>340</v>
      </c>
      <c r="C442" t="s">
        <v>4</v>
      </c>
      <c r="G442" s="16">
        <f>G433+G436+G439</f>
        <v>22565.838971776</v>
      </c>
      <c r="H442" s="16">
        <f t="shared" ref="H442:S442" si="212">G442+H245-H440-H441</f>
        <v>22565.838971776</v>
      </c>
      <c r="I442" s="16">
        <f t="shared" si="212"/>
        <v>22565.838971776</v>
      </c>
      <c r="J442" s="16">
        <f t="shared" si="212"/>
        <v>22565.838971776015</v>
      </c>
      <c r="K442" s="16">
        <f t="shared" si="212"/>
        <v>22565.838971776015</v>
      </c>
      <c r="L442" s="16">
        <f t="shared" si="212"/>
        <v>22565.838971776015</v>
      </c>
      <c r="M442" s="16">
        <f t="shared" si="212"/>
        <v>22565.838971776015</v>
      </c>
      <c r="N442" s="16">
        <f t="shared" si="212"/>
        <v>22565.838971776015</v>
      </c>
      <c r="O442" s="16">
        <f t="shared" si="212"/>
        <v>22565.838971776015</v>
      </c>
      <c r="P442" s="16">
        <f t="shared" si="212"/>
        <v>22565.838971776</v>
      </c>
      <c r="Q442" s="16">
        <f t="shared" si="212"/>
        <v>22565.838971776</v>
      </c>
      <c r="R442" s="16">
        <f t="shared" si="212"/>
        <v>22565.838971776</v>
      </c>
      <c r="S442" s="16">
        <f t="shared" si="212"/>
        <v>22565.838971776015</v>
      </c>
    </row>
    <row r="443" spans="2:19" x14ac:dyDescent="0.3">
      <c r="B443" t="s">
        <v>330</v>
      </c>
      <c r="C443" t="s">
        <v>4</v>
      </c>
      <c r="H443" s="16">
        <f t="shared" ref="H443:S443" si="213">(H248*H179+H251*H187+H254*H195)</f>
        <v>62442.141564753023</v>
      </c>
      <c r="I443" s="16">
        <f t="shared" si="213"/>
        <v>67326.349733323499</v>
      </c>
      <c r="J443" s="16">
        <f t="shared" si="213"/>
        <v>71303.54266269358</v>
      </c>
      <c r="K443" s="16">
        <f t="shared" si="213"/>
        <v>66778.283167085756</v>
      </c>
      <c r="L443" s="16">
        <f t="shared" si="213"/>
        <v>65286.557961665712</v>
      </c>
      <c r="M443" s="16">
        <f t="shared" si="213"/>
        <v>64363.564682199925</v>
      </c>
      <c r="N443" s="16">
        <f t="shared" si="213"/>
        <v>75170.300549289313</v>
      </c>
      <c r="O443" s="16">
        <f t="shared" si="213"/>
        <v>68799.756931178548</v>
      </c>
      <c r="P443" s="16">
        <f t="shared" si="213"/>
        <v>72937.819754124677</v>
      </c>
      <c r="Q443" s="16">
        <f t="shared" si="213"/>
        <v>74089.198376285771</v>
      </c>
      <c r="R443" s="16">
        <f t="shared" si="213"/>
        <v>68631.857188341033</v>
      </c>
      <c r="S443" s="16">
        <f t="shared" si="213"/>
        <v>68827.130171599885</v>
      </c>
    </row>
    <row r="444" spans="2:19" x14ac:dyDescent="0.3">
      <c r="B444" t="s">
        <v>331</v>
      </c>
      <c r="C444" t="s">
        <v>4</v>
      </c>
      <c r="G444" s="15">
        <v>49000</v>
      </c>
      <c r="H444" s="16">
        <f t="shared" ref="H444:S444" si="214">G444+H260-H443-H242</f>
        <v>66407.858435246744</v>
      </c>
      <c r="I444" s="16">
        <f t="shared" si="214"/>
        <v>79948.175368589698</v>
      </c>
      <c r="J444" s="16">
        <f t="shared" si="214"/>
        <v>64094.632705895972</v>
      </c>
      <c r="K444" s="16">
        <f t="shared" si="214"/>
        <v>55816.349538810056</v>
      </c>
      <c r="L444" s="16">
        <f t="shared" si="214"/>
        <v>80546.458243810775</v>
      </c>
      <c r="M444" s="16">
        <f t="shared" si="214"/>
        <v>53332.893561610748</v>
      </c>
      <c r="N444" s="16">
        <f t="shared" si="214"/>
        <v>51912.593012321231</v>
      </c>
      <c r="O444" s="16">
        <f t="shared" si="214"/>
        <v>73129.502747809122</v>
      </c>
      <c r="P444" s="16">
        <f t="shared" si="214"/>
        <v>67841.682993684255</v>
      </c>
      <c r="Q444" s="16">
        <f t="shared" si="214"/>
        <v>46152.484617398339</v>
      </c>
      <c r="R444" s="16">
        <f t="shared" si="214"/>
        <v>64487.294095723744</v>
      </c>
      <c r="S444" s="16">
        <f t="shared" si="214"/>
        <v>49602.583323751416</v>
      </c>
    </row>
    <row r="445" spans="2:19" x14ac:dyDescent="0.3">
      <c r="B445" t="s">
        <v>343</v>
      </c>
      <c r="C445" t="s">
        <v>4</v>
      </c>
      <c r="H445" s="16">
        <f t="shared" ref="H445:S445" si="215">H260*H178</f>
        <v>128465.99999999967</v>
      </c>
      <c r="I445" s="16">
        <f t="shared" si="215"/>
        <v>130051.99999999967</v>
      </c>
      <c r="J445" s="16">
        <f t="shared" si="215"/>
        <v>90401.999999999767</v>
      </c>
      <c r="K445" s="16">
        <f t="shared" si="215"/>
        <v>95159.999999999753</v>
      </c>
      <c r="L445" s="16">
        <f t="shared" si="215"/>
        <v>144325.99999999962</v>
      </c>
      <c r="M445" s="16">
        <f t="shared" si="215"/>
        <v>61853.99999999984</v>
      </c>
      <c r="N445" s="16">
        <f t="shared" si="215"/>
        <v>118949.99999999968</v>
      </c>
      <c r="O445" s="16">
        <f t="shared" si="215"/>
        <v>144325.99999999962</v>
      </c>
      <c r="P445" s="16">
        <f t="shared" si="215"/>
        <v>109433.99999999971</v>
      </c>
      <c r="Q445" s="16">
        <f t="shared" si="215"/>
        <v>85643.999999999782</v>
      </c>
      <c r="R445" s="16">
        <f t="shared" si="215"/>
        <v>139567.99999999965</v>
      </c>
      <c r="S445" s="16">
        <f t="shared" si="215"/>
        <v>88050.174263418987</v>
      </c>
    </row>
    <row r="446" spans="2:19" x14ac:dyDescent="0.3">
      <c r="B446" t="s">
        <v>344</v>
      </c>
      <c r="C446" t="s">
        <v>4</v>
      </c>
      <c r="H446" s="16">
        <f t="shared" ref="H446:S446" si="216">(H248*H183+H251*H191+H254*H199)</f>
        <v>2875.2934261885484</v>
      </c>
      <c r="I446" s="16">
        <f t="shared" si="216"/>
        <v>3080.7458729984905</v>
      </c>
      <c r="J446" s="16">
        <f t="shared" si="216"/>
        <v>3278.605928039311</v>
      </c>
      <c r="K446" s="16">
        <f t="shared" si="216"/>
        <v>3084.4678205619748</v>
      </c>
      <c r="L446" s="16">
        <f t="shared" si="216"/>
        <v>2985.5322312288654</v>
      </c>
      <c r="M446" s="16">
        <f t="shared" si="216"/>
        <v>2949.1578508585662</v>
      </c>
      <c r="N446" s="16">
        <f t="shared" si="216"/>
        <v>3452.0939760457522</v>
      </c>
      <c r="O446" s="16">
        <f t="shared" si="216"/>
        <v>3156.672553812029</v>
      </c>
      <c r="P446" s="16">
        <f t="shared" si="216"/>
        <v>3346.1187944345033</v>
      </c>
      <c r="Q446" s="16">
        <f t="shared" si="216"/>
        <v>3395.0353728423515</v>
      </c>
      <c r="R446" s="16">
        <f t="shared" si="216"/>
        <v>3152.6465338598164</v>
      </c>
      <c r="S446" s="16">
        <f t="shared" si="216"/>
        <v>3187.3187509688751</v>
      </c>
    </row>
    <row r="447" spans="2:19" x14ac:dyDescent="0.3">
      <c r="B447" t="s">
        <v>341</v>
      </c>
      <c r="C447" t="s">
        <v>4</v>
      </c>
      <c r="H447" s="19">
        <v>0</v>
      </c>
      <c r="I447" s="19">
        <v>0</v>
      </c>
      <c r="J447" s="19">
        <v>0</v>
      </c>
      <c r="K447" s="19">
        <v>0</v>
      </c>
      <c r="L447" s="19">
        <v>0</v>
      </c>
      <c r="M447" s="19">
        <v>0</v>
      </c>
      <c r="N447" s="19">
        <v>0</v>
      </c>
      <c r="O447" s="19">
        <v>0</v>
      </c>
      <c r="P447" s="19">
        <v>0</v>
      </c>
      <c r="Q447" s="19">
        <v>0</v>
      </c>
      <c r="R447" s="19">
        <v>0</v>
      </c>
      <c r="S447" s="19">
        <v>0</v>
      </c>
    </row>
    <row r="448" spans="2:19" x14ac:dyDescent="0.3">
      <c r="B448" t="s">
        <v>342</v>
      </c>
      <c r="C448" t="s">
        <v>4</v>
      </c>
      <c r="G448" s="15">
        <v>5500</v>
      </c>
      <c r="H448" s="16">
        <f t="shared" ref="H448:S448" si="217">G448+H263-H445-H446</f>
        <v>6158.7065738117863</v>
      </c>
      <c r="I448" s="16">
        <f t="shared" si="217"/>
        <v>6275.9607008136409</v>
      </c>
      <c r="J448" s="16">
        <f t="shared" si="217"/>
        <v>7595.354772774559</v>
      </c>
      <c r="K448" s="16">
        <f t="shared" si="217"/>
        <v>6850.8869522128334</v>
      </c>
      <c r="L448" s="16">
        <f t="shared" si="217"/>
        <v>7039.35472098435</v>
      </c>
      <c r="M448" s="16">
        <f t="shared" si="217"/>
        <v>7236.1968701259466</v>
      </c>
      <c r="N448" s="16">
        <f t="shared" si="217"/>
        <v>7334.1028940805145</v>
      </c>
      <c r="O448" s="16">
        <f t="shared" si="217"/>
        <v>6351.4303402688611</v>
      </c>
      <c r="P448" s="16">
        <f t="shared" si="217"/>
        <v>7321.3115458346547</v>
      </c>
      <c r="Q448" s="16">
        <f t="shared" si="217"/>
        <v>7782.2761729925251</v>
      </c>
      <c r="R448" s="16">
        <f t="shared" si="217"/>
        <v>7561.6296391330443</v>
      </c>
      <c r="S448" s="16">
        <f t="shared" si="217"/>
        <v>7667.1050641916345</v>
      </c>
    </row>
    <row r="449" spans="2:19" x14ac:dyDescent="0.3">
      <c r="B449" t="s">
        <v>374</v>
      </c>
      <c r="C449" t="s">
        <v>4</v>
      </c>
      <c r="H449" s="33">
        <f>SUM(H425:H427)</f>
        <v>9193.1270585948077</v>
      </c>
      <c r="I449" s="33">
        <f t="shared" ref="I449:S449" si="218">SUM(I425:I427)</f>
        <v>9306.729420387499</v>
      </c>
      <c r="J449" s="33">
        <f t="shared" si="218"/>
        <v>6466.6703755702074</v>
      </c>
      <c r="K449" s="33">
        <f t="shared" si="218"/>
        <v>6764.1562278822057</v>
      </c>
      <c r="L449" s="33">
        <f t="shared" si="218"/>
        <v>10329.150676521722</v>
      </c>
      <c r="M449" s="33">
        <f t="shared" si="218"/>
        <v>4421.827863301759</v>
      </c>
      <c r="N449" s="33">
        <f t="shared" si="218"/>
        <v>8468.1916547725796</v>
      </c>
      <c r="O449" s="33">
        <f t="shared" si="218"/>
        <v>10329.150676521722</v>
      </c>
      <c r="P449" s="33">
        <f t="shared" si="218"/>
        <v>7829.8987170825058</v>
      </c>
      <c r="Q449" s="33">
        <f t="shared" si="218"/>
        <v>6082.5420571260565</v>
      </c>
      <c r="R449" s="33">
        <f t="shared" si="218"/>
        <v>9988.3435911436482</v>
      </c>
      <c r="S449" s="33">
        <f t="shared" si="218"/>
        <v>6254.8920440171096</v>
      </c>
    </row>
    <row r="450" spans="2:19" x14ac:dyDescent="0.3">
      <c r="B450" t="s">
        <v>385</v>
      </c>
      <c r="C450" t="s">
        <v>4</v>
      </c>
      <c r="H450" s="19">
        <v>0</v>
      </c>
      <c r="I450" s="19">
        <v>0</v>
      </c>
      <c r="J450" s="19">
        <v>0</v>
      </c>
      <c r="K450" s="19">
        <v>0</v>
      </c>
      <c r="L450" s="19">
        <v>0</v>
      </c>
      <c r="M450" s="19">
        <v>0</v>
      </c>
      <c r="N450" s="19">
        <v>0</v>
      </c>
      <c r="O450" s="19">
        <v>0</v>
      </c>
      <c r="P450" s="19">
        <v>0</v>
      </c>
      <c r="Q450" s="19">
        <v>0</v>
      </c>
      <c r="R450" s="19">
        <v>0</v>
      </c>
      <c r="S450" s="19">
        <v>0</v>
      </c>
    </row>
    <row r="451" spans="2:19" x14ac:dyDescent="0.3">
      <c r="B451" t="s">
        <v>386</v>
      </c>
      <c r="C451" t="s">
        <v>4</v>
      </c>
      <c r="G451" s="20">
        <v>65</v>
      </c>
      <c r="H451" s="18">
        <f t="shared" ref="H451:S451" si="219">H272-H449-H450</f>
        <v>0</v>
      </c>
      <c r="I451" s="18">
        <f t="shared" si="219"/>
        <v>0</v>
      </c>
      <c r="J451" s="18">
        <f t="shared" si="219"/>
        <v>0</v>
      </c>
      <c r="K451" s="18">
        <f t="shared" si="219"/>
        <v>0</v>
      </c>
      <c r="L451" s="18">
        <f t="shared" si="219"/>
        <v>0</v>
      </c>
      <c r="M451" s="18">
        <f t="shared" si="219"/>
        <v>0</v>
      </c>
      <c r="N451" s="18">
        <f t="shared" si="219"/>
        <v>0</v>
      </c>
      <c r="O451" s="18">
        <f t="shared" si="219"/>
        <v>0</v>
      </c>
      <c r="P451" s="18">
        <f t="shared" si="219"/>
        <v>0</v>
      </c>
      <c r="Q451" s="18">
        <f t="shared" si="219"/>
        <v>0</v>
      </c>
      <c r="R451" s="18">
        <f t="shared" si="219"/>
        <v>0</v>
      </c>
      <c r="S451" s="18">
        <f t="shared" si="219"/>
        <v>0</v>
      </c>
    </row>
    <row r="452" spans="2:19" x14ac:dyDescent="0.3">
      <c r="B452" t="s">
        <v>384</v>
      </c>
      <c r="C452" t="s">
        <v>4</v>
      </c>
      <c r="H452" s="34">
        <f t="shared" ref="H452:S452" si="220">H263*H167*(1+H212)</f>
        <v>109733.16178217823</v>
      </c>
      <c r="I452" s="34">
        <f t="shared" si="220"/>
        <v>110772.30157178218</v>
      </c>
      <c r="J452" s="34">
        <f t="shared" si="220"/>
        <v>78974.624009900988</v>
      </c>
      <c r="K452" s="34">
        <f t="shared" si="220"/>
        <v>81052.903589108915</v>
      </c>
      <c r="L452" s="34">
        <f t="shared" si="220"/>
        <v>122618.49517326734</v>
      </c>
      <c r="M452" s="34">
        <f t="shared" si="220"/>
        <v>54035.269059405946</v>
      </c>
      <c r="N452" s="34">
        <f t="shared" si="220"/>
        <v>101835.69938118813</v>
      </c>
      <c r="O452" s="34">
        <f t="shared" si="220"/>
        <v>121787.18334158417</v>
      </c>
      <c r="P452" s="34">
        <f t="shared" si="220"/>
        <v>94561.720853960403</v>
      </c>
      <c r="Q452" s="34">
        <f t="shared" si="220"/>
        <v>74402.408935643572</v>
      </c>
      <c r="R452" s="34">
        <f t="shared" si="220"/>
        <v>118461.93601485148</v>
      </c>
      <c r="S452" s="34">
        <f t="shared" si="220"/>
        <v>75934.490404774071</v>
      </c>
    </row>
    <row r="453" spans="2:19" x14ac:dyDescent="0.3">
      <c r="B453" t="s">
        <v>382</v>
      </c>
      <c r="C453" t="s">
        <v>4</v>
      </c>
      <c r="H453" s="19">
        <v>0</v>
      </c>
      <c r="I453" s="19">
        <v>0</v>
      </c>
      <c r="J453" s="19">
        <v>0</v>
      </c>
      <c r="K453" s="19">
        <v>0</v>
      </c>
      <c r="L453" s="19">
        <v>0</v>
      </c>
      <c r="M453" s="19">
        <v>0</v>
      </c>
      <c r="N453" s="19">
        <v>0</v>
      </c>
      <c r="O453" s="19">
        <v>0</v>
      </c>
      <c r="P453" s="19">
        <v>0</v>
      </c>
      <c r="Q453" s="19">
        <v>0</v>
      </c>
      <c r="R453" s="19">
        <v>0</v>
      </c>
      <c r="S453" s="19">
        <v>0</v>
      </c>
    </row>
    <row r="454" spans="2:19" x14ac:dyDescent="0.3">
      <c r="B454" t="s">
        <v>383</v>
      </c>
      <c r="C454" t="s">
        <v>4</v>
      </c>
      <c r="G454" s="20">
        <v>33250</v>
      </c>
      <c r="H454" s="32">
        <f t="shared" ref="H454:S454" si="221">G454+H266-H452-H453</f>
        <v>32416.838217821773</v>
      </c>
      <c r="I454" s="32">
        <f t="shared" si="221"/>
        <v>32194.536646039604</v>
      </c>
      <c r="J454" s="32">
        <f t="shared" si="221"/>
        <v>35719.912636138615</v>
      </c>
      <c r="K454" s="32">
        <f t="shared" si="221"/>
        <v>35517.0090470297</v>
      </c>
      <c r="L454" s="32">
        <f t="shared" si="221"/>
        <v>34998.513873762378</v>
      </c>
      <c r="M454" s="32">
        <f t="shared" si="221"/>
        <v>34588.244814356432</v>
      </c>
      <c r="N454" s="32">
        <f t="shared" si="221"/>
        <v>33402.545433168314</v>
      </c>
      <c r="O454" s="32">
        <f t="shared" si="221"/>
        <v>35365.362091584131</v>
      </c>
      <c r="P454" s="32">
        <f t="shared" si="221"/>
        <v>35678.641237623728</v>
      </c>
      <c r="Q454" s="32">
        <f t="shared" si="221"/>
        <v>35526.232301980155</v>
      </c>
      <c r="R454" s="32">
        <f t="shared" si="221"/>
        <v>35864.296287128658</v>
      </c>
      <c r="S454" s="32">
        <f t="shared" si="221"/>
        <v>35674.478849009873</v>
      </c>
    </row>
    <row r="455" spans="2:19" x14ac:dyDescent="0.3">
      <c r="B455" t="s">
        <v>387</v>
      </c>
      <c r="C455" t="s">
        <v>4</v>
      </c>
      <c r="H455" s="16">
        <f t="shared" ref="H455:S455" si="222">H248*H180*(1+H210)+H251*H188*(1+H210)+H254*H196*(1+H210)+H263*H168*(1+H210)</f>
        <v>50852.969880803546</v>
      </c>
      <c r="I455" s="16">
        <f t="shared" si="222"/>
        <v>52395.907643732833</v>
      </c>
      <c r="J455" s="16">
        <f t="shared" si="222"/>
        <v>47426.986089735801</v>
      </c>
      <c r="K455" s="16">
        <f t="shared" si="222"/>
        <v>46351.1705554539</v>
      </c>
      <c r="L455" s="16">
        <f t="shared" si="222"/>
        <v>53956.105175526216</v>
      </c>
      <c r="M455" s="16">
        <f t="shared" si="222"/>
        <v>38719.928330446368</v>
      </c>
      <c r="N455" s="16">
        <f t="shared" si="222"/>
        <v>53960.05838193871</v>
      </c>
      <c r="O455" s="16">
        <f t="shared" si="222"/>
        <v>55564.613044273559</v>
      </c>
      <c r="P455" s="16">
        <f t="shared" si="222"/>
        <v>51287.909788160723</v>
      </c>
      <c r="Q455" s="16">
        <f t="shared" si="222"/>
        <v>47321.552650295103</v>
      </c>
      <c r="R455" s="16">
        <f t="shared" si="222"/>
        <v>54967.572212480962</v>
      </c>
      <c r="S455" s="16">
        <f t="shared" si="222"/>
        <v>46360.030354480157</v>
      </c>
    </row>
    <row r="456" spans="2:19" x14ac:dyDescent="0.3">
      <c r="B456" t="s">
        <v>388</v>
      </c>
      <c r="C456" t="s">
        <v>4</v>
      </c>
      <c r="H456" s="19">
        <v>0</v>
      </c>
      <c r="I456" s="19">
        <v>0</v>
      </c>
      <c r="J456" s="19">
        <v>0</v>
      </c>
      <c r="K456" s="19">
        <v>0</v>
      </c>
      <c r="L456" s="19">
        <v>0</v>
      </c>
      <c r="M456" s="19">
        <v>0</v>
      </c>
      <c r="N456" s="19">
        <v>0</v>
      </c>
      <c r="O456" s="19">
        <v>0</v>
      </c>
      <c r="P456" s="19">
        <v>0</v>
      </c>
      <c r="Q456" s="19">
        <v>0</v>
      </c>
      <c r="R456" s="19">
        <v>0</v>
      </c>
      <c r="S456" s="19">
        <v>0</v>
      </c>
    </row>
    <row r="457" spans="2:19" x14ac:dyDescent="0.3">
      <c r="B457" t="s">
        <v>389</v>
      </c>
      <c r="C457" t="s">
        <v>4</v>
      </c>
      <c r="G457" s="20">
        <v>7225</v>
      </c>
      <c r="H457" s="24">
        <f t="shared" ref="H457:S457" si="223">G457+H269-H455-H456</f>
        <v>6614.6043766221846</v>
      </c>
      <c r="I457" s="24">
        <f t="shared" si="223"/>
        <v>6654.340297245777</v>
      </c>
      <c r="J457" s="24">
        <f t="shared" si="223"/>
        <v>7280.819554044625</v>
      </c>
      <c r="K457" s="24">
        <f t="shared" si="223"/>
        <v>5390.0450381946866</v>
      </c>
      <c r="L457" s="24">
        <f t="shared" si="223"/>
        <v>6621.0685755397571</v>
      </c>
      <c r="M457" s="24">
        <f t="shared" si="223"/>
        <v>8725.8927203409112</v>
      </c>
      <c r="N457" s="24">
        <f t="shared" si="223"/>
        <v>6643.0620611744816</v>
      </c>
      <c r="O457" s="24">
        <f t="shared" si="223"/>
        <v>7058.647036702896</v>
      </c>
      <c r="P457" s="24">
        <f t="shared" si="223"/>
        <v>6622.2223970570267</v>
      </c>
      <c r="Q457" s="24">
        <f t="shared" si="223"/>
        <v>7588.7885586431075</v>
      </c>
      <c r="R457" s="24">
        <f t="shared" si="223"/>
        <v>9022.2064451720435</v>
      </c>
      <c r="S457" s="24">
        <f t="shared" si="223"/>
        <v>10197.257152647057</v>
      </c>
    </row>
    <row r="458" spans="2:19" x14ac:dyDescent="0.3">
      <c r="B458" t="s">
        <v>390</v>
      </c>
      <c r="C458" t="s">
        <v>4</v>
      </c>
      <c r="H458" s="24">
        <f t="shared" ref="H458:S458" si="224">H266*H166</f>
        <v>22642.574257425738</v>
      </c>
      <c r="I458" s="24">
        <f t="shared" si="224"/>
        <v>22985.643564356433</v>
      </c>
      <c r="J458" s="24">
        <f t="shared" si="224"/>
        <v>17153.465346534649</v>
      </c>
      <c r="K458" s="24">
        <f t="shared" si="224"/>
        <v>16810.396039603958</v>
      </c>
      <c r="L458" s="24">
        <f t="shared" si="224"/>
        <v>25387.128712871283</v>
      </c>
      <c r="M458" s="24">
        <f t="shared" si="224"/>
        <v>11149.752475247522</v>
      </c>
      <c r="N458" s="24">
        <f t="shared" si="224"/>
        <v>20927.227722772273</v>
      </c>
      <c r="O458" s="24">
        <f t="shared" si="224"/>
        <v>25730.198019801977</v>
      </c>
      <c r="P458" s="24">
        <f t="shared" si="224"/>
        <v>19726.485148514847</v>
      </c>
      <c r="Q458" s="24">
        <f t="shared" si="224"/>
        <v>15438.118811881186</v>
      </c>
      <c r="R458" s="24">
        <f t="shared" si="224"/>
        <v>24700.990099009898</v>
      </c>
      <c r="S458" s="24">
        <f t="shared" si="224"/>
        <v>15748.892399007531</v>
      </c>
    </row>
    <row r="459" spans="2:19" x14ac:dyDescent="0.3">
      <c r="B459" t="s">
        <v>391</v>
      </c>
      <c r="C459" t="s">
        <v>4</v>
      </c>
      <c r="H459" s="24">
        <f t="shared" ref="H459:S459" si="225">H266*H165+H269</f>
        <v>136500</v>
      </c>
      <c r="I459" s="24">
        <f t="shared" si="225"/>
        <v>140000</v>
      </c>
      <c r="J459" s="24">
        <f t="shared" si="225"/>
        <v>113400</v>
      </c>
      <c r="K459" s="24">
        <f t="shared" si="225"/>
        <v>108500</v>
      </c>
      <c r="L459" s="24">
        <f t="shared" si="225"/>
        <v>151900</v>
      </c>
      <c r="M459" s="24">
        <f t="shared" si="225"/>
        <v>83300</v>
      </c>
      <c r="N459" s="24">
        <f t="shared" si="225"/>
        <v>131600</v>
      </c>
      <c r="O459" s="24">
        <f t="shared" si="225"/>
        <v>154000</v>
      </c>
      <c r="P459" s="24">
        <f t="shared" si="225"/>
        <v>126000</v>
      </c>
      <c r="Q459" s="24">
        <f t="shared" si="225"/>
        <v>107100</v>
      </c>
      <c r="R459" s="24">
        <f t="shared" si="225"/>
        <v>150500</v>
      </c>
      <c r="S459" s="24">
        <f t="shared" si="225"/>
        <v>107530.86162960292</v>
      </c>
    </row>
    <row r="460" spans="2:19" ht="15" x14ac:dyDescent="0.35">
      <c r="B460" t="s">
        <v>679</v>
      </c>
      <c r="C460" s="3" t="s">
        <v>678</v>
      </c>
      <c r="D460" s="2">
        <v>9643</v>
      </c>
      <c r="E460" s="2">
        <v>9643</v>
      </c>
      <c r="F460" s="2">
        <v>9643</v>
      </c>
      <c r="G460" s="2">
        <v>9643</v>
      </c>
      <c r="H460" s="2">
        <v>2000</v>
      </c>
      <c r="I460" s="2">
        <v>2000</v>
      </c>
      <c r="J460" s="2">
        <v>2000</v>
      </c>
      <c r="K460" s="2">
        <v>12000</v>
      </c>
      <c r="L460" s="2">
        <v>2000</v>
      </c>
      <c r="M460" s="2">
        <v>2000</v>
      </c>
      <c r="N460" s="2">
        <v>12000</v>
      </c>
      <c r="O460" s="2">
        <v>2000</v>
      </c>
      <c r="P460" s="2">
        <v>2000</v>
      </c>
      <c r="Q460" s="2">
        <v>12000</v>
      </c>
      <c r="R460" s="2">
        <v>2000</v>
      </c>
      <c r="S460" s="2">
        <v>12000</v>
      </c>
    </row>
    <row r="461" spans="2:19" x14ac:dyDescent="0.3">
      <c r="B461" t="s">
        <v>398</v>
      </c>
      <c r="C461" t="s">
        <v>4</v>
      </c>
      <c r="H461" s="24">
        <f t="shared" ref="H461:S461" si="226">H425/(1-H215)</f>
        <v>1960.1550231545432</v>
      </c>
      <c r="I461" s="24">
        <f t="shared" si="226"/>
        <v>1984.3772751359272</v>
      </c>
      <c r="J461" s="24">
        <f t="shared" si="226"/>
        <v>1378.8209756013237</v>
      </c>
      <c r="K461" s="24">
        <f t="shared" si="226"/>
        <v>1442.2507948576133</v>
      </c>
      <c r="L461" s="24">
        <f t="shared" si="226"/>
        <v>2202.3775429683847</v>
      </c>
      <c r="M461" s="24">
        <f t="shared" si="226"/>
        <v>942.82043993640912</v>
      </c>
      <c r="N461" s="24">
        <f t="shared" si="226"/>
        <v>1805.5845745783747</v>
      </c>
      <c r="O461" s="24">
        <f t="shared" si="226"/>
        <v>2202.3775429683847</v>
      </c>
      <c r="P461" s="24">
        <f t="shared" si="226"/>
        <v>1669.487999377933</v>
      </c>
      <c r="Q461" s="24">
        <f t="shared" si="226"/>
        <v>1296.9172829693082</v>
      </c>
      <c r="R461" s="24">
        <f t="shared" si="226"/>
        <v>2129.7107870242321</v>
      </c>
      <c r="S461" s="24">
        <f t="shared" si="226"/>
        <v>1333.6656810271024</v>
      </c>
    </row>
    <row r="462" spans="2:19" x14ac:dyDescent="0.3">
      <c r="B462" t="s">
        <v>399</v>
      </c>
      <c r="C462" t="s">
        <v>4</v>
      </c>
      <c r="H462" s="24">
        <f t="shared" ref="H462:S462" si="227">H426/(1-H216)</f>
        <v>0</v>
      </c>
      <c r="I462" s="24">
        <f t="shared" si="227"/>
        <v>0</v>
      </c>
      <c r="J462" s="24">
        <f t="shared" si="227"/>
        <v>0</v>
      </c>
      <c r="K462" s="24">
        <f t="shared" si="227"/>
        <v>0</v>
      </c>
      <c r="L462" s="24">
        <f t="shared" si="227"/>
        <v>0</v>
      </c>
      <c r="M462" s="24">
        <f t="shared" si="227"/>
        <v>0</v>
      </c>
      <c r="N462" s="24">
        <f t="shared" si="227"/>
        <v>0</v>
      </c>
      <c r="O462" s="24">
        <f t="shared" si="227"/>
        <v>0</v>
      </c>
      <c r="P462" s="24">
        <f t="shared" si="227"/>
        <v>0</v>
      </c>
      <c r="Q462" s="24">
        <f t="shared" si="227"/>
        <v>0</v>
      </c>
      <c r="R462" s="24">
        <f t="shared" si="227"/>
        <v>0</v>
      </c>
      <c r="S462" s="24">
        <f t="shared" si="227"/>
        <v>0</v>
      </c>
    </row>
    <row r="463" spans="2:19" x14ac:dyDescent="0.3">
      <c r="B463" t="s">
        <v>397</v>
      </c>
      <c r="C463" t="s">
        <v>4</v>
      </c>
      <c r="H463" s="24">
        <f t="shared" ref="H463:S463" si="228">H427/(1-H220)</f>
        <v>7840.6200926181727</v>
      </c>
      <c r="I463" s="24">
        <f t="shared" si="228"/>
        <v>7937.5091005437089</v>
      </c>
      <c r="J463" s="24">
        <f t="shared" si="228"/>
        <v>5515.2839024052946</v>
      </c>
      <c r="K463" s="24">
        <f t="shared" si="228"/>
        <v>5769.0031794304532</v>
      </c>
      <c r="L463" s="24">
        <f t="shared" si="228"/>
        <v>8809.5101718735368</v>
      </c>
      <c r="M463" s="24">
        <f t="shared" si="228"/>
        <v>3771.2817597456365</v>
      </c>
      <c r="N463" s="24">
        <f t="shared" si="228"/>
        <v>7222.3382983135007</v>
      </c>
      <c r="O463" s="24">
        <f t="shared" si="228"/>
        <v>8809.5101718735368</v>
      </c>
      <c r="P463" s="24">
        <f t="shared" si="228"/>
        <v>6677.9519975117319</v>
      </c>
      <c r="Q463" s="24">
        <f t="shared" si="228"/>
        <v>5187.6691318772337</v>
      </c>
      <c r="R463" s="24">
        <f t="shared" si="228"/>
        <v>8518.8431480969284</v>
      </c>
      <c r="S463" s="24">
        <f t="shared" si="228"/>
        <v>5334.6627241084097</v>
      </c>
    </row>
    <row r="464" spans="2:19" x14ac:dyDescent="0.3">
      <c r="B464" t="s">
        <v>400</v>
      </c>
      <c r="C464" t="s">
        <v>4</v>
      </c>
      <c r="H464" s="24">
        <f>H421</f>
        <v>1285.8700408163234</v>
      </c>
      <c r="I464" s="24">
        <f t="shared" ref="I464:S464" si="229">I421</f>
        <v>1301.7449795918335</v>
      </c>
      <c r="J464" s="24">
        <f t="shared" si="229"/>
        <v>904.87151020407941</v>
      </c>
      <c r="K464" s="24">
        <f t="shared" si="229"/>
        <v>952.49632653060996</v>
      </c>
      <c r="L464" s="24">
        <f t="shared" si="229"/>
        <v>1444.6194285714248</v>
      </c>
      <c r="M464" s="24">
        <f t="shared" si="229"/>
        <v>619.12261224489646</v>
      </c>
      <c r="N464" s="24">
        <f t="shared" si="229"/>
        <v>1190.6204081632623</v>
      </c>
      <c r="O464" s="24">
        <f t="shared" si="229"/>
        <v>1444.6194285714248</v>
      </c>
      <c r="P464" s="24">
        <f t="shared" si="229"/>
        <v>1095.3707755102014</v>
      </c>
      <c r="Q464" s="24">
        <f t="shared" si="229"/>
        <v>857.24669387754886</v>
      </c>
      <c r="R464" s="24">
        <f t="shared" si="229"/>
        <v>1396.9946122448946</v>
      </c>
      <c r="S464" s="24">
        <f t="shared" si="229"/>
        <v>881.33110063353126</v>
      </c>
    </row>
    <row r="465" spans="2:19" x14ac:dyDescent="0.3">
      <c r="B465" t="s">
        <v>401</v>
      </c>
      <c r="C465" t="s">
        <v>4</v>
      </c>
      <c r="H465" s="24">
        <f t="shared" ref="H465:S467" si="230">H422</f>
        <v>293.00424107142777</v>
      </c>
      <c r="I465" s="24">
        <f t="shared" si="230"/>
        <v>296.62157738095158</v>
      </c>
      <c r="J465" s="24">
        <f t="shared" si="230"/>
        <v>206.18816964285656</v>
      </c>
      <c r="K465" s="24">
        <f t="shared" si="230"/>
        <v>217.04017857142796</v>
      </c>
      <c r="L465" s="24">
        <f t="shared" si="230"/>
        <v>329.17760416666567</v>
      </c>
      <c r="M465" s="24">
        <f t="shared" si="230"/>
        <v>141.07611607142817</v>
      </c>
      <c r="N465" s="24">
        <f t="shared" si="230"/>
        <v>271.30022321428487</v>
      </c>
      <c r="O465" s="24">
        <f t="shared" si="230"/>
        <v>329.17760416666567</v>
      </c>
      <c r="P465" s="24">
        <f t="shared" si="230"/>
        <v>249.59620535714217</v>
      </c>
      <c r="Q465" s="24">
        <f t="shared" si="230"/>
        <v>195.33616071428511</v>
      </c>
      <c r="R465" s="24">
        <f t="shared" si="230"/>
        <v>318.32559523809437</v>
      </c>
      <c r="S465" s="24">
        <f t="shared" si="230"/>
        <v>200.82414402456763</v>
      </c>
    </row>
    <row r="466" spans="2:19" x14ac:dyDescent="0.3">
      <c r="B466" t="s">
        <v>402</v>
      </c>
      <c r="C466" t="s">
        <v>4</v>
      </c>
      <c r="H466" s="24">
        <f t="shared" si="230"/>
        <v>0</v>
      </c>
      <c r="I466" s="24">
        <f t="shared" si="230"/>
        <v>0</v>
      </c>
      <c r="J466" s="24">
        <f t="shared" si="230"/>
        <v>0</v>
      </c>
      <c r="K466" s="24">
        <f t="shared" si="230"/>
        <v>0</v>
      </c>
      <c r="L466" s="24">
        <f t="shared" si="230"/>
        <v>0</v>
      </c>
      <c r="M466" s="24">
        <f t="shared" si="230"/>
        <v>0</v>
      </c>
      <c r="N466" s="24">
        <f t="shared" si="230"/>
        <v>0</v>
      </c>
      <c r="O466" s="24">
        <f t="shared" si="230"/>
        <v>0</v>
      </c>
      <c r="P466" s="24">
        <f t="shared" si="230"/>
        <v>0</v>
      </c>
      <c r="Q466" s="24">
        <f t="shared" si="230"/>
        <v>0</v>
      </c>
      <c r="R466" s="24">
        <f t="shared" si="230"/>
        <v>0</v>
      </c>
      <c r="S466" s="24">
        <f t="shared" si="230"/>
        <v>0</v>
      </c>
    </row>
    <row r="467" spans="2:19" x14ac:dyDescent="0.3">
      <c r="B467" t="s">
        <v>403</v>
      </c>
      <c r="C467" t="s">
        <v>4</v>
      </c>
      <c r="H467" s="24">
        <f t="shared" si="230"/>
        <v>0</v>
      </c>
      <c r="I467" s="24">
        <f t="shared" si="230"/>
        <v>0</v>
      </c>
      <c r="J467" s="24">
        <f t="shared" si="230"/>
        <v>0</v>
      </c>
      <c r="K467" s="24">
        <f t="shared" si="230"/>
        <v>0</v>
      </c>
      <c r="L467" s="24">
        <f t="shared" si="230"/>
        <v>0</v>
      </c>
      <c r="M467" s="24">
        <f t="shared" si="230"/>
        <v>0</v>
      </c>
      <c r="N467" s="24">
        <f t="shared" si="230"/>
        <v>0</v>
      </c>
      <c r="O467" s="24">
        <f t="shared" si="230"/>
        <v>0</v>
      </c>
      <c r="P467" s="24">
        <f t="shared" si="230"/>
        <v>0</v>
      </c>
      <c r="Q467" s="24">
        <f t="shared" si="230"/>
        <v>0</v>
      </c>
      <c r="R467" s="24">
        <f t="shared" si="230"/>
        <v>0</v>
      </c>
      <c r="S467" s="24">
        <f t="shared" si="230"/>
        <v>0</v>
      </c>
    </row>
    <row r="468" spans="2:19" x14ac:dyDescent="0.3">
      <c r="B468" t="s">
        <v>404</v>
      </c>
      <c r="C468" t="s">
        <v>4</v>
      </c>
      <c r="H468" s="24">
        <f t="shared" ref="H468:S468" si="231">H248*H181*(1+H221)+H251*H189*(1+H221)+H254*H197*(1+H221)</f>
        <v>5406.5752640103065</v>
      </c>
      <c r="I468" s="24">
        <f t="shared" si="231"/>
        <v>5848.6165618469731</v>
      </c>
      <c r="J468" s="24">
        <f t="shared" si="231"/>
        <v>6185.3880410960319</v>
      </c>
      <c r="K468" s="24">
        <f t="shared" si="231"/>
        <v>5783.8140976941713</v>
      </c>
      <c r="L468" s="24">
        <f t="shared" si="231"/>
        <v>5676.3955636837281</v>
      </c>
      <c r="M468" s="24">
        <f t="shared" si="231"/>
        <v>5590.5452414718848</v>
      </c>
      <c r="N468" s="24">
        <f t="shared" si="231"/>
        <v>6523.8262590251525</v>
      </c>
      <c r="O468" s="24">
        <f t="shared" si="231"/>
        <v>5973.5941368514759</v>
      </c>
      <c r="P468" s="24">
        <f t="shared" si="231"/>
        <v>6333.4050690134009</v>
      </c>
      <c r="Q468" s="24">
        <f t="shared" si="231"/>
        <v>6433.562730679223</v>
      </c>
      <c r="R468" s="24">
        <f t="shared" si="231"/>
        <v>5953.8984666215165</v>
      </c>
      <c r="S468" s="24">
        <f t="shared" si="231"/>
        <v>5954.961746259115</v>
      </c>
    </row>
    <row r="469" spans="2:19" x14ac:dyDescent="0.3">
      <c r="B469" t="s">
        <v>405</v>
      </c>
      <c r="C469" t="s">
        <v>4</v>
      </c>
      <c r="H469" s="24">
        <f t="shared" ref="H469:S469" si="232">H263*H169*(1+H213)</f>
        <v>2931.2249999999999</v>
      </c>
      <c r="I469" s="24">
        <f t="shared" si="232"/>
        <v>2958.9828124999999</v>
      </c>
      <c r="J469" s="24">
        <f t="shared" si="232"/>
        <v>2109.59375</v>
      </c>
      <c r="K469" s="24">
        <f t="shared" si="232"/>
        <v>2165.109375</v>
      </c>
      <c r="L469" s="24">
        <f t="shared" si="232"/>
        <v>3275.4218749999995</v>
      </c>
      <c r="M469" s="24">
        <f t="shared" si="232"/>
        <v>1443.4062499999998</v>
      </c>
      <c r="N469" s="24">
        <f t="shared" si="232"/>
        <v>2720.2656249999995</v>
      </c>
      <c r="O469" s="24">
        <f t="shared" si="232"/>
        <v>3253.2156249999998</v>
      </c>
      <c r="P469" s="24">
        <f t="shared" si="232"/>
        <v>2525.9609374999995</v>
      </c>
      <c r="Q469" s="24">
        <f t="shared" si="232"/>
        <v>1987.4593749999999</v>
      </c>
      <c r="R469" s="24">
        <f t="shared" si="232"/>
        <v>3164.3906249999995</v>
      </c>
      <c r="S469" s="24">
        <f t="shared" si="232"/>
        <v>2028.3847929084577</v>
      </c>
    </row>
    <row r="470" spans="2:19" x14ac:dyDescent="0.3">
      <c r="B470" t="s">
        <v>406</v>
      </c>
      <c r="C470" t="s">
        <v>4</v>
      </c>
      <c r="H470" s="24">
        <f t="shared" ref="H470:S470" si="233">H263*H170*(1+H214)</f>
        <v>499.87574999999998</v>
      </c>
      <c r="I470" s="24">
        <f t="shared" si="233"/>
        <v>504.60942187499995</v>
      </c>
      <c r="J470" s="24">
        <f t="shared" si="233"/>
        <v>359.75906249999997</v>
      </c>
      <c r="K470" s="24">
        <f t="shared" si="233"/>
        <v>369.22640624999997</v>
      </c>
      <c r="L470" s="24">
        <f t="shared" si="233"/>
        <v>558.57328124999992</v>
      </c>
      <c r="M470" s="24">
        <f t="shared" si="233"/>
        <v>246.1509375</v>
      </c>
      <c r="N470" s="24">
        <f t="shared" si="233"/>
        <v>463.89984375</v>
      </c>
      <c r="O470" s="24">
        <f t="shared" si="233"/>
        <v>554.78634375000001</v>
      </c>
      <c r="P470" s="24">
        <f t="shared" si="233"/>
        <v>430.76414062499998</v>
      </c>
      <c r="Q470" s="24">
        <f t="shared" si="233"/>
        <v>338.93090624999996</v>
      </c>
      <c r="R470" s="24">
        <f t="shared" si="233"/>
        <v>539.63859374999993</v>
      </c>
      <c r="S470" s="24">
        <f t="shared" si="233"/>
        <v>345.91011254465627</v>
      </c>
    </row>
    <row r="471" spans="2:19" x14ac:dyDescent="0.3">
      <c r="B471" t="s">
        <v>407</v>
      </c>
      <c r="C471" t="s">
        <v>4</v>
      </c>
      <c r="H471" s="24">
        <f t="shared" ref="H471:S471" si="234">H248*H182*(1+H222)+H251*H190*(1+H222)+H254*H198*(1+H222)</f>
        <v>0</v>
      </c>
      <c r="I471" s="24">
        <f t="shared" si="234"/>
        <v>0</v>
      </c>
      <c r="J471" s="24">
        <f t="shared" si="234"/>
        <v>0</v>
      </c>
      <c r="K471" s="24">
        <f t="shared" si="234"/>
        <v>0</v>
      </c>
      <c r="L471" s="24">
        <f t="shared" si="234"/>
        <v>0</v>
      </c>
      <c r="M471" s="24">
        <f t="shared" si="234"/>
        <v>0</v>
      </c>
      <c r="N471" s="24">
        <f t="shared" si="234"/>
        <v>0</v>
      </c>
      <c r="O471" s="24">
        <f t="shared" si="234"/>
        <v>0</v>
      </c>
      <c r="P471" s="24">
        <f t="shared" si="234"/>
        <v>0</v>
      </c>
      <c r="Q471" s="24">
        <f t="shared" si="234"/>
        <v>0</v>
      </c>
      <c r="R471" s="24">
        <f t="shared" si="234"/>
        <v>0</v>
      </c>
      <c r="S471" s="24">
        <f t="shared" si="234"/>
        <v>0</v>
      </c>
    </row>
    <row r="472" spans="2:19" x14ac:dyDescent="0.3">
      <c r="B472" t="s">
        <v>408</v>
      </c>
      <c r="C472" t="s">
        <v>4</v>
      </c>
      <c r="H472" s="24">
        <f t="shared" ref="H472:S472" si="235">H248*H184*(1+H223)+H251*H192*(1+H223)+H254*H200*(1+H223)</f>
        <v>1911.9345768531648</v>
      </c>
      <c r="I472" s="24">
        <f t="shared" si="235"/>
        <v>1993.6994083922159</v>
      </c>
      <c r="J472" s="24">
        <f t="shared" si="235"/>
        <v>2142.2956923792917</v>
      </c>
      <c r="K472" s="24">
        <f t="shared" si="235"/>
        <v>2038.2248059514095</v>
      </c>
      <c r="L472" s="24">
        <f t="shared" si="235"/>
        <v>1915.6401510249361</v>
      </c>
      <c r="M472" s="24">
        <f t="shared" si="235"/>
        <v>1908.3881453012532</v>
      </c>
      <c r="N472" s="24">
        <f t="shared" si="235"/>
        <v>2247.8347420979076</v>
      </c>
      <c r="O472" s="24">
        <f t="shared" si="235"/>
        <v>2047.9516214160406</v>
      </c>
      <c r="P472" s="24">
        <f t="shared" si="235"/>
        <v>2169.2847142102532</v>
      </c>
      <c r="Q472" s="24">
        <f t="shared" si="235"/>
        <v>2202.9339236775977</v>
      </c>
      <c r="R472" s="24">
        <f t="shared" si="235"/>
        <v>2061.0957098871718</v>
      </c>
      <c r="S472" s="24">
        <f t="shared" si="235"/>
        <v>2123.0775305683278</v>
      </c>
    </row>
    <row r="473" spans="2:19" x14ac:dyDescent="0.3">
      <c r="B473" t="s">
        <v>409</v>
      </c>
      <c r="C473" t="s">
        <v>4</v>
      </c>
      <c r="H473" s="24">
        <f t="shared" ref="H473:S473" si="236">H248*H185*(1+H224)+H251*H193*(1+H224)+H254*H201*(1+H224)</f>
        <v>0</v>
      </c>
      <c r="I473" s="24">
        <f t="shared" si="236"/>
        <v>0</v>
      </c>
      <c r="J473" s="24">
        <f t="shared" si="236"/>
        <v>0</v>
      </c>
      <c r="K473" s="24">
        <f t="shared" si="236"/>
        <v>0</v>
      </c>
      <c r="L473" s="24">
        <f t="shared" si="236"/>
        <v>0</v>
      </c>
      <c r="M473" s="24">
        <f t="shared" si="236"/>
        <v>0</v>
      </c>
      <c r="N473" s="24">
        <f t="shared" si="236"/>
        <v>0</v>
      </c>
      <c r="O473" s="24">
        <f t="shared" si="236"/>
        <v>0</v>
      </c>
      <c r="P473" s="24">
        <f t="shared" si="236"/>
        <v>0</v>
      </c>
      <c r="Q473" s="24">
        <f t="shared" si="236"/>
        <v>0</v>
      </c>
      <c r="R473" s="24">
        <f t="shared" si="236"/>
        <v>0</v>
      </c>
      <c r="S473" s="24">
        <f t="shared" si="236"/>
        <v>0</v>
      </c>
    </row>
    <row r="474" spans="2:19" x14ac:dyDescent="0.3">
      <c r="B474" t="s">
        <v>410</v>
      </c>
      <c r="C474" t="s">
        <v>4</v>
      </c>
      <c r="H474" s="24">
        <f t="shared" ref="H474:S474" si="237">H248*H186*(1+H229)+H251*H194*(1+H229)+H254*H202*(1+H229)</f>
        <v>47.975256035658383</v>
      </c>
      <c r="I474" s="24">
        <f t="shared" si="237"/>
        <v>51.406357998392139</v>
      </c>
      <c r="J474" s="24">
        <f t="shared" si="237"/>
        <v>54.706771612007472</v>
      </c>
      <c r="K474" s="24">
        <f t="shared" si="237"/>
        <v>51.466116017984447</v>
      </c>
      <c r="L474" s="24">
        <f t="shared" si="237"/>
        <v>49.818507760180303</v>
      </c>
      <c r="M474" s="24">
        <f t="shared" si="237"/>
        <v>49.210644766570155</v>
      </c>
      <c r="N474" s="24">
        <f t="shared" si="237"/>
        <v>57.602026648362752</v>
      </c>
      <c r="O474" s="24">
        <f t="shared" si="237"/>
        <v>52.673010842931596</v>
      </c>
      <c r="P474" s="24">
        <f t="shared" si="237"/>
        <v>55.834244906139396</v>
      </c>
      <c r="Q474" s="24">
        <f t="shared" si="237"/>
        <v>56.650372236846593</v>
      </c>
      <c r="R474" s="24">
        <f t="shared" si="237"/>
        <v>52.604953425198318</v>
      </c>
      <c r="S474" s="24">
        <f t="shared" si="237"/>
        <v>53.181301435902697</v>
      </c>
    </row>
    <row r="475" spans="2:19" x14ac:dyDescent="0.3">
      <c r="B475" t="s">
        <v>420</v>
      </c>
      <c r="C475" t="s">
        <v>809</v>
      </c>
      <c r="H475" s="24">
        <f t="shared" ref="H475:S475" si="238">H233*H203*(1+H231)</f>
        <v>1177143.140114289</v>
      </c>
      <c r="I475" s="24">
        <f t="shared" si="238"/>
        <v>1227347.3848309529</v>
      </c>
      <c r="J475" s="24">
        <f t="shared" si="238"/>
        <v>1318636.3176756261</v>
      </c>
      <c r="K475" s="24">
        <f t="shared" si="238"/>
        <v>1254746.5433118588</v>
      </c>
      <c r="L475" s="24">
        <f t="shared" si="238"/>
        <v>1179069.0992627691</v>
      </c>
      <c r="M475" s="24">
        <f t="shared" si="238"/>
        <v>1174729.6603591968</v>
      </c>
      <c r="N475" s="24">
        <f t="shared" si="238"/>
        <v>1383700.2090270701</v>
      </c>
      <c r="O475" s="24">
        <f t="shared" si="238"/>
        <v>1260742.8492967084</v>
      </c>
      <c r="P475" s="24">
        <f t="shared" si="238"/>
        <v>1335399.9387063209</v>
      </c>
      <c r="Q475" s="24">
        <f t="shared" si="238"/>
        <v>1356126.8677055393</v>
      </c>
      <c r="R475" s="24">
        <f t="shared" si="238"/>
        <v>1268721.6986612412</v>
      </c>
      <c r="S475" s="24">
        <f t="shared" si="238"/>
        <v>1306468.9192740452</v>
      </c>
    </row>
    <row r="476" spans="2:19" x14ac:dyDescent="0.3">
      <c r="B476" t="s">
        <v>421</v>
      </c>
      <c r="C476" t="s">
        <v>809</v>
      </c>
      <c r="H476" s="24">
        <f t="shared" ref="H476:S476" si="239">H234*H204*(1+H231)</f>
        <v>61460.455103499975</v>
      </c>
      <c r="I476" s="24">
        <f t="shared" si="239"/>
        <v>63792.252576154046</v>
      </c>
      <c r="J476" s="24">
        <f t="shared" si="239"/>
        <v>68692.549807711257</v>
      </c>
      <c r="K476" s="24">
        <f t="shared" si="239"/>
        <v>65401.314712991683</v>
      </c>
      <c r="L476" s="24">
        <f t="shared" si="239"/>
        <v>61244.251562522753</v>
      </c>
      <c r="M476" s="24">
        <f t="shared" si="239"/>
        <v>61071.076641541549</v>
      </c>
      <c r="N476" s="24">
        <f t="shared" si="239"/>
        <v>71998.58462751974</v>
      </c>
      <c r="O476" s="24">
        <f t="shared" si="239"/>
        <v>65517.491492411747</v>
      </c>
      <c r="P476" s="24">
        <f t="shared" si="239"/>
        <v>69401.653522584093</v>
      </c>
      <c r="Q476" s="24">
        <f t="shared" si="239"/>
        <v>70516.865133090483</v>
      </c>
      <c r="R476" s="24">
        <f t="shared" si="239"/>
        <v>66095.008196476832</v>
      </c>
      <c r="S476" s="24">
        <f t="shared" si="239"/>
        <v>68407.861434626248</v>
      </c>
    </row>
    <row r="477" spans="2:19" x14ac:dyDescent="0.3">
      <c r="B477" t="s">
        <v>422</v>
      </c>
      <c r="C477" t="s">
        <v>809</v>
      </c>
      <c r="H477" s="24">
        <f t="shared" ref="H477:S477" si="240">H235*H205*(1+H231)</f>
        <v>23387.113781363638</v>
      </c>
      <c r="I477" s="24">
        <f t="shared" si="240"/>
        <v>24274.025256088215</v>
      </c>
      <c r="J477" s="24">
        <f t="shared" si="240"/>
        <v>26138.843087598576</v>
      </c>
      <c r="K477" s="24">
        <f t="shared" si="240"/>
        <v>24886.494426103007</v>
      </c>
      <c r="L477" s="24">
        <f t="shared" si="240"/>
        <v>23304.39644076187</v>
      </c>
      <c r="M477" s="24">
        <f t="shared" si="240"/>
        <v>23238.572766755533</v>
      </c>
      <c r="N477" s="24">
        <f t="shared" si="240"/>
        <v>27396.74868101739</v>
      </c>
      <c r="O477" s="24">
        <f t="shared" si="240"/>
        <v>24930.466874904818</v>
      </c>
      <c r="P477" s="24">
        <f t="shared" si="240"/>
        <v>26408.458222444635</v>
      </c>
      <c r="Q477" s="24">
        <f t="shared" si="240"/>
        <v>26832.884078002513</v>
      </c>
      <c r="R477" s="24">
        <f t="shared" si="240"/>
        <v>25150.446888470244</v>
      </c>
      <c r="S477" s="24">
        <f t="shared" si="240"/>
        <v>26030.94600218708</v>
      </c>
    </row>
    <row r="478" spans="2:19" x14ac:dyDescent="0.3">
      <c r="B478" t="s">
        <v>423</v>
      </c>
      <c r="C478" t="s">
        <v>809</v>
      </c>
      <c r="H478" s="24">
        <f t="shared" ref="H478:S478" si="241">H236*H206*(1+H231)</f>
        <v>53686.069499955869</v>
      </c>
      <c r="I478" s="24">
        <f t="shared" si="241"/>
        <v>55722.031686441449</v>
      </c>
      <c r="J478" s="24">
        <f t="shared" si="241"/>
        <v>60002.852596848956</v>
      </c>
      <c r="K478" s="24">
        <f t="shared" si="241"/>
        <v>57128.062987660604</v>
      </c>
      <c r="L478" s="24">
        <f t="shared" si="241"/>
        <v>53496.243645648748</v>
      </c>
      <c r="M478" s="24">
        <f t="shared" si="241"/>
        <v>53345.136712673659</v>
      </c>
      <c r="N478" s="24">
        <f t="shared" si="241"/>
        <v>62890.421535848902</v>
      </c>
      <c r="O478" s="24">
        <f t="shared" si="241"/>
        <v>57228.966197628019</v>
      </c>
      <c r="P478" s="24">
        <f t="shared" si="241"/>
        <v>60621.7611341538</v>
      </c>
      <c r="Q478" s="24">
        <f t="shared" si="241"/>
        <v>61596.015798882821</v>
      </c>
      <c r="R478" s="24">
        <f t="shared" si="241"/>
        <v>57733.920600923018</v>
      </c>
      <c r="S478" s="24">
        <f t="shared" si="241"/>
        <v>59755.213428256953</v>
      </c>
    </row>
    <row r="479" spans="2:19" x14ac:dyDescent="0.3">
      <c r="B479" t="s">
        <v>419</v>
      </c>
      <c r="C479" t="s">
        <v>809</v>
      </c>
      <c r="H479" s="24">
        <f t="shared" ref="H479:S479" si="242">H241*H207*(1+H231)</f>
        <v>164504.45070839941</v>
      </c>
      <c r="I479" s="24">
        <f t="shared" si="242"/>
        <v>182638.95956411705</v>
      </c>
      <c r="J479" s="24">
        <f t="shared" si="242"/>
        <v>189697.0256004697</v>
      </c>
      <c r="K479" s="24">
        <f t="shared" si="242"/>
        <v>177803.17846980388</v>
      </c>
      <c r="L479" s="24">
        <f t="shared" si="242"/>
        <v>176932.28093766139</v>
      </c>
      <c r="M479" s="24">
        <f t="shared" si="242"/>
        <v>173976.25766551471</v>
      </c>
      <c r="N479" s="24">
        <f t="shared" si="242"/>
        <v>202088.18397507534</v>
      </c>
      <c r="O479" s="24">
        <f t="shared" si="242"/>
        <v>187005.84552475443</v>
      </c>
      <c r="P479" s="24">
        <f t="shared" si="242"/>
        <v>197997.35418382869</v>
      </c>
      <c r="Q479" s="24">
        <f t="shared" si="242"/>
        <v>200309.24700685521</v>
      </c>
      <c r="R479" s="24">
        <f t="shared" si="242"/>
        <v>182753.06620957403</v>
      </c>
      <c r="S479" s="24">
        <f t="shared" si="242"/>
        <v>174739.46434173876</v>
      </c>
    </row>
    <row r="480" spans="2:19" x14ac:dyDescent="0.3">
      <c r="B480" s="14"/>
    </row>
    <row r="481" spans="2:2" x14ac:dyDescent="0.3">
      <c r="B481" s="14"/>
    </row>
    <row r="482" spans="2:2" x14ac:dyDescent="0.3">
      <c r="B482" s="14"/>
    </row>
    <row r="483" spans="2:2" x14ac:dyDescent="0.3">
      <c r="B483" s="14"/>
    </row>
    <row r="484" spans="2:2" x14ac:dyDescent="0.3">
      <c r="B484" s="14"/>
    </row>
  </sheetData>
  <autoFilter ref="H397:S429" xr:uid="{96280339-5CA8-4648-B588-E0FDB0F0A982}"/>
  <pageMargins left="0.7" right="0.7" top="0.75" bottom="0.75" header="0.3" footer="0.3"/>
  <ignoredErrors>
    <ignoredError sqref="I244:S244 I102:T119 H92 I121:T121 T120 I123:T127 T122 H26" formula="1"/>
    <ignoredError sqref="H413:H414 H417:H419 I413:S424 I428:S428" formulaRange="1"/>
  </ignoredErrors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A20548-F144-49F7-A7E6-8321C183A363}">
  <dimension ref="A1:C18"/>
  <sheetViews>
    <sheetView workbookViewId="0"/>
  </sheetViews>
  <sheetFormatPr baseColWidth="10" defaultColWidth="11.44140625" defaultRowHeight="14.4" x14ac:dyDescent="0.3"/>
  <cols>
    <col min="1" max="1" width="29.33203125" style="40" bestFit="1" customWidth="1"/>
    <col min="2" max="2" width="17.44140625" style="40" bestFit="1" customWidth="1"/>
    <col min="3" max="16384" width="11.44140625" style="40"/>
  </cols>
  <sheetData>
    <row r="1" spans="1:3" x14ac:dyDescent="0.3">
      <c r="A1" s="38" t="s">
        <v>433</v>
      </c>
      <c r="B1" s="38" t="s">
        <v>435</v>
      </c>
      <c r="C1" s="38" t="s">
        <v>436</v>
      </c>
    </row>
    <row r="2" spans="1:3" x14ac:dyDescent="0.3">
      <c r="A2" s="40" t="s">
        <v>440</v>
      </c>
      <c r="B2" s="40" t="s">
        <v>441</v>
      </c>
      <c r="C2" s="40">
        <v>1</v>
      </c>
    </row>
    <row r="3" spans="1:3" x14ac:dyDescent="0.3">
      <c r="A3" s="40" t="s">
        <v>470</v>
      </c>
      <c r="B3" s="40" t="s">
        <v>471</v>
      </c>
      <c r="C3" s="40">
        <v>2</v>
      </c>
    </row>
    <row r="4" spans="1:3" x14ac:dyDescent="0.3">
      <c r="A4" s="41" t="s">
        <v>445</v>
      </c>
      <c r="B4" s="40" t="s">
        <v>446</v>
      </c>
      <c r="C4" s="40">
        <v>3</v>
      </c>
    </row>
    <row r="5" spans="1:3" x14ac:dyDescent="0.3">
      <c r="A5" s="40" t="s">
        <v>452</v>
      </c>
      <c r="B5" s="40" t="s">
        <v>453</v>
      </c>
      <c r="C5" s="40">
        <v>4</v>
      </c>
    </row>
    <row r="6" spans="1:3" x14ac:dyDescent="0.3">
      <c r="A6" s="40" t="s">
        <v>62</v>
      </c>
      <c r="B6" s="40" t="s">
        <v>456</v>
      </c>
      <c r="C6" s="40">
        <v>5</v>
      </c>
    </row>
    <row r="7" spans="1:3" x14ac:dyDescent="0.3">
      <c r="A7" s="40" t="s">
        <v>464</v>
      </c>
      <c r="B7" s="40" t="s">
        <v>465</v>
      </c>
      <c r="C7" s="40">
        <v>6</v>
      </c>
    </row>
    <row r="8" spans="1:3" x14ac:dyDescent="0.3">
      <c r="A8" s="40" t="s">
        <v>468</v>
      </c>
      <c r="B8" s="40" t="s">
        <v>469</v>
      </c>
      <c r="C8" s="40">
        <v>7</v>
      </c>
    </row>
    <row r="9" spans="1:3" x14ac:dyDescent="0.3">
      <c r="A9" s="40" t="s">
        <v>477</v>
      </c>
      <c r="B9" s="40" t="s">
        <v>477</v>
      </c>
      <c r="C9" s="40">
        <v>8</v>
      </c>
    </row>
    <row r="10" spans="1:3" x14ac:dyDescent="0.3">
      <c r="A10" s="40" t="s">
        <v>481</v>
      </c>
      <c r="B10" s="40" t="s">
        <v>481</v>
      </c>
      <c r="C10" s="40">
        <v>9</v>
      </c>
    </row>
    <row r="11" spans="1:3" x14ac:dyDescent="0.3">
      <c r="A11" s="40" t="s">
        <v>483</v>
      </c>
      <c r="B11" s="40" t="s">
        <v>483</v>
      </c>
      <c r="C11" s="40">
        <v>10</v>
      </c>
    </row>
    <row r="12" spans="1:3" x14ac:dyDescent="0.3">
      <c r="A12" s="40" t="s">
        <v>473</v>
      </c>
      <c r="B12" s="40" t="s">
        <v>473</v>
      </c>
      <c r="C12" s="40">
        <v>11</v>
      </c>
    </row>
    <row r="13" spans="1:3" x14ac:dyDescent="0.3">
      <c r="A13" s="40" t="s">
        <v>487</v>
      </c>
      <c r="B13" s="40" t="s">
        <v>487</v>
      </c>
      <c r="C13" s="40">
        <v>14</v>
      </c>
    </row>
    <row r="14" spans="1:3" x14ac:dyDescent="0.3">
      <c r="A14" s="40" t="s">
        <v>486</v>
      </c>
      <c r="B14" s="40" t="s">
        <v>488</v>
      </c>
      <c r="C14" s="40">
        <v>15</v>
      </c>
    </row>
    <row r="15" spans="1:3" x14ac:dyDescent="0.3">
      <c r="A15" s="40" t="s">
        <v>61</v>
      </c>
      <c r="B15" s="40" t="s">
        <v>178</v>
      </c>
      <c r="C15" s="40">
        <v>16</v>
      </c>
    </row>
    <row r="16" spans="1:3" x14ac:dyDescent="0.3">
      <c r="A16" s="40" t="s">
        <v>521</v>
      </c>
      <c r="B16" s="40" t="s">
        <v>521</v>
      </c>
      <c r="C16" s="40">
        <v>19</v>
      </c>
    </row>
    <row r="17" spans="1:3" x14ac:dyDescent="0.3">
      <c r="A17" s="44" t="s">
        <v>526</v>
      </c>
      <c r="B17" s="44" t="s">
        <v>525</v>
      </c>
      <c r="C17" s="40">
        <v>20</v>
      </c>
    </row>
    <row r="18" spans="1:3" x14ac:dyDescent="0.3">
      <c r="A18" s="40" t="s">
        <v>695</v>
      </c>
      <c r="B18" s="40" t="s">
        <v>694</v>
      </c>
      <c r="C18" s="40">
        <v>21</v>
      </c>
    </row>
  </sheetData>
  <sortState xmlns:xlrd2="http://schemas.microsoft.com/office/spreadsheetml/2017/richdata2" ref="A2:C18">
    <sortCondition ref="C2:C18"/>
    <sortCondition ref="A2:A18"/>
    <sortCondition ref="B2:B18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5E3C6D-5A8A-425C-B2A6-F4B4382A0478}">
  <dimension ref="A1:K125"/>
  <sheetViews>
    <sheetView workbookViewId="0">
      <selection activeCell="F2" sqref="F2"/>
    </sheetView>
  </sheetViews>
  <sheetFormatPr baseColWidth="10" defaultRowHeight="14.4" x14ac:dyDescent="0.3"/>
  <cols>
    <col min="1" max="1" width="51.5546875" bestFit="1" customWidth="1"/>
    <col min="4" max="4" width="19.109375" style="346" bestFit="1" customWidth="1"/>
  </cols>
  <sheetData>
    <row r="1" spans="1:11" x14ac:dyDescent="0.3">
      <c r="A1" s="38" t="s">
        <v>430</v>
      </c>
      <c r="B1" s="38" t="s">
        <v>431</v>
      </c>
      <c r="C1" s="38" t="s">
        <v>432</v>
      </c>
      <c r="D1" s="340" t="s">
        <v>433</v>
      </c>
      <c r="E1" s="39" t="s">
        <v>434</v>
      </c>
      <c r="F1" s="39" t="s">
        <v>435</v>
      </c>
      <c r="G1" s="39" t="s">
        <v>436</v>
      </c>
      <c r="H1" s="39" t="s">
        <v>437</v>
      </c>
      <c r="J1" s="45" t="s">
        <v>542</v>
      </c>
      <c r="K1" s="39" t="s">
        <v>677</v>
      </c>
    </row>
    <row r="2" spans="1:11" x14ac:dyDescent="0.3">
      <c r="A2" s="40" t="str">
        <f>B2&amp;D2&amp;F2</f>
        <v>7199990001CALTLVTRITTrituración</v>
      </c>
      <c r="B2" s="41">
        <v>7199990001</v>
      </c>
      <c r="C2" s="41" t="s">
        <v>438</v>
      </c>
      <c r="D2" s="341" t="s">
        <v>439</v>
      </c>
      <c r="E2" s="40" t="s">
        <v>440</v>
      </c>
      <c r="F2" s="40" t="s">
        <v>441</v>
      </c>
      <c r="G2" s="40">
        <v>1</v>
      </c>
      <c r="H2" s="40" t="s">
        <v>2</v>
      </c>
      <c r="J2" s="42">
        <v>700000</v>
      </c>
      <c r="K2" s="40" t="s">
        <v>445</v>
      </c>
    </row>
    <row r="3" spans="1:11" x14ac:dyDescent="0.3">
      <c r="A3" s="40" t="str">
        <f t="shared" ref="A3:A66" si="0">B3&amp;D3&amp;F3</f>
        <v>7199990001ARCTLVTRITTrituración</v>
      </c>
      <c r="B3" s="41">
        <v>7199990001</v>
      </c>
      <c r="C3" s="41" t="s">
        <v>438</v>
      </c>
      <c r="D3" s="341" t="s">
        <v>442</v>
      </c>
      <c r="E3" s="40" t="s">
        <v>440</v>
      </c>
      <c r="F3" s="40" t="s">
        <v>441</v>
      </c>
      <c r="G3" s="40">
        <v>1</v>
      </c>
      <c r="H3" s="40" t="s">
        <v>3</v>
      </c>
      <c r="J3" s="42">
        <v>700001</v>
      </c>
      <c r="K3" s="40" t="s">
        <v>62</v>
      </c>
    </row>
    <row r="4" spans="1:11" x14ac:dyDescent="0.3">
      <c r="A4" s="40" t="str">
        <f t="shared" si="0"/>
        <v>7105330101CALIZATRIMolienda de  Crudo</v>
      </c>
      <c r="B4" s="41">
        <v>7105330101</v>
      </c>
      <c r="C4" s="41" t="s">
        <v>443</v>
      </c>
      <c r="D4" s="341" t="s">
        <v>444</v>
      </c>
      <c r="E4" s="40" t="s">
        <v>445</v>
      </c>
      <c r="F4" s="40" t="s">
        <v>446</v>
      </c>
      <c r="G4" s="40">
        <v>3</v>
      </c>
      <c r="H4" s="40" t="s">
        <v>2</v>
      </c>
      <c r="J4" s="42">
        <v>700002</v>
      </c>
      <c r="K4" s="40" t="s">
        <v>452</v>
      </c>
    </row>
    <row r="5" spans="1:11" x14ac:dyDescent="0.3">
      <c r="A5" s="40" t="str">
        <f t="shared" si="0"/>
        <v>7105330101MEZCPREHOMolienda de  Crudo</v>
      </c>
      <c r="B5" s="41">
        <v>7105330101</v>
      </c>
      <c r="C5" s="41" t="s">
        <v>443</v>
      </c>
      <c r="D5" s="341" t="s">
        <v>447</v>
      </c>
      <c r="E5" s="40" t="s">
        <v>445</v>
      </c>
      <c r="F5" s="40" t="s">
        <v>446</v>
      </c>
      <c r="G5" s="40">
        <v>3</v>
      </c>
      <c r="H5" s="40" t="s">
        <v>53</v>
      </c>
      <c r="J5" s="42">
        <v>700003</v>
      </c>
      <c r="K5" s="40" t="s">
        <v>464</v>
      </c>
    </row>
    <row r="6" spans="1:11" x14ac:dyDescent="0.3">
      <c r="A6" s="40" t="str">
        <f t="shared" si="0"/>
        <v>7105040101CORRHIERRMolienda de  Crudo</v>
      </c>
      <c r="B6" s="41">
        <v>7105040101</v>
      </c>
      <c r="C6" s="41" t="s">
        <v>448</v>
      </c>
      <c r="D6" s="341" t="s">
        <v>449</v>
      </c>
      <c r="E6" s="40" t="s">
        <v>445</v>
      </c>
      <c r="F6" s="40" t="s">
        <v>446</v>
      </c>
      <c r="G6" s="40">
        <v>3</v>
      </c>
      <c r="H6" s="40" t="s">
        <v>54</v>
      </c>
      <c r="J6" s="42">
        <v>700004</v>
      </c>
      <c r="K6" s="40" t="s">
        <v>481</v>
      </c>
    </row>
    <row r="7" spans="1:11" x14ac:dyDescent="0.3">
      <c r="A7" s="40" t="str">
        <f t="shared" si="0"/>
        <v>7355050103CARBITUMIMolienda de Carbón</v>
      </c>
      <c r="B7" s="41">
        <v>7355050103</v>
      </c>
      <c r="C7" s="41" t="s">
        <v>450</v>
      </c>
      <c r="D7" s="341" t="s">
        <v>451</v>
      </c>
      <c r="E7" s="40" t="s">
        <v>452</v>
      </c>
      <c r="F7" s="40" t="s">
        <v>453</v>
      </c>
      <c r="G7" s="40">
        <v>4</v>
      </c>
      <c r="H7" s="40" t="s">
        <v>454</v>
      </c>
      <c r="J7" s="42">
        <v>700005</v>
      </c>
      <c r="K7" s="40" t="s">
        <v>470</v>
      </c>
    </row>
    <row r="8" spans="1:11" x14ac:dyDescent="0.3">
      <c r="A8" s="40" t="str">
        <f t="shared" si="0"/>
        <v>7199990001CARBONMOLClinkerización</v>
      </c>
      <c r="B8" s="41">
        <v>7199990001</v>
      </c>
      <c r="C8" s="41" t="s">
        <v>438</v>
      </c>
      <c r="D8" s="341" t="s">
        <v>455</v>
      </c>
      <c r="E8" s="40" t="s">
        <v>62</v>
      </c>
      <c r="F8" s="40" t="s">
        <v>456</v>
      </c>
      <c r="G8" s="40">
        <v>5</v>
      </c>
      <c r="H8" s="40" t="s">
        <v>457</v>
      </c>
      <c r="J8" s="42">
        <v>700006</v>
      </c>
      <c r="K8" s="40" t="s">
        <v>588</v>
      </c>
    </row>
    <row r="9" spans="1:11" x14ac:dyDescent="0.3">
      <c r="A9" s="40" t="str">
        <f t="shared" si="0"/>
        <v>7199990001HARINACRUDClinkerización</v>
      </c>
      <c r="B9" s="41">
        <v>7199990001</v>
      </c>
      <c r="C9" s="41" t="s">
        <v>438</v>
      </c>
      <c r="D9" s="341" t="s">
        <v>458</v>
      </c>
      <c r="E9" s="40" t="s">
        <v>62</v>
      </c>
      <c r="F9" s="40" t="s">
        <v>456</v>
      </c>
      <c r="G9" s="40">
        <v>5</v>
      </c>
      <c r="H9" s="40" t="s">
        <v>459</v>
      </c>
      <c r="J9" s="42">
        <v>700007</v>
      </c>
      <c r="K9" s="40" t="s">
        <v>440</v>
      </c>
    </row>
    <row r="10" spans="1:11" x14ac:dyDescent="0.3">
      <c r="A10" s="40" t="str">
        <f t="shared" si="0"/>
        <v>735505010470000000034Clinkerización</v>
      </c>
      <c r="B10" s="41">
        <v>7355050104</v>
      </c>
      <c r="C10" s="41" t="s">
        <v>460</v>
      </c>
      <c r="D10" s="341">
        <v>70000000034</v>
      </c>
      <c r="E10" s="40" t="s">
        <v>62</v>
      </c>
      <c r="F10" s="40" t="s">
        <v>456</v>
      </c>
      <c r="G10" s="40">
        <v>5</v>
      </c>
      <c r="H10" s="40" t="s">
        <v>461</v>
      </c>
      <c r="J10" s="42">
        <v>700008</v>
      </c>
      <c r="K10" s="40" t="s">
        <v>589</v>
      </c>
    </row>
    <row r="11" spans="1:11" x14ac:dyDescent="0.3">
      <c r="A11" s="40" t="str">
        <f t="shared" si="0"/>
        <v>735505010570000000000Clinkerización</v>
      </c>
      <c r="B11" s="41">
        <v>7355050105</v>
      </c>
      <c r="C11" s="41" t="s">
        <v>462</v>
      </c>
      <c r="D11" s="341">
        <v>70000000000</v>
      </c>
      <c r="E11" s="40" t="s">
        <v>62</v>
      </c>
      <c r="F11" s="40" t="s">
        <v>456</v>
      </c>
      <c r="G11" s="40">
        <v>5</v>
      </c>
      <c r="H11" s="40" t="s">
        <v>461</v>
      </c>
      <c r="J11" s="42">
        <v>700070</v>
      </c>
      <c r="K11" s="44" t="s">
        <v>526</v>
      </c>
    </row>
    <row r="12" spans="1:11" x14ac:dyDescent="0.3">
      <c r="A12" s="40" t="str">
        <f t="shared" si="0"/>
        <v>7199990001CLINKER001Cemento UG</v>
      </c>
      <c r="B12" s="41">
        <v>7199990001</v>
      </c>
      <c r="C12" s="41" t="s">
        <v>438</v>
      </c>
      <c r="D12" s="341" t="s">
        <v>463</v>
      </c>
      <c r="E12" s="40" t="s">
        <v>464</v>
      </c>
      <c r="F12" s="40" t="s">
        <v>465</v>
      </c>
      <c r="G12" s="40">
        <v>6</v>
      </c>
      <c r="H12" s="40" t="s">
        <v>182</v>
      </c>
      <c r="J12" s="42">
        <v>700034</v>
      </c>
      <c r="K12" s="40" t="s">
        <v>473</v>
      </c>
    </row>
    <row r="13" spans="1:11" x14ac:dyDescent="0.3">
      <c r="A13" s="40" t="str">
        <f t="shared" si="0"/>
        <v>7105450101YESO00001Cemento UG</v>
      </c>
      <c r="B13" s="41">
        <v>7105450101</v>
      </c>
      <c r="C13" s="41" t="s">
        <v>466</v>
      </c>
      <c r="D13" s="341" t="s">
        <v>467</v>
      </c>
      <c r="E13" s="40" t="s">
        <v>464</v>
      </c>
      <c r="F13" s="40" t="s">
        <v>465</v>
      </c>
      <c r="G13" s="40">
        <v>6</v>
      </c>
      <c r="H13" s="40" t="s">
        <v>57</v>
      </c>
      <c r="J13" s="42">
        <v>700037</v>
      </c>
      <c r="K13" s="40" t="s">
        <v>480</v>
      </c>
    </row>
    <row r="14" spans="1:11" x14ac:dyDescent="0.3">
      <c r="A14" s="40" t="str">
        <f t="shared" si="0"/>
        <v>7105330101CALIZATRICemento UG</v>
      </c>
      <c r="B14" s="41">
        <v>7105330101</v>
      </c>
      <c r="C14" s="41" t="s">
        <v>443</v>
      </c>
      <c r="D14" s="341" t="s">
        <v>444</v>
      </c>
      <c r="E14" s="40" t="s">
        <v>464</v>
      </c>
      <c r="F14" s="40" t="s">
        <v>465</v>
      </c>
      <c r="G14" s="40">
        <v>6</v>
      </c>
      <c r="H14" s="40" t="s">
        <v>391</v>
      </c>
      <c r="J14" s="42">
        <v>700040</v>
      </c>
      <c r="K14" s="40" t="s">
        <v>479</v>
      </c>
    </row>
    <row r="15" spans="1:11" x14ac:dyDescent="0.3">
      <c r="A15" s="40" t="str">
        <f t="shared" si="0"/>
        <v>7199990001CLINKER001Cemento ART</v>
      </c>
      <c r="B15" s="41">
        <v>7199990001</v>
      </c>
      <c r="C15" s="41" t="s">
        <v>438</v>
      </c>
      <c r="D15" s="341" t="s">
        <v>463</v>
      </c>
      <c r="E15" s="40" t="s">
        <v>468</v>
      </c>
      <c r="F15" s="40" t="s">
        <v>469</v>
      </c>
      <c r="G15" s="40">
        <v>7</v>
      </c>
      <c r="H15" s="40" t="s">
        <v>182</v>
      </c>
      <c r="J15" s="42">
        <v>700053</v>
      </c>
      <c r="K15" s="40" t="s">
        <v>477</v>
      </c>
    </row>
    <row r="16" spans="1:11" x14ac:dyDescent="0.3">
      <c r="A16" s="40" t="str">
        <f t="shared" si="0"/>
        <v>7105450101YESO00001Cemento ART</v>
      </c>
      <c r="B16" s="41">
        <v>7105450101</v>
      </c>
      <c r="C16" s="41" t="s">
        <v>466</v>
      </c>
      <c r="D16" s="341" t="s">
        <v>467</v>
      </c>
      <c r="E16" s="40" t="s">
        <v>468</v>
      </c>
      <c r="F16" s="40" t="s">
        <v>469</v>
      </c>
      <c r="G16" s="40">
        <v>7</v>
      </c>
      <c r="H16" s="40" t="s">
        <v>57</v>
      </c>
      <c r="J16" s="42">
        <v>700055</v>
      </c>
      <c r="K16" s="40" t="s">
        <v>477</v>
      </c>
    </row>
    <row r="17" spans="1:11" x14ac:dyDescent="0.3">
      <c r="A17" s="40" t="str">
        <f t="shared" si="0"/>
        <v>7105330101CALIZATRICemento ART</v>
      </c>
      <c r="B17" s="41">
        <v>7105330101</v>
      </c>
      <c r="C17" s="41" t="s">
        <v>443</v>
      </c>
      <c r="D17" s="341" t="s">
        <v>444</v>
      </c>
      <c r="E17" s="40" t="s">
        <v>468</v>
      </c>
      <c r="F17" s="40" t="s">
        <v>469</v>
      </c>
      <c r="G17" s="40">
        <v>7</v>
      </c>
      <c r="H17" s="40" t="s">
        <v>391</v>
      </c>
      <c r="J17" s="42">
        <v>700060</v>
      </c>
      <c r="K17" s="40" t="s">
        <v>468</v>
      </c>
    </row>
    <row r="18" spans="1:11" x14ac:dyDescent="0.3">
      <c r="A18" s="40" t="str">
        <f t="shared" si="0"/>
        <v>7199990001CALTLVTRITAdiciones</v>
      </c>
      <c r="B18" s="42">
        <v>7199990001</v>
      </c>
      <c r="C18" s="42" t="s">
        <v>438</v>
      </c>
      <c r="D18" s="341" t="s">
        <v>439</v>
      </c>
      <c r="E18" s="40" t="s">
        <v>470</v>
      </c>
      <c r="F18" s="40" t="s">
        <v>471</v>
      </c>
      <c r="G18" s="40">
        <v>2</v>
      </c>
      <c r="H18" s="40" t="s">
        <v>2</v>
      </c>
      <c r="J18" s="40">
        <v>700048</v>
      </c>
      <c r="K18" s="40" t="s">
        <v>483</v>
      </c>
    </row>
    <row r="19" spans="1:11" x14ac:dyDescent="0.3">
      <c r="A19" s="40" t="str">
        <f t="shared" si="0"/>
        <v>735505010570000000000Cemento UG</v>
      </c>
      <c r="B19" s="41">
        <v>7355050105</v>
      </c>
      <c r="C19" s="41" t="s">
        <v>462</v>
      </c>
      <c r="D19" s="341">
        <v>70000000000</v>
      </c>
      <c r="E19" s="40" t="s">
        <v>62</v>
      </c>
      <c r="F19" s="40" t="s">
        <v>465</v>
      </c>
      <c r="G19" s="40">
        <v>6</v>
      </c>
      <c r="H19" s="40" t="s">
        <v>461</v>
      </c>
      <c r="J19" s="40">
        <v>700080</v>
      </c>
      <c r="K19" s="40" t="s">
        <v>487</v>
      </c>
    </row>
    <row r="20" spans="1:11" x14ac:dyDescent="0.3">
      <c r="A20" s="40" t="str">
        <f t="shared" si="0"/>
        <v>7199990001CEMENTOARTCEMENTO ART 42,5 KG</v>
      </c>
      <c r="B20" s="42">
        <v>7199990001</v>
      </c>
      <c r="C20" s="42" t="s">
        <v>438</v>
      </c>
      <c r="D20" s="342" t="s">
        <v>472</v>
      </c>
      <c r="E20" s="40" t="s">
        <v>473</v>
      </c>
      <c r="F20" s="40" t="s">
        <v>473</v>
      </c>
      <c r="G20" s="40">
        <v>11</v>
      </c>
      <c r="H20" s="40" t="s">
        <v>469</v>
      </c>
      <c r="J20" s="40">
        <v>700083</v>
      </c>
      <c r="K20" s="40" t="s">
        <v>470</v>
      </c>
    </row>
    <row r="21" spans="1:11" x14ac:dyDescent="0.3">
      <c r="A21" s="40" t="str">
        <f t="shared" si="0"/>
        <v>736005030222000000005CEMENTO ART 42,5 KG</v>
      </c>
      <c r="B21" s="42">
        <v>7360050302</v>
      </c>
      <c r="C21" s="42" t="s">
        <v>474</v>
      </c>
      <c r="D21" s="343" t="s">
        <v>475</v>
      </c>
      <c r="E21" s="40" t="s">
        <v>473</v>
      </c>
      <c r="F21" s="40" t="s">
        <v>473</v>
      </c>
      <c r="G21" s="40">
        <v>11</v>
      </c>
      <c r="H21" s="40" t="s">
        <v>413</v>
      </c>
      <c r="J21" s="40">
        <v>700036</v>
      </c>
      <c r="K21" s="40" t="s">
        <v>473</v>
      </c>
    </row>
    <row r="22" spans="1:11" x14ac:dyDescent="0.3">
      <c r="A22" s="40" t="str">
        <f t="shared" si="0"/>
        <v>7199990001CEMENTOUG1CEMENTO UG 50 KG</v>
      </c>
      <c r="B22" s="42">
        <v>7199990001</v>
      </c>
      <c r="C22" s="42" t="s">
        <v>438</v>
      </c>
      <c r="D22" s="343" t="s">
        <v>476</v>
      </c>
      <c r="E22" s="40" t="s">
        <v>477</v>
      </c>
      <c r="F22" s="40" t="s">
        <v>477</v>
      </c>
      <c r="G22" s="40">
        <v>8</v>
      </c>
      <c r="H22" s="40" t="s">
        <v>465</v>
      </c>
      <c r="J22" s="40">
        <v>700050</v>
      </c>
      <c r="K22" s="40" t="s">
        <v>483</v>
      </c>
    </row>
    <row r="23" spans="1:11" x14ac:dyDescent="0.3">
      <c r="A23" s="40" t="str">
        <f t="shared" si="0"/>
        <v>736005030222000000008CEMENTO UG 50 KG</v>
      </c>
      <c r="B23" s="42">
        <v>7360050302</v>
      </c>
      <c r="C23" s="42" t="s">
        <v>474</v>
      </c>
      <c r="D23" s="343" t="s">
        <v>478</v>
      </c>
      <c r="E23" s="40" t="s">
        <v>477</v>
      </c>
      <c r="F23" s="40" t="s">
        <v>477</v>
      </c>
      <c r="G23" s="40">
        <v>8</v>
      </c>
      <c r="H23" s="40" t="s">
        <v>413</v>
      </c>
      <c r="J23" s="40">
        <v>700052</v>
      </c>
      <c r="K23" s="40" t="s">
        <v>481</v>
      </c>
    </row>
    <row r="24" spans="1:11" x14ac:dyDescent="0.3">
      <c r="A24" s="40" t="str">
        <f t="shared" si="0"/>
        <v>7199990001CEMENTO ARTCEMENTO A GRANEL ART</v>
      </c>
      <c r="B24" s="40">
        <v>7199990001</v>
      </c>
      <c r="C24" s="42" t="s">
        <v>438</v>
      </c>
      <c r="D24" s="343" t="s">
        <v>468</v>
      </c>
      <c r="E24" s="40" t="s">
        <v>479</v>
      </c>
      <c r="F24" s="40" t="s">
        <v>479</v>
      </c>
      <c r="G24" s="40">
        <v>12</v>
      </c>
      <c r="H24" s="40" t="s">
        <v>469</v>
      </c>
      <c r="J24" s="40">
        <v>700090</v>
      </c>
      <c r="K24" s="40" t="s">
        <v>486</v>
      </c>
    </row>
    <row r="25" spans="1:11" x14ac:dyDescent="0.3">
      <c r="A25" s="40" t="str">
        <f t="shared" si="0"/>
        <v>7199990001CEMENTO ARTCEMENTO ART 50 KG</v>
      </c>
      <c r="B25" s="40">
        <v>7199990001</v>
      </c>
      <c r="C25" s="42" t="s">
        <v>438</v>
      </c>
      <c r="D25" s="343" t="s">
        <v>468</v>
      </c>
      <c r="E25" s="40" t="s">
        <v>480</v>
      </c>
      <c r="F25" s="40" t="s">
        <v>480</v>
      </c>
      <c r="G25" s="40">
        <v>13</v>
      </c>
      <c r="H25" s="40" t="s">
        <v>469</v>
      </c>
      <c r="J25" s="40">
        <v>700091</v>
      </c>
      <c r="K25" s="40" t="s">
        <v>61</v>
      </c>
    </row>
    <row r="26" spans="1:11" x14ac:dyDescent="0.3">
      <c r="A26" s="40" t="str">
        <f t="shared" si="0"/>
        <v>7199990001CEMENTOUG1CEMENTO UG 42,5 KG</v>
      </c>
      <c r="B26" s="40">
        <v>7199990001</v>
      </c>
      <c r="C26" s="40" t="s">
        <v>438</v>
      </c>
      <c r="D26" s="343" t="s">
        <v>476</v>
      </c>
      <c r="E26" s="40" t="s">
        <v>481</v>
      </c>
      <c r="F26" s="40" t="s">
        <v>481</v>
      </c>
      <c r="G26" s="40">
        <v>9</v>
      </c>
      <c r="H26" s="40" t="s">
        <v>465</v>
      </c>
      <c r="J26" s="40">
        <v>700100</v>
      </c>
      <c r="K26" s="43" t="s">
        <v>521</v>
      </c>
    </row>
    <row r="27" spans="1:11" x14ac:dyDescent="0.3">
      <c r="A27" s="40" t="str">
        <f t="shared" si="0"/>
        <v>736005030222000000004CEMENTO UG 25 KG</v>
      </c>
      <c r="B27" s="40">
        <v>7360050302</v>
      </c>
      <c r="C27" s="40" t="s">
        <v>474</v>
      </c>
      <c r="D27" s="343" t="s">
        <v>482</v>
      </c>
      <c r="E27" s="40" t="s">
        <v>483</v>
      </c>
      <c r="F27" s="40" t="s">
        <v>483</v>
      </c>
      <c r="G27" s="40">
        <v>10</v>
      </c>
      <c r="H27" s="40" t="s">
        <v>413</v>
      </c>
      <c r="J27" s="42">
        <v>700064</v>
      </c>
      <c r="K27" s="40" t="s">
        <v>61</v>
      </c>
    </row>
    <row r="28" spans="1:11" x14ac:dyDescent="0.3">
      <c r="A28" s="40" t="str">
        <f t="shared" si="0"/>
        <v>7199990001CEMENTOUG1CEMENTO UG 25 KG</v>
      </c>
      <c r="B28" s="40">
        <v>7199990001</v>
      </c>
      <c r="C28" s="40" t="s">
        <v>438</v>
      </c>
      <c r="D28" s="343" t="s">
        <v>476</v>
      </c>
      <c r="E28" s="40" t="s">
        <v>483</v>
      </c>
      <c r="F28" s="40" t="s">
        <v>483</v>
      </c>
      <c r="G28" s="40">
        <v>10</v>
      </c>
      <c r="H28" s="40" t="s">
        <v>465</v>
      </c>
      <c r="J28" s="40">
        <v>700120</v>
      </c>
      <c r="K28" s="43" t="s">
        <v>526</v>
      </c>
    </row>
    <row r="29" spans="1:11" x14ac:dyDescent="0.3">
      <c r="A29" s="40" t="str">
        <f t="shared" si="0"/>
        <v>736005030222000000006CEMENTO UG 42,5 KG</v>
      </c>
      <c r="B29" s="40">
        <v>7360050302</v>
      </c>
      <c r="C29" s="40" t="s">
        <v>474</v>
      </c>
      <c r="D29" s="343" t="s">
        <v>484</v>
      </c>
      <c r="E29" s="40" t="s">
        <v>481</v>
      </c>
      <c r="F29" s="40" t="s">
        <v>481</v>
      </c>
      <c r="G29" s="40">
        <v>9</v>
      </c>
      <c r="H29" s="40" t="s">
        <v>413</v>
      </c>
      <c r="J29" s="40">
        <v>700056</v>
      </c>
      <c r="K29" s="40" t="s">
        <v>694</v>
      </c>
    </row>
    <row r="30" spans="1:11" x14ac:dyDescent="0.3">
      <c r="A30" s="40" t="str">
        <f t="shared" si="0"/>
        <v>7495700001REGALIASAdiciones</v>
      </c>
      <c r="B30" s="40">
        <v>7495700001</v>
      </c>
      <c r="C30" s="40" t="s">
        <v>518</v>
      </c>
      <c r="D30" s="344" t="s">
        <v>783</v>
      </c>
      <c r="E30" s="40" t="s">
        <v>470</v>
      </c>
      <c r="F30" s="40" t="s">
        <v>471</v>
      </c>
      <c r="G30" s="40">
        <v>2</v>
      </c>
      <c r="H30" s="40" t="s">
        <v>485</v>
      </c>
    </row>
    <row r="31" spans="1:11" x14ac:dyDescent="0.3">
      <c r="A31" s="40" t="str">
        <f t="shared" si="0"/>
        <v>7199990001CEMENTO UG TPCEMENTO TOPEX 50 KG</v>
      </c>
      <c r="B31" s="40">
        <v>7199990001</v>
      </c>
      <c r="C31" s="40" t="s">
        <v>438</v>
      </c>
      <c r="D31" s="343" t="s">
        <v>486</v>
      </c>
      <c r="E31" s="40" t="s">
        <v>487</v>
      </c>
      <c r="F31" s="40" t="s">
        <v>487</v>
      </c>
      <c r="G31" s="40">
        <v>14</v>
      </c>
      <c r="H31" s="40" t="s">
        <v>488</v>
      </c>
    </row>
    <row r="32" spans="1:11" x14ac:dyDescent="0.3">
      <c r="A32" s="40" t="str">
        <f t="shared" si="0"/>
        <v>736005030222000000041CEMENTO TOPEX 50 KG</v>
      </c>
      <c r="B32" s="40">
        <v>7360050302</v>
      </c>
      <c r="C32" s="40" t="s">
        <v>474</v>
      </c>
      <c r="D32" s="343" t="s">
        <v>489</v>
      </c>
      <c r="E32" s="40" t="s">
        <v>487</v>
      </c>
      <c r="F32" s="40" t="s">
        <v>487</v>
      </c>
      <c r="G32" s="40">
        <v>14</v>
      </c>
      <c r="H32" s="40" t="s">
        <v>413</v>
      </c>
    </row>
    <row r="33" spans="1:8" x14ac:dyDescent="0.3">
      <c r="A33" s="40" t="str">
        <f t="shared" si="0"/>
        <v>7355250320CUERPOS MOLEDORESMolienda de  Crudo</v>
      </c>
      <c r="B33" s="40">
        <v>7355250320</v>
      </c>
      <c r="C33" s="40" t="s">
        <v>490</v>
      </c>
      <c r="D33" s="343" t="s">
        <v>790</v>
      </c>
      <c r="E33" s="40" t="s">
        <v>445</v>
      </c>
      <c r="F33" s="40" t="s">
        <v>446</v>
      </c>
      <c r="G33" s="40">
        <v>3</v>
      </c>
      <c r="H33" s="40" t="s">
        <v>491</v>
      </c>
    </row>
    <row r="34" spans="1:8" x14ac:dyDescent="0.3">
      <c r="A34" s="40" t="str">
        <f t="shared" si="0"/>
        <v>7355250321LAMINASMolienda de  Crudo</v>
      </c>
      <c r="B34" s="40">
        <v>7355250321</v>
      </c>
      <c r="C34" s="40" t="s">
        <v>490</v>
      </c>
      <c r="D34" s="344" t="s">
        <v>799</v>
      </c>
      <c r="E34" s="40" t="s">
        <v>445</v>
      </c>
      <c r="F34" s="40" t="s">
        <v>446</v>
      </c>
      <c r="G34" s="40">
        <v>3</v>
      </c>
      <c r="H34" s="40" t="s">
        <v>492</v>
      </c>
    </row>
    <row r="35" spans="1:8" x14ac:dyDescent="0.3">
      <c r="A35" s="40" t="str">
        <f t="shared" si="0"/>
        <v>7355250322ANILLOS, TAPAS Y SEPARADORESMolienda de  Crudo</v>
      </c>
      <c r="B35" s="40">
        <v>7355250322</v>
      </c>
      <c r="C35" s="40" t="s">
        <v>490</v>
      </c>
      <c r="D35" s="343" t="s">
        <v>784</v>
      </c>
      <c r="E35" s="40" t="s">
        <v>445</v>
      </c>
      <c r="F35" s="40" t="s">
        <v>446</v>
      </c>
      <c r="G35" s="40">
        <v>3</v>
      </c>
      <c r="H35" s="40" t="s">
        <v>493</v>
      </c>
    </row>
    <row r="36" spans="1:8" x14ac:dyDescent="0.3">
      <c r="A36" s="40" t="str">
        <f t="shared" si="0"/>
        <v>7355250320CUERPOS MOLEDORES Y LAMINASMolienda de Carbón</v>
      </c>
      <c r="B36" s="40">
        <v>7355250320</v>
      </c>
      <c r="C36" s="40" t="s">
        <v>490</v>
      </c>
      <c r="D36" s="343" t="s">
        <v>791</v>
      </c>
      <c r="E36" s="40" t="s">
        <v>452</v>
      </c>
      <c r="F36" s="40" t="s">
        <v>453</v>
      </c>
      <c r="G36" s="40">
        <v>4</v>
      </c>
      <c r="H36" s="40" t="s">
        <v>494</v>
      </c>
    </row>
    <row r="37" spans="1:8" x14ac:dyDescent="0.3">
      <c r="A37" s="40" t="str">
        <f t="shared" si="0"/>
        <v>7355250321DESCARGUE FINOS CARBONMolienda de Carbón</v>
      </c>
      <c r="B37" s="40">
        <v>7355250321</v>
      </c>
      <c r="C37" s="40" t="s">
        <v>490</v>
      </c>
      <c r="D37" s="343" t="s">
        <v>794</v>
      </c>
      <c r="E37" s="43" t="s">
        <v>495</v>
      </c>
      <c r="F37" s="40" t="s">
        <v>453</v>
      </c>
      <c r="G37" s="40">
        <v>4</v>
      </c>
      <c r="H37" s="40" t="s">
        <v>496</v>
      </c>
    </row>
    <row r="38" spans="1:8" x14ac:dyDescent="0.3">
      <c r="A38" s="40" t="str">
        <f t="shared" si="0"/>
        <v>7355250320DUCTOSClinkerización</v>
      </c>
      <c r="B38" s="40">
        <v>7355250320</v>
      </c>
      <c r="C38" s="40" t="s">
        <v>490</v>
      </c>
      <c r="D38" s="344" t="s">
        <v>796</v>
      </c>
      <c r="E38" s="40" t="s">
        <v>62</v>
      </c>
      <c r="F38" s="40" t="s">
        <v>456</v>
      </c>
      <c r="G38" s="40">
        <v>5</v>
      </c>
      <c r="H38" s="40" t="s">
        <v>497</v>
      </c>
    </row>
    <row r="39" spans="1:8" x14ac:dyDescent="0.3">
      <c r="A39" s="40" t="str">
        <f t="shared" si="0"/>
        <v>7355250321ENFRIADORClinkerización</v>
      </c>
      <c r="B39" s="40">
        <v>7355250321</v>
      </c>
      <c r="C39" s="40" t="s">
        <v>490</v>
      </c>
      <c r="D39" s="344" t="s">
        <v>798</v>
      </c>
      <c r="E39" s="40" t="s">
        <v>62</v>
      </c>
      <c r="F39" s="40" t="s">
        <v>456</v>
      </c>
      <c r="G39" s="40">
        <v>5</v>
      </c>
      <c r="H39" s="40" t="s">
        <v>498</v>
      </c>
    </row>
    <row r="40" spans="1:8" x14ac:dyDescent="0.3">
      <c r="A40" s="40" t="str">
        <f t="shared" si="0"/>
        <v>7355250323SELLADOClinkerización</v>
      </c>
      <c r="B40" s="40">
        <v>7355250323</v>
      </c>
      <c r="C40" s="40" t="s">
        <v>490</v>
      </c>
      <c r="D40" s="344" t="s">
        <v>804</v>
      </c>
      <c r="E40" s="40" t="s">
        <v>62</v>
      </c>
      <c r="F40" s="40" t="s">
        <v>456</v>
      </c>
      <c r="G40" s="40">
        <v>5</v>
      </c>
      <c r="H40" s="40" t="s">
        <v>499</v>
      </c>
    </row>
    <row r="41" spans="1:8" x14ac:dyDescent="0.3">
      <c r="A41" s="40" t="str">
        <f t="shared" si="0"/>
        <v>7355250324CARGUE CLINKERClinkerización</v>
      </c>
      <c r="B41" s="40">
        <v>7355250324</v>
      </c>
      <c r="C41" s="40" t="s">
        <v>490</v>
      </c>
      <c r="D41" s="343" t="s">
        <v>789</v>
      </c>
      <c r="E41" s="40" t="s">
        <v>62</v>
      </c>
      <c r="F41" s="40" t="s">
        <v>456</v>
      </c>
      <c r="G41" s="40">
        <v>5</v>
      </c>
      <c r="H41" s="40" t="s">
        <v>500</v>
      </c>
    </row>
    <row r="42" spans="1:8" x14ac:dyDescent="0.3">
      <c r="A42" s="40" t="str">
        <f t="shared" si="0"/>
        <v>7355250325CARGUE CK TOLVAClinkerización</v>
      </c>
      <c r="B42" s="40">
        <v>7355250325</v>
      </c>
      <c r="C42" s="40" t="s">
        <v>490</v>
      </c>
      <c r="D42" s="343" t="s">
        <v>788</v>
      </c>
      <c r="E42" s="40" t="s">
        <v>62</v>
      </c>
      <c r="F42" s="40" t="s">
        <v>456</v>
      </c>
      <c r="G42" s="40">
        <v>5</v>
      </c>
      <c r="H42" s="40" t="s">
        <v>501</v>
      </c>
    </row>
    <row r="43" spans="1:8" x14ac:dyDescent="0.3">
      <c r="A43" s="40" t="str">
        <f t="shared" si="0"/>
        <v>7355250322PLACASClinkerización</v>
      </c>
      <c r="B43" s="40">
        <v>7355250322</v>
      </c>
      <c r="C43" s="40" t="s">
        <v>490</v>
      </c>
      <c r="D43" s="343" t="s">
        <v>801</v>
      </c>
      <c r="E43" s="40" t="s">
        <v>62</v>
      </c>
      <c r="F43" s="40" t="s">
        <v>456</v>
      </c>
      <c r="G43" s="40">
        <v>5</v>
      </c>
      <c r="H43" s="40" t="s">
        <v>502</v>
      </c>
    </row>
    <row r="44" spans="1:8" x14ac:dyDescent="0.3">
      <c r="A44" s="40" t="str">
        <f t="shared" si="0"/>
        <v>7355300105REFRACTARIOSClinkerización</v>
      </c>
      <c r="B44" s="40">
        <v>7355300105</v>
      </c>
      <c r="C44" s="40" t="s">
        <v>490</v>
      </c>
      <c r="D44" s="344" t="s">
        <v>803</v>
      </c>
      <c r="E44" s="40" t="s">
        <v>62</v>
      </c>
      <c r="F44" s="40" t="s">
        <v>456</v>
      </c>
      <c r="G44" s="40">
        <v>5</v>
      </c>
      <c r="H44" s="40" t="s">
        <v>503</v>
      </c>
    </row>
    <row r="45" spans="1:8" x14ac:dyDescent="0.3">
      <c r="A45" s="40" t="str">
        <f t="shared" si="0"/>
        <v>7355250320PLACAS Y SEGMENTOSCemento UG</v>
      </c>
      <c r="B45" s="40">
        <v>7355250320</v>
      </c>
      <c r="C45" s="40" t="s">
        <v>490</v>
      </c>
      <c r="D45" s="344" t="s">
        <v>802</v>
      </c>
      <c r="E45" s="40" t="s">
        <v>464</v>
      </c>
      <c r="F45" s="40" t="s">
        <v>465</v>
      </c>
      <c r="G45" s="40">
        <v>6</v>
      </c>
      <c r="H45" s="40" t="s">
        <v>504</v>
      </c>
    </row>
    <row r="46" spans="1:8" x14ac:dyDescent="0.3">
      <c r="A46" s="40" t="str">
        <f t="shared" si="0"/>
        <v>7355250320PLACAS Y SEGMENTOSCemento ART</v>
      </c>
      <c r="B46" s="40">
        <v>7355250320</v>
      </c>
      <c r="C46" s="40" t="s">
        <v>490</v>
      </c>
      <c r="D46" s="344" t="s">
        <v>802</v>
      </c>
      <c r="E46" s="40" t="s">
        <v>468</v>
      </c>
      <c r="F46" s="40" t="s">
        <v>469</v>
      </c>
      <c r="G46" s="40">
        <v>7</v>
      </c>
      <c r="H46" s="40" t="s">
        <v>504</v>
      </c>
    </row>
    <row r="47" spans="1:8" x14ac:dyDescent="0.3">
      <c r="A47" s="40" t="str">
        <f t="shared" si="0"/>
        <v>7355250321DOSIFICADOR DE SALCemento UG</v>
      </c>
      <c r="B47" s="40">
        <v>7355250321</v>
      </c>
      <c r="C47" s="40" t="s">
        <v>490</v>
      </c>
      <c r="D47" s="344" t="s">
        <v>795</v>
      </c>
      <c r="E47" s="40" t="s">
        <v>464</v>
      </c>
      <c r="F47" s="40" t="s">
        <v>465</v>
      </c>
      <c r="G47" s="40">
        <v>6</v>
      </c>
      <c r="H47" s="40" t="s">
        <v>505</v>
      </c>
    </row>
    <row r="48" spans="1:8" x14ac:dyDescent="0.3">
      <c r="A48" s="40" t="str">
        <f t="shared" si="0"/>
        <v>7355250321DOSIFICADOR DE SALCemento ART</v>
      </c>
      <c r="B48" s="40">
        <v>7355250321</v>
      </c>
      <c r="C48" s="40" t="s">
        <v>490</v>
      </c>
      <c r="D48" s="344" t="s">
        <v>795</v>
      </c>
      <c r="E48" s="40" t="s">
        <v>468</v>
      </c>
      <c r="F48" s="40" t="s">
        <v>469</v>
      </c>
      <c r="G48" s="40">
        <v>7</v>
      </c>
      <c r="H48" s="40" t="s">
        <v>505</v>
      </c>
    </row>
    <row r="49" spans="1:8" x14ac:dyDescent="0.3">
      <c r="A49" s="40" t="str">
        <f t="shared" si="0"/>
        <v>7405990999CARGUECEMENTO UG 50 KG</v>
      </c>
      <c r="B49" s="40">
        <v>7405990999</v>
      </c>
      <c r="C49" s="40" t="s">
        <v>506</v>
      </c>
      <c r="D49" s="343" t="s">
        <v>812</v>
      </c>
      <c r="E49" s="40" t="s">
        <v>477</v>
      </c>
      <c r="F49" s="40" t="s">
        <v>477</v>
      </c>
      <c r="G49" s="40">
        <v>8</v>
      </c>
      <c r="H49" s="40" t="s">
        <v>507</v>
      </c>
    </row>
    <row r="50" spans="1:8" x14ac:dyDescent="0.3">
      <c r="A50" s="40" t="str">
        <f t="shared" si="0"/>
        <v>7405990999CARGUECEMENTO UG 42,5 KG</v>
      </c>
      <c r="B50" s="40">
        <v>7405990999</v>
      </c>
      <c r="C50" s="40" t="s">
        <v>506</v>
      </c>
      <c r="D50" s="343" t="s">
        <v>812</v>
      </c>
      <c r="E50" s="40" t="s">
        <v>481</v>
      </c>
      <c r="F50" s="40" t="s">
        <v>481</v>
      </c>
      <c r="G50" s="40">
        <v>9</v>
      </c>
      <c r="H50" s="40" t="s">
        <v>507</v>
      </c>
    </row>
    <row r="51" spans="1:8" x14ac:dyDescent="0.3">
      <c r="A51" s="40" t="str">
        <f t="shared" si="0"/>
        <v>7405990999CARGUECEMENTO ART 42,5 KG</v>
      </c>
      <c r="B51" s="40">
        <v>7405990999</v>
      </c>
      <c r="C51" s="40" t="s">
        <v>506</v>
      </c>
      <c r="D51" s="343" t="s">
        <v>812</v>
      </c>
      <c r="E51" s="40" t="s">
        <v>473</v>
      </c>
      <c r="F51" s="40" t="s">
        <v>473</v>
      </c>
      <c r="G51" s="40">
        <v>11</v>
      </c>
      <c r="H51" s="40" t="s">
        <v>507</v>
      </c>
    </row>
    <row r="52" spans="1:8" x14ac:dyDescent="0.3">
      <c r="A52" s="40" t="str">
        <f t="shared" si="0"/>
        <v>7405990999CARGUECEMENTO UG 25 KG</v>
      </c>
      <c r="B52" s="40">
        <v>7405990999</v>
      </c>
      <c r="C52" s="40" t="s">
        <v>506</v>
      </c>
      <c r="D52" s="343" t="s">
        <v>812</v>
      </c>
      <c r="E52" s="40" t="s">
        <v>483</v>
      </c>
      <c r="F52" s="40" t="s">
        <v>483</v>
      </c>
      <c r="G52" s="40">
        <v>10</v>
      </c>
      <c r="H52" s="40" t="s">
        <v>507</v>
      </c>
    </row>
    <row r="53" spans="1:8" x14ac:dyDescent="0.3">
      <c r="A53" s="40" t="str">
        <f t="shared" si="0"/>
        <v>7405990999CARGUECEMENTO TOPEX 50 KG</v>
      </c>
      <c r="B53" s="40">
        <v>7405990999</v>
      </c>
      <c r="C53" s="40" t="s">
        <v>506</v>
      </c>
      <c r="D53" s="343" t="s">
        <v>812</v>
      </c>
      <c r="E53" s="40" t="s">
        <v>487</v>
      </c>
      <c r="F53" s="40" t="s">
        <v>487</v>
      </c>
      <c r="G53" s="40">
        <v>14</v>
      </c>
      <c r="H53" s="40" t="s">
        <v>507</v>
      </c>
    </row>
    <row r="54" spans="1:8" x14ac:dyDescent="0.3">
      <c r="A54" s="40" t="str">
        <f t="shared" si="0"/>
        <v>719999000210000000002Adiciones</v>
      </c>
      <c r="B54" s="40">
        <v>7199990002</v>
      </c>
      <c r="C54" s="40" t="s">
        <v>508</v>
      </c>
      <c r="D54" s="342" t="s">
        <v>509</v>
      </c>
      <c r="E54" s="40" t="s">
        <v>470</v>
      </c>
      <c r="F54" s="40" t="s">
        <v>471</v>
      </c>
      <c r="G54" s="40">
        <v>2</v>
      </c>
      <c r="H54" s="40" t="s">
        <v>2</v>
      </c>
    </row>
    <row r="55" spans="1:8" x14ac:dyDescent="0.3">
      <c r="A55" s="40" t="str">
        <f t="shared" si="0"/>
        <v>7199990002CEMARTB42CEMENTO ART 42,5 KG</v>
      </c>
      <c r="B55" s="40">
        <v>7199990002</v>
      </c>
      <c r="C55" s="40" t="s">
        <v>508</v>
      </c>
      <c r="D55" s="343" t="s">
        <v>510</v>
      </c>
      <c r="E55" s="40" t="s">
        <v>511</v>
      </c>
      <c r="F55" s="40" t="s">
        <v>473</v>
      </c>
      <c r="G55" s="40">
        <v>11</v>
      </c>
      <c r="H55" s="40" t="s">
        <v>469</v>
      </c>
    </row>
    <row r="56" spans="1:8" x14ac:dyDescent="0.3">
      <c r="A56" s="40" t="str">
        <f t="shared" si="0"/>
        <v>7199990002CEMCUGB25CEMENTO UG 25 KG</v>
      </c>
      <c r="B56" s="40">
        <v>7199990002</v>
      </c>
      <c r="C56" s="40" t="s">
        <v>508</v>
      </c>
      <c r="D56" s="343" t="s">
        <v>512</v>
      </c>
      <c r="E56" s="40" t="s">
        <v>513</v>
      </c>
      <c r="F56" s="40" t="s">
        <v>483</v>
      </c>
      <c r="G56" s="40">
        <v>10</v>
      </c>
      <c r="H56" s="40" t="s">
        <v>465</v>
      </c>
    </row>
    <row r="57" spans="1:8" x14ac:dyDescent="0.3">
      <c r="A57" s="40" t="str">
        <f t="shared" si="0"/>
        <v>7199990002CEMCUGB42CEMENTO UG 42,5 KG</v>
      </c>
      <c r="B57" s="40">
        <v>7199990002</v>
      </c>
      <c r="C57" s="40" t="s">
        <v>508</v>
      </c>
      <c r="D57" s="343" t="s">
        <v>514</v>
      </c>
      <c r="E57" s="40" t="s">
        <v>515</v>
      </c>
      <c r="F57" s="40" t="s">
        <v>481</v>
      </c>
      <c r="G57" s="40">
        <v>9</v>
      </c>
      <c r="H57" s="40" t="s">
        <v>465</v>
      </c>
    </row>
    <row r="58" spans="1:8" x14ac:dyDescent="0.3">
      <c r="A58" s="40" t="str">
        <f t="shared" si="0"/>
        <v>7199990002CEMCUGB50CEMENTO UG 50 KG</v>
      </c>
      <c r="B58" s="40">
        <v>7199990002</v>
      </c>
      <c r="C58" s="40" t="s">
        <v>508</v>
      </c>
      <c r="D58" s="343" t="s">
        <v>516</v>
      </c>
      <c r="E58" s="40" t="s">
        <v>517</v>
      </c>
      <c r="F58" s="40" t="s">
        <v>477</v>
      </c>
      <c r="G58" s="40">
        <v>8</v>
      </c>
      <c r="H58" s="40" t="s">
        <v>465</v>
      </c>
    </row>
    <row r="59" spans="1:8" x14ac:dyDescent="0.3">
      <c r="A59" s="40" t="str">
        <f t="shared" si="0"/>
        <v>7495700001REGALIASTrituración</v>
      </c>
      <c r="B59" s="40">
        <v>7495700001</v>
      </c>
      <c r="C59" s="40" t="s">
        <v>518</v>
      </c>
      <c r="D59" s="344" t="s">
        <v>783</v>
      </c>
      <c r="E59" s="40" t="s">
        <v>440</v>
      </c>
      <c r="F59" s="40" t="s">
        <v>441</v>
      </c>
      <c r="G59" s="40">
        <v>1</v>
      </c>
      <c r="H59" s="40" t="s">
        <v>485</v>
      </c>
    </row>
    <row r="60" spans="1:8" x14ac:dyDescent="0.3">
      <c r="A60" s="40" t="str">
        <f t="shared" si="0"/>
        <v>710533010110000000002Cemento UG</v>
      </c>
      <c r="B60" s="40">
        <v>7105330101</v>
      </c>
      <c r="C60" s="40" t="s">
        <v>508</v>
      </c>
      <c r="D60" s="342" t="s">
        <v>509</v>
      </c>
      <c r="E60" s="40" t="s">
        <v>470</v>
      </c>
      <c r="F60" s="40" t="s">
        <v>465</v>
      </c>
      <c r="G60" s="40">
        <v>6</v>
      </c>
      <c r="H60" s="40" t="s">
        <v>391</v>
      </c>
    </row>
    <row r="61" spans="1:8" x14ac:dyDescent="0.3">
      <c r="A61" s="40" t="str">
        <f t="shared" si="0"/>
        <v>7105330101SALMARCemento ART</v>
      </c>
      <c r="B61" s="41">
        <v>7105330101</v>
      </c>
      <c r="C61" s="41" t="s">
        <v>443</v>
      </c>
      <c r="D61" s="341" t="s">
        <v>519</v>
      </c>
      <c r="E61" s="40" t="s">
        <v>468</v>
      </c>
      <c r="F61" s="40" t="s">
        <v>469</v>
      </c>
      <c r="G61" s="40">
        <v>7</v>
      </c>
      <c r="H61" s="40" t="s">
        <v>32</v>
      </c>
    </row>
    <row r="62" spans="1:8" x14ac:dyDescent="0.3">
      <c r="A62" s="40" t="str">
        <f t="shared" si="0"/>
        <v>7199990001CLINKER001Cemento UG TP</v>
      </c>
      <c r="B62" s="41">
        <v>7199990001</v>
      </c>
      <c r="C62" s="41" t="s">
        <v>438</v>
      </c>
      <c r="D62" s="341" t="s">
        <v>463</v>
      </c>
      <c r="E62" s="40" t="s">
        <v>486</v>
      </c>
      <c r="F62" s="40" t="s">
        <v>488</v>
      </c>
      <c r="G62" s="40">
        <v>15</v>
      </c>
      <c r="H62" s="40" t="s">
        <v>182</v>
      </c>
    </row>
    <row r="63" spans="1:8" x14ac:dyDescent="0.3">
      <c r="A63" s="40" t="str">
        <f t="shared" si="0"/>
        <v>7105450101YESO00001Cemento UG TP</v>
      </c>
      <c r="B63" s="41">
        <v>7105450101</v>
      </c>
      <c r="C63" s="41" t="s">
        <v>466</v>
      </c>
      <c r="D63" s="341" t="s">
        <v>467</v>
      </c>
      <c r="E63" s="40" t="s">
        <v>486</v>
      </c>
      <c r="F63" s="40" t="s">
        <v>488</v>
      </c>
      <c r="G63" s="40">
        <v>15</v>
      </c>
      <c r="H63" s="40" t="s">
        <v>57</v>
      </c>
    </row>
    <row r="64" spans="1:8" x14ac:dyDescent="0.3">
      <c r="A64" s="40" t="str">
        <f t="shared" si="0"/>
        <v>7105330101CALIZATRICemento UG TP</v>
      </c>
      <c r="B64" s="41">
        <v>7105330101</v>
      </c>
      <c r="C64" s="41" t="s">
        <v>443</v>
      </c>
      <c r="D64" s="341" t="s">
        <v>444</v>
      </c>
      <c r="E64" s="40" t="s">
        <v>486</v>
      </c>
      <c r="F64" s="40" t="s">
        <v>488</v>
      </c>
      <c r="G64" s="40">
        <v>15</v>
      </c>
      <c r="H64" s="40" t="s">
        <v>391</v>
      </c>
    </row>
    <row r="65" spans="1:8" x14ac:dyDescent="0.3">
      <c r="A65" s="40" t="str">
        <f t="shared" si="0"/>
        <v>7105330101SALMARCemento UG TP</v>
      </c>
      <c r="B65" s="41">
        <v>7105330101</v>
      </c>
      <c r="C65" s="41" t="s">
        <v>443</v>
      </c>
      <c r="D65" s="341" t="s">
        <v>519</v>
      </c>
      <c r="E65" s="40" t="s">
        <v>486</v>
      </c>
      <c r="F65" s="40" t="s">
        <v>488</v>
      </c>
      <c r="G65" s="40">
        <v>15</v>
      </c>
      <c r="H65" s="40" t="s">
        <v>32</v>
      </c>
    </row>
    <row r="66" spans="1:8" x14ac:dyDescent="0.3">
      <c r="A66" s="40" t="str">
        <f t="shared" si="0"/>
        <v>7355250320PLACAS Y SEGMENTOSCemento UG TP</v>
      </c>
      <c r="B66" s="40">
        <v>7355250320</v>
      </c>
      <c r="C66" s="40" t="s">
        <v>490</v>
      </c>
      <c r="D66" s="344" t="s">
        <v>802</v>
      </c>
      <c r="E66" s="40" t="s">
        <v>486</v>
      </c>
      <c r="F66" s="40" t="s">
        <v>488</v>
      </c>
      <c r="G66" s="40">
        <v>15</v>
      </c>
      <c r="H66" s="40" t="s">
        <v>504</v>
      </c>
    </row>
    <row r="67" spans="1:8" x14ac:dyDescent="0.3">
      <c r="A67" s="40" t="str">
        <f t="shared" ref="A67:A101" si="1">B67&amp;D67&amp;F67</f>
        <v>7355250320BARRAS Y PLACASTrituración</v>
      </c>
      <c r="B67" s="40">
        <v>7355250320</v>
      </c>
      <c r="C67" s="40" t="s">
        <v>490</v>
      </c>
      <c r="D67" s="344" t="s">
        <v>785</v>
      </c>
      <c r="E67" s="40" t="s">
        <v>440</v>
      </c>
      <c r="F67" s="40" t="s">
        <v>441</v>
      </c>
      <c r="G67" s="40">
        <v>1</v>
      </c>
      <c r="H67" s="40" t="s">
        <v>520</v>
      </c>
    </row>
    <row r="68" spans="1:8" x14ac:dyDescent="0.3">
      <c r="A68" s="40" t="str">
        <f t="shared" si="1"/>
        <v>7355250320BARRAS Y PLACASAdiciones</v>
      </c>
      <c r="B68" s="40">
        <v>7355250320</v>
      </c>
      <c r="C68" s="40" t="s">
        <v>490</v>
      </c>
      <c r="D68" s="344" t="s">
        <v>785</v>
      </c>
      <c r="E68" s="40" t="s">
        <v>470</v>
      </c>
      <c r="F68" s="40" t="s">
        <v>471</v>
      </c>
      <c r="G68" s="40">
        <v>2</v>
      </c>
      <c r="H68" s="40" t="s">
        <v>520</v>
      </c>
    </row>
    <row r="69" spans="1:8" x14ac:dyDescent="0.3">
      <c r="A69" s="40" t="str">
        <f t="shared" si="1"/>
        <v>7199990001CLINKER001Fibrocemento</v>
      </c>
      <c r="B69" s="41">
        <v>7199990001</v>
      </c>
      <c r="C69" s="41" t="s">
        <v>438</v>
      </c>
      <c r="D69" s="341" t="s">
        <v>463</v>
      </c>
      <c r="E69" s="40" t="s">
        <v>61</v>
      </c>
      <c r="F69" s="40" t="s">
        <v>178</v>
      </c>
      <c r="G69" s="40">
        <v>16</v>
      </c>
      <c r="H69" s="40" t="s">
        <v>182</v>
      </c>
    </row>
    <row r="70" spans="1:8" x14ac:dyDescent="0.3">
      <c r="A70" s="40" t="str">
        <f t="shared" si="1"/>
        <v>7105330101CALIZATRIFibrocemento</v>
      </c>
      <c r="B70" s="41">
        <v>7105330101</v>
      </c>
      <c r="C70" s="41" t="s">
        <v>443</v>
      </c>
      <c r="D70" s="341" t="s">
        <v>444</v>
      </c>
      <c r="E70" s="40" t="s">
        <v>61</v>
      </c>
      <c r="F70" s="40" t="s">
        <v>178</v>
      </c>
      <c r="G70" s="40">
        <v>16</v>
      </c>
      <c r="H70" s="40" t="s">
        <v>391</v>
      </c>
    </row>
    <row r="71" spans="1:8" x14ac:dyDescent="0.3">
      <c r="A71" s="40" t="str">
        <f t="shared" si="1"/>
        <v>7105450101YESO00001Fibrocemento</v>
      </c>
      <c r="B71" s="41">
        <v>7105450101</v>
      </c>
      <c r="C71" s="41" t="s">
        <v>466</v>
      </c>
      <c r="D71" s="341" t="s">
        <v>467</v>
      </c>
      <c r="E71" s="40" t="s">
        <v>61</v>
      </c>
      <c r="F71" s="40" t="s">
        <v>178</v>
      </c>
      <c r="G71" s="40">
        <v>16</v>
      </c>
      <c r="H71" s="40" t="s">
        <v>57</v>
      </c>
    </row>
    <row r="72" spans="1:8" x14ac:dyDescent="0.3">
      <c r="A72" s="40" t="str">
        <f t="shared" si="1"/>
        <v>7355250320PLACAS Y SEGMENTOSFibrocemento</v>
      </c>
      <c r="B72" s="40">
        <v>7355250320</v>
      </c>
      <c r="C72" s="40" t="s">
        <v>490</v>
      </c>
      <c r="D72" s="344" t="s">
        <v>802</v>
      </c>
      <c r="E72" s="40" t="s">
        <v>61</v>
      </c>
      <c r="F72" s="40" t="s">
        <v>178</v>
      </c>
      <c r="G72" s="40">
        <v>16</v>
      </c>
      <c r="H72" s="40" t="s">
        <v>504</v>
      </c>
    </row>
    <row r="73" spans="1:8" x14ac:dyDescent="0.3">
      <c r="A73" s="40" t="str">
        <f t="shared" si="1"/>
        <v>735505010570000000000Cemento ART</v>
      </c>
      <c r="B73" s="41">
        <v>7355050105</v>
      </c>
      <c r="C73" s="41" t="s">
        <v>462</v>
      </c>
      <c r="D73" s="341">
        <v>70000000000</v>
      </c>
      <c r="E73" s="40" t="s">
        <v>62</v>
      </c>
      <c r="F73" s="40" t="s">
        <v>469</v>
      </c>
      <c r="G73" s="40">
        <v>7</v>
      </c>
      <c r="H73" s="40" t="s">
        <v>461</v>
      </c>
    </row>
    <row r="74" spans="1:8" x14ac:dyDescent="0.3">
      <c r="A74" s="40" t="str">
        <f t="shared" si="1"/>
        <v>735505010570000000000Cemento UG TP</v>
      </c>
      <c r="B74" s="41">
        <v>7355050105</v>
      </c>
      <c r="C74" s="41" t="s">
        <v>462</v>
      </c>
      <c r="D74" s="341">
        <v>70000000000</v>
      </c>
      <c r="E74" s="40" t="s">
        <v>62</v>
      </c>
      <c r="F74" s="40" t="s">
        <v>488</v>
      </c>
      <c r="G74" s="40">
        <v>15</v>
      </c>
      <c r="H74" s="40" t="s">
        <v>461</v>
      </c>
    </row>
    <row r="75" spans="1:8" x14ac:dyDescent="0.3">
      <c r="A75" s="40" t="str">
        <f t="shared" si="1"/>
        <v>735505010570000000000Fibrocemento</v>
      </c>
      <c r="B75" s="41">
        <v>7355050105</v>
      </c>
      <c r="C75" s="41" t="s">
        <v>462</v>
      </c>
      <c r="D75" s="341">
        <v>70000000000</v>
      </c>
      <c r="E75" s="40" t="s">
        <v>62</v>
      </c>
      <c r="F75" s="40" t="s">
        <v>178</v>
      </c>
      <c r="G75" s="40">
        <v>16</v>
      </c>
      <c r="H75" s="40" t="s">
        <v>461</v>
      </c>
    </row>
    <row r="76" spans="1:8" x14ac:dyDescent="0.3">
      <c r="A76" s="40" t="str">
        <f t="shared" si="1"/>
        <v>7105330101SALMARCemento UG</v>
      </c>
      <c r="B76" s="41">
        <v>7105330101</v>
      </c>
      <c r="C76" s="41" t="s">
        <v>443</v>
      </c>
      <c r="D76" s="341" t="s">
        <v>519</v>
      </c>
      <c r="E76" s="40" t="s">
        <v>464</v>
      </c>
      <c r="F76" s="40" t="s">
        <v>465</v>
      </c>
      <c r="G76" s="40">
        <v>9</v>
      </c>
      <c r="H76" s="40" t="s">
        <v>32</v>
      </c>
    </row>
    <row r="77" spans="1:8" x14ac:dyDescent="0.3">
      <c r="A77" s="40" t="str">
        <f t="shared" si="1"/>
        <v>7199990001CEMENTOARTCEMENTO BIG BAG 1,5 TONELADAS</v>
      </c>
      <c r="B77" s="41">
        <v>7199990001</v>
      </c>
      <c r="C77" s="43" t="s">
        <v>438</v>
      </c>
      <c r="D77" s="344" t="s">
        <v>472</v>
      </c>
      <c r="E77" s="40" t="s">
        <v>521</v>
      </c>
      <c r="F77" s="40" t="s">
        <v>521</v>
      </c>
      <c r="G77" s="40">
        <v>19</v>
      </c>
      <c r="H77" s="40" t="s">
        <v>469</v>
      </c>
    </row>
    <row r="78" spans="1:8" x14ac:dyDescent="0.3">
      <c r="A78" s="40" t="str">
        <f t="shared" si="1"/>
        <v>736005030222000000001CEMENTO BIG BAG 1,5 TONELADAS</v>
      </c>
      <c r="B78" s="42">
        <v>7360050302</v>
      </c>
      <c r="C78" s="43" t="s">
        <v>474</v>
      </c>
      <c r="D78" s="344">
        <v>22000000001</v>
      </c>
      <c r="E78" s="40" t="s">
        <v>521</v>
      </c>
      <c r="F78" s="40" t="s">
        <v>521</v>
      </c>
      <c r="G78" s="40">
        <v>19</v>
      </c>
      <c r="H78" s="40" t="s">
        <v>413</v>
      </c>
    </row>
    <row r="79" spans="1:8" x14ac:dyDescent="0.3">
      <c r="A79" s="40" t="str">
        <f t="shared" si="1"/>
        <v>7405990999CARGUECEMENTO BIG BAG 1,5 TONELADAS</v>
      </c>
      <c r="B79" s="40">
        <v>7405990999</v>
      </c>
      <c r="C79" s="40" t="s">
        <v>506</v>
      </c>
      <c r="D79" s="343" t="s">
        <v>812</v>
      </c>
      <c r="E79" s="40" t="s">
        <v>521</v>
      </c>
      <c r="F79" s="40" t="s">
        <v>521</v>
      </c>
      <c r="G79" s="40">
        <v>19</v>
      </c>
      <c r="H79" s="40" t="s">
        <v>507</v>
      </c>
    </row>
    <row r="80" spans="1:8" x14ac:dyDescent="0.3">
      <c r="A80" s="40" t="str">
        <f t="shared" si="1"/>
        <v>7105040101CALAMINA1Molienda de  Crudo</v>
      </c>
      <c r="B80" s="41">
        <v>7105040101</v>
      </c>
      <c r="C80" s="41" t="s">
        <v>448</v>
      </c>
      <c r="D80" s="341" t="s">
        <v>522</v>
      </c>
      <c r="E80" s="40" t="s">
        <v>445</v>
      </c>
      <c r="F80" s="40" t="s">
        <v>446</v>
      </c>
      <c r="G80" s="40">
        <v>3</v>
      </c>
      <c r="H80" s="40" t="s">
        <v>54</v>
      </c>
    </row>
    <row r="81" spans="1:8" x14ac:dyDescent="0.3">
      <c r="A81" s="40" t="str">
        <f t="shared" si="1"/>
        <v>7355050103CARMIXTOMolienda de Carbón</v>
      </c>
      <c r="B81" s="41">
        <v>7355050103</v>
      </c>
      <c r="C81" s="41" t="s">
        <v>450</v>
      </c>
      <c r="D81" s="341" t="s">
        <v>523</v>
      </c>
      <c r="E81" s="40" t="s">
        <v>452</v>
      </c>
      <c r="F81" s="40" t="s">
        <v>453</v>
      </c>
      <c r="G81" s="40">
        <v>4</v>
      </c>
      <c r="H81" s="40" t="s">
        <v>454</v>
      </c>
    </row>
    <row r="82" spans="1:8" x14ac:dyDescent="0.3">
      <c r="A82" s="40" t="str">
        <f t="shared" si="1"/>
        <v>7355050103FINOSCARBMolienda de Carbón</v>
      </c>
      <c r="B82" s="41">
        <v>7355050103</v>
      </c>
      <c r="C82" s="41" t="s">
        <v>450</v>
      </c>
      <c r="D82" s="341" t="s">
        <v>524</v>
      </c>
      <c r="E82" s="40" t="s">
        <v>452</v>
      </c>
      <c r="F82" s="40" t="s">
        <v>453</v>
      </c>
      <c r="G82" s="40">
        <v>4</v>
      </c>
      <c r="H82" s="40" t="s">
        <v>454</v>
      </c>
    </row>
    <row r="83" spans="1:8" x14ac:dyDescent="0.3">
      <c r="A83" s="40" t="str">
        <f t="shared" si="1"/>
        <v>7355050103Combustibles AlternosCOMBUSTIBLES ALTERNOS</v>
      </c>
      <c r="B83" s="41">
        <v>7355050103</v>
      </c>
      <c r="C83" s="41" t="s">
        <v>450</v>
      </c>
      <c r="D83" s="345" t="s">
        <v>525</v>
      </c>
      <c r="E83" s="44" t="s">
        <v>526</v>
      </c>
      <c r="F83" s="44" t="s">
        <v>526</v>
      </c>
      <c r="G83" s="40">
        <v>20</v>
      </c>
      <c r="H83" s="44" t="s">
        <v>525</v>
      </c>
    </row>
    <row r="84" spans="1:8" x14ac:dyDescent="0.3">
      <c r="A84" s="40" t="str">
        <f t="shared" si="1"/>
        <v>7105240101BIOBRIQPAPCOMBUSTIBLES ALTERNOS</v>
      </c>
      <c r="B84" s="43">
        <v>7105240101</v>
      </c>
      <c r="C84" s="43" t="s">
        <v>527</v>
      </c>
      <c r="D84" s="344" t="s">
        <v>528</v>
      </c>
      <c r="E84" s="44" t="s">
        <v>526</v>
      </c>
      <c r="F84" s="44" t="s">
        <v>526</v>
      </c>
      <c r="G84" s="40">
        <v>20</v>
      </c>
      <c r="H84" s="44" t="s">
        <v>92</v>
      </c>
    </row>
    <row r="85" spans="1:8" x14ac:dyDescent="0.3">
      <c r="A85" s="40" t="str">
        <f t="shared" si="1"/>
        <v>7105240101BIOCHIPMADCOMBUSTIBLES ALTERNOS</v>
      </c>
      <c r="B85" s="43">
        <v>7105240101</v>
      </c>
      <c r="C85" s="43" t="s">
        <v>527</v>
      </c>
      <c r="D85" s="344" t="s">
        <v>529</v>
      </c>
      <c r="E85" s="44" t="s">
        <v>526</v>
      </c>
      <c r="F85" s="44" t="s">
        <v>526</v>
      </c>
      <c r="G85" s="40">
        <v>20</v>
      </c>
      <c r="H85" s="44" t="s">
        <v>530</v>
      </c>
    </row>
    <row r="86" spans="1:8" x14ac:dyDescent="0.3">
      <c r="A86" s="40" t="str">
        <f t="shared" si="1"/>
        <v>7355050101COMBURESIDCOMBUSTIBLES ALTERNOS</v>
      </c>
      <c r="B86" s="43">
        <v>7355050101</v>
      </c>
      <c r="C86" s="43" t="s">
        <v>531</v>
      </c>
      <c r="D86" s="344" t="s">
        <v>532</v>
      </c>
      <c r="E86" s="44" t="s">
        <v>526</v>
      </c>
      <c r="F86" s="44" t="s">
        <v>526</v>
      </c>
      <c r="G86" s="40">
        <v>20</v>
      </c>
      <c r="H86" s="44" t="s">
        <v>41</v>
      </c>
    </row>
    <row r="87" spans="1:8" x14ac:dyDescent="0.3">
      <c r="A87" s="40" t="str">
        <f t="shared" si="1"/>
        <v>7355050101LLANTAPICACOMBUSTIBLES ALTERNOS</v>
      </c>
      <c r="B87" s="43">
        <v>7355050101</v>
      </c>
      <c r="C87" s="43" t="s">
        <v>531</v>
      </c>
      <c r="D87" s="344" t="s">
        <v>533</v>
      </c>
      <c r="E87" s="44" t="s">
        <v>526</v>
      </c>
      <c r="F87" s="44" t="s">
        <v>526</v>
      </c>
      <c r="G87" s="40">
        <v>20</v>
      </c>
      <c r="H87" s="44" t="s">
        <v>534</v>
      </c>
    </row>
    <row r="88" spans="1:8" x14ac:dyDescent="0.3">
      <c r="A88" s="40" t="str">
        <f t="shared" si="1"/>
        <v>7105400101ADIMOLIENCemento UG</v>
      </c>
      <c r="B88" s="40">
        <v>7105400101</v>
      </c>
      <c r="C88" s="40" t="s">
        <v>535</v>
      </c>
      <c r="D88" s="343" t="s">
        <v>536</v>
      </c>
      <c r="E88" s="40" t="s">
        <v>464</v>
      </c>
      <c r="F88" s="40" t="s">
        <v>465</v>
      </c>
      <c r="G88" s="40">
        <v>6</v>
      </c>
      <c r="H88" s="40" t="s">
        <v>537</v>
      </c>
    </row>
    <row r="89" spans="1:8" x14ac:dyDescent="0.3">
      <c r="A89" s="40" t="str">
        <f t="shared" si="1"/>
        <v>7105400101PUZOLANACemento UG</v>
      </c>
      <c r="B89" s="40">
        <v>7105400101</v>
      </c>
      <c r="C89" s="40" t="s">
        <v>535</v>
      </c>
      <c r="D89" s="343" t="s">
        <v>538</v>
      </c>
      <c r="E89" s="40" t="s">
        <v>464</v>
      </c>
      <c r="F89" s="40" t="s">
        <v>465</v>
      </c>
      <c r="G89" s="40">
        <v>6</v>
      </c>
      <c r="H89" s="40" t="s">
        <v>58</v>
      </c>
    </row>
    <row r="90" spans="1:8" x14ac:dyDescent="0.3">
      <c r="A90" s="40" t="str">
        <f t="shared" si="1"/>
        <v>7105400101CRUDOCemento UG</v>
      </c>
      <c r="B90" s="40">
        <v>7105400101</v>
      </c>
      <c r="C90" s="40" t="s">
        <v>535</v>
      </c>
      <c r="D90" s="343" t="s">
        <v>539</v>
      </c>
      <c r="E90" s="40" t="s">
        <v>464</v>
      </c>
      <c r="F90" s="40" t="s">
        <v>465</v>
      </c>
      <c r="G90" s="40">
        <v>6</v>
      </c>
      <c r="H90" s="40" t="s">
        <v>540</v>
      </c>
    </row>
    <row r="91" spans="1:8" x14ac:dyDescent="0.3">
      <c r="A91" s="40" t="str">
        <f t="shared" si="1"/>
        <v>7105400101ADIMOLIENCEMENTO ART</v>
      </c>
      <c r="B91" s="40">
        <v>7105400101</v>
      </c>
      <c r="C91" s="40" t="s">
        <v>535</v>
      </c>
      <c r="D91" s="343" t="s">
        <v>536</v>
      </c>
      <c r="E91" s="40" t="s">
        <v>468</v>
      </c>
      <c r="F91" s="40" t="s">
        <v>468</v>
      </c>
      <c r="G91" s="40">
        <v>7</v>
      </c>
      <c r="H91" s="40" t="s">
        <v>537</v>
      </c>
    </row>
    <row r="92" spans="1:8" x14ac:dyDescent="0.3">
      <c r="A92" s="40" t="str">
        <f t="shared" si="1"/>
        <v>7105400101PUZOLANACEMENTO ART</v>
      </c>
      <c r="B92" s="40">
        <v>7105400101</v>
      </c>
      <c r="C92" s="40" t="s">
        <v>535</v>
      </c>
      <c r="D92" s="343" t="s">
        <v>538</v>
      </c>
      <c r="E92" s="40" t="s">
        <v>468</v>
      </c>
      <c r="F92" s="40" t="s">
        <v>468</v>
      </c>
      <c r="G92" s="40">
        <v>7</v>
      </c>
      <c r="H92" s="40" t="s">
        <v>58</v>
      </c>
    </row>
    <row r="93" spans="1:8" x14ac:dyDescent="0.3">
      <c r="A93" s="40" t="str">
        <f t="shared" si="1"/>
        <v>7105400101CRUDOCEMENTO ART</v>
      </c>
      <c r="B93" s="40">
        <v>7105400101</v>
      </c>
      <c r="C93" s="40" t="s">
        <v>535</v>
      </c>
      <c r="D93" s="343" t="s">
        <v>539</v>
      </c>
      <c r="E93" s="40" t="s">
        <v>468</v>
      </c>
      <c r="F93" s="40" t="s">
        <v>468</v>
      </c>
      <c r="G93" s="40">
        <v>7</v>
      </c>
      <c r="H93" s="40" t="s">
        <v>540</v>
      </c>
    </row>
    <row r="94" spans="1:8" x14ac:dyDescent="0.3">
      <c r="A94" s="40" t="str">
        <f t="shared" si="1"/>
        <v>7355250321MATERIAL DIQUETrituración</v>
      </c>
      <c r="B94" s="40">
        <v>7355250321</v>
      </c>
      <c r="C94" s="40" t="s">
        <v>490</v>
      </c>
      <c r="D94" s="343" t="s">
        <v>800</v>
      </c>
      <c r="E94" s="40" t="s">
        <v>440</v>
      </c>
      <c r="F94" s="40" t="s">
        <v>441</v>
      </c>
      <c r="G94" s="40">
        <v>1</v>
      </c>
      <c r="H94" s="40" t="s">
        <v>51</v>
      </c>
    </row>
    <row r="95" spans="1:8" x14ac:dyDescent="0.3">
      <c r="A95" s="40" t="str">
        <f t="shared" si="1"/>
        <v>7355250321MATERIAL DIQUEAdiciones</v>
      </c>
      <c r="B95" s="40">
        <v>7355250321</v>
      </c>
      <c r="C95" s="40" t="s">
        <v>490</v>
      </c>
      <c r="D95" s="343" t="s">
        <v>800</v>
      </c>
      <c r="E95" s="40" t="s">
        <v>470</v>
      </c>
      <c r="F95" s="40" t="s">
        <v>471</v>
      </c>
      <c r="G95" s="40">
        <v>2</v>
      </c>
      <c r="H95" s="40" t="s">
        <v>51</v>
      </c>
    </row>
    <row r="96" spans="1:8" x14ac:dyDescent="0.3">
      <c r="A96" s="40" t="str">
        <f t="shared" si="1"/>
        <v>7355250322DESATASQUE DE CARBONMolienda de Carbón</v>
      </c>
      <c r="B96" s="40">
        <v>7355250322</v>
      </c>
      <c r="C96" s="40" t="s">
        <v>490</v>
      </c>
      <c r="D96" s="344" t="s">
        <v>792</v>
      </c>
      <c r="E96" s="43" t="s">
        <v>541</v>
      </c>
      <c r="F96" s="40" t="s">
        <v>453</v>
      </c>
      <c r="G96" s="40">
        <v>4</v>
      </c>
      <c r="H96" s="40" t="s">
        <v>123</v>
      </c>
    </row>
    <row r="97" spans="1:8" x14ac:dyDescent="0.3">
      <c r="A97" s="40" t="str">
        <f t="shared" si="1"/>
        <v>7355250321DOSIFICADOR DE SALFibrocemento</v>
      </c>
      <c r="B97" s="40">
        <v>7355250321</v>
      </c>
      <c r="C97" s="40" t="s">
        <v>490</v>
      </c>
      <c r="D97" s="344" t="s">
        <v>795</v>
      </c>
      <c r="E97" s="40" t="s">
        <v>61</v>
      </c>
      <c r="F97" s="40" t="s">
        <v>178</v>
      </c>
      <c r="G97" s="40">
        <v>16</v>
      </c>
      <c r="H97" s="40" t="s">
        <v>505</v>
      </c>
    </row>
    <row r="98" spans="1:8" x14ac:dyDescent="0.3">
      <c r="A98" s="40" t="str">
        <f t="shared" si="1"/>
        <v>7105330101SALMARFibrocemento</v>
      </c>
      <c r="B98" s="41">
        <v>7105330101</v>
      </c>
      <c r="C98" s="41" t="s">
        <v>443</v>
      </c>
      <c r="D98" s="341" t="s">
        <v>519</v>
      </c>
      <c r="E98" s="40" t="s">
        <v>61</v>
      </c>
      <c r="F98" s="40" t="s">
        <v>178</v>
      </c>
      <c r="G98" s="40">
        <v>16</v>
      </c>
      <c r="H98" s="40" t="s">
        <v>32</v>
      </c>
    </row>
    <row r="99" spans="1:8" x14ac:dyDescent="0.3">
      <c r="A99" s="40" t="str">
        <f t="shared" si="1"/>
        <v>7105400101ADIMOLIENFibrocemento</v>
      </c>
      <c r="B99" s="40">
        <v>7105400101</v>
      </c>
      <c r="C99" s="40" t="s">
        <v>535</v>
      </c>
      <c r="D99" s="343" t="s">
        <v>536</v>
      </c>
      <c r="E99" s="40" t="s">
        <v>61</v>
      </c>
      <c r="F99" s="40" t="s">
        <v>178</v>
      </c>
      <c r="G99" s="40">
        <v>16</v>
      </c>
      <c r="H99" s="40" t="s">
        <v>537</v>
      </c>
    </row>
    <row r="100" spans="1:8" x14ac:dyDescent="0.3">
      <c r="A100" s="40" t="str">
        <f t="shared" si="1"/>
        <v>7105400101PUZOLANAFibrocemento</v>
      </c>
      <c r="B100" s="40">
        <v>7105400101</v>
      </c>
      <c r="C100" s="40" t="s">
        <v>535</v>
      </c>
      <c r="D100" s="343" t="s">
        <v>538</v>
      </c>
      <c r="E100" s="40" t="s">
        <v>61</v>
      </c>
      <c r="F100" s="40" t="s">
        <v>178</v>
      </c>
      <c r="G100" s="40">
        <v>16</v>
      </c>
      <c r="H100" s="40" t="s">
        <v>58</v>
      </c>
    </row>
    <row r="101" spans="1:8" x14ac:dyDescent="0.3">
      <c r="A101" s="40" t="str">
        <f t="shared" si="1"/>
        <v>7105400101CRUDOFibrocemento</v>
      </c>
      <c r="B101" s="40">
        <v>7105400101</v>
      </c>
      <c r="C101" s="40" t="s">
        <v>535</v>
      </c>
      <c r="D101" s="343" t="s">
        <v>539</v>
      </c>
      <c r="E101" s="40" t="s">
        <v>61</v>
      </c>
      <c r="F101" s="40" t="s">
        <v>178</v>
      </c>
      <c r="G101" s="40">
        <v>16</v>
      </c>
      <c r="H101" s="40" t="s">
        <v>540</v>
      </c>
    </row>
    <row r="102" spans="1:8" x14ac:dyDescent="0.3">
      <c r="A102" s="40" t="str">
        <f t="shared" ref="A102:A120" si="2">B102&amp;D102&amp;F102</f>
        <v>7405050003ENERGIATrituración</v>
      </c>
      <c r="B102" s="41">
        <v>7405050003</v>
      </c>
      <c r="C102" s="43" t="s">
        <v>688</v>
      </c>
      <c r="D102" s="341" t="s">
        <v>797</v>
      </c>
      <c r="E102" s="40" t="s">
        <v>440</v>
      </c>
      <c r="F102" s="40" t="s">
        <v>441</v>
      </c>
      <c r="G102" s="40">
        <v>1</v>
      </c>
      <c r="H102" s="40" t="s">
        <v>267</v>
      </c>
    </row>
    <row r="103" spans="1:8" x14ac:dyDescent="0.3">
      <c r="A103" s="40" t="str">
        <f t="shared" si="2"/>
        <v>7405050003ENERGIAAdiciones</v>
      </c>
      <c r="B103" s="41">
        <v>7405050003</v>
      </c>
      <c r="C103" s="43" t="s">
        <v>688</v>
      </c>
      <c r="D103" s="341" t="s">
        <v>797</v>
      </c>
      <c r="E103" s="40" t="s">
        <v>470</v>
      </c>
      <c r="F103" s="40" t="s">
        <v>471</v>
      </c>
      <c r="G103" s="40">
        <v>2</v>
      </c>
      <c r="H103" s="40" t="s">
        <v>267</v>
      </c>
    </row>
    <row r="104" spans="1:8" x14ac:dyDescent="0.3">
      <c r="A104" s="40" t="str">
        <f t="shared" si="2"/>
        <v>7405050003ENERGIAMolienda de  Crudo</v>
      </c>
      <c r="B104" s="41">
        <v>7405050003</v>
      </c>
      <c r="C104" s="43" t="s">
        <v>688</v>
      </c>
      <c r="D104" s="341" t="s">
        <v>797</v>
      </c>
      <c r="E104" s="40" t="s">
        <v>445</v>
      </c>
      <c r="F104" s="40" t="s">
        <v>446</v>
      </c>
      <c r="G104" s="40">
        <v>3</v>
      </c>
      <c r="H104" s="40" t="s">
        <v>267</v>
      </c>
    </row>
    <row r="105" spans="1:8" x14ac:dyDescent="0.3">
      <c r="A105" s="40" t="str">
        <f t="shared" si="2"/>
        <v>7405050003ENERGIAMolienda de Carbón</v>
      </c>
      <c r="B105" s="41">
        <v>7405050003</v>
      </c>
      <c r="C105" s="43" t="s">
        <v>688</v>
      </c>
      <c r="D105" s="341" t="s">
        <v>797</v>
      </c>
      <c r="E105" s="40" t="s">
        <v>452</v>
      </c>
      <c r="F105" s="40" t="s">
        <v>453</v>
      </c>
      <c r="G105" s="40">
        <v>4</v>
      </c>
      <c r="H105" s="40" t="s">
        <v>267</v>
      </c>
    </row>
    <row r="106" spans="1:8" x14ac:dyDescent="0.3">
      <c r="A106" s="40" t="str">
        <f t="shared" si="2"/>
        <v>7405050003ENERGIAClinkerización</v>
      </c>
      <c r="B106" s="41">
        <v>7405050003</v>
      </c>
      <c r="C106" s="43" t="s">
        <v>688</v>
      </c>
      <c r="D106" s="341" t="s">
        <v>797</v>
      </c>
      <c r="E106" s="40" t="s">
        <v>62</v>
      </c>
      <c r="F106" s="40" t="s">
        <v>456</v>
      </c>
      <c r="G106" s="40">
        <v>5</v>
      </c>
      <c r="H106" s="40" t="s">
        <v>267</v>
      </c>
    </row>
    <row r="107" spans="1:8" x14ac:dyDescent="0.3">
      <c r="A107" s="40" t="str">
        <f t="shared" si="2"/>
        <v>7405050003ENERGIACemento UG</v>
      </c>
      <c r="B107" s="41">
        <v>7405050003</v>
      </c>
      <c r="C107" s="43" t="s">
        <v>688</v>
      </c>
      <c r="D107" s="341" t="s">
        <v>797</v>
      </c>
      <c r="E107" s="40" t="s">
        <v>464</v>
      </c>
      <c r="F107" s="40" t="s">
        <v>465</v>
      </c>
      <c r="G107" s="40">
        <v>6</v>
      </c>
      <c r="H107" s="40" t="s">
        <v>267</v>
      </c>
    </row>
    <row r="108" spans="1:8" x14ac:dyDescent="0.3">
      <c r="A108" s="40" t="str">
        <f t="shared" si="2"/>
        <v>7405050003ENERGIACemento ART</v>
      </c>
      <c r="B108" s="41">
        <v>7405050003</v>
      </c>
      <c r="C108" s="43" t="s">
        <v>688</v>
      </c>
      <c r="D108" s="341" t="s">
        <v>797</v>
      </c>
      <c r="E108" s="40" t="s">
        <v>468</v>
      </c>
      <c r="F108" s="40" t="s">
        <v>469</v>
      </c>
      <c r="G108" s="40">
        <v>7</v>
      </c>
      <c r="H108" s="40" t="s">
        <v>267</v>
      </c>
    </row>
    <row r="109" spans="1:8" x14ac:dyDescent="0.3">
      <c r="A109" s="40" t="str">
        <f t="shared" si="2"/>
        <v>7405050003ENERGIACEMENTO UG 50 KG</v>
      </c>
      <c r="B109" s="41">
        <v>7405050003</v>
      </c>
      <c r="C109" s="43" t="s">
        <v>688</v>
      </c>
      <c r="D109" s="341" t="s">
        <v>797</v>
      </c>
      <c r="E109" s="40" t="s">
        <v>477</v>
      </c>
      <c r="F109" s="40" t="s">
        <v>477</v>
      </c>
      <c r="G109" s="40">
        <v>8</v>
      </c>
      <c r="H109" s="40" t="s">
        <v>267</v>
      </c>
    </row>
    <row r="110" spans="1:8" x14ac:dyDescent="0.3">
      <c r="A110" s="40" t="str">
        <f t="shared" si="2"/>
        <v>7405050003ENERGIACEMENTO UG 42,5 KG</v>
      </c>
      <c r="B110" s="41">
        <v>7405050003</v>
      </c>
      <c r="C110" s="43" t="s">
        <v>688</v>
      </c>
      <c r="D110" s="341" t="s">
        <v>797</v>
      </c>
      <c r="E110" s="40" t="s">
        <v>481</v>
      </c>
      <c r="F110" s="40" t="s">
        <v>481</v>
      </c>
      <c r="G110" s="40">
        <v>9</v>
      </c>
      <c r="H110" s="40" t="s">
        <v>267</v>
      </c>
    </row>
    <row r="111" spans="1:8" x14ac:dyDescent="0.3">
      <c r="A111" s="40" t="str">
        <f t="shared" si="2"/>
        <v>7405050003ENERGIACEMENTO UG 25 KG</v>
      </c>
      <c r="B111" s="41">
        <v>7405050003</v>
      </c>
      <c r="C111" s="43" t="s">
        <v>688</v>
      </c>
      <c r="D111" s="341" t="s">
        <v>797</v>
      </c>
      <c r="E111" s="40" t="s">
        <v>483</v>
      </c>
      <c r="F111" s="40" t="s">
        <v>483</v>
      </c>
      <c r="G111" s="40">
        <v>10</v>
      </c>
      <c r="H111" s="40" t="s">
        <v>267</v>
      </c>
    </row>
    <row r="112" spans="1:8" x14ac:dyDescent="0.3">
      <c r="A112" s="40" t="str">
        <f t="shared" si="2"/>
        <v>7405050003ENERGIACEMENTO ART 42,5 KG</v>
      </c>
      <c r="B112" s="41">
        <v>7405050003</v>
      </c>
      <c r="C112" s="43" t="s">
        <v>688</v>
      </c>
      <c r="D112" s="341" t="s">
        <v>797</v>
      </c>
      <c r="E112" s="40" t="s">
        <v>473</v>
      </c>
      <c r="F112" s="40" t="s">
        <v>473</v>
      </c>
      <c r="G112" s="40">
        <v>11</v>
      </c>
      <c r="H112" s="40" t="s">
        <v>267</v>
      </c>
    </row>
    <row r="113" spans="1:8" x14ac:dyDescent="0.3">
      <c r="A113" s="40" t="str">
        <f t="shared" si="2"/>
        <v>7405050003ENERGIACEMENTO A GRANEL ART</v>
      </c>
      <c r="B113" s="41">
        <v>7405050003</v>
      </c>
      <c r="C113" s="43" t="s">
        <v>688</v>
      </c>
      <c r="D113" s="341" t="s">
        <v>797</v>
      </c>
      <c r="E113" s="40" t="s">
        <v>479</v>
      </c>
      <c r="F113" s="40" t="s">
        <v>479</v>
      </c>
      <c r="G113" s="40">
        <v>12</v>
      </c>
      <c r="H113" s="40" t="s">
        <v>267</v>
      </c>
    </row>
    <row r="114" spans="1:8" x14ac:dyDescent="0.3">
      <c r="A114" s="40" t="str">
        <f t="shared" si="2"/>
        <v>7405050003ENERGIACEMENTO ART 50 KG</v>
      </c>
      <c r="B114" s="41">
        <v>7405050003</v>
      </c>
      <c r="C114" s="43" t="s">
        <v>688</v>
      </c>
      <c r="D114" s="341" t="s">
        <v>797</v>
      </c>
      <c r="E114" s="40" t="s">
        <v>480</v>
      </c>
      <c r="F114" s="40" t="s">
        <v>480</v>
      </c>
      <c r="G114" s="40">
        <v>13</v>
      </c>
      <c r="H114" s="40" t="s">
        <v>267</v>
      </c>
    </row>
    <row r="115" spans="1:8" x14ac:dyDescent="0.3">
      <c r="A115" s="40" t="str">
        <f t="shared" si="2"/>
        <v>7405050003ENERGIACEMENTO TOPEX 50 KG</v>
      </c>
      <c r="B115" s="41">
        <v>7405050003</v>
      </c>
      <c r="C115" s="43" t="s">
        <v>688</v>
      </c>
      <c r="D115" s="341" t="s">
        <v>797</v>
      </c>
      <c r="E115" s="40" t="s">
        <v>487</v>
      </c>
      <c r="F115" s="40" t="s">
        <v>487</v>
      </c>
      <c r="G115" s="40">
        <v>14</v>
      </c>
      <c r="H115" s="40" t="s">
        <v>267</v>
      </c>
    </row>
    <row r="116" spans="1:8" x14ac:dyDescent="0.3">
      <c r="A116" s="40" t="str">
        <f t="shared" si="2"/>
        <v>7405050003ENERGIACemento UG TP</v>
      </c>
      <c r="B116" s="41">
        <v>7405050003</v>
      </c>
      <c r="C116" s="43" t="s">
        <v>688</v>
      </c>
      <c r="D116" s="341" t="s">
        <v>797</v>
      </c>
      <c r="E116" s="40" t="s">
        <v>486</v>
      </c>
      <c r="F116" s="40" t="s">
        <v>488</v>
      </c>
      <c r="G116" s="40">
        <v>15</v>
      </c>
      <c r="H116" s="40" t="s">
        <v>267</v>
      </c>
    </row>
    <row r="117" spans="1:8" x14ac:dyDescent="0.3">
      <c r="A117" s="40" t="str">
        <f t="shared" si="2"/>
        <v>7405050003ENERGIAFibrocemento</v>
      </c>
      <c r="B117" s="41">
        <v>7405050003</v>
      </c>
      <c r="C117" s="43" t="s">
        <v>688</v>
      </c>
      <c r="D117" s="341" t="s">
        <v>797</v>
      </c>
      <c r="E117" s="40" t="s">
        <v>61</v>
      </c>
      <c r="F117" s="40" t="s">
        <v>178</v>
      </c>
      <c r="G117" s="40">
        <v>16</v>
      </c>
      <c r="H117" s="40" t="s">
        <v>267</v>
      </c>
    </row>
    <row r="118" spans="1:8" x14ac:dyDescent="0.3">
      <c r="A118" s="40" t="str">
        <f t="shared" si="2"/>
        <v>7405050003ENERGIACEMENTO BIG BAG 1,5 TONELADAS</v>
      </c>
      <c r="B118" s="41">
        <v>7405050003</v>
      </c>
      <c r="C118" s="43" t="s">
        <v>688</v>
      </c>
      <c r="D118" s="341" t="s">
        <v>797</v>
      </c>
      <c r="E118" s="40" t="s">
        <v>521</v>
      </c>
      <c r="F118" s="40" t="s">
        <v>521</v>
      </c>
      <c r="G118" s="40">
        <v>19</v>
      </c>
      <c r="H118" s="40" t="s">
        <v>267</v>
      </c>
    </row>
    <row r="119" spans="1:8" x14ac:dyDescent="0.3">
      <c r="A119" s="40" t="str">
        <f t="shared" si="2"/>
        <v>7405050003ENERGIACOMBUSTIBLES ALTERNOS</v>
      </c>
      <c r="B119" s="41">
        <v>7405050003</v>
      </c>
      <c r="C119" s="43" t="s">
        <v>688</v>
      </c>
      <c r="D119" s="341" t="s">
        <v>797</v>
      </c>
      <c r="E119" s="44" t="s">
        <v>526</v>
      </c>
      <c r="F119" s="44" t="s">
        <v>526</v>
      </c>
      <c r="G119" s="40">
        <v>20</v>
      </c>
      <c r="H119" s="40" t="s">
        <v>267</v>
      </c>
    </row>
    <row r="120" spans="1:8" x14ac:dyDescent="0.3">
      <c r="A120" s="40" t="str">
        <f t="shared" si="2"/>
        <v>7405050003ENERGIACEMENTOS</v>
      </c>
      <c r="B120" s="41">
        <v>7405050003</v>
      </c>
      <c r="C120" s="43" t="s">
        <v>688</v>
      </c>
      <c r="D120" s="341" t="s">
        <v>797</v>
      </c>
      <c r="E120" s="44" t="s">
        <v>695</v>
      </c>
      <c r="F120" s="44" t="s">
        <v>695</v>
      </c>
      <c r="G120" s="40">
        <v>21</v>
      </c>
      <c r="H120" s="40" t="s">
        <v>267</v>
      </c>
    </row>
    <row r="121" spans="1:8" x14ac:dyDescent="0.3">
      <c r="A121" s="40" t="str">
        <f t="shared" ref="A121:A122" si="3">B121&amp;D121&amp;F121</f>
        <v>7355250325CARGADOR CARBONMolienda de Carbón</v>
      </c>
      <c r="B121" s="40">
        <v>7355250325</v>
      </c>
      <c r="C121" s="40" t="s">
        <v>490</v>
      </c>
      <c r="D121" s="344" t="s">
        <v>786</v>
      </c>
      <c r="E121" s="43" t="s">
        <v>495</v>
      </c>
      <c r="F121" s="40" t="s">
        <v>453</v>
      </c>
      <c r="G121" s="40">
        <v>4</v>
      </c>
      <c r="H121" s="40" t="s">
        <v>37</v>
      </c>
    </row>
    <row r="122" spans="1:8" x14ac:dyDescent="0.3">
      <c r="A122" s="40" t="str">
        <f t="shared" si="3"/>
        <v>7355250320CARGUE ALTERNOSCOMBUSTIBLES ALTERNOS</v>
      </c>
      <c r="B122" s="40">
        <v>7355250320</v>
      </c>
      <c r="C122" s="40" t="s">
        <v>490</v>
      </c>
      <c r="D122" s="343" t="s">
        <v>787</v>
      </c>
      <c r="E122" s="44" t="s">
        <v>526</v>
      </c>
      <c r="F122" s="44" t="s">
        <v>526</v>
      </c>
      <c r="G122" s="40">
        <v>20</v>
      </c>
      <c r="H122" s="40" t="s">
        <v>691</v>
      </c>
    </row>
    <row r="123" spans="1:8" x14ac:dyDescent="0.3">
      <c r="A123" s="40" t="str">
        <f t="shared" ref="A123:A124" si="4">B123&amp;D123&amp;F123</f>
        <v>7355250321DESCARGUE ALTERNOSCOMBUSTIBLES ALTERNOS</v>
      </c>
      <c r="B123" s="40">
        <v>7355250321</v>
      </c>
      <c r="C123" s="40" t="s">
        <v>490</v>
      </c>
      <c r="D123" s="343" t="s">
        <v>793</v>
      </c>
      <c r="E123" s="44" t="s">
        <v>526</v>
      </c>
      <c r="F123" s="44" t="s">
        <v>526</v>
      </c>
      <c r="G123" s="40">
        <v>20</v>
      </c>
      <c r="H123" s="40" t="s">
        <v>692</v>
      </c>
    </row>
    <row r="124" spans="1:8" x14ac:dyDescent="0.3">
      <c r="A124" s="40" t="str">
        <f t="shared" si="4"/>
        <v>7199990002COMBALTERClinkerización</v>
      </c>
      <c r="B124" s="41">
        <v>7199990002</v>
      </c>
      <c r="C124" s="41" t="s">
        <v>438</v>
      </c>
      <c r="D124" s="341" t="s">
        <v>610</v>
      </c>
      <c r="E124" s="40" t="s">
        <v>62</v>
      </c>
      <c r="F124" s="40" t="s">
        <v>456</v>
      </c>
      <c r="G124" s="40">
        <v>5</v>
      </c>
      <c r="H124" s="40" t="s">
        <v>525</v>
      </c>
    </row>
    <row r="125" spans="1:8" x14ac:dyDescent="0.3">
      <c r="A125" s="40" t="str">
        <f>B125&amp;D125&amp;F125</f>
        <v>7105400101EMPAQUE Y GRANELCementos</v>
      </c>
      <c r="B125" s="43">
        <v>7105400101</v>
      </c>
      <c r="C125" s="43" t="s">
        <v>535</v>
      </c>
      <c r="D125" s="341" t="s">
        <v>693</v>
      </c>
      <c r="E125" s="40" t="s">
        <v>694</v>
      </c>
      <c r="F125" s="40" t="s">
        <v>694</v>
      </c>
      <c r="G125" s="40">
        <v>20</v>
      </c>
      <c r="H125" s="40" t="s">
        <v>392</v>
      </c>
    </row>
  </sheetData>
  <autoFilter ref="A1:H125" xr:uid="{1E5E3C6D-5A8A-425C-B2A6-F4B4382A0478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0431F3-47D8-4C20-A97B-C1CF78BD0EDA}">
  <dimension ref="A1:U1525"/>
  <sheetViews>
    <sheetView zoomScale="80" zoomScaleNormal="80" workbookViewId="0"/>
  </sheetViews>
  <sheetFormatPr baseColWidth="10" defaultColWidth="67.5546875" defaultRowHeight="14.4" x14ac:dyDescent="0.3"/>
  <cols>
    <col min="1" max="1" width="12.6640625" bestFit="1" customWidth="1"/>
    <col min="2" max="2" width="23.109375" bestFit="1" customWidth="1"/>
    <col min="3" max="3" width="17.6640625" bestFit="1" customWidth="1"/>
    <col min="4" max="4" width="15.5546875" style="164" bestFit="1" customWidth="1"/>
    <col min="5" max="5" width="17.6640625" bestFit="1" customWidth="1"/>
    <col min="6" max="6" width="22.77734375" bestFit="1" customWidth="1"/>
    <col min="7" max="7" width="15.21875" bestFit="1" customWidth="1"/>
    <col min="8" max="8" width="30.109375" bestFit="1" customWidth="1"/>
    <col min="9" max="9" width="6.44140625" bestFit="1" customWidth="1"/>
    <col min="10" max="10" width="22.88671875" bestFit="1" customWidth="1"/>
    <col min="11" max="11" width="8" bestFit="1" customWidth="1"/>
    <col min="12" max="12" width="7.21875" bestFit="1" customWidth="1"/>
    <col min="13" max="13" width="42.6640625" bestFit="1" customWidth="1"/>
    <col min="14" max="14" width="15.6640625" bestFit="1" customWidth="1"/>
    <col min="15" max="15" width="17.88671875" bestFit="1" customWidth="1"/>
    <col min="16" max="17" width="29.77734375" bestFit="1" customWidth="1"/>
    <col min="18" max="18" width="4.6640625" customWidth="1"/>
    <col min="19" max="19" width="55.21875" bestFit="1" customWidth="1"/>
    <col min="20" max="20" width="25" bestFit="1" customWidth="1"/>
    <col min="21" max="21" width="20" bestFit="1" customWidth="1"/>
  </cols>
  <sheetData>
    <row r="1" spans="1:21" ht="28.8" x14ac:dyDescent="0.3">
      <c r="A1" s="46" t="s">
        <v>431</v>
      </c>
      <c r="B1" s="46" t="s">
        <v>432</v>
      </c>
      <c r="C1" s="46" t="s">
        <v>543</v>
      </c>
      <c r="D1" s="165" t="s">
        <v>544</v>
      </c>
      <c r="E1" s="47" t="s">
        <v>545</v>
      </c>
      <c r="F1" s="47" t="s">
        <v>546</v>
      </c>
      <c r="G1" s="46" t="s">
        <v>547</v>
      </c>
      <c r="H1" s="47" t="s">
        <v>548</v>
      </c>
      <c r="I1" s="46" t="s">
        <v>549</v>
      </c>
      <c r="J1" s="46" t="s">
        <v>433</v>
      </c>
      <c r="K1" s="46" t="s">
        <v>542</v>
      </c>
      <c r="L1" s="46" t="s">
        <v>550</v>
      </c>
      <c r="M1" s="46" t="s">
        <v>551</v>
      </c>
      <c r="N1" s="46" t="s">
        <v>552</v>
      </c>
      <c r="O1" s="46" t="s">
        <v>553</v>
      </c>
      <c r="P1" s="48" t="s">
        <v>434</v>
      </c>
      <c r="Q1" s="48" t="s">
        <v>435</v>
      </c>
      <c r="R1" s="48" t="s">
        <v>436</v>
      </c>
      <c r="S1" s="48" t="s">
        <v>554</v>
      </c>
      <c r="T1" s="48" t="s">
        <v>52</v>
      </c>
      <c r="U1" s="43" t="s">
        <v>555</v>
      </c>
    </row>
    <row r="2" spans="1:21" x14ac:dyDescent="0.3">
      <c r="A2" s="43">
        <v>7105040101</v>
      </c>
      <c r="B2" s="43" t="s">
        <v>448</v>
      </c>
      <c r="C2" s="49">
        <f>Datos!$I$48*D2+Datos!$H$90*Base!D2</f>
        <v>881790930.50437665</v>
      </c>
      <c r="D2" s="52">
        <f>Datos!$H$263*Datos!$H$169*(1+Datos!$H$213)</f>
        <v>2931.2249999999999</v>
      </c>
      <c r="E2" s="43" t="s">
        <v>556</v>
      </c>
      <c r="F2" s="43" t="s">
        <v>557</v>
      </c>
      <c r="G2" s="43" t="s">
        <v>558</v>
      </c>
      <c r="H2" s="43" t="s">
        <v>559</v>
      </c>
      <c r="I2" s="43" t="s">
        <v>560</v>
      </c>
      <c r="J2" s="43" t="s">
        <v>449</v>
      </c>
      <c r="K2" s="43">
        <v>700000</v>
      </c>
      <c r="L2" s="43">
        <v>1</v>
      </c>
      <c r="M2" s="43" t="s">
        <v>561</v>
      </c>
      <c r="N2" s="51"/>
      <c r="O2" s="51"/>
      <c r="P2" s="43" t="str">
        <f>VLOOKUP(K2,Maestro!J:K,2,0)</f>
        <v>HARINA CRUDA</v>
      </c>
      <c r="Q2" s="43" t="str">
        <f>VLOOKUP(P2,Maestro!E:F,2,0)</f>
        <v>Molienda de  Crudo</v>
      </c>
      <c r="R2" s="43">
        <f>VLOOKUP(P2,ORD!$A:$C,3,0)</f>
        <v>3</v>
      </c>
      <c r="S2" t="str">
        <f t="shared" ref="S2" si="0">A2&amp;J2&amp;Q2</f>
        <v>7105040101CORRHIERRMolienda de  Crudo</v>
      </c>
      <c r="T2" t="str">
        <f>IFERROR(VLOOKUP(S2,Maestro!$A:$H,8,0),"Producción")</f>
        <v>Mineral de Hierro</v>
      </c>
      <c r="U2" s="43" t="s">
        <v>182</v>
      </c>
    </row>
    <row r="3" spans="1:21" x14ac:dyDescent="0.3">
      <c r="A3" s="43">
        <v>7105040101</v>
      </c>
      <c r="B3" s="43" t="s">
        <v>448</v>
      </c>
      <c r="C3" s="49">
        <f>Datos!$H$49*D3+Datos!$H$90*D3</f>
        <v>85178560.95960474</v>
      </c>
      <c r="D3" s="52">
        <f>Datos!$H$263*Datos!$H$170*(1+Datos!$H$214)</f>
        <v>499.87574999999998</v>
      </c>
      <c r="E3" s="43" t="s">
        <v>556</v>
      </c>
      <c r="F3" s="43" t="s">
        <v>557</v>
      </c>
      <c r="G3" s="43" t="s">
        <v>558</v>
      </c>
      <c r="H3" s="43" t="s">
        <v>559</v>
      </c>
      <c r="I3" s="43" t="s">
        <v>560</v>
      </c>
      <c r="J3" s="43" t="s">
        <v>522</v>
      </c>
      <c r="K3" s="43">
        <v>700000</v>
      </c>
      <c r="L3" s="43">
        <v>1</v>
      </c>
      <c r="M3" s="43" t="s">
        <v>562</v>
      </c>
      <c r="N3" s="51"/>
      <c r="O3" s="51"/>
      <c r="P3" s="43" t="str">
        <f>VLOOKUP(K3,Maestro!J:K,2,0)</f>
        <v>HARINA CRUDA</v>
      </c>
      <c r="Q3" s="43" t="str">
        <f>VLOOKUP(P3,Maestro!E:F,2,0)</f>
        <v>Molienda de  Crudo</v>
      </c>
      <c r="R3" s="43">
        <f>VLOOKUP(P3,ORD!$A:$C,3,0)</f>
        <v>3</v>
      </c>
      <c r="S3" t="str">
        <f t="shared" ref="S3:S66" si="1">A3&amp;J3&amp;Q3</f>
        <v>7105040101CALAMINA1Molienda de  Crudo</v>
      </c>
      <c r="T3" t="str">
        <f>IFERROR(VLOOKUP(S3,Maestro!$A:$H,8,0),"Producción")</f>
        <v>Mineral de Hierro</v>
      </c>
      <c r="U3" s="43" t="s">
        <v>182</v>
      </c>
    </row>
    <row r="4" spans="1:21" x14ac:dyDescent="0.3">
      <c r="A4" s="43">
        <v>7105330101</v>
      </c>
      <c r="B4" s="43" t="s">
        <v>443</v>
      </c>
      <c r="C4" s="49"/>
      <c r="D4" s="52">
        <f>Datos!$H$263*Datos!$H$168*(1+Datos!$H$210)</f>
        <v>24130.920000000002</v>
      </c>
      <c r="E4" s="43" t="s">
        <v>556</v>
      </c>
      <c r="F4" s="43" t="s">
        <v>557</v>
      </c>
      <c r="G4" s="43" t="s">
        <v>563</v>
      </c>
      <c r="H4" s="43" t="s">
        <v>564</v>
      </c>
      <c r="I4" s="43" t="s">
        <v>560</v>
      </c>
      <c r="J4" s="43" t="s">
        <v>444</v>
      </c>
      <c r="K4" s="43">
        <v>700000</v>
      </c>
      <c r="L4" s="43">
        <v>1</v>
      </c>
      <c r="M4" s="43" t="s">
        <v>565</v>
      </c>
      <c r="N4" s="51"/>
      <c r="O4" s="51"/>
      <c r="P4" s="43" t="str">
        <f>VLOOKUP(K4,Maestro!J:K,2,0)</f>
        <v>HARINA CRUDA</v>
      </c>
      <c r="Q4" s="43" t="str">
        <f>VLOOKUP(P4,Maestro!E:F,2,0)</f>
        <v>Molienda de  Crudo</v>
      </c>
      <c r="R4" s="43">
        <f>VLOOKUP(P4,ORD!$A:$C,3,0)</f>
        <v>3</v>
      </c>
      <c r="S4" t="str">
        <f t="shared" si="1"/>
        <v>7105330101CALIZATRIMolienda de  Crudo</v>
      </c>
      <c r="T4" t="str">
        <f>IFERROR(VLOOKUP(S4,Maestro!$A:$H,8,0),"Producción")</f>
        <v>Caliza</v>
      </c>
      <c r="U4" s="43" t="s">
        <v>182</v>
      </c>
    </row>
    <row r="5" spans="1:21" x14ac:dyDescent="0.3">
      <c r="A5" s="43">
        <v>7105330101</v>
      </c>
      <c r="B5" s="43" t="s">
        <v>443</v>
      </c>
      <c r="C5" s="49"/>
      <c r="D5" s="52">
        <f>Datos!$H$263*Datos!$H$167*(1+Datos!$H$212)</f>
        <v>109733.16178217823</v>
      </c>
      <c r="E5" s="43" t="s">
        <v>556</v>
      </c>
      <c r="F5" s="43" t="s">
        <v>557</v>
      </c>
      <c r="G5" s="43" t="s">
        <v>563</v>
      </c>
      <c r="H5" s="43" t="s">
        <v>564</v>
      </c>
      <c r="I5" s="43" t="s">
        <v>560</v>
      </c>
      <c r="J5" s="43" t="s">
        <v>447</v>
      </c>
      <c r="K5" s="43">
        <v>700000</v>
      </c>
      <c r="L5" s="43">
        <v>1</v>
      </c>
      <c r="M5" s="43" t="s">
        <v>440</v>
      </c>
      <c r="N5" s="51"/>
      <c r="O5" s="51"/>
      <c r="P5" s="43" t="str">
        <f>VLOOKUP(K5,Maestro!J:K,2,0)</f>
        <v>HARINA CRUDA</v>
      </c>
      <c r="Q5" s="43" t="str">
        <f>VLOOKUP(P5,Maestro!E:F,2,0)</f>
        <v>Molienda de  Crudo</v>
      </c>
      <c r="R5" s="43">
        <f>VLOOKUP(P5,ORD!$A:$C,3,0)</f>
        <v>3</v>
      </c>
      <c r="S5" t="str">
        <f t="shared" si="1"/>
        <v>7105330101MEZCPREHOMolienda de  Crudo</v>
      </c>
      <c r="T5" t="str">
        <f>IFERROR(VLOOKUP(S5,Maestro!$A:$H,8,0),"Producción")</f>
        <v>Prehomo</v>
      </c>
      <c r="U5" s="43" t="s">
        <v>182</v>
      </c>
    </row>
    <row r="6" spans="1:21" x14ac:dyDescent="0.3">
      <c r="A6" s="43">
        <v>7999999995</v>
      </c>
      <c r="B6" s="43" t="s">
        <v>566</v>
      </c>
      <c r="C6" s="49"/>
      <c r="D6" s="56">
        <f>-Datos!$H$263</f>
        <v>-132000</v>
      </c>
      <c r="E6" s="43" t="s">
        <v>556</v>
      </c>
      <c r="F6" s="43" t="s">
        <v>557</v>
      </c>
      <c r="G6" s="43" t="s">
        <v>567</v>
      </c>
      <c r="H6" s="43" t="s">
        <v>568</v>
      </c>
      <c r="I6" s="43" t="s">
        <v>560</v>
      </c>
      <c r="J6" s="43" t="s">
        <v>458</v>
      </c>
      <c r="K6" s="43">
        <v>700000</v>
      </c>
      <c r="L6" s="43">
        <v>1</v>
      </c>
      <c r="M6" s="43" t="s">
        <v>445</v>
      </c>
      <c r="N6" s="51"/>
      <c r="O6" s="51"/>
      <c r="P6" s="43" t="str">
        <f>VLOOKUP(K6,Maestro!J:K,2,0)</f>
        <v>HARINA CRUDA</v>
      </c>
      <c r="Q6" s="43" t="str">
        <f>VLOOKUP(P6,Maestro!E:F,2,0)</f>
        <v>Molienda de  Crudo</v>
      </c>
      <c r="R6" s="43">
        <f>VLOOKUP(P6,ORD!$A:$C,3,0)</f>
        <v>3</v>
      </c>
      <c r="S6" t="str">
        <f t="shared" si="1"/>
        <v>7999999995HARINACRUDMolienda de  Crudo</v>
      </c>
      <c r="T6" t="str">
        <f>IFERROR(VLOOKUP(S6,Maestro!$A:$H,8,0),"Producción")</f>
        <v>Producción</v>
      </c>
      <c r="U6" s="43" t="s">
        <v>182</v>
      </c>
    </row>
    <row r="7" spans="1:21" x14ac:dyDescent="0.3">
      <c r="A7" s="43">
        <v>7355250320</v>
      </c>
      <c r="B7" s="43" t="s">
        <v>490</v>
      </c>
      <c r="C7" s="49">
        <f>Datos!$H$112*D7</f>
        <v>22058455.411316119</v>
      </c>
      <c r="D7" s="52">
        <f>Datos!$H$263</f>
        <v>132000</v>
      </c>
      <c r="E7" s="43"/>
      <c r="F7" s="43"/>
      <c r="G7" s="43"/>
      <c r="H7" s="43"/>
      <c r="I7" s="43" t="s">
        <v>560</v>
      </c>
      <c r="J7" s="43" t="s">
        <v>790</v>
      </c>
      <c r="K7" s="43">
        <v>700000</v>
      </c>
      <c r="L7" s="43">
        <v>1</v>
      </c>
      <c r="M7" s="43" t="s">
        <v>445</v>
      </c>
      <c r="N7" s="53"/>
      <c r="O7" s="53"/>
      <c r="P7" s="43" t="str">
        <f>VLOOKUP(K7,Maestro!J:K,2,0)</f>
        <v>HARINA CRUDA</v>
      </c>
      <c r="Q7" s="43" t="str">
        <f>VLOOKUP(P7,Maestro!E:F,2,0)</f>
        <v>Molienda de  Crudo</v>
      </c>
      <c r="R7" s="43">
        <f>VLOOKUP(P7,ORD!$A:$C,3,0)</f>
        <v>3</v>
      </c>
      <c r="S7" t="str">
        <f t="shared" si="1"/>
        <v>7355250320CUERPOS MOLEDORESMolienda de  Crudo</v>
      </c>
      <c r="T7" t="str">
        <f>IFERROR(VLOOKUP(S7,Maestro!$A:$H,8,0),"Producción")</f>
        <v>Cuerpos Moledores</v>
      </c>
      <c r="U7" s="43" t="s">
        <v>182</v>
      </c>
    </row>
    <row r="8" spans="1:21" x14ac:dyDescent="0.3">
      <c r="A8" s="43">
        <v>7355250321</v>
      </c>
      <c r="B8" s="43" t="s">
        <v>490</v>
      </c>
      <c r="C8" s="49">
        <f>Datos!$H$114*D8</f>
        <v>15824544.099422434</v>
      </c>
      <c r="D8" s="52">
        <f>Datos!$H$263</f>
        <v>132000</v>
      </c>
      <c r="E8" s="43"/>
      <c r="F8" s="43"/>
      <c r="G8" s="43"/>
      <c r="H8" s="43"/>
      <c r="I8" s="43" t="s">
        <v>560</v>
      </c>
      <c r="J8" s="43" t="s">
        <v>799</v>
      </c>
      <c r="K8" s="43">
        <v>700000</v>
      </c>
      <c r="L8" s="43">
        <v>1</v>
      </c>
      <c r="M8" s="43" t="s">
        <v>445</v>
      </c>
      <c r="N8" s="53"/>
      <c r="O8" s="53"/>
      <c r="P8" s="43" t="str">
        <f>VLOOKUP(K8,Maestro!J:K,2,0)</f>
        <v>HARINA CRUDA</v>
      </c>
      <c r="Q8" s="43" t="str">
        <f>VLOOKUP(P8,Maestro!E:F,2,0)</f>
        <v>Molienda de  Crudo</v>
      </c>
      <c r="R8" s="43">
        <f>VLOOKUP(P8,ORD!$A:$C,3,0)</f>
        <v>3</v>
      </c>
      <c r="S8" t="str">
        <f t="shared" si="1"/>
        <v>7355250321LAMINASMolienda de  Crudo</v>
      </c>
      <c r="T8" t="str">
        <f>IFERROR(VLOOKUP(S8,Maestro!$A:$H,8,0),"Producción")</f>
        <v>Láminas</v>
      </c>
      <c r="U8" s="43" t="s">
        <v>182</v>
      </c>
    </row>
    <row r="9" spans="1:21" x14ac:dyDescent="0.3">
      <c r="A9" s="43">
        <v>7355250322</v>
      </c>
      <c r="B9" s="43" t="s">
        <v>490</v>
      </c>
      <c r="C9" s="49">
        <f>Datos!$H$118*D9</f>
        <v>65828937.712182</v>
      </c>
      <c r="D9" s="52">
        <f>Datos!$H$263</f>
        <v>132000</v>
      </c>
      <c r="E9" s="43"/>
      <c r="F9" s="43"/>
      <c r="G9" s="43"/>
      <c r="H9" s="43"/>
      <c r="I9" s="43" t="s">
        <v>560</v>
      </c>
      <c r="J9" s="43" t="s">
        <v>784</v>
      </c>
      <c r="K9" s="43">
        <v>700000</v>
      </c>
      <c r="L9" s="43">
        <v>1</v>
      </c>
      <c r="M9" s="43" t="s">
        <v>445</v>
      </c>
      <c r="N9" s="53"/>
      <c r="O9" s="53"/>
      <c r="P9" s="43" t="str">
        <f>VLOOKUP(K9,Maestro!J:K,2,0)</f>
        <v>HARINA CRUDA</v>
      </c>
      <c r="Q9" s="43" t="str">
        <f>VLOOKUP(P9,Maestro!E:F,2,0)</f>
        <v>Molienda de  Crudo</v>
      </c>
      <c r="R9" s="43">
        <f>VLOOKUP(P9,ORD!$A:$C,3,0)</f>
        <v>3</v>
      </c>
      <c r="S9" t="str">
        <f t="shared" si="1"/>
        <v>7355250322ANILLOS, TAPAS Y SEPARADORESMolienda de  Crudo</v>
      </c>
      <c r="T9" t="str">
        <f>IFERROR(VLOOKUP(S9,Maestro!$A:$H,8,0),"Producción")</f>
        <v>Anillos, Tapas y Separadores</v>
      </c>
      <c r="U9" s="43" t="s">
        <v>182</v>
      </c>
    </row>
    <row r="10" spans="1:21" x14ac:dyDescent="0.3">
      <c r="A10" s="43">
        <v>7105040101</v>
      </c>
      <c r="B10" s="43" t="s">
        <v>448</v>
      </c>
      <c r="C10" s="49">
        <f>Datos!$I$48*D10+Datos!$I$90*Base!D10</f>
        <v>890057674.26950729</v>
      </c>
      <c r="D10" s="52">
        <f>Datos!$I$263*Datos!$I$169*(1+Datos!$I$213)</f>
        <v>2958.9828124999999</v>
      </c>
      <c r="E10" s="43" t="s">
        <v>556</v>
      </c>
      <c r="F10" s="43" t="s">
        <v>557</v>
      </c>
      <c r="G10" s="43" t="s">
        <v>558</v>
      </c>
      <c r="H10" s="43" t="s">
        <v>559</v>
      </c>
      <c r="I10" s="43" t="s">
        <v>560</v>
      </c>
      <c r="J10" s="43" t="s">
        <v>449</v>
      </c>
      <c r="K10" s="43">
        <v>700000</v>
      </c>
      <c r="L10" s="43">
        <v>2</v>
      </c>
      <c r="M10" s="43" t="s">
        <v>561</v>
      </c>
      <c r="N10" s="51"/>
      <c r="O10" s="51"/>
      <c r="P10" s="43" t="str">
        <f>VLOOKUP(K10,Maestro!J:K,2,0)</f>
        <v>HARINA CRUDA</v>
      </c>
      <c r="Q10" s="43" t="str">
        <f>VLOOKUP(P10,Maestro!E:F,2,0)</f>
        <v>Molienda de  Crudo</v>
      </c>
      <c r="R10" s="43">
        <f>VLOOKUP(P10,ORD!$A:$C,3,0)</f>
        <v>3</v>
      </c>
      <c r="S10" t="str">
        <f t="shared" si="1"/>
        <v>7105040101CORRHIERRMolienda de  Crudo</v>
      </c>
      <c r="T10" t="str">
        <f>IFERROR(VLOOKUP(S10,Maestro!$A:$H,8,0),"Producción")</f>
        <v>Mineral de Hierro</v>
      </c>
      <c r="U10" s="43" t="s">
        <v>182</v>
      </c>
    </row>
    <row r="11" spans="1:21" x14ac:dyDescent="0.3">
      <c r="A11" s="43">
        <v>7105040101</v>
      </c>
      <c r="B11" s="43" t="s">
        <v>448</v>
      </c>
      <c r="C11" s="49">
        <f>Datos!$I$49*D11+Datos!$I$90*D11</f>
        <v>85970928.088170588</v>
      </c>
      <c r="D11" s="52">
        <f>Datos!$I$263*Datos!$I$170*(1+Datos!$I$214)</f>
        <v>504.60942187499995</v>
      </c>
      <c r="E11" s="43" t="s">
        <v>556</v>
      </c>
      <c r="F11" s="43" t="s">
        <v>557</v>
      </c>
      <c r="G11" s="43" t="s">
        <v>558</v>
      </c>
      <c r="H11" s="43" t="s">
        <v>559</v>
      </c>
      <c r="I11" s="43" t="s">
        <v>560</v>
      </c>
      <c r="J11" s="43" t="s">
        <v>522</v>
      </c>
      <c r="K11" s="43">
        <v>700000</v>
      </c>
      <c r="L11" s="43">
        <v>2</v>
      </c>
      <c r="M11" s="43" t="s">
        <v>562</v>
      </c>
      <c r="N11" s="51"/>
      <c r="O11" s="51"/>
      <c r="P11" s="43" t="str">
        <f>VLOOKUP(K11,Maestro!J:K,2,0)</f>
        <v>HARINA CRUDA</v>
      </c>
      <c r="Q11" s="43" t="str">
        <f>VLOOKUP(P11,Maestro!E:F,2,0)</f>
        <v>Molienda de  Crudo</v>
      </c>
      <c r="R11" s="43">
        <f>VLOOKUP(P11,ORD!$A:$C,3,0)</f>
        <v>3</v>
      </c>
      <c r="S11" t="str">
        <f t="shared" si="1"/>
        <v>7105040101CALAMINA1Molienda de  Crudo</v>
      </c>
      <c r="T11" t="str">
        <f>IFERROR(VLOOKUP(S11,Maestro!$A:$H,8,0),"Producción")</f>
        <v>Mineral de Hierro</v>
      </c>
      <c r="U11" s="43" t="s">
        <v>182</v>
      </c>
    </row>
    <row r="12" spans="1:21" x14ac:dyDescent="0.3">
      <c r="A12" s="43">
        <v>7105330101</v>
      </c>
      <c r="B12" s="43" t="s">
        <v>443</v>
      </c>
      <c r="C12" s="49"/>
      <c r="D12" s="56">
        <f>Datos!$I$263*Datos!$I$168*(1+Datos!$I$210)</f>
        <v>24359.432499999999</v>
      </c>
      <c r="E12" s="43" t="s">
        <v>556</v>
      </c>
      <c r="F12" s="43" t="s">
        <v>557</v>
      </c>
      <c r="G12" s="43" t="s">
        <v>563</v>
      </c>
      <c r="H12" s="43" t="s">
        <v>564</v>
      </c>
      <c r="I12" s="43" t="s">
        <v>560</v>
      </c>
      <c r="J12" s="43" t="s">
        <v>444</v>
      </c>
      <c r="K12" s="43">
        <v>700000</v>
      </c>
      <c r="L12" s="43">
        <v>2</v>
      </c>
      <c r="M12" s="43" t="s">
        <v>565</v>
      </c>
      <c r="N12" s="51"/>
      <c r="O12" s="51"/>
      <c r="P12" s="43" t="str">
        <f>VLOOKUP(K12,Maestro!J:K,2,0)</f>
        <v>HARINA CRUDA</v>
      </c>
      <c r="Q12" s="43" t="str">
        <f>VLOOKUP(P12,Maestro!E:F,2,0)</f>
        <v>Molienda de  Crudo</v>
      </c>
      <c r="R12" s="43">
        <f>VLOOKUP(P12,ORD!$A:$C,3,0)</f>
        <v>3</v>
      </c>
      <c r="S12" t="str">
        <f t="shared" si="1"/>
        <v>7105330101CALIZATRIMolienda de  Crudo</v>
      </c>
      <c r="T12" t="str">
        <f>IFERROR(VLOOKUP(S12,Maestro!$A:$H,8,0),"Producción")</f>
        <v>Caliza</v>
      </c>
      <c r="U12" s="43" t="s">
        <v>182</v>
      </c>
    </row>
    <row r="13" spans="1:21" x14ac:dyDescent="0.3">
      <c r="A13" s="43">
        <v>7105330101</v>
      </c>
      <c r="B13" s="43" t="s">
        <v>443</v>
      </c>
      <c r="C13" s="49"/>
      <c r="D13" s="52">
        <f>Datos!$I$263*Datos!$I$167*(1+Datos!$I$212)</f>
        <v>110772.30157178218</v>
      </c>
      <c r="E13" s="43" t="s">
        <v>556</v>
      </c>
      <c r="F13" s="43" t="s">
        <v>557</v>
      </c>
      <c r="G13" s="43" t="s">
        <v>563</v>
      </c>
      <c r="H13" s="43" t="s">
        <v>564</v>
      </c>
      <c r="I13" s="43" t="s">
        <v>560</v>
      </c>
      <c r="J13" s="43" t="s">
        <v>447</v>
      </c>
      <c r="K13" s="43">
        <v>700000</v>
      </c>
      <c r="L13" s="43">
        <v>2</v>
      </c>
      <c r="M13" s="43" t="s">
        <v>440</v>
      </c>
      <c r="N13" s="51"/>
      <c r="O13" s="51"/>
      <c r="P13" s="43" t="str">
        <f>VLOOKUP(K13,Maestro!J:K,2,0)</f>
        <v>HARINA CRUDA</v>
      </c>
      <c r="Q13" s="43" t="str">
        <f>VLOOKUP(P13,Maestro!E:F,2,0)</f>
        <v>Molienda de  Crudo</v>
      </c>
      <c r="R13" s="43">
        <f>VLOOKUP(P13,ORD!$A:$C,3,0)</f>
        <v>3</v>
      </c>
      <c r="S13" t="str">
        <f t="shared" si="1"/>
        <v>7105330101MEZCPREHOMolienda de  Crudo</v>
      </c>
      <c r="T13" t="str">
        <f>IFERROR(VLOOKUP(S13,Maestro!$A:$H,8,0),"Producción")</f>
        <v>Prehomo</v>
      </c>
      <c r="U13" s="43" t="s">
        <v>182</v>
      </c>
    </row>
    <row r="14" spans="1:21" x14ac:dyDescent="0.3">
      <c r="A14" s="43">
        <v>7999999995</v>
      </c>
      <c r="B14" s="43" t="s">
        <v>566</v>
      </c>
      <c r="C14" s="49"/>
      <c r="D14" s="56">
        <f>-Datos!$I$263</f>
        <v>-133250</v>
      </c>
      <c r="E14" s="43" t="s">
        <v>556</v>
      </c>
      <c r="F14" s="43" t="s">
        <v>557</v>
      </c>
      <c r="G14" s="43" t="s">
        <v>567</v>
      </c>
      <c r="H14" s="43" t="s">
        <v>568</v>
      </c>
      <c r="I14" s="43" t="s">
        <v>560</v>
      </c>
      <c r="J14" s="43" t="s">
        <v>458</v>
      </c>
      <c r="K14" s="43">
        <v>700000</v>
      </c>
      <c r="L14" s="43">
        <v>2</v>
      </c>
      <c r="M14" s="43" t="s">
        <v>445</v>
      </c>
      <c r="N14" s="51"/>
      <c r="O14" s="51"/>
      <c r="P14" s="43" t="str">
        <f>VLOOKUP(K14,Maestro!J:K,2,0)</f>
        <v>HARINA CRUDA</v>
      </c>
      <c r="Q14" s="43" t="str">
        <f>VLOOKUP(P14,Maestro!E:F,2,0)</f>
        <v>Molienda de  Crudo</v>
      </c>
      <c r="R14" s="43">
        <f>VLOOKUP(P14,ORD!$A:$C,3,0)</f>
        <v>3</v>
      </c>
      <c r="S14" t="str">
        <f t="shared" si="1"/>
        <v>7999999995HARINACRUDMolienda de  Crudo</v>
      </c>
      <c r="T14" t="str">
        <f>IFERROR(VLOOKUP(S14,Maestro!$A:$H,8,0),"Producción")</f>
        <v>Producción</v>
      </c>
      <c r="U14" s="43" t="s">
        <v>182</v>
      </c>
    </row>
    <row r="15" spans="1:21" x14ac:dyDescent="0.3">
      <c r="A15" s="43">
        <v>7355250320</v>
      </c>
      <c r="B15" s="43" t="s">
        <v>490</v>
      </c>
      <c r="C15" s="49">
        <f>Datos!$I$112*D15</f>
        <v>22267342.299680855</v>
      </c>
      <c r="D15" s="56">
        <f>Datos!$I$263</f>
        <v>133250</v>
      </c>
      <c r="E15" s="43"/>
      <c r="F15" s="43"/>
      <c r="G15" s="43"/>
      <c r="H15" s="43"/>
      <c r="I15" s="43" t="s">
        <v>560</v>
      </c>
      <c r="J15" s="43" t="s">
        <v>790</v>
      </c>
      <c r="K15" s="43">
        <v>700000</v>
      </c>
      <c r="L15" s="43">
        <v>2</v>
      </c>
      <c r="M15" s="43" t="s">
        <v>445</v>
      </c>
      <c r="N15" s="53"/>
      <c r="O15" s="53"/>
      <c r="P15" s="43" t="str">
        <f>VLOOKUP(K15,Maestro!J:K,2,0)</f>
        <v>HARINA CRUDA</v>
      </c>
      <c r="Q15" s="43" t="str">
        <f>VLOOKUP(P15,Maestro!E:F,2,0)</f>
        <v>Molienda de  Crudo</v>
      </c>
      <c r="R15" s="43">
        <f>VLOOKUP(P15,ORD!$A:$C,3,0)</f>
        <v>3</v>
      </c>
      <c r="S15" t="str">
        <f t="shared" si="1"/>
        <v>7355250320CUERPOS MOLEDORESMolienda de  Crudo</v>
      </c>
      <c r="T15" t="str">
        <f>IFERROR(VLOOKUP(S15,Maestro!$A:$H,8,0),"Producción")</f>
        <v>Cuerpos Moledores</v>
      </c>
      <c r="U15" s="43" t="s">
        <v>182</v>
      </c>
    </row>
    <row r="16" spans="1:21" x14ac:dyDescent="0.3">
      <c r="A16" s="43">
        <v>7355250321</v>
      </c>
      <c r="B16" s="43" t="s">
        <v>490</v>
      </c>
      <c r="C16" s="49">
        <f>Datos!$I$114*D16</f>
        <v>15974397.736727571</v>
      </c>
      <c r="D16" s="56">
        <f>Datos!$I$263</f>
        <v>133250</v>
      </c>
      <c r="E16" s="43"/>
      <c r="F16" s="43"/>
      <c r="G16" s="43"/>
      <c r="H16" s="43"/>
      <c r="I16" s="43" t="s">
        <v>560</v>
      </c>
      <c r="J16" s="43" t="s">
        <v>799</v>
      </c>
      <c r="K16" s="43">
        <v>700000</v>
      </c>
      <c r="L16" s="43">
        <v>2</v>
      </c>
      <c r="M16" s="43" t="s">
        <v>445</v>
      </c>
      <c r="N16" s="53"/>
      <c r="O16" s="53"/>
      <c r="P16" s="43" t="str">
        <f>VLOOKUP(K16,Maestro!J:K,2,0)</f>
        <v>HARINA CRUDA</v>
      </c>
      <c r="Q16" s="43" t="str">
        <f>VLOOKUP(P16,Maestro!E:F,2,0)</f>
        <v>Molienda de  Crudo</v>
      </c>
      <c r="R16" s="43">
        <f>VLOOKUP(P16,ORD!$A:$C,3,0)</f>
        <v>3</v>
      </c>
      <c r="S16" t="str">
        <f t="shared" si="1"/>
        <v>7355250321LAMINASMolienda de  Crudo</v>
      </c>
      <c r="T16" t="str">
        <f>IFERROR(VLOOKUP(S16,Maestro!$A:$H,8,0),"Producción")</f>
        <v>Láminas</v>
      </c>
      <c r="U16" s="43" t="s">
        <v>182</v>
      </c>
    </row>
    <row r="17" spans="1:21" x14ac:dyDescent="0.3">
      <c r="A17" s="43">
        <v>7355250322</v>
      </c>
      <c r="B17" s="43" t="s">
        <v>490</v>
      </c>
      <c r="C17" s="49">
        <f>Datos!$I$118*D17</f>
        <v>66452317.80415342</v>
      </c>
      <c r="D17" s="56">
        <f>Datos!$I$263</f>
        <v>133250</v>
      </c>
      <c r="E17" s="43"/>
      <c r="F17" s="43"/>
      <c r="G17" s="43"/>
      <c r="H17" s="43"/>
      <c r="I17" s="43" t="s">
        <v>560</v>
      </c>
      <c r="J17" s="43" t="s">
        <v>784</v>
      </c>
      <c r="K17" s="43">
        <v>700000</v>
      </c>
      <c r="L17" s="43">
        <v>2</v>
      </c>
      <c r="M17" s="43" t="s">
        <v>445</v>
      </c>
      <c r="N17" s="53"/>
      <c r="O17" s="53"/>
      <c r="P17" s="43" t="str">
        <f>VLOOKUP(K17,Maestro!J:K,2,0)</f>
        <v>HARINA CRUDA</v>
      </c>
      <c r="Q17" s="43" t="str">
        <f>VLOOKUP(P17,Maestro!E:F,2,0)</f>
        <v>Molienda de  Crudo</v>
      </c>
      <c r="R17" s="43">
        <f>VLOOKUP(P17,ORD!$A:$C,3,0)</f>
        <v>3</v>
      </c>
      <c r="S17" t="str">
        <f t="shared" si="1"/>
        <v>7355250322ANILLOS, TAPAS Y SEPARADORESMolienda de  Crudo</v>
      </c>
      <c r="T17" t="str">
        <f>IFERROR(VLOOKUP(S17,Maestro!$A:$H,8,0),"Producción")</f>
        <v>Anillos, Tapas y Separadores</v>
      </c>
      <c r="U17" s="43" t="s">
        <v>182</v>
      </c>
    </row>
    <row r="18" spans="1:21" x14ac:dyDescent="0.3">
      <c r="A18" s="43">
        <v>7105040101</v>
      </c>
      <c r="B18" s="43" t="s">
        <v>448</v>
      </c>
      <c r="C18" s="49">
        <f>Datos!$I$48*D18+Datos!$J$90*Base!D18</f>
        <v>634923941.45199394</v>
      </c>
      <c r="D18" s="52">
        <f>Datos!$J$263*Datos!$J$169*(1+Datos!$J$213)</f>
        <v>2109.59375</v>
      </c>
      <c r="E18" s="43" t="s">
        <v>556</v>
      </c>
      <c r="F18" s="43" t="s">
        <v>557</v>
      </c>
      <c r="G18" s="43" t="s">
        <v>558</v>
      </c>
      <c r="H18" s="43" t="s">
        <v>559</v>
      </c>
      <c r="I18" s="43" t="s">
        <v>560</v>
      </c>
      <c r="J18" s="43" t="s">
        <v>449</v>
      </c>
      <c r="K18" s="43">
        <v>700000</v>
      </c>
      <c r="L18" s="43">
        <v>3</v>
      </c>
      <c r="M18" s="43" t="s">
        <v>561</v>
      </c>
      <c r="N18" s="51"/>
      <c r="O18" s="51"/>
      <c r="P18" s="43" t="str">
        <f>VLOOKUP(K18,Maestro!J:K,2,0)</f>
        <v>HARINA CRUDA</v>
      </c>
      <c r="Q18" s="43" t="str">
        <f>VLOOKUP(P18,Maestro!E:F,2,0)</f>
        <v>Molienda de  Crudo</v>
      </c>
      <c r="R18" s="43">
        <f>VLOOKUP(P18,ORD!$A:$C,3,0)</f>
        <v>3</v>
      </c>
      <c r="S18" t="str">
        <f t="shared" si="1"/>
        <v>7105040101CORRHIERRMolienda de  Crudo</v>
      </c>
      <c r="T18" t="str">
        <f>IFERROR(VLOOKUP(S18,Maestro!$A:$H,8,0),"Producción")</f>
        <v>Mineral de Hierro</v>
      </c>
      <c r="U18" s="43" t="s">
        <v>182</v>
      </c>
    </row>
    <row r="19" spans="1:21" x14ac:dyDescent="0.3">
      <c r="A19" s="43">
        <v>7105040101</v>
      </c>
      <c r="B19" s="43" t="s">
        <v>448</v>
      </c>
      <c r="C19" s="49">
        <f>Datos!$J$49*D19+Datos!$J$90*D19</f>
        <v>61354199.278933033</v>
      </c>
      <c r="D19" s="52">
        <f>Datos!$J$263*Datos!$J$170*(1+Datos!$J$214)</f>
        <v>359.75906249999997</v>
      </c>
      <c r="E19" s="43" t="s">
        <v>556</v>
      </c>
      <c r="F19" s="43" t="s">
        <v>557</v>
      </c>
      <c r="G19" s="43" t="s">
        <v>558</v>
      </c>
      <c r="H19" s="43" t="s">
        <v>559</v>
      </c>
      <c r="I19" s="43" t="s">
        <v>560</v>
      </c>
      <c r="J19" s="43" t="s">
        <v>522</v>
      </c>
      <c r="K19" s="43">
        <v>700000</v>
      </c>
      <c r="L19" s="43">
        <v>3</v>
      </c>
      <c r="M19" s="43" t="s">
        <v>562</v>
      </c>
      <c r="N19" s="51"/>
      <c r="O19" s="51"/>
      <c r="P19" s="43" t="str">
        <f>VLOOKUP(K19,Maestro!J:K,2,0)</f>
        <v>HARINA CRUDA</v>
      </c>
      <c r="Q19" s="43" t="str">
        <f>VLOOKUP(P19,Maestro!E:F,2,0)</f>
        <v>Molienda de  Crudo</v>
      </c>
      <c r="R19" s="43">
        <f>VLOOKUP(P19,ORD!$A:$C,3,0)</f>
        <v>3</v>
      </c>
      <c r="S19" t="str">
        <f t="shared" si="1"/>
        <v>7105040101CALAMINA1Molienda de  Crudo</v>
      </c>
      <c r="T19" t="str">
        <f>IFERROR(VLOOKUP(S19,Maestro!$A:$H,8,0),"Producción")</f>
        <v>Mineral de Hierro</v>
      </c>
      <c r="U19" s="43" t="s">
        <v>182</v>
      </c>
    </row>
    <row r="20" spans="1:21" x14ac:dyDescent="0.3">
      <c r="A20" s="43">
        <v>7105330101</v>
      </c>
      <c r="B20" s="43" t="s">
        <v>443</v>
      </c>
      <c r="C20" s="49"/>
      <c r="D20" s="56">
        <f>Datos!$J$263*Datos!$J$168*(1+Datos!$J$210)</f>
        <v>17366.95</v>
      </c>
      <c r="E20" s="43" t="s">
        <v>556</v>
      </c>
      <c r="F20" s="43" t="s">
        <v>557</v>
      </c>
      <c r="G20" s="43" t="s">
        <v>563</v>
      </c>
      <c r="H20" s="43" t="s">
        <v>564</v>
      </c>
      <c r="I20" s="43" t="s">
        <v>560</v>
      </c>
      <c r="J20" s="43" t="s">
        <v>444</v>
      </c>
      <c r="K20" s="43">
        <v>700000</v>
      </c>
      <c r="L20" s="43">
        <v>3</v>
      </c>
      <c r="M20" s="43" t="s">
        <v>565</v>
      </c>
      <c r="N20" s="51"/>
      <c r="O20" s="51"/>
      <c r="P20" s="43" t="str">
        <f>VLOOKUP(K20,Maestro!J:K,2,0)</f>
        <v>HARINA CRUDA</v>
      </c>
      <c r="Q20" s="43" t="str">
        <f>VLOOKUP(P20,Maestro!E:F,2,0)</f>
        <v>Molienda de  Crudo</v>
      </c>
      <c r="R20" s="43">
        <f>VLOOKUP(P20,ORD!$A:$C,3,0)</f>
        <v>3</v>
      </c>
      <c r="S20" t="str">
        <f t="shared" si="1"/>
        <v>7105330101CALIZATRIMolienda de  Crudo</v>
      </c>
      <c r="T20" t="str">
        <f>IFERROR(VLOOKUP(S20,Maestro!$A:$H,8,0),"Producción")</f>
        <v>Caliza</v>
      </c>
      <c r="U20" s="43" t="s">
        <v>182</v>
      </c>
    </row>
    <row r="21" spans="1:21" x14ac:dyDescent="0.3">
      <c r="A21" s="43">
        <v>7105330101</v>
      </c>
      <c r="B21" s="43" t="s">
        <v>443</v>
      </c>
      <c r="C21" s="49"/>
      <c r="D21" s="52">
        <f>Datos!$J$263*Datos!$J$167*(1+Datos!$J$212)</f>
        <v>78974.624009900988</v>
      </c>
      <c r="E21" s="43" t="s">
        <v>556</v>
      </c>
      <c r="F21" s="43" t="s">
        <v>557</v>
      </c>
      <c r="G21" s="43" t="s">
        <v>563</v>
      </c>
      <c r="H21" s="43" t="s">
        <v>564</v>
      </c>
      <c r="I21" s="43" t="s">
        <v>560</v>
      </c>
      <c r="J21" s="43" t="s">
        <v>447</v>
      </c>
      <c r="K21" s="43">
        <v>700000</v>
      </c>
      <c r="L21" s="43">
        <v>3</v>
      </c>
      <c r="M21" s="43" t="s">
        <v>440</v>
      </c>
      <c r="N21" s="51"/>
      <c r="O21" s="51"/>
      <c r="P21" s="43" t="str">
        <f>VLOOKUP(K21,Maestro!J:K,2,0)</f>
        <v>HARINA CRUDA</v>
      </c>
      <c r="Q21" s="43" t="str">
        <f>VLOOKUP(P21,Maestro!E:F,2,0)</f>
        <v>Molienda de  Crudo</v>
      </c>
      <c r="R21" s="43">
        <f>VLOOKUP(P21,ORD!$A:$C,3,0)</f>
        <v>3</v>
      </c>
      <c r="S21" t="str">
        <f t="shared" si="1"/>
        <v>7105330101MEZCPREHOMolienda de  Crudo</v>
      </c>
      <c r="T21" t="str">
        <f>IFERROR(VLOOKUP(S21,Maestro!$A:$H,8,0),"Producción")</f>
        <v>Prehomo</v>
      </c>
      <c r="U21" s="43" t="s">
        <v>182</v>
      </c>
    </row>
    <row r="22" spans="1:21" x14ac:dyDescent="0.3">
      <c r="A22" s="43">
        <v>7999999995</v>
      </c>
      <c r="B22" s="43" t="s">
        <v>566</v>
      </c>
      <c r="C22" s="49"/>
      <c r="D22" s="56">
        <f>-Datos!$J$263</f>
        <v>-95000</v>
      </c>
      <c r="E22" s="43" t="s">
        <v>556</v>
      </c>
      <c r="F22" s="43" t="s">
        <v>557</v>
      </c>
      <c r="G22" s="43" t="s">
        <v>567</v>
      </c>
      <c r="H22" s="43" t="s">
        <v>568</v>
      </c>
      <c r="I22" s="43" t="s">
        <v>560</v>
      </c>
      <c r="J22" s="43" t="s">
        <v>458</v>
      </c>
      <c r="K22" s="43">
        <v>700000</v>
      </c>
      <c r="L22" s="43">
        <v>3</v>
      </c>
      <c r="M22" s="43" t="s">
        <v>445</v>
      </c>
      <c r="N22" s="51"/>
      <c r="O22" s="51"/>
      <c r="P22" s="43" t="str">
        <f>VLOOKUP(K22,Maestro!J:K,2,0)</f>
        <v>HARINA CRUDA</v>
      </c>
      <c r="Q22" s="43" t="str">
        <f>VLOOKUP(P22,Maestro!E:F,2,0)</f>
        <v>Molienda de  Crudo</v>
      </c>
      <c r="R22" s="43">
        <f>VLOOKUP(P22,ORD!$A:$C,3,0)</f>
        <v>3</v>
      </c>
      <c r="S22" t="str">
        <f t="shared" si="1"/>
        <v>7999999995HARINACRUDMolienda de  Crudo</v>
      </c>
      <c r="T22" t="str">
        <f>IFERROR(VLOOKUP(S22,Maestro!$A:$H,8,0),"Producción")</f>
        <v>Producción</v>
      </c>
      <c r="U22" s="43" t="s">
        <v>182</v>
      </c>
    </row>
    <row r="23" spans="1:21" x14ac:dyDescent="0.3">
      <c r="A23" s="43">
        <v>7355250320</v>
      </c>
      <c r="B23" s="43" t="s">
        <v>490</v>
      </c>
      <c r="C23" s="49">
        <f>Datos!$J$112*D23</f>
        <v>15875403.515719935</v>
      </c>
      <c r="D23" s="56">
        <f>Datos!$J$263</f>
        <v>95000</v>
      </c>
      <c r="E23" s="43"/>
      <c r="F23" s="43"/>
      <c r="G23" s="43"/>
      <c r="H23" s="43"/>
      <c r="I23" s="43" t="s">
        <v>560</v>
      </c>
      <c r="J23" s="43" t="s">
        <v>790</v>
      </c>
      <c r="K23" s="43">
        <v>700000</v>
      </c>
      <c r="L23" s="43">
        <v>3</v>
      </c>
      <c r="M23" s="43" t="s">
        <v>445</v>
      </c>
      <c r="N23" s="53"/>
      <c r="O23" s="53"/>
      <c r="P23" s="43" t="str">
        <f>VLOOKUP(K23,Maestro!J:K,2,0)</f>
        <v>HARINA CRUDA</v>
      </c>
      <c r="Q23" s="43" t="str">
        <f>VLOOKUP(P23,Maestro!E:F,2,0)</f>
        <v>Molienda de  Crudo</v>
      </c>
      <c r="R23" s="43">
        <f>VLOOKUP(P23,ORD!$A:$C,3,0)</f>
        <v>3</v>
      </c>
      <c r="S23" t="str">
        <f t="shared" si="1"/>
        <v>7355250320CUERPOS MOLEDORESMolienda de  Crudo</v>
      </c>
      <c r="T23" t="str">
        <f>IFERROR(VLOOKUP(S23,Maestro!$A:$H,8,0),"Producción")</f>
        <v>Cuerpos Moledores</v>
      </c>
      <c r="U23" s="43" t="s">
        <v>182</v>
      </c>
    </row>
    <row r="24" spans="1:21" x14ac:dyDescent="0.3">
      <c r="A24" s="43">
        <v>7355250321</v>
      </c>
      <c r="B24" s="43" t="s">
        <v>490</v>
      </c>
      <c r="C24" s="49">
        <f>Datos!$J$114*D24</f>
        <v>11388876.435190389</v>
      </c>
      <c r="D24" s="56">
        <f>Datos!$J$263</f>
        <v>95000</v>
      </c>
      <c r="E24" s="43"/>
      <c r="F24" s="43"/>
      <c r="G24" s="43"/>
      <c r="H24" s="43"/>
      <c r="I24" s="43" t="s">
        <v>560</v>
      </c>
      <c r="J24" s="43" t="s">
        <v>799</v>
      </c>
      <c r="K24" s="43">
        <v>700000</v>
      </c>
      <c r="L24" s="43">
        <v>3</v>
      </c>
      <c r="M24" s="43" t="s">
        <v>445</v>
      </c>
      <c r="N24" s="53"/>
      <c r="O24" s="53"/>
      <c r="P24" s="43" t="str">
        <f>VLOOKUP(K24,Maestro!J:K,2,0)</f>
        <v>HARINA CRUDA</v>
      </c>
      <c r="Q24" s="43" t="str">
        <f>VLOOKUP(P24,Maestro!E:F,2,0)</f>
        <v>Molienda de  Crudo</v>
      </c>
      <c r="R24" s="43">
        <f>VLOOKUP(P24,ORD!$A:$C,3,0)</f>
        <v>3</v>
      </c>
      <c r="S24" t="str">
        <f t="shared" si="1"/>
        <v>7355250321LAMINASMolienda de  Crudo</v>
      </c>
      <c r="T24" t="str">
        <f>IFERROR(VLOOKUP(S24,Maestro!$A:$H,8,0),"Producción")</f>
        <v>Láminas</v>
      </c>
      <c r="U24" s="43" t="s">
        <v>182</v>
      </c>
    </row>
    <row r="25" spans="1:21" x14ac:dyDescent="0.3">
      <c r="A25" s="43">
        <v>7355250322</v>
      </c>
      <c r="B25" s="43" t="s">
        <v>490</v>
      </c>
      <c r="C25" s="49">
        <f>Datos!$J$118*D25</f>
        <v>47376886.989827953</v>
      </c>
      <c r="D25" s="56">
        <f>Datos!$J$263</f>
        <v>95000</v>
      </c>
      <c r="E25" s="43"/>
      <c r="F25" s="43"/>
      <c r="G25" s="43"/>
      <c r="H25" s="43"/>
      <c r="I25" s="43" t="s">
        <v>560</v>
      </c>
      <c r="J25" s="43" t="s">
        <v>784</v>
      </c>
      <c r="K25" s="43">
        <v>700000</v>
      </c>
      <c r="L25" s="43">
        <v>3</v>
      </c>
      <c r="M25" s="43" t="s">
        <v>445</v>
      </c>
      <c r="N25" s="53"/>
      <c r="O25" s="53"/>
      <c r="P25" s="43" t="str">
        <f>VLOOKUP(K25,Maestro!J:K,2,0)</f>
        <v>HARINA CRUDA</v>
      </c>
      <c r="Q25" s="43" t="str">
        <f>VLOOKUP(P25,Maestro!E:F,2,0)</f>
        <v>Molienda de  Crudo</v>
      </c>
      <c r="R25" s="43">
        <f>VLOOKUP(P25,ORD!$A:$C,3,0)</f>
        <v>3</v>
      </c>
      <c r="S25" t="str">
        <f t="shared" si="1"/>
        <v>7355250322ANILLOS, TAPAS Y SEPARADORESMolienda de  Crudo</v>
      </c>
      <c r="T25" t="str">
        <f>IFERROR(VLOOKUP(S25,Maestro!$A:$H,8,0),"Producción")</f>
        <v>Anillos, Tapas y Separadores</v>
      </c>
      <c r="U25" s="43" t="s">
        <v>182</v>
      </c>
    </row>
    <row r="26" spans="1:21" x14ac:dyDescent="0.3">
      <c r="A26" s="43">
        <v>7105040101</v>
      </c>
      <c r="B26" s="43" t="s">
        <v>448</v>
      </c>
      <c r="C26" s="49">
        <f>Datos!$I$48*D26+Datos!$K$90*Base!D26</f>
        <v>651648111.96986008</v>
      </c>
      <c r="D26" s="52">
        <f>Datos!$K$263*Datos!$K$169*(1+Datos!$K$213)</f>
        <v>2165.109375</v>
      </c>
      <c r="E26" s="43" t="s">
        <v>556</v>
      </c>
      <c r="F26" s="43" t="s">
        <v>557</v>
      </c>
      <c r="G26" s="43" t="s">
        <v>558</v>
      </c>
      <c r="H26" s="43" t="s">
        <v>559</v>
      </c>
      <c r="I26" s="43" t="s">
        <v>560</v>
      </c>
      <c r="J26" s="43" t="s">
        <v>449</v>
      </c>
      <c r="K26" s="43">
        <v>700000</v>
      </c>
      <c r="L26" s="43">
        <v>4</v>
      </c>
      <c r="M26" s="43" t="s">
        <v>561</v>
      </c>
      <c r="N26" s="51"/>
      <c r="O26" s="51"/>
      <c r="P26" s="43" t="str">
        <f>VLOOKUP(K26,Maestro!J:K,2,0)</f>
        <v>HARINA CRUDA</v>
      </c>
      <c r="Q26" s="43" t="str">
        <f>VLOOKUP(P26,Maestro!E:F,2,0)</f>
        <v>Molienda de  Crudo</v>
      </c>
      <c r="R26" s="43">
        <f>VLOOKUP(P26,ORD!$A:$C,3,0)</f>
        <v>3</v>
      </c>
      <c r="S26" t="str">
        <f t="shared" si="1"/>
        <v>7105040101CORRHIERRMolienda de  Crudo</v>
      </c>
      <c r="T26" t="str">
        <f>IFERROR(VLOOKUP(S26,Maestro!$A:$H,8,0),"Producción")</f>
        <v>Mineral de Hierro</v>
      </c>
      <c r="U26" s="43" t="s">
        <v>182</v>
      </c>
    </row>
    <row r="27" spans="1:21" x14ac:dyDescent="0.3">
      <c r="A27" s="43">
        <v>7105040101</v>
      </c>
      <c r="B27" s="43" t="s">
        <v>448</v>
      </c>
      <c r="C27" s="49">
        <f>Datos!$K$49*D27+Datos!$K$90*D27</f>
        <v>62971451.61346963</v>
      </c>
      <c r="D27" s="52">
        <f>Datos!$K$263*Datos!$K$170*(1+Datos!$K$214)</f>
        <v>369.22640624999997</v>
      </c>
      <c r="E27" s="43" t="s">
        <v>556</v>
      </c>
      <c r="F27" s="43" t="s">
        <v>557</v>
      </c>
      <c r="G27" s="43" t="s">
        <v>558</v>
      </c>
      <c r="H27" s="43" t="s">
        <v>559</v>
      </c>
      <c r="I27" s="43" t="s">
        <v>560</v>
      </c>
      <c r="J27" s="43" t="s">
        <v>522</v>
      </c>
      <c r="K27" s="43">
        <v>700000</v>
      </c>
      <c r="L27" s="43">
        <v>4</v>
      </c>
      <c r="M27" s="43" t="s">
        <v>562</v>
      </c>
      <c r="N27" s="51"/>
      <c r="O27" s="51"/>
      <c r="P27" s="43" t="str">
        <f>VLOOKUP(K27,Maestro!J:K,2,0)</f>
        <v>HARINA CRUDA</v>
      </c>
      <c r="Q27" s="43" t="str">
        <f>VLOOKUP(P27,Maestro!E:F,2,0)</f>
        <v>Molienda de  Crudo</v>
      </c>
      <c r="R27" s="43">
        <f>VLOOKUP(P27,ORD!$A:$C,3,0)</f>
        <v>3</v>
      </c>
      <c r="S27" t="str">
        <f t="shared" si="1"/>
        <v>7105040101CALAMINA1Molienda de  Crudo</v>
      </c>
      <c r="T27" t="str">
        <f>IFERROR(VLOOKUP(S27,Maestro!$A:$H,8,0),"Producción")</f>
        <v>Mineral de Hierro</v>
      </c>
      <c r="U27" s="43" t="s">
        <v>182</v>
      </c>
    </row>
    <row r="28" spans="1:21" x14ac:dyDescent="0.3">
      <c r="A28" s="43">
        <v>7105330101</v>
      </c>
      <c r="B28" s="43" t="s">
        <v>443</v>
      </c>
      <c r="C28" s="49"/>
      <c r="D28" s="56">
        <f>Datos!$K$263*Datos!$K$168*(1+Datos!$K$210)</f>
        <v>17823.974999999999</v>
      </c>
      <c r="E28" s="43" t="s">
        <v>556</v>
      </c>
      <c r="F28" s="43" t="s">
        <v>557</v>
      </c>
      <c r="G28" s="43" t="s">
        <v>563</v>
      </c>
      <c r="H28" s="43" t="s">
        <v>564</v>
      </c>
      <c r="I28" s="43" t="s">
        <v>560</v>
      </c>
      <c r="J28" s="43" t="s">
        <v>444</v>
      </c>
      <c r="K28" s="43">
        <v>700000</v>
      </c>
      <c r="L28" s="43">
        <v>4</v>
      </c>
      <c r="M28" s="43" t="s">
        <v>565</v>
      </c>
      <c r="N28" s="51"/>
      <c r="O28" s="51"/>
      <c r="P28" s="43" t="str">
        <f>VLOOKUP(K28,Maestro!J:K,2,0)</f>
        <v>HARINA CRUDA</v>
      </c>
      <c r="Q28" s="43" t="str">
        <f>VLOOKUP(P28,Maestro!E:F,2,0)</f>
        <v>Molienda de  Crudo</v>
      </c>
      <c r="R28" s="43">
        <f>VLOOKUP(P28,ORD!$A:$C,3,0)</f>
        <v>3</v>
      </c>
      <c r="S28" t="str">
        <f t="shared" si="1"/>
        <v>7105330101CALIZATRIMolienda de  Crudo</v>
      </c>
      <c r="T28" t="str">
        <f>IFERROR(VLOOKUP(S28,Maestro!$A:$H,8,0),"Producción")</f>
        <v>Caliza</v>
      </c>
      <c r="U28" s="43" t="s">
        <v>182</v>
      </c>
    </row>
    <row r="29" spans="1:21" x14ac:dyDescent="0.3">
      <c r="A29" s="43">
        <v>7105330101</v>
      </c>
      <c r="B29" s="43" t="s">
        <v>443</v>
      </c>
      <c r="C29" s="49"/>
      <c r="D29" s="52">
        <f>Datos!$K$263*Datos!$K$167*(1+Datos!$K$212)</f>
        <v>81052.903589108915</v>
      </c>
      <c r="E29" s="43" t="s">
        <v>556</v>
      </c>
      <c r="F29" s="43" t="s">
        <v>557</v>
      </c>
      <c r="G29" s="43" t="s">
        <v>563</v>
      </c>
      <c r="H29" s="43" t="s">
        <v>564</v>
      </c>
      <c r="I29" s="43" t="s">
        <v>560</v>
      </c>
      <c r="J29" s="43" t="s">
        <v>447</v>
      </c>
      <c r="K29" s="43">
        <v>700000</v>
      </c>
      <c r="L29" s="43">
        <v>4</v>
      </c>
      <c r="M29" s="43" t="s">
        <v>440</v>
      </c>
      <c r="N29" s="51"/>
      <c r="O29" s="51"/>
      <c r="P29" s="43" t="str">
        <f>VLOOKUP(K29,Maestro!J:K,2,0)</f>
        <v>HARINA CRUDA</v>
      </c>
      <c r="Q29" s="43" t="str">
        <f>VLOOKUP(P29,Maestro!E:F,2,0)</f>
        <v>Molienda de  Crudo</v>
      </c>
      <c r="R29" s="43">
        <f>VLOOKUP(P29,ORD!$A:$C,3,0)</f>
        <v>3</v>
      </c>
      <c r="S29" t="str">
        <f t="shared" si="1"/>
        <v>7105330101MEZCPREHOMolienda de  Crudo</v>
      </c>
      <c r="T29" t="str">
        <f>IFERROR(VLOOKUP(S29,Maestro!$A:$H,8,0),"Producción")</f>
        <v>Prehomo</v>
      </c>
      <c r="U29" s="43" t="s">
        <v>182</v>
      </c>
    </row>
    <row r="30" spans="1:21" x14ac:dyDescent="0.3">
      <c r="A30" s="43">
        <v>7999999995</v>
      </c>
      <c r="B30" s="43" t="s">
        <v>566</v>
      </c>
      <c r="C30" s="49"/>
      <c r="D30" s="56">
        <f>-Datos!$K$263</f>
        <v>-97500</v>
      </c>
      <c r="E30" s="43" t="s">
        <v>556</v>
      </c>
      <c r="F30" s="43" t="s">
        <v>557</v>
      </c>
      <c r="G30" s="43" t="s">
        <v>567</v>
      </c>
      <c r="H30" s="43" t="s">
        <v>568</v>
      </c>
      <c r="I30" s="43" t="s">
        <v>560</v>
      </c>
      <c r="J30" s="43" t="s">
        <v>458</v>
      </c>
      <c r="K30" s="43">
        <v>700000</v>
      </c>
      <c r="L30" s="43">
        <v>4</v>
      </c>
      <c r="M30" s="43" t="s">
        <v>445</v>
      </c>
      <c r="N30" s="51"/>
      <c r="O30" s="51"/>
      <c r="P30" s="43" t="str">
        <f>VLOOKUP(K30,Maestro!J:K,2,0)</f>
        <v>HARINA CRUDA</v>
      </c>
      <c r="Q30" s="43" t="str">
        <f>VLOOKUP(P30,Maestro!E:F,2,0)</f>
        <v>Molienda de  Crudo</v>
      </c>
      <c r="R30" s="43">
        <f>VLOOKUP(P30,ORD!$A:$C,3,0)</f>
        <v>3</v>
      </c>
      <c r="S30" t="str">
        <f t="shared" si="1"/>
        <v>7999999995HARINACRUDMolienda de  Crudo</v>
      </c>
      <c r="T30" t="str">
        <f>IFERROR(VLOOKUP(S30,Maestro!$A:$H,8,0),"Producción")</f>
        <v>Producción</v>
      </c>
      <c r="U30" s="43" t="s">
        <v>182</v>
      </c>
    </row>
    <row r="31" spans="1:21" x14ac:dyDescent="0.3">
      <c r="A31" s="43">
        <v>7355250320</v>
      </c>
      <c r="B31" s="43" t="s">
        <v>490</v>
      </c>
      <c r="C31" s="49">
        <f>Datos!$K$112*D31</f>
        <v>16293177.292449407</v>
      </c>
      <c r="D31" s="56">
        <f>Datos!$K$263</f>
        <v>97500</v>
      </c>
      <c r="E31" s="43"/>
      <c r="F31" s="43"/>
      <c r="G31" s="43"/>
      <c r="H31" s="43"/>
      <c r="I31" s="43" t="s">
        <v>560</v>
      </c>
      <c r="J31" s="43" t="s">
        <v>790</v>
      </c>
      <c r="K31" s="43">
        <v>700000</v>
      </c>
      <c r="L31" s="43">
        <v>4</v>
      </c>
      <c r="M31" s="43" t="s">
        <v>445</v>
      </c>
      <c r="N31" s="53"/>
      <c r="O31" s="53"/>
      <c r="P31" s="43" t="str">
        <f>VLOOKUP(K31,Maestro!J:K,2,0)</f>
        <v>HARINA CRUDA</v>
      </c>
      <c r="Q31" s="43" t="str">
        <f>VLOOKUP(P31,Maestro!E:F,2,0)</f>
        <v>Molienda de  Crudo</v>
      </c>
      <c r="R31" s="43">
        <f>VLOOKUP(P31,ORD!$A:$C,3,0)</f>
        <v>3</v>
      </c>
      <c r="S31" t="str">
        <f t="shared" si="1"/>
        <v>7355250320CUERPOS MOLEDORESMolienda de  Crudo</v>
      </c>
      <c r="T31" t="str">
        <f>IFERROR(VLOOKUP(S31,Maestro!$A:$H,8,0),"Producción")</f>
        <v>Cuerpos Moledores</v>
      </c>
      <c r="U31" s="43" t="s">
        <v>182</v>
      </c>
    </row>
    <row r="32" spans="1:21" x14ac:dyDescent="0.3">
      <c r="A32" s="43">
        <v>7355250321</v>
      </c>
      <c r="B32" s="43" t="s">
        <v>490</v>
      </c>
      <c r="C32" s="49">
        <f>Datos!$K$114*D32</f>
        <v>11688583.709800662</v>
      </c>
      <c r="D32" s="56">
        <f>Datos!$K$263</f>
        <v>97500</v>
      </c>
      <c r="E32" s="43"/>
      <c r="F32" s="43"/>
      <c r="G32" s="43"/>
      <c r="H32" s="43"/>
      <c r="I32" s="43" t="s">
        <v>560</v>
      </c>
      <c r="J32" s="43" t="s">
        <v>799</v>
      </c>
      <c r="K32" s="43">
        <v>700000</v>
      </c>
      <c r="L32" s="43">
        <v>4</v>
      </c>
      <c r="M32" s="43" t="s">
        <v>445</v>
      </c>
      <c r="N32" s="53"/>
      <c r="O32" s="53"/>
      <c r="P32" s="43" t="str">
        <f>VLOOKUP(K32,Maestro!J:K,2,0)</f>
        <v>HARINA CRUDA</v>
      </c>
      <c r="Q32" s="43" t="str">
        <f>VLOOKUP(P32,Maestro!E:F,2,0)</f>
        <v>Molienda de  Crudo</v>
      </c>
      <c r="R32" s="43">
        <f>VLOOKUP(P32,ORD!$A:$C,3,0)</f>
        <v>3</v>
      </c>
      <c r="S32" t="str">
        <f t="shared" si="1"/>
        <v>7355250321LAMINASMolienda de  Crudo</v>
      </c>
      <c r="T32" t="str">
        <f>IFERROR(VLOOKUP(S32,Maestro!$A:$H,8,0),"Producción")</f>
        <v>Láminas</v>
      </c>
      <c r="U32" s="43" t="s">
        <v>182</v>
      </c>
    </row>
    <row r="33" spans="1:21" x14ac:dyDescent="0.3">
      <c r="A33" s="43">
        <v>7355250322</v>
      </c>
      <c r="B33" s="43" t="s">
        <v>490</v>
      </c>
      <c r="C33" s="49">
        <f>Datos!$K$118*D33</f>
        <v>48623647.173770793</v>
      </c>
      <c r="D33" s="56">
        <f>Datos!$K$263</f>
        <v>97500</v>
      </c>
      <c r="E33" s="43"/>
      <c r="F33" s="43"/>
      <c r="G33" s="43"/>
      <c r="H33" s="43"/>
      <c r="I33" s="43" t="s">
        <v>560</v>
      </c>
      <c r="J33" s="43" t="s">
        <v>784</v>
      </c>
      <c r="K33" s="43">
        <v>700000</v>
      </c>
      <c r="L33" s="43">
        <v>4</v>
      </c>
      <c r="M33" s="43" t="s">
        <v>445</v>
      </c>
      <c r="N33" s="53"/>
      <c r="O33" s="53"/>
      <c r="P33" s="43" t="str">
        <f>VLOOKUP(K33,Maestro!J:K,2,0)</f>
        <v>HARINA CRUDA</v>
      </c>
      <c r="Q33" s="43" t="str">
        <f>VLOOKUP(P33,Maestro!E:F,2,0)</f>
        <v>Molienda de  Crudo</v>
      </c>
      <c r="R33" s="43">
        <f>VLOOKUP(P33,ORD!$A:$C,3,0)</f>
        <v>3</v>
      </c>
      <c r="S33" t="str">
        <f t="shared" si="1"/>
        <v>7355250322ANILLOS, TAPAS Y SEPARADORESMolienda de  Crudo</v>
      </c>
      <c r="T33" t="str">
        <f>IFERROR(VLOOKUP(S33,Maestro!$A:$H,8,0),"Producción")</f>
        <v>Anillos, Tapas y Separadores</v>
      </c>
      <c r="U33" s="43" t="s">
        <v>182</v>
      </c>
    </row>
    <row r="34" spans="1:21" x14ac:dyDescent="0.3">
      <c r="A34" s="43">
        <v>7105040101</v>
      </c>
      <c r="B34" s="43" t="s">
        <v>448</v>
      </c>
      <c r="C34" s="49">
        <f>Datos!$I$48*D34+Datos!$L$90*Base!D34</f>
        <v>985090763.04326546</v>
      </c>
      <c r="D34" s="52">
        <f>Datos!$L$263*Datos!$L$169*(1+Datos!$L$213)</f>
        <v>3275.4218749999995</v>
      </c>
      <c r="E34" s="43" t="s">
        <v>556</v>
      </c>
      <c r="F34" s="43" t="s">
        <v>557</v>
      </c>
      <c r="G34" s="43" t="s">
        <v>558</v>
      </c>
      <c r="H34" s="43" t="s">
        <v>559</v>
      </c>
      <c r="I34" s="43" t="s">
        <v>560</v>
      </c>
      <c r="J34" s="43" t="s">
        <v>449</v>
      </c>
      <c r="K34" s="43">
        <v>700000</v>
      </c>
      <c r="L34" s="43">
        <v>5</v>
      </c>
      <c r="M34" s="43" t="s">
        <v>561</v>
      </c>
      <c r="N34" s="51"/>
      <c r="O34" s="51"/>
      <c r="P34" s="43" t="str">
        <f>VLOOKUP(K34,Maestro!J:K,2,0)</f>
        <v>HARINA CRUDA</v>
      </c>
      <c r="Q34" s="43" t="str">
        <f>VLOOKUP(P34,Maestro!E:F,2,0)</f>
        <v>Molienda de  Crudo</v>
      </c>
      <c r="R34" s="43">
        <f>VLOOKUP(P34,ORD!$A:$C,3,0)</f>
        <v>3</v>
      </c>
      <c r="S34" t="str">
        <f t="shared" si="1"/>
        <v>7105040101CORRHIERRMolienda de  Crudo</v>
      </c>
      <c r="T34" t="str">
        <f>IFERROR(VLOOKUP(S34,Maestro!$A:$H,8,0),"Producción")</f>
        <v>Mineral de Hierro</v>
      </c>
      <c r="U34" s="43" t="s">
        <v>182</v>
      </c>
    </row>
    <row r="35" spans="1:21" x14ac:dyDescent="0.3">
      <c r="A35" s="43">
        <v>7105040101</v>
      </c>
      <c r="B35" s="43" t="s">
        <v>448</v>
      </c>
      <c r="C35" s="49">
        <f>Datos!$L$49*D35+Datos!$L$90*D35</f>
        <v>95139012.670168489</v>
      </c>
      <c r="D35" s="52">
        <f>Datos!$L$263*Datos!$L$170*(1+Datos!$L$214)</f>
        <v>558.57328124999992</v>
      </c>
      <c r="E35" s="43" t="s">
        <v>556</v>
      </c>
      <c r="F35" s="43" t="s">
        <v>557</v>
      </c>
      <c r="G35" s="43" t="s">
        <v>558</v>
      </c>
      <c r="H35" s="43" t="s">
        <v>559</v>
      </c>
      <c r="I35" s="43" t="s">
        <v>560</v>
      </c>
      <c r="J35" s="43" t="s">
        <v>522</v>
      </c>
      <c r="K35" s="43">
        <v>700000</v>
      </c>
      <c r="L35" s="43">
        <v>5</v>
      </c>
      <c r="M35" s="43" t="s">
        <v>562</v>
      </c>
      <c r="N35" s="51"/>
      <c r="O35" s="51"/>
      <c r="P35" s="43" t="str">
        <f>VLOOKUP(K35,Maestro!J:K,2,0)</f>
        <v>HARINA CRUDA</v>
      </c>
      <c r="Q35" s="43" t="str">
        <f>VLOOKUP(P35,Maestro!E:F,2,0)</f>
        <v>Molienda de  Crudo</v>
      </c>
      <c r="R35" s="43">
        <f>VLOOKUP(P35,ORD!$A:$C,3,0)</f>
        <v>3</v>
      </c>
      <c r="S35" t="str">
        <f t="shared" si="1"/>
        <v>7105040101CALAMINA1Molienda de  Crudo</v>
      </c>
      <c r="T35" t="str">
        <f>IFERROR(VLOOKUP(S35,Maestro!$A:$H,8,0),"Producción")</f>
        <v>Mineral de Hierro</v>
      </c>
      <c r="U35" s="43" t="s">
        <v>182</v>
      </c>
    </row>
    <row r="36" spans="1:21" x14ac:dyDescent="0.3">
      <c r="A36" s="43">
        <v>7105330101</v>
      </c>
      <c r="B36" s="43" t="s">
        <v>443</v>
      </c>
      <c r="C36" s="49"/>
      <c r="D36" s="56">
        <f>Datos!$L$263*Datos!$L$168*(1+Datos!$L$210)</f>
        <v>26964.474999999999</v>
      </c>
      <c r="E36" s="43" t="s">
        <v>556</v>
      </c>
      <c r="F36" s="43" t="s">
        <v>557</v>
      </c>
      <c r="G36" s="43" t="s">
        <v>563</v>
      </c>
      <c r="H36" s="43" t="s">
        <v>564</v>
      </c>
      <c r="I36" s="43" t="s">
        <v>560</v>
      </c>
      <c r="J36" s="43" t="s">
        <v>444</v>
      </c>
      <c r="K36" s="43">
        <v>700000</v>
      </c>
      <c r="L36" s="43">
        <v>5</v>
      </c>
      <c r="M36" s="43" t="s">
        <v>565</v>
      </c>
      <c r="N36" s="51"/>
      <c r="O36" s="51"/>
      <c r="P36" s="43" t="str">
        <f>VLOOKUP(K36,Maestro!J:K,2,0)</f>
        <v>HARINA CRUDA</v>
      </c>
      <c r="Q36" s="43" t="str">
        <f>VLOOKUP(P36,Maestro!E:F,2,0)</f>
        <v>Molienda de  Crudo</v>
      </c>
      <c r="R36" s="43">
        <f>VLOOKUP(P36,ORD!$A:$C,3,0)</f>
        <v>3</v>
      </c>
      <c r="S36" t="str">
        <f t="shared" si="1"/>
        <v>7105330101CALIZATRIMolienda de  Crudo</v>
      </c>
      <c r="T36" t="str">
        <f>IFERROR(VLOOKUP(S36,Maestro!$A:$H,8,0),"Producción")</f>
        <v>Caliza</v>
      </c>
      <c r="U36" s="43" t="s">
        <v>182</v>
      </c>
    </row>
    <row r="37" spans="1:21" x14ac:dyDescent="0.3">
      <c r="A37" s="43">
        <v>7105330101</v>
      </c>
      <c r="B37" s="43" t="s">
        <v>443</v>
      </c>
      <c r="C37" s="49"/>
      <c r="D37" s="52">
        <f>Datos!$L$263*Datos!$L$167*(1+Datos!$L$212)</f>
        <v>122618.49517326734</v>
      </c>
      <c r="E37" s="43" t="s">
        <v>556</v>
      </c>
      <c r="F37" s="43" t="s">
        <v>557</v>
      </c>
      <c r="G37" s="43" t="s">
        <v>563</v>
      </c>
      <c r="H37" s="43" t="s">
        <v>564</v>
      </c>
      <c r="I37" s="43" t="s">
        <v>560</v>
      </c>
      <c r="J37" s="43" t="s">
        <v>447</v>
      </c>
      <c r="K37" s="43">
        <v>700000</v>
      </c>
      <c r="L37" s="43">
        <v>5</v>
      </c>
      <c r="M37" s="43" t="s">
        <v>440</v>
      </c>
      <c r="N37" s="51"/>
      <c r="O37" s="51"/>
      <c r="P37" s="43" t="str">
        <f>VLOOKUP(K37,Maestro!J:K,2,0)</f>
        <v>HARINA CRUDA</v>
      </c>
      <c r="Q37" s="43" t="str">
        <f>VLOOKUP(P37,Maestro!E:F,2,0)</f>
        <v>Molienda de  Crudo</v>
      </c>
      <c r="R37" s="43">
        <f>VLOOKUP(P37,ORD!$A:$C,3,0)</f>
        <v>3</v>
      </c>
      <c r="S37" t="str">
        <f t="shared" si="1"/>
        <v>7105330101MEZCPREHOMolienda de  Crudo</v>
      </c>
      <c r="T37" t="str">
        <f>IFERROR(VLOOKUP(S37,Maestro!$A:$H,8,0),"Producción")</f>
        <v>Prehomo</v>
      </c>
      <c r="U37" s="43" t="s">
        <v>182</v>
      </c>
    </row>
    <row r="38" spans="1:21" x14ac:dyDescent="0.3">
      <c r="A38" s="43">
        <v>7999999995</v>
      </c>
      <c r="B38" s="43" t="s">
        <v>566</v>
      </c>
      <c r="C38" s="49"/>
      <c r="D38" s="56">
        <f>-Datos!$L$263</f>
        <v>-147500</v>
      </c>
      <c r="E38" s="43" t="s">
        <v>556</v>
      </c>
      <c r="F38" s="43" t="s">
        <v>557</v>
      </c>
      <c r="G38" s="43" t="s">
        <v>567</v>
      </c>
      <c r="H38" s="43" t="s">
        <v>568</v>
      </c>
      <c r="I38" s="43" t="s">
        <v>560</v>
      </c>
      <c r="J38" s="43" t="s">
        <v>458</v>
      </c>
      <c r="K38" s="43">
        <v>700000</v>
      </c>
      <c r="L38" s="43">
        <v>5</v>
      </c>
      <c r="M38" s="43" t="s">
        <v>445</v>
      </c>
      <c r="N38" s="51"/>
      <c r="O38" s="51"/>
      <c r="P38" s="43" t="str">
        <f>VLOOKUP(K38,Maestro!J:K,2,0)</f>
        <v>HARINA CRUDA</v>
      </c>
      <c r="Q38" s="43" t="str">
        <f>VLOOKUP(P38,Maestro!E:F,2,0)</f>
        <v>Molienda de  Crudo</v>
      </c>
      <c r="R38" s="43">
        <f>VLOOKUP(P38,ORD!$A:$C,3,0)</f>
        <v>3</v>
      </c>
      <c r="S38" t="str">
        <f t="shared" si="1"/>
        <v>7999999995HARINACRUDMolienda de  Crudo</v>
      </c>
      <c r="T38" t="str">
        <f>IFERROR(VLOOKUP(S38,Maestro!$A:$H,8,0),"Producción")</f>
        <v>Producción</v>
      </c>
      <c r="U38" s="43" t="s">
        <v>182</v>
      </c>
    </row>
    <row r="39" spans="1:21" x14ac:dyDescent="0.3">
      <c r="A39" s="43">
        <v>7355250320</v>
      </c>
      <c r="B39" s="43" t="s">
        <v>490</v>
      </c>
      <c r="C39" s="49">
        <f>Datos!$L$112*D39</f>
        <v>24648652.827038847</v>
      </c>
      <c r="D39" s="56">
        <f>Datos!$L$263</f>
        <v>147500</v>
      </c>
      <c r="E39" s="43"/>
      <c r="F39" s="43"/>
      <c r="G39" s="43"/>
      <c r="H39" s="43"/>
      <c r="I39" s="43" t="s">
        <v>560</v>
      </c>
      <c r="J39" s="43" t="s">
        <v>790</v>
      </c>
      <c r="K39" s="43">
        <v>700000</v>
      </c>
      <c r="L39" s="43">
        <v>5</v>
      </c>
      <c r="M39" s="43" t="s">
        <v>445</v>
      </c>
      <c r="N39" s="53"/>
      <c r="O39" s="53"/>
      <c r="P39" s="43" t="str">
        <f>VLOOKUP(K39,Maestro!J:K,2,0)</f>
        <v>HARINA CRUDA</v>
      </c>
      <c r="Q39" s="43" t="str">
        <f>VLOOKUP(P39,Maestro!E:F,2,0)</f>
        <v>Molienda de  Crudo</v>
      </c>
      <c r="R39" s="43">
        <f>VLOOKUP(P39,ORD!$A:$C,3,0)</f>
        <v>3</v>
      </c>
      <c r="S39" t="str">
        <f t="shared" si="1"/>
        <v>7355250320CUERPOS MOLEDORESMolienda de  Crudo</v>
      </c>
      <c r="T39" t="str">
        <f>IFERROR(VLOOKUP(S39,Maestro!$A:$H,8,0),"Producción")</f>
        <v>Cuerpos Moledores</v>
      </c>
      <c r="U39" s="43" t="s">
        <v>182</v>
      </c>
    </row>
    <row r="40" spans="1:21" x14ac:dyDescent="0.3">
      <c r="A40" s="43">
        <v>7355250321</v>
      </c>
      <c r="B40" s="43" t="s">
        <v>490</v>
      </c>
      <c r="C40" s="49">
        <f>Datos!$L$114*D40</f>
        <v>17682729.202006128</v>
      </c>
      <c r="D40" s="56">
        <f>Datos!$L$263</f>
        <v>147500</v>
      </c>
      <c r="E40" s="43"/>
      <c r="F40" s="43"/>
      <c r="G40" s="43"/>
      <c r="H40" s="43"/>
      <c r="I40" s="43" t="s">
        <v>560</v>
      </c>
      <c r="J40" s="43" t="s">
        <v>799</v>
      </c>
      <c r="K40" s="43">
        <v>700000</v>
      </c>
      <c r="L40" s="43">
        <v>5</v>
      </c>
      <c r="M40" s="43" t="s">
        <v>445</v>
      </c>
      <c r="N40" s="53"/>
      <c r="O40" s="53"/>
      <c r="P40" s="43" t="str">
        <f>VLOOKUP(K40,Maestro!J:K,2,0)</f>
        <v>HARINA CRUDA</v>
      </c>
      <c r="Q40" s="43" t="str">
        <f>VLOOKUP(P40,Maestro!E:F,2,0)</f>
        <v>Molienda de  Crudo</v>
      </c>
      <c r="R40" s="43">
        <f>VLOOKUP(P40,ORD!$A:$C,3,0)</f>
        <v>3</v>
      </c>
      <c r="S40" t="str">
        <f t="shared" si="1"/>
        <v>7355250321LAMINASMolienda de  Crudo</v>
      </c>
      <c r="T40" t="str">
        <f>IFERROR(VLOOKUP(S40,Maestro!$A:$H,8,0),"Producción")</f>
        <v>Láminas</v>
      </c>
      <c r="U40" s="43" t="s">
        <v>182</v>
      </c>
    </row>
    <row r="41" spans="1:21" x14ac:dyDescent="0.3">
      <c r="A41" s="43">
        <v>7355250322</v>
      </c>
      <c r="B41" s="43" t="s">
        <v>490</v>
      </c>
      <c r="C41" s="49">
        <f>Datos!$L$118*D41</f>
        <v>73558850.852627605</v>
      </c>
      <c r="D41" s="56">
        <f>Datos!$L$263</f>
        <v>147500</v>
      </c>
      <c r="E41" s="43"/>
      <c r="F41" s="43"/>
      <c r="G41" s="43"/>
      <c r="H41" s="43"/>
      <c r="I41" s="43" t="s">
        <v>560</v>
      </c>
      <c r="J41" s="43" t="s">
        <v>784</v>
      </c>
      <c r="K41" s="43">
        <v>700000</v>
      </c>
      <c r="L41" s="43">
        <v>5</v>
      </c>
      <c r="M41" s="43" t="s">
        <v>445</v>
      </c>
      <c r="N41" s="53"/>
      <c r="O41" s="53"/>
      <c r="P41" s="43" t="str">
        <f>VLOOKUP(K41,Maestro!J:K,2,0)</f>
        <v>HARINA CRUDA</v>
      </c>
      <c r="Q41" s="43" t="str">
        <f>VLOOKUP(P41,Maestro!E:F,2,0)</f>
        <v>Molienda de  Crudo</v>
      </c>
      <c r="R41" s="43">
        <f>VLOOKUP(P41,ORD!$A:$C,3,0)</f>
        <v>3</v>
      </c>
      <c r="S41" t="str">
        <f t="shared" si="1"/>
        <v>7355250322ANILLOS, TAPAS Y SEPARADORESMolienda de  Crudo</v>
      </c>
      <c r="T41" t="str">
        <f>IFERROR(VLOOKUP(S41,Maestro!$A:$H,8,0),"Producción")</f>
        <v>Anillos, Tapas y Separadores</v>
      </c>
      <c r="U41" s="43" t="s">
        <v>182</v>
      </c>
    </row>
    <row r="42" spans="1:21" x14ac:dyDescent="0.3">
      <c r="A42" s="43">
        <v>7105040101</v>
      </c>
      <c r="B42" s="43" t="s">
        <v>448</v>
      </c>
      <c r="C42" s="49">
        <f>Datos!$I$48*D42+Datos!$M$90*Base!D42</f>
        <v>434825925.11673665</v>
      </c>
      <c r="D42" s="52">
        <f>Datos!$M$263*Datos!$M$169*(1+Datos!$M$213)</f>
        <v>1443.4062499999998</v>
      </c>
      <c r="E42" s="43" t="s">
        <v>556</v>
      </c>
      <c r="F42" s="43" t="s">
        <v>557</v>
      </c>
      <c r="G42" s="43" t="s">
        <v>558</v>
      </c>
      <c r="H42" s="43" t="s">
        <v>559</v>
      </c>
      <c r="I42" s="43" t="s">
        <v>560</v>
      </c>
      <c r="J42" s="43" t="s">
        <v>449</v>
      </c>
      <c r="K42" s="43">
        <v>700000</v>
      </c>
      <c r="L42" s="43">
        <v>6</v>
      </c>
      <c r="M42" s="43" t="s">
        <v>561</v>
      </c>
      <c r="N42" s="51"/>
      <c r="O42" s="51"/>
      <c r="P42" s="43" t="str">
        <f>VLOOKUP(K42,Maestro!J:K,2,0)</f>
        <v>HARINA CRUDA</v>
      </c>
      <c r="Q42" s="43" t="str">
        <f>VLOOKUP(P42,Maestro!E:F,2,0)</f>
        <v>Molienda de  Crudo</v>
      </c>
      <c r="R42" s="43">
        <f>VLOOKUP(P42,ORD!$A:$C,3,0)</f>
        <v>3</v>
      </c>
      <c r="S42" t="str">
        <f t="shared" si="1"/>
        <v>7105040101CORRHIERRMolienda de  Crudo</v>
      </c>
      <c r="T42" t="str">
        <f>IFERROR(VLOOKUP(S42,Maestro!$A:$H,8,0),"Producción")</f>
        <v>Mineral de Hierro</v>
      </c>
      <c r="U42" s="43" t="s">
        <v>182</v>
      </c>
    </row>
    <row r="43" spans="1:21" x14ac:dyDescent="0.3">
      <c r="A43" s="43">
        <v>7105040101</v>
      </c>
      <c r="B43" s="43" t="s">
        <v>448</v>
      </c>
      <c r="C43" s="49">
        <f>Datos!$M$49*D43+Datos!$M$90*D43</f>
        <v>42048132.937465541</v>
      </c>
      <c r="D43" s="52">
        <f>Datos!$M$263*Datos!$M$170*(1+Datos!$M$214)</f>
        <v>246.1509375</v>
      </c>
      <c r="E43" s="43" t="s">
        <v>556</v>
      </c>
      <c r="F43" s="43" t="s">
        <v>557</v>
      </c>
      <c r="G43" s="43" t="s">
        <v>558</v>
      </c>
      <c r="H43" s="43" t="s">
        <v>559</v>
      </c>
      <c r="I43" s="43" t="s">
        <v>560</v>
      </c>
      <c r="J43" s="43" t="s">
        <v>522</v>
      </c>
      <c r="K43" s="43">
        <v>700000</v>
      </c>
      <c r="L43" s="43">
        <v>6</v>
      </c>
      <c r="M43" s="43" t="s">
        <v>562</v>
      </c>
      <c r="N43" s="51"/>
      <c r="O43" s="51"/>
      <c r="P43" s="43" t="str">
        <f>VLOOKUP(K43,Maestro!J:K,2,0)</f>
        <v>HARINA CRUDA</v>
      </c>
      <c r="Q43" s="43" t="str">
        <f>VLOOKUP(P43,Maestro!E:F,2,0)</f>
        <v>Molienda de  Crudo</v>
      </c>
      <c r="R43" s="43">
        <f>VLOOKUP(P43,ORD!$A:$C,3,0)</f>
        <v>3</v>
      </c>
      <c r="S43" t="str">
        <f t="shared" si="1"/>
        <v>7105040101CALAMINA1Molienda de  Crudo</v>
      </c>
      <c r="T43" t="str">
        <f>IFERROR(VLOOKUP(S43,Maestro!$A:$H,8,0),"Producción")</f>
        <v>Mineral de Hierro</v>
      </c>
      <c r="U43" s="43" t="s">
        <v>182</v>
      </c>
    </row>
    <row r="44" spans="1:21" x14ac:dyDescent="0.3">
      <c r="A44" s="43">
        <v>7105330101</v>
      </c>
      <c r="B44" s="43" t="s">
        <v>443</v>
      </c>
      <c r="C44" s="49"/>
      <c r="D44" s="56">
        <f>Datos!$M$263*Datos!$M$168*(1+Datos!$M$210)</f>
        <v>11882.65</v>
      </c>
      <c r="E44" s="43" t="s">
        <v>556</v>
      </c>
      <c r="F44" s="43" t="s">
        <v>557</v>
      </c>
      <c r="G44" s="43" t="s">
        <v>563</v>
      </c>
      <c r="H44" s="43" t="s">
        <v>564</v>
      </c>
      <c r="I44" s="43" t="s">
        <v>560</v>
      </c>
      <c r="J44" s="43" t="s">
        <v>444</v>
      </c>
      <c r="K44" s="43">
        <v>700000</v>
      </c>
      <c r="L44" s="43">
        <v>6</v>
      </c>
      <c r="M44" s="43" t="s">
        <v>565</v>
      </c>
      <c r="N44" s="51"/>
      <c r="O44" s="51"/>
      <c r="P44" s="43" t="str">
        <f>VLOOKUP(K44,Maestro!J:K,2,0)</f>
        <v>HARINA CRUDA</v>
      </c>
      <c r="Q44" s="43" t="str">
        <f>VLOOKUP(P44,Maestro!E:F,2,0)</f>
        <v>Molienda de  Crudo</v>
      </c>
      <c r="R44" s="43">
        <f>VLOOKUP(P44,ORD!$A:$C,3,0)</f>
        <v>3</v>
      </c>
      <c r="S44" t="str">
        <f t="shared" si="1"/>
        <v>7105330101CALIZATRIMolienda de  Crudo</v>
      </c>
      <c r="T44" t="str">
        <f>IFERROR(VLOOKUP(S44,Maestro!$A:$H,8,0),"Producción")</f>
        <v>Caliza</v>
      </c>
      <c r="U44" s="43" t="s">
        <v>182</v>
      </c>
    </row>
    <row r="45" spans="1:21" x14ac:dyDescent="0.3">
      <c r="A45" s="43">
        <v>7105330101</v>
      </c>
      <c r="B45" s="43" t="s">
        <v>443</v>
      </c>
      <c r="C45" s="49"/>
      <c r="D45" s="52">
        <f>Datos!$M$263*Datos!$M$167*(1+Datos!$M$212)</f>
        <v>54035.269059405946</v>
      </c>
      <c r="E45" s="43" t="s">
        <v>556</v>
      </c>
      <c r="F45" s="43" t="s">
        <v>557</v>
      </c>
      <c r="G45" s="43" t="s">
        <v>563</v>
      </c>
      <c r="H45" s="43" t="s">
        <v>564</v>
      </c>
      <c r="I45" s="43" t="s">
        <v>560</v>
      </c>
      <c r="J45" s="43" t="s">
        <v>447</v>
      </c>
      <c r="K45" s="43">
        <v>700000</v>
      </c>
      <c r="L45" s="43">
        <v>6</v>
      </c>
      <c r="M45" s="43" t="s">
        <v>440</v>
      </c>
      <c r="N45" s="51"/>
      <c r="O45" s="51"/>
      <c r="P45" s="43" t="str">
        <f>VLOOKUP(K45,Maestro!J:K,2,0)</f>
        <v>HARINA CRUDA</v>
      </c>
      <c r="Q45" s="43" t="str">
        <f>VLOOKUP(P45,Maestro!E:F,2,0)</f>
        <v>Molienda de  Crudo</v>
      </c>
      <c r="R45" s="43">
        <f>VLOOKUP(P45,ORD!$A:$C,3,0)</f>
        <v>3</v>
      </c>
      <c r="S45" t="str">
        <f t="shared" si="1"/>
        <v>7105330101MEZCPREHOMolienda de  Crudo</v>
      </c>
      <c r="T45" t="str">
        <f>IFERROR(VLOOKUP(S45,Maestro!$A:$H,8,0),"Producción")</f>
        <v>Prehomo</v>
      </c>
      <c r="U45" s="43" t="s">
        <v>182</v>
      </c>
    </row>
    <row r="46" spans="1:21" x14ac:dyDescent="0.3">
      <c r="A46" s="43">
        <v>7999999995</v>
      </c>
      <c r="B46" s="43" t="s">
        <v>566</v>
      </c>
      <c r="C46" s="49"/>
      <c r="D46" s="56">
        <f>-Datos!$M$263</f>
        <v>-65000</v>
      </c>
      <c r="E46" s="43" t="s">
        <v>556</v>
      </c>
      <c r="F46" s="43" t="s">
        <v>557</v>
      </c>
      <c r="G46" s="43" t="s">
        <v>567</v>
      </c>
      <c r="H46" s="43" t="s">
        <v>568</v>
      </c>
      <c r="I46" s="43" t="s">
        <v>560</v>
      </c>
      <c r="J46" s="43" t="s">
        <v>458</v>
      </c>
      <c r="K46" s="43">
        <v>700000</v>
      </c>
      <c r="L46" s="43">
        <v>6</v>
      </c>
      <c r="M46" s="43" t="s">
        <v>445</v>
      </c>
      <c r="N46" s="51"/>
      <c r="O46" s="51"/>
      <c r="P46" s="43" t="str">
        <f>VLOOKUP(K46,Maestro!J:K,2,0)</f>
        <v>HARINA CRUDA</v>
      </c>
      <c r="Q46" s="43" t="str">
        <f>VLOOKUP(P46,Maestro!E:F,2,0)</f>
        <v>Molienda de  Crudo</v>
      </c>
      <c r="R46" s="43">
        <f>VLOOKUP(P46,ORD!$A:$C,3,0)</f>
        <v>3</v>
      </c>
      <c r="S46" t="str">
        <f t="shared" si="1"/>
        <v>7999999995HARINACRUDMolienda de  Crudo</v>
      </c>
      <c r="T46" t="str">
        <f>IFERROR(VLOOKUP(S46,Maestro!$A:$H,8,0),"Producción")</f>
        <v>Producción</v>
      </c>
      <c r="U46" s="43" t="s">
        <v>182</v>
      </c>
    </row>
    <row r="47" spans="1:21" x14ac:dyDescent="0.3">
      <c r="A47" s="43">
        <v>7355250320</v>
      </c>
      <c r="B47" s="43" t="s">
        <v>490</v>
      </c>
      <c r="C47" s="49">
        <f>Datos!$M$112*D47</f>
        <v>10862118.194966272</v>
      </c>
      <c r="D47" s="56">
        <f>Datos!$M$263</f>
        <v>65000</v>
      </c>
      <c r="E47" s="43"/>
      <c r="F47" s="43"/>
      <c r="G47" s="43"/>
      <c r="H47" s="43"/>
      <c r="I47" s="43" t="s">
        <v>560</v>
      </c>
      <c r="J47" s="43" t="s">
        <v>790</v>
      </c>
      <c r="K47" s="43">
        <v>700000</v>
      </c>
      <c r="L47" s="43">
        <v>6</v>
      </c>
      <c r="M47" s="43" t="s">
        <v>445</v>
      </c>
      <c r="N47" s="53"/>
      <c r="O47" s="53"/>
      <c r="P47" s="43" t="str">
        <f>VLOOKUP(K47,Maestro!J:K,2,0)</f>
        <v>HARINA CRUDA</v>
      </c>
      <c r="Q47" s="43" t="str">
        <f>VLOOKUP(P47,Maestro!E:F,2,0)</f>
        <v>Molienda de  Crudo</v>
      </c>
      <c r="R47" s="43">
        <f>VLOOKUP(P47,ORD!$A:$C,3,0)</f>
        <v>3</v>
      </c>
      <c r="S47" t="str">
        <f t="shared" si="1"/>
        <v>7355250320CUERPOS MOLEDORESMolienda de  Crudo</v>
      </c>
      <c r="T47" t="str">
        <f>IFERROR(VLOOKUP(S47,Maestro!$A:$H,8,0),"Producción")</f>
        <v>Cuerpos Moledores</v>
      </c>
      <c r="U47" s="43" t="s">
        <v>182</v>
      </c>
    </row>
    <row r="48" spans="1:21" x14ac:dyDescent="0.3">
      <c r="A48" s="43">
        <v>7355250321</v>
      </c>
      <c r="B48" s="43" t="s">
        <v>490</v>
      </c>
      <c r="C48" s="49">
        <f>Datos!$M$114*D48</f>
        <v>7792389.1398671074</v>
      </c>
      <c r="D48" s="56">
        <f>Datos!$M$263</f>
        <v>65000</v>
      </c>
      <c r="E48" s="43"/>
      <c r="F48" s="43"/>
      <c r="G48" s="43"/>
      <c r="H48" s="43"/>
      <c r="I48" s="43" t="s">
        <v>560</v>
      </c>
      <c r="J48" s="43" t="s">
        <v>799</v>
      </c>
      <c r="K48" s="43">
        <v>700000</v>
      </c>
      <c r="L48" s="43">
        <v>6</v>
      </c>
      <c r="M48" s="43" t="s">
        <v>445</v>
      </c>
      <c r="N48" s="53"/>
      <c r="O48" s="53"/>
      <c r="P48" s="43" t="str">
        <f>VLOOKUP(K48,Maestro!J:K,2,0)</f>
        <v>HARINA CRUDA</v>
      </c>
      <c r="Q48" s="43" t="str">
        <f>VLOOKUP(P48,Maestro!E:F,2,0)</f>
        <v>Molienda de  Crudo</v>
      </c>
      <c r="R48" s="43">
        <f>VLOOKUP(P48,ORD!$A:$C,3,0)</f>
        <v>3</v>
      </c>
      <c r="S48" t="str">
        <f t="shared" si="1"/>
        <v>7355250321LAMINASMolienda de  Crudo</v>
      </c>
      <c r="T48" t="str">
        <f>IFERROR(VLOOKUP(S48,Maestro!$A:$H,8,0),"Producción")</f>
        <v>Láminas</v>
      </c>
      <c r="U48" s="43" t="s">
        <v>182</v>
      </c>
    </row>
    <row r="49" spans="1:21" x14ac:dyDescent="0.3">
      <c r="A49" s="43">
        <v>7355250322</v>
      </c>
      <c r="B49" s="43" t="s">
        <v>490</v>
      </c>
      <c r="C49" s="49">
        <f>Datos!$M$118*D49</f>
        <v>32415764.782513861</v>
      </c>
      <c r="D49" s="56">
        <f>Datos!$M$263</f>
        <v>65000</v>
      </c>
      <c r="E49" s="43"/>
      <c r="F49" s="43"/>
      <c r="G49" s="43"/>
      <c r="H49" s="43"/>
      <c r="I49" s="43" t="s">
        <v>560</v>
      </c>
      <c r="J49" s="43" t="s">
        <v>784</v>
      </c>
      <c r="K49" s="43">
        <v>700000</v>
      </c>
      <c r="L49" s="43">
        <v>6</v>
      </c>
      <c r="M49" s="43" t="s">
        <v>445</v>
      </c>
      <c r="N49" s="53"/>
      <c r="O49" s="53"/>
      <c r="P49" s="43" t="str">
        <f>VLOOKUP(K49,Maestro!J:K,2,0)</f>
        <v>HARINA CRUDA</v>
      </c>
      <c r="Q49" s="43" t="str">
        <f>VLOOKUP(P49,Maestro!E:F,2,0)</f>
        <v>Molienda de  Crudo</v>
      </c>
      <c r="R49" s="43">
        <f>VLOOKUP(P49,ORD!$A:$C,3,0)</f>
        <v>3</v>
      </c>
      <c r="S49" t="str">
        <f t="shared" si="1"/>
        <v>7355250322ANILLOS, TAPAS Y SEPARADORESMolienda de  Crudo</v>
      </c>
      <c r="T49" t="str">
        <f>IFERROR(VLOOKUP(S49,Maestro!$A:$H,8,0),"Producción")</f>
        <v>Anillos, Tapas y Separadores</v>
      </c>
      <c r="U49" s="43" t="s">
        <v>182</v>
      </c>
    </row>
    <row r="50" spans="1:21" x14ac:dyDescent="0.3">
      <c r="A50" s="43">
        <v>7105040101</v>
      </c>
      <c r="B50" s="43" t="s">
        <v>448</v>
      </c>
      <c r="C50" s="49">
        <f>Datos!$I$48*D50+Datos!$N$90*Base!D50</f>
        <v>818278995.53846622</v>
      </c>
      <c r="D50" s="52">
        <f>Datos!$N$263*Datos!$N$169*(1+Datos!$N$213)</f>
        <v>2720.2656249999995</v>
      </c>
      <c r="E50" s="43" t="s">
        <v>556</v>
      </c>
      <c r="F50" s="43" t="s">
        <v>557</v>
      </c>
      <c r="G50" s="43" t="s">
        <v>558</v>
      </c>
      <c r="H50" s="43" t="s">
        <v>559</v>
      </c>
      <c r="I50" s="43" t="s">
        <v>560</v>
      </c>
      <c r="J50" s="43" t="s">
        <v>449</v>
      </c>
      <c r="K50" s="43">
        <v>700000</v>
      </c>
      <c r="L50" s="43">
        <v>7</v>
      </c>
      <c r="M50" s="43" t="s">
        <v>561</v>
      </c>
      <c r="N50" s="51"/>
      <c r="O50" s="51"/>
      <c r="P50" s="43" t="str">
        <f>VLOOKUP(K50,Maestro!J:K,2,0)</f>
        <v>HARINA CRUDA</v>
      </c>
      <c r="Q50" s="43" t="str">
        <f>VLOOKUP(P50,Maestro!E:F,2,0)</f>
        <v>Molienda de  Crudo</v>
      </c>
      <c r="R50" s="43">
        <f>VLOOKUP(P50,ORD!$A:$C,3,0)</f>
        <v>3</v>
      </c>
      <c r="S50" t="str">
        <f t="shared" si="1"/>
        <v>7105040101CORRHIERRMolienda de  Crudo</v>
      </c>
      <c r="T50" t="str">
        <f>IFERROR(VLOOKUP(S50,Maestro!$A:$H,8,0),"Producción")</f>
        <v>Mineral de Hierro</v>
      </c>
      <c r="U50" s="43" t="s">
        <v>182</v>
      </c>
    </row>
    <row r="51" spans="1:21" x14ac:dyDescent="0.3">
      <c r="A51" s="43">
        <v>7105040101</v>
      </c>
      <c r="B51" s="43" t="s">
        <v>448</v>
      </c>
      <c r="C51" s="49">
        <f>Datos!$N$49*D51+Datos!$N$90*D51</f>
        <v>79039808.642553866</v>
      </c>
      <c r="D51" s="52">
        <f>Datos!$N$263*Datos!$N$170*(1+Datos!$N$214)</f>
        <v>463.89984375</v>
      </c>
      <c r="E51" s="43" t="s">
        <v>556</v>
      </c>
      <c r="F51" s="43" t="s">
        <v>557</v>
      </c>
      <c r="G51" s="43" t="s">
        <v>558</v>
      </c>
      <c r="H51" s="43" t="s">
        <v>559</v>
      </c>
      <c r="I51" s="43" t="s">
        <v>560</v>
      </c>
      <c r="J51" s="43" t="s">
        <v>522</v>
      </c>
      <c r="K51" s="43">
        <v>700000</v>
      </c>
      <c r="L51" s="43">
        <v>7</v>
      </c>
      <c r="M51" s="43" t="s">
        <v>562</v>
      </c>
      <c r="N51" s="51"/>
      <c r="O51" s="51"/>
      <c r="P51" s="43" t="str">
        <f>VLOOKUP(K51,Maestro!J:K,2,0)</f>
        <v>HARINA CRUDA</v>
      </c>
      <c r="Q51" s="43" t="str">
        <f>VLOOKUP(P51,Maestro!E:F,2,0)</f>
        <v>Molienda de  Crudo</v>
      </c>
      <c r="R51" s="43">
        <f>VLOOKUP(P51,ORD!$A:$C,3,0)</f>
        <v>3</v>
      </c>
      <c r="S51" t="str">
        <f t="shared" si="1"/>
        <v>7105040101CALAMINA1Molienda de  Crudo</v>
      </c>
      <c r="T51" t="str">
        <f>IFERROR(VLOOKUP(S51,Maestro!$A:$H,8,0),"Producción")</f>
        <v>Mineral de Hierro</v>
      </c>
      <c r="U51" s="43" t="s">
        <v>182</v>
      </c>
    </row>
    <row r="52" spans="1:21" x14ac:dyDescent="0.3">
      <c r="A52" s="43">
        <v>7105330101</v>
      </c>
      <c r="B52" s="43" t="s">
        <v>443</v>
      </c>
      <c r="C52" s="49"/>
      <c r="D52" s="56">
        <f>Datos!$N$263*Datos!$N$168*(1+Datos!$N$210)</f>
        <v>22394.224999999999</v>
      </c>
      <c r="E52" s="43" t="s">
        <v>556</v>
      </c>
      <c r="F52" s="43" t="s">
        <v>557</v>
      </c>
      <c r="G52" s="43" t="s">
        <v>563</v>
      </c>
      <c r="H52" s="43" t="s">
        <v>564</v>
      </c>
      <c r="I52" s="43" t="s">
        <v>560</v>
      </c>
      <c r="J52" s="43" t="s">
        <v>444</v>
      </c>
      <c r="K52" s="43">
        <v>700000</v>
      </c>
      <c r="L52" s="43">
        <v>7</v>
      </c>
      <c r="M52" s="43" t="s">
        <v>565</v>
      </c>
      <c r="N52" s="51"/>
      <c r="O52" s="51"/>
      <c r="P52" s="43" t="str">
        <f>VLOOKUP(K52,Maestro!J:K,2,0)</f>
        <v>HARINA CRUDA</v>
      </c>
      <c r="Q52" s="43" t="str">
        <f>VLOOKUP(P52,Maestro!E:F,2,0)</f>
        <v>Molienda de  Crudo</v>
      </c>
      <c r="R52" s="43">
        <f>VLOOKUP(P52,ORD!$A:$C,3,0)</f>
        <v>3</v>
      </c>
      <c r="S52" t="str">
        <f t="shared" si="1"/>
        <v>7105330101CALIZATRIMolienda de  Crudo</v>
      </c>
      <c r="T52" t="str">
        <f>IFERROR(VLOOKUP(S52,Maestro!$A:$H,8,0),"Producción")</f>
        <v>Caliza</v>
      </c>
      <c r="U52" s="43" t="s">
        <v>182</v>
      </c>
    </row>
    <row r="53" spans="1:21" x14ac:dyDescent="0.3">
      <c r="A53" s="43">
        <v>7105330101</v>
      </c>
      <c r="B53" s="43" t="s">
        <v>443</v>
      </c>
      <c r="C53" s="49"/>
      <c r="D53" s="52">
        <f>Datos!$N$263*Datos!$N$167*(1+Datos!$N$212)</f>
        <v>101835.69938118813</v>
      </c>
      <c r="E53" s="43" t="s">
        <v>556</v>
      </c>
      <c r="F53" s="43" t="s">
        <v>557</v>
      </c>
      <c r="G53" s="43" t="s">
        <v>563</v>
      </c>
      <c r="H53" s="43" t="s">
        <v>564</v>
      </c>
      <c r="I53" s="43" t="s">
        <v>560</v>
      </c>
      <c r="J53" s="43" t="s">
        <v>447</v>
      </c>
      <c r="K53" s="43">
        <v>700000</v>
      </c>
      <c r="L53" s="43">
        <v>7</v>
      </c>
      <c r="M53" s="43" t="s">
        <v>440</v>
      </c>
      <c r="N53" s="51"/>
      <c r="O53" s="51"/>
      <c r="P53" s="43" t="str">
        <f>VLOOKUP(K53,Maestro!J:K,2,0)</f>
        <v>HARINA CRUDA</v>
      </c>
      <c r="Q53" s="43" t="str">
        <f>VLOOKUP(P53,Maestro!E:F,2,0)</f>
        <v>Molienda de  Crudo</v>
      </c>
      <c r="R53" s="43">
        <f>VLOOKUP(P53,ORD!$A:$C,3,0)</f>
        <v>3</v>
      </c>
      <c r="S53" t="str">
        <f t="shared" si="1"/>
        <v>7105330101MEZCPREHOMolienda de  Crudo</v>
      </c>
      <c r="T53" t="str">
        <f>IFERROR(VLOOKUP(S53,Maestro!$A:$H,8,0),"Producción")</f>
        <v>Prehomo</v>
      </c>
      <c r="U53" s="43" t="s">
        <v>182</v>
      </c>
    </row>
    <row r="54" spans="1:21" x14ac:dyDescent="0.3">
      <c r="A54" s="43">
        <v>7999999995</v>
      </c>
      <c r="B54" s="43" t="s">
        <v>566</v>
      </c>
      <c r="C54" s="49"/>
      <c r="D54" s="56">
        <f>-Datos!$N$263</f>
        <v>-122500</v>
      </c>
      <c r="E54" s="43" t="s">
        <v>556</v>
      </c>
      <c r="F54" s="43" t="s">
        <v>557</v>
      </c>
      <c r="G54" s="43" t="s">
        <v>567</v>
      </c>
      <c r="H54" s="43" t="s">
        <v>568</v>
      </c>
      <c r="I54" s="43" t="s">
        <v>560</v>
      </c>
      <c r="J54" s="43" t="s">
        <v>458</v>
      </c>
      <c r="K54" s="43">
        <v>700000</v>
      </c>
      <c r="L54" s="43">
        <v>7</v>
      </c>
      <c r="M54" s="43" t="s">
        <v>445</v>
      </c>
      <c r="N54" s="51"/>
      <c r="O54" s="51"/>
      <c r="P54" s="43" t="str">
        <f>VLOOKUP(K54,Maestro!J:K,2,0)</f>
        <v>HARINA CRUDA</v>
      </c>
      <c r="Q54" s="43" t="str">
        <f>VLOOKUP(P54,Maestro!E:F,2,0)</f>
        <v>Molienda de  Crudo</v>
      </c>
      <c r="R54" s="43">
        <f>VLOOKUP(P54,ORD!$A:$C,3,0)</f>
        <v>3</v>
      </c>
      <c r="S54" t="str">
        <f t="shared" si="1"/>
        <v>7999999995HARINACRUDMolienda de  Crudo</v>
      </c>
      <c r="T54" t="str">
        <f>IFERROR(VLOOKUP(S54,Maestro!$A:$H,8,0),"Producción")</f>
        <v>Producción</v>
      </c>
      <c r="U54" s="43" t="s">
        <v>182</v>
      </c>
    </row>
    <row r="55" spans="1:21" x14ac:dyDescent="0.3">
      <c r="A55" s="43">
        <v>7355250320</v>
      </c>
      <c r="B55" s="43" t="s">
        <v>490</v>
      </c>
      <c r="C55" s="49">
        <f>Datos!$N$112*D55</f>
        <v>20470915.059744127</v>
      </c>
      <c r="D55" s="56">
        <f>Datos!$N$263</f>
        <v>122500</v>
      </c>
      <c r="E55" s="43"/>
      <c r="F55" s="43"/>
      <c r="G55" s="43"/>
      <c r="H55" s="43"/>
      <c r="I55" s="43" t="s">
        <v>560</v>
      </c>
      <c r="J55" s="43" t="s">
        <v>790</v>
      </c>
      <c r="K55" s="43">
        <v>700000</v>
      </c>
      <c r="L55" s="43">
        <v>7</v>
      </c>
      <c r="M55" s="43" t="s">
        <v>445</v>
      </c>
      <c r="N55" s="53"/>
      <c r="O55" s="53"/>
      <c r="P55" s="43" t="str">
        <f>VLOOKUP(K55,Maestro!J:K,2,0)</f>
        <v>HARINA CRUDA</v>
      </c>
      <c r="Q55" s="43" t="str">
        <f>VLOOKUP(P55,Maestro!E:F,2,0)</f>
        <v>Molienda de  Crudo</v>
      </c>
      <c r="R55" s="43">
        <f>VLOOKUP(P55,ORD!$A:$C,3,0)</f>
        <v>3</v>
      </c>
      <c r="S55" t="str">
        <f t="shared" si="1"/>
        <v>7355250320CUERPOS MOLEDORESMolienda de  Crudo</v>
      </c>
      <c r="T55" t="str">
        <f>IFERROR(VLOOKUP(S55,Maestro!$A:$H,8,0),"Producción")</f>
        <v>Cuerpos Moledores</v>
      </c>
      <c r="U55" s="43" t="s">
        <v>182</v>
      </c>
    </row>
    <row r="56" spans="1:21" x14ac:dyDescent="0.3">
      <c r="A56" s="43">
        <v>7355250321</v>
      </c>
      <c r="B56" s="43" t="s">
        <v>490</v>
      </c>
      <c r="C56" s="49">
        <f>Datos!$N$114*D56</f>
        <v>14685656.455903396</v>
      </c>
      <c r="D56" s="56">
        <f>Datos!$N$263</f>
        <v>122500</v>
      </c>
      <c r="E56" s="43"/>
      <c r="F56" s="43"/>
      <c r="G56" s="43"/>
      <c r="H56" s="43"/>
      <c r="I56" s="43" t="s">
        <v>560</v>
      </c>
      <c r="J56" s="43" t="s">
        <v>799</v>
      </c>
      <c r="K56" s="43">
        <v>700000</v>
      </c>
      <c r="L56" s="43">
        <v>7</v>
      </c>
      <c r="M56" s="43" t="s">
        <v>445</v>
      </c>
      <c r="N56" s="53"/>
      <c r="O56" s="53"/>
      <c r="P56" s="43" t="str">
        <f>VLOOKUP(K56,Maestro!J:K,2,0)</f>
        <v>HARINA CRUDA</v>
      </c>
      <c r="Q56" s="43" t="str">
        <f>VLOOKUP(P56,Maestro!E:F,2,0)</f>
        <v>Molienda de  Crudo</v>
      </c>
      <c r="R56" s="43">
        <f>VLOOKUP(P56,ORD!$A:$C,3,0)</f>
        <v>3</v>
      </c>
      <c r="S56" t="str">
        <f t="shared" si="1"/>
        <v>7355250321LAMINASMolienda de  Crudo</v>
      </c>
      <c r="T56" t="str">
        <f>IFERROR(VLOOKUP(S56,Maestro!$A:$H,8,0),"Producción")</f>
        <v>Láminas</v>
      </c>
      <c r="U56" s="43" t="s">
        <v>182</v>
      </c>
    </row>
    <row r="57" spans="1:21" x14ac:dyDescent="0.3">
      <c r="A57" s="43">
        <v>7355250322</v>
      </c>
      <c r="B57" s="43" t="s">
        <v>490</v>
      </c>
      <c r="C57" s="49">
        <f>Datos!$N$118*D57</f>
        <v>61091249.013199203</v>
      </c>
      <c r="D57" s="56">
        <f>Datos!$N$263</f>
        <v>122500</v>
      </c>
      <c r="E57" s="43"/>
      <c r="F57" s="43"/>
      <c r="G57" s="43"/>
      <c r="H57" s="43"/>
      <c r="I57" s="43" t="s">
        <v>560</v>
      </c>
      <c r="J57" s="43" t="s">
        <v>784</v>
      </c>
      <c r="K57" s="43">
        <v>700000</v>
      </c>
      <c r="L57" s="43">
        <v>7</v>
      </c>
      <c r="M57" s="43" t="s">
        <v>445</v>
      </c>
      <c r="N57" s="53"/>
      <c r="O57" s="53"/>
      <c r="P57" s="43" t="str">
        <f>VLOOKUP(K57,Maestro!J:K,2,0)</f>
        <v>HARINA CRUDA</v>
      </c>
      <c r="Q57" s="43" t="str">
        <f>VLOOKUP(P57,Maestro!E:F,2,0)</f>
        <v>Molienda de  Crudo</v>
      </c>
      <c r="R57" s="43">
        <f>VLOOKUP(P57,ORD!$A:$C,3,0)</f>
        <v>3</v>
      </c>
      <c r="S57" t="str">
        <f t="shared" si="1"/>
        <v>7355250322ANILLOS, TAPAS Y SEPARADORESMolienda de  Crudo</v>
      </c>
      <c r="T57" t="str">
        <f>IFERROR(VLOOKUP(S57,Maestro!$A:$H,8,0),"Producción")</f>
        <v>Anillos, Tapas y Separadores</v>
      </c>
      <c r="U57" s="43" t="s">
        <v>182</v>
      </c>
    </row>
    <row r="58" spans="1:21" x14ac:dyDescent="0.3">
      <c r="A58" s="43">
        <v>7105040101</v>
      </c>
      <c r="B58" s="43" t="s">
        <v>448</v>
      </c>
      <c r="C58" s="49">
        <f>Datos!$I$48*D58+Datos!$O$90*Base!D58</f>
        <v>978365607.75643694</v>
      </c>
      <c r="D58" s="52">
        <f>Datos!$O$263*Datos!$O$169*(1+Datos!$O$213)</f>
        <v>3253.2156249999998</v>
      </c>
      <c r="E58" s="43" t="s">
        <v>556</v>
      </c>
      <c r="F58" s="43" t="s">
        <v>557</v>
      </c>
      <c r="G58" s="43" t="s">
        <v>558</v>
      </c>
      <c r="H58" s="43" t="s">
        <v>559</v>
      </c>
      <c r="I58" s="43" t="s">
        <v>560</v>
      </c>
      <c r="J58" s="43" t="s">
        <v>449</v>
      </c>
      <c r="K58" s="43">
        <v>700000</v>
      </c>
      <c r="L58" s="43">
        <v>8</v>
      </c>
      <c r="M58" s="43" t="s">
        <v>561</v>
      </c>
      <c r="N58" s="51"/>
      <c r="O58" s="51"/>
      <c r="P58" s="43" t="str">
        <f>VLOOKUP(K58,Maestro!J:K,2,0)</f>
        <v>HARINA CRUDA</v>
      </c>
      <c r="Q58" s="43" t="str">
        <f>VLOOKUP(P58,Maestro!E:F,2,0)</f>
        <v>Molienda de  Crudo</v>
      </c>
      <c r="R58" s="43">
        <f>VLOOKUP(P58,ORD!$A:$C,3,0)</f>
        <v>3</v>
      </c>
      <c r="S58" t="str">
        <f t="shared" si="1"/>
        <v>7105040101CORRHIERRMolienda de  Crudo</v>
      </c>
      <c r="T58" t="str">
        <f>IFERROR(VLOOKUP(S58,Maestro!$A:$H,8,0),"Producción")</f>
        <v>Mineral de Hierro</v>
      </c>
      <c r="U58" s="43" t="s">
        <v>182</v>
      </c>
    </row>
    <row r="59" spans="1:21" x14ac:dyDescent="0.3">
      <c r="A59" s="43">
        <v>7105040101</v>
      </c>
      <c r="B59" s="43" t="s">
        <v>448</v>
      </c>
      <c r="C59" s="49">
        <f>Datos!$O$49*D59+Datos!$O$90*D59</f>
        <v>94486059.955759957</v>
      </c>
      <c r="D59" s="52">
        <f>Datos!$O$263*Datos!$O$170*(1+Datos!$O$214)</f>
        <v>554.78634375000001</v>
      </c>
      <c r="E59" s="43" t="s">
        <v>556</v>
      </c>
      <c r="F59" s="43" t="s">
        <v>557</v>
      </c>
      <c r="G59" s="43" t="s">
        <v>558</v>
      </c>
      <c r="H59" s="43" t="s">
        <v>559</v>
      </c>
      <c r="I59" s="43" t="s">
        <v>560</v>
      </c>
      <c r="J59" s="43" t="s">
        <v>522</v>
      </c>
      <c r="K59" s="43">
        <v>700000</v>
      </c>
      <c r="L59" s="43">
        <v>8</v>
      </c>
      <c r="M59" s="43" t="s">
        <v>562</v>
      </c>
      <c r="N59" s="51"/>
      <c r="O59" s="51"/>
      <c r="P59" s="43" t="str">
        <f>VLOOKUP(K59,Maestro!J:K,2,0)</f>
        <v>HARINA CRUDA</v>
      </c>
      <c r="Q59" s="43" t="str">
        <f>VLOOKUP(P59,Maestro!E:F,2,0)</f>
        <v>Molienda de  Crudo</v>
      </c>
      <c r="R59" s="43">
        <f>VLOOKUP(P59,ORD!$A:$C,3,0)</f>
        <v>3</v>
      </c>
      <c r="S59" t="str">
        <f t="shared" si="1"/>
        <v>7105040101CALAMINA1Molienda de  Crudo</v>
      </c>
      <c r="T59" t="str">
        <f>IFERROR(VLOOKUP(S59,Maestro!$A:$H,8,0),"Producción")</f>
        <v>Mineral de Hierro</v>
      </c>
      <c r="U59" s="43" t="s">
        <v>182</v>
      </c>
    </row>
    <row r="60" spans="1:21" x14ac:dyDescent="0.3">
      <c r="A60" s="43">
        <v>7105330101</v>
      </c>
      <c r="B60" s="43" t="s">
        <v>443</v>
      </c>
      <c r="C60" s="49"/>
      <c r="D60" s="56">
        <f>Datos!$O$263*Datos!$O$168*(1+Datos!$O$210)</f>
        <v>26781.665000000001</v>
      </c>
      <c r="E60" s="43" t="s">
        <v>556</v>
      </c>
      <c r="F60" s="43" t="s">
        <v>557</v>
      </c>
      <c r="G60" s="43" t="s">
        <v>563</v>
      </c>
      <c r="H60" s="43" t="s">
        <v>564</v>
      </c>
      <c r="I60" s="43" t="s">
        <v>560</v>
      </c>
      <c r="J60" s="43" t="s">
        <v>444</v>
      </c>
      <c r="K60" s="43">
        <v>700000</v>
      </c>
      <c r="L60" s="43">
        <v>8</v>
      </c>
      <c r="M60" s="43" t="s">
        <v>565</v>
      </c>
      <c r="N60" s="51"/>
      <c r="O60" s="51"/>
      <c r="P60" s="43" t="str">
        <f>VLOOKUP(K60,Maestro!J:K,2,0)</f>
        <v>HARINA CRUDA</v>
      </c>
      <c r="Q60" s="43" t="str">
        <f>VLOOKUP(P60,Maestro!E:F,2,0)</f>
        <v>Molienda de  Crudo</v>
      </c>
      <c r="R60" s="43">
        <f>VLOOKUP(P60,ORD!$A:$C,3,0)</f>
        <v>3</v>
      </c>
      <c r="S60" t="str">
        <f t="shared" si="1"/>
        <v>7105330101CALIZATRIMolienda de  Crudo</v>
      </c>
      <c r="T60" t="str">
        <f>IFERROR(VLOOKUP(S60,Maestro!$A:$H,8,0),"Producción")</f>
        <v>Caliza</v>
      </c>
      <c r="U60" s="43" t="s">
        <v>182</v>
      </c>
    </row>
    <row r="61" spans="1:21" x14ac:dyDescent="0.3">
      <c r="A61" s="43">
        <v>7105330101</v>
      </c>
      <c r="B61" s="43" t="s">
        <v>443</v>
      </c>
      <c r="C61" s="49"/>
      <c r="D61" s="52">
        <f>Datos!$O$263*Datos!$O$167*(1+Datos!$O$212)</f>
        <v>121787.18334158417</v>
      </c>
      <c r="E61" s="43" t="s">
        <v>556</v>
      </c>
      <c r="F61" s="43" t="s">
        <v>557</v>
      </c>
      <c r="G61" s="43" t="s">
        <v>563</v>
      </c>
      <c r="H61" s="43" t="s">
        <v>564</v>
      </c>
      <c r="I61" s="43" t="s">
        <v>560</v>
      </c>
      <c r="J61" s="43" t="s">
        <v>447</v>
      </c>
      <c r="K61" s="43">
        <v>700000</v>
      </c>
      <c r="L61" s="43">
        <v>8</v>
      </c>
      <c r="M61" s="43" t="s">
        <v>440</v>
      </c>
      <c r="N61" s="51"/>
      <c r="O61" s="51"/>
      <c r="P61" s="43" t="str">
        <f>VLOOKUP(K61,Maestro!J:K,2,0)</f>
        <v>HARINA CRUDA</v>
      </c>
      <c r="Q61" s="43" t="str">
        <f>VLOOKUP(P61,Maestro!E:F,2,0)</f>
        <v>Molienda de  Crudo</v>
      </c>
      <c r="R61" s="43">
        <f>VLOOKUP(P61,ORD!$A:$C,3,0)</f>
        <v>3</v>
      </c>
      <c r="S61" t="str">
        <f t="shared" si="1"/>
        <v>7105330101MEZCPREHOMolienda de  Crudo</v>
      </c>
      <c r="T61" t="str">
        <f>IFERROR(VLOOKUP(S61,Maestro!$A:$H,8,0),"Producción")</f>
        <v>Prehomo</v>
      </c>
      <c r="U61" s="43" t="s">
        <v>182</v>
      </c>
    </row>
    <row r="62" spans="1:21" x14ac:dyDescent="0.3">
      <c r="A62" s="43">
        <v>7999999995</v>
      </c>
      <c r="B62" s="43" t="s">
        <v>566</v>
      </c>
      <c r="C62" s="49"/>
      <c r="D62" s="56">
        <f>-Datos!$O$263</f>
        <v>-146500</v>
      </c>
      <c r="E62" s="43" t="s">
        <v>556</v>
      </c>
      <c r="F62" s="43" t="s">
        <v>557</v>
      </c>
      <c r="G62" s="43" t="s">
        <v>567</v>
      </c>
      <c r="H62" s="43" t="s">
        <v>568</v>
      </c>
      <c r="I62" s="43" t="s">
        <v>560</v>
      </c>
      <c r="J62" s="43" t="s">
        <v>458</v>
      </c>
      <c r="K62" s="43">
        <v>700000</v>
      </c>
      <c r="L62" s="43">
        <v>8</v>
      </c>
      <c r="M62" s="43" t="s">
        <v>445</v>
      </c>
      <c r="N62" s="51"/>
      <c r="O62" s="51"/>
      <c r="P62" s="43" t="str">
        <f>VLOOKUP(K62,Maestro!J:K,2,0)</f>
        <v>HARINA CRUDA</v>
      </c>
      <c r="Q62" s="43" t="str">
        <f>VLOOKUP(P62,Maestro!E:F,2,0)</f>
        <v>Molienda de  Crudo</v>
      </c>
      <c r="R62" s="43">
        <f>VLOOKUP(P62,ORD!$A:$C,3,0)</f>
        <v>3</v>
      </c>
      <c r="S62" t="str">
        <f t="shared" si="1"/>
        <v>7999999995HARINACRUDMolienda de  Crudo</v>
      </c>
      <c r="T62" t="str">
        <f>IFERROR(VLOOKUP(S62,Maestro!$A:$H,8,0),"Producción")</f>
        <v>Producción</v>
      </c>
      <c r="U62" s="43" t="s">
        <v>182</v>
      </c>
    </row>
    <row r="63" spans="1:21" x14ac:dyDescent="0.3">
      <c r="A63" s="43">
        <v>7355250320</v>
      </c>
      <c r="B63" s="43" t="s">
        <v>490</v>
      </c>
      <c r="C63" s="49">
        <f>Datos!$O$112*D63</f>
        <v>24481543.316347055</v>
      </c>
      <c r="D63" s="56">
        <f>Datos!$O$263</f>
        <v>146500</v>
      </c>
      <c r="E63" s="43"/>
      <c r="F63" s="43"/>
      <c r="G63" s="43"/>
      <c r="H63" s="43"/>
      <c r="I63" s="43" t="s">
        <v>560</v>
      </c>
      <c r="J63" s="43" t="s">
        <v>790</v>
      </c>
      <c r="K63" s="43">
        <v>700000</v>
      </c>
      <c r="L63" s="43">
        <v>8</v>
      </c>
      <c r="M63" s="43" t="s">
        <v>445</v>
      </c>
      <c r="N63" s="53"/>
      <c r="O63" s="53"/>
      <c r="P63" s="43" t="str">
        <f>VLOOKUP(K63,Maestro!J:K,2,0)</f>
        <v>HARINA CRUDA</v>
      </c>
      <c r="Q63" s="43" t="str">
        <f>VLOOKUP(P63,Maestro!E:F,2,0)</f>
        <v>Molienda de  Crudo</v>
      </c>
      <c r="R63" s="43">
        <f>VLOOKUP(P63,ORD!$A:$C,3,0)</f>
        <v>3</v>
      </c>
      <c r="S63" t="str">
        <f t="shared" si="1"/>
        <v>7355250320CUERPOS MOLEDORESMolienda de  Crudo</v>
      </c>
      <c r="T63" t="str">
        <f>IFERROR(VLOOKUP(S63,Maestro!$A:$H,8,0),"Producción")</f>
        <v>Cuerpos Moledores</v>
      </c>
      <c r="U63" s="43" t="s">
        <v>182</v>
      </c>
    </row>
    <row r="64" spans="1:21" x14ac:dyDescent="0.3">
      <c r="A64" s="43">
        <v>7355250321</v>
      </c>
      <c r="B64" s="43" t="s">
        <v>490</v>
      </c>
      <c r="C64" s="49">
        <f>Datos!$O$114*D64</f>
        <v>17562846.29216202</v>
      </c>
      <c r="D64" s="56">
        <f>Datos!$O$263</f>
        <v>146500</v>
      </c>
      <c r="E64" s="43"/>
      <c r="F64" s="43"/>
      <c r="G64" s="43"/>
      <c r="H64" s="43"/>
      <c r="I64" s="43" t="s">
        <v>560</v>
      </c>
      <c r="J64" s="43" t="s">
        <v>799</v>
      </c>
      <c r="K64" s="43">
        <v>700000</v>
      </c>
      <c r="L64" s="43">
        <v>8</v>
      </c>
      <c r="M64" s="43" t="s">
        <v>445</v>
      </c>
      <c r="N64" s="53"/>
      <c r="O64" s="53"/>
      <c r="P64" s="43" t="str">
        <f>VLOOKUP(K64,Maestro!J:K,2,0)</f>
        <v>HARINA CRUDA</v>
      </c>
      <c r="Q64" s="43" t="str">
        <f>VLOOKUP(P64,Maestro!E:F,2,0)</f>
        <v>Molienda de  Crudo</v>
      </c>
      <c r="R64" s="43">
        <f>VLOOKUP(P64,ORD!$A:$C,3,0)</f>
        <v>3</v>
      </c>
      <c r="S64" t="str">
        <f t="shared" si="1"/>
        <v>7355250321LAMINASMolienda de  Crudo</v>
      </c>
      <c r="T64" t="str">
        <f>IFERROR(VLOOKUP(S64,Maestro!$A:$H,8,0),"Producción")</f>
        <v>Láminas</v>
      </c>
      <c r="U64" s="43" t="s">
        <v>182</v>
      </c>
    </row>
    <row r="65" spans="1:21" x14ac:dyDescent="0.3">
      <c r="A65" s="43">
        <v>7355250322</v>
      </c>
      <c r="B65" s="43" t="s">
        <v>490</v>
      </c>
      <c r="C65" s="49">
        <f>Datos!$O$118*D65</f>
        <v>73060146.779050469</v>
      </c>
      <c r="D65" s="56">
        <f>Datos!$O$263</f>
        <v>146500</v>
      </c>
      <c r="E65" s="43"/>
      <c r="F65" s="43"/>
      <c r="G65" s="43"/>
      <c r="H65" s="43"/>
      <c r="I65" s="43" t="s">
        <v>560</v>
      </c>
      <c r="J65" s="43" t="s">
        <v>784</v>
      </c>
      <c r="K65" s="43">
        <v>700000</v>
      </c>
      <c r="L65" s="43">
        <v>8</v>
      </c>
      <c r="M65" s="43" t="s">
        <v>445</v>
      </c>
      <c r="N65" s="53"/>
      <c r="O65" s="53"/>
      <c r="P65" s="43" t="str">
        <f>VLOOKUP(K65,Maestro!J:K,2,0)</f>
        <v>HARINA CRUDA</v>
      </c>
      <c r="Q65" s="43" t="str">
        <f>VLOOKUP(P65,Maestro!E:F,2,0)</f>
        <v>Molienda de  Crudo</v>
      </c>
      <c r="R65" s="43">
        <f>VLOOKUP(P65,ORD!$A:$C,3,0)</f>
        <v>3</v>
      </c>
      <c r="S65" t="str">
        <f t="shared" si="1"/>
        <v>7355250322ANILLOS, TAPAS Y SEPARADORESMolienda de  Crudo</v>
      </c>
      <c r="T65" t="str">
        <f>IFERROR(VLOOKUP(S65,Maestro!$A:$H,8,0),"Producción")</f>
        <v>Anillos, Tapas y Separadores</v>
      </c>
      <c r="U65" s="43" t="s">
        <v>182</v>
      </c>
    </row>
    <row r="66" spans="1:21" x14ac:dyDescent="0.3">
      <c r="A66" s="43">
        <v>7105040101</v>
      </c>
      <c r="B66" s="43" t="s">
        <v>448</v>
      </c>
      <c r="C66" s="49">
        <f>Datos!$I$48*D66+Datos!$P$90*Base!D66</f>
        <v>759960554.44940579</v>
      </c>
      <c r="D66" s="52">
        <f>Datos!$P$263*Datos!$P$169*(1+Datos!$P$213)</f>
        <v>2525.9609374999995</v>
      </c>
      <c r="E66" s="43" t="s">
        <v>556</v>
      </c>
      <c r="F66" s="43" t="s">
        <v>557</v>
      </c>
      <c r="G66" s="43" t="s">
        <v>558</v>
      </c>
      <c r="H66" s="43" t="s">
        <v>559</v>
      </c>
      <c r="I66" s="43" t="s">
        <v>560</v>
      </c>
      <c r="J66" s="43" t="s">
        <v>449</v>
      </c>
      <c r="K66" s="43">
        <v>700000</v>
      </c>
      <c r="L66" s="43">
        <v>9</v>
      </c>
      <c r="M66" s="43" t="s">
        <v>561</v>
      </c>
      <c r="N66" s="51"/>
      <c r="O66" s="51"/>
      <c r="P66" s="43" t="str">
        <f>VLOOKUP(K66,Maestro!J:K,2,0)</f>
        <v>HARINA CRUDA</v>
      </c>
      <c r="Q66" s="43" t="str">
        <f>VLOOKUP(P66,Maestro!E:F,2,0)</f>
        <v>Molienda de  Crudo</v>
      </c>
      <c r="R66" s="43">
        <f>VLOOKUP(P66,ORD!$A:$C,3,0)</f>
        <v>3</v>
      </c>
      <c r="S66" t="str">
        <f t="shared" si="1"/>
        <v>7105040101CORRHIERRMolienda de  Crudo</v>
      </c>
      <c r="T66" t="str">
        <f>IFERROR(VLOOKUP(S66,Maestro!$A:$H,8,0),"Producción")</f>
        <v>Mineral de Hierro</v>
      </c>
      <c r="U66" s="43" t="s">
        <v>182</v>
      </c>
    </row>
    <row r="67" spans="1:21" x14ac:dyDescent="0.3">
      <c r="A67" s="43">
        <v>7105040101</v>
      </c>
      <c r="B67" s="43" t="s">
        <v>448</v>
      </c>
      <c r="C67" s="49">
        <f>Datos!$P$49*D67+Datos!$P$90*D67</f>
        <v>73416287.535961866</v>
      </c>
      <c r="D67" s="52">
        <f>Datos!$P$263*Datos!$P$170*(1+Datos!$P$214)</f>
        <v>430.76414062499998</v>
      </c>
      <c r="E67" s="43" t="s">
        <v>556</v>
      </c>
      <c r="F67" s="43" t="s">
        <v>557</v>
      </c>
      <c r="G67" s="43" t="s">
        <v>558</v>
      </c>
      <c r="H67" s="43" t="s">
        <v>559</v>
      </c>
      <c r="I67" s="43" t="s">
        <v>560</v>
      </c>
      <c r="J67" s="43" t="s">
        <v>522</v>
      </c>
      <c r="K67" s="43">
        <v>700000</v>
      </c>
      <c r="L67" s="43">
        <v>9</v>
      </c>
      <c r="M67" s="43" t="s">
        <v>562</v>
      </c>
      <c r="N67" s="51"/>
      <c r="O67" s="51"/>
      <c r="P67" s="43" t="str">
        <f>VLOOKUP(K67,Maestro!J:K,2,0)</f>
        <v>HARINA CRUDA</v>
      </c>
      <c r="Q67" s="43" t="str">
        <f>VLOOKUP(P67,Maestro!E:F,2,0)</f>
        <v>Molienda de  Crudo</v>
      </c>
      <c r="R67" s="43">
        <f>VLOOKUP(P67,ORD!$A:$C,3,0)</f>
        <v>3</v>
      </c>
      <c r="S67" t="str">
        <f t="shared" ref="S67:S130" si="2">A67&amp;J67&amp;Q67</f>
        <v>7105040101CALAMINA1Molienda de  Crudo</v>
      </c>
      <c r="T67" t="str">
        <f>IFERROR(VLOOKUP(S67,Maestro!$A:$H,8,0),"Producción")</f>
        <v>Mineral de Hierro</v>
      </c>
      <c r="U67" s="43" t="s">
        <v>182</v>
      </c>
    </row>
    <row r="68" spans="1:21" x14ac:dyDescent="0.3">
      <c r="A68" s="43">
        <v>7105330101</v>
      </c>
      <c r="B68" s="43" t="s">
        <v>443</v>
      </c>
      <c r="C68" s="49"/>
      <c r="D68" s="56">
        <f>Datos!$P$263*Datos!$P$168*(1+Datos!$P$210)</f>
        <v>20794.637500000001</v>
      </c>
      <c r="E68" s="43" t="s">
        <v>556</v>
      </c>
      <c r="F68" s="43" t="s">
        <v>557</v>
      </c>
      <c r="G68" s="43" t="s">
        <v>563</v>
      </c>
      <c r="H68" s="43" t="s">
        <v>564</v>
      </c>
      <c r="I68" s="43" t="s">
        <v>560</v>
      </c>
      <c r="J68" s="43" t="s">
        <v>444</v>
      </c>
      <c r="K68" s="43">
        <v>700000</v>
      </c>
      <c r="L68" s="43">
        <v>9</v>
      </c>
      <c r="M68" s="43" t="s">
        <v>565</v>
      </c>
      <c r="N68" s="51"/>
      <c r="O68" s="51"/>
      <c r="P68" s="43" t="str">
        <f>VLOOKUP(K68,Maestro!J:K,2,0)</f>
        <v>HARINA CRUDA</v>
      </c>
      <c r="Q68" s="43" t="str">
        <f>VLOOKUP(P68,Maestro!E:F,2,0)</f>
        <v>Molienda de  Crudo</v>
      </c>
      <c r="R68" s="43">
        <f>VLOOKUP(P68,ORD!$A:$C,3,0)</f>
        <v>3</v>
      </c>
      <c r="S68" t="str">
        <f t="shared" si="2"/>
        <v>7105330101CALIZATRIMolienda de  Crudo</v>
      </c>
      <c r="T68" t="str">
        <f>IFERROR(VLOOKUP(S68,Maestro!$A:$H,8,0),"Producción")</f>
        <v>Caliza</v>
      </c>
      <c r="U68" s="43" t="s">
        <v>182</v>
      </c>
    </row>
    <row r="69" spans="1:21" x14ac:dyDescent="0.3">
      <c r="A69" s="43">
        <v>7105330101</v>
      </c>
      <c r="B69" s="43" t="s">
        <v>443</v>
      </c>
      <c r="C69" s="49"/>
      <c r="D69" s="52">
        <f>Datos!$P$263*Datos!$P$167*(1+Datos!$P$212)</f>
        <v>94561.720853960403</v>
      </c>
      <c r="E69" s="43" t="s">
        <v>556</v>
      </c>
      <c r="F69" s="43" t="s">
        <v>557</v>
      </c>
      <c r="G69" s="43" t="s">
        <v>563</v>
      </c>
      <c r="H69" s="43" t="s">
        <v>564</v>
      </c>
      <c r="I69" s="43" t="s">
        <v>560</v>
      </c>
      <c r="J69" s="43" t="s">
        <v>447</v>
      </c>
      <c r="K69" s="43">
        <v>700000</v>
      </c>
      <c r="L69" s="43">
        <v>9</v>
      </c>
      <c r="M69" s="43" t="s">
        <v>440</v>
      </c>
      <c r="N69" s="51"/>
      <c r="O69" s="51"/>
      <c r="P69" s="43" t="str">
        <f>VLOOKUP(K69,Maestro!J:K,2,0)</f>
        <v>HARINA CRUDA</v>
      </c>
      <c r="Q69" s="43" t="str">
        <f>VLOOKUP(P69,Maestro!E:F,2,0)</f>
        <v>Molienda de  Crudo</v>
      </c>
      <c r="R69" s="43">
        <f>VLOOKUP(P69,ORD!$A:$C,3,0)</f>
        <v>3</v>
      </c>
      <c r="S69" t="str">
        <f t="shared" si="2"/>
        <v>7105330101MEZCPREHOMolienda de  Crudo</v>
      </c>
      <c r="T69" t="str">
        <f>IFERROR(VLOOKUP(S69,Maestro!$A:$H,8,0),"Producción")</f>
        <v>Prehomo</v>
      </c>
      <c r="U69" s="43" t="s">
        <v>182</v>
      </c>
    </row>
    <row r="70" spans="1:21" x14ac:dyDescent="0.3">
      <c r="A70" s="43">
        <v>7999999995</v>
      </c>
      <c r="B70" s="43" t="s">
        <v>566</v>
      </c>
      <c r="C70" s="49"/>
      <c r="D70" s="56">
        <f>-Datos!$P$263</f>
        <v>-113750</v>
      </c>
      <c r="E70" s="43" t="s">
        <v>556</v>
      </c>
      <c r="F70" s="43" t="s">
        <v>557</v>
      </c>
      <c r="G70" s="43" t="s">
        <v>567</v>
      </c>
      <c r="H70" s="43" t="s">
        <v>568</v>
      </c>
      <c r="I70" s="43" t="s">
        <v>560</v>
      </c>
      <c r="J70" s="43" t="s">
        <v>458</v>
      </c>
      <c r="K70" s="43">
        <v>700000</v>
      </c>
      <c r="L70" s="43">
        <v>9</v>
      </c>
      <c r="M70" s="43" t="s">
        <v>445</v>
      </c>
      <c r="N70" s="51"/>
      <c r="O70" s="51"/>
      <c r="P70" s="43" t="str">
        <f>VLOOKUP(K70,Maestro!J:K,2,0)</f>
        <v>HARINA CRUDA</v>
      </c>
      <c r="Q70" s="43" t="str">
        <f>VLOOKUP(P70,Maestro!E:F,2,0)</f>
        <v>Molienda de  Crudo</v>
      </c>
      <c r="R70" s="43">
        <f>VLOOKUP(P70,ORD!$A:$C,3,0)</f>
        <v>3</v>
      </c>
      <c r="S70" t="str">
        <f t="shared" si="2"/>
        <v>7999999995HARINACRUDMolienda de  Crudo</v>
      </c>
      <c r="T70" t="str">
        <f>IFERROR(VLOOKUP(S70,Maestro!$A:$H,8,0),"Producción")</f>
        <v>Producción</v>
      </c>
      <c r="U70" s="43" t="s">
        <v>182</v>
      </c>
    </row>
    <row r="71" spans="1:21" x14ac:dyDescent="0.3">
      <c r="A71" s="43">
        <v>7355250320</v>
      </c>
      <c r="B71" s="43" t="s">
        <v>490</v>
      </c>
      <c r="C71" s="49">
        <f>Datos!$P$112*D71</f>
        <v>19008706.841190975</v>
      </c>
      <c r="D71" s="56">
        <f>Datos!$P$263</f>
        <v>113750</v>
      </c>
      <c r="E71" s="43"/>
      <c r="F71" s="43"/>
      <c r="G71" s="43"/>
      <c r="H71" s="43"/>
      <c r="I71" s="43" t="s">
        <v>560</v>
      </c>
      <c r="J71" s="43" t="s">
        <v>790</v>
      </c>
      <c r="K71" s="43">
        <v>700000</v>
      </c>
      <c r="L71" s="43">
        <v>9</v>
      </c>
      <c r="M71" s="43" t="s">
        <v>445</v>
      </c>
      <c r="N71" s="53"/>
      <c r="O71" s="53"/>
      <c r="P71" s="43" t="str">
        <f>VLOOKUP(K71,Maestro!J:K,2,0)</f>
        <v>HARINA CRUDA</v>
      </c>
      <c r="Q71" s="43" t="str">
        <f>VLOOKUP(P71,Maestro!E:F,2,0)</f>
        <v>Molienda de  Crudo</v>
      </c>
      <c r="R71" s="43">
        <f>VLOOKUP(P71,ORD!$A:$C,3,0)</f>
        <v>3</v>
      </c>
      <c r="S71" t="str">
        <f t="shared" si="2"/>
        <v>7355250320CUERPOS MOLEDORESMolienda de  Crudo</v>
      </c>
      <c r="T71" t="str">
        <f>IFERROR(VLOOKUP(S71,Maestro!$A:$H,8,0),"Producción")</f>
        <v>Cuerpos Moledores</v>
      </c>
      <c r="U71" s="43" t="s">
        <v>182</v>
      </c>
    </row>
    <row r="72" spans="1:21" x14ac:dyDescent="0.3">
      <c r="A72" s="43">
        <v>7355250321</v>
      </c>
      <c r="B72" s="43" t="s">
        <v>490</v>
      </c>
      <c r="C72" s="49">
        <f>Datos!$P$114*D72</f>
        <v>13636680.994767439</v>
      </c>
      <c r="D72" s="56">
        <f>Datos!$P$263</f>
        <v>113750</v>
      </c>
      <c r="E72" s="43"/>
      <c r="F72" s="43"/>
      <c r="G72" s="43"/>
      <c r="H72" s="43"/>
      <c r="I72" s="43" t="s">
        <v>560</v>
      </c>
      <c r="J72" s="43" t="s">
        <v>799</v>
      </c>
      <c r="K72" s="43">
        <v>700000</v>
      </c>
      <c r="L72" s="43">
        <v>9</v>
      </c>
      <c r="M72" s="43" t="s">
        <v>445</v>
      </c>
      <c r="N72" s="53"/>
      <c r="O72" s="53"/>
      <c r="P72" s="43" t="str">
        <f>VLOOKUP(K72,Maestro!J:K,2,0)</f>
        <v>HARINA CRUDA</v>
      </c>
      <c r="Q72" s="43" t="str">
        <f>VLOOKUP(P72,Maestro!E:F,2,0)</f>
        <v>Molienda de  Crudo</v>
      </c>
      <c r="R72" s="43">
        <f>VLOOKUP(P72,ORD!$A:$C,3,0)</f>
        <v>3</v>
      </c>
      <c r="S72" t="str">
        <f t="shared" si="2"/>
        <v>7355250321LAMINASMolienda de  Crudo</v>
      </c>
      <c r="T72" t="str">
        <f>IFERROR(VLOOKUP(S72,Maestro!$A:$H,8,0),"Producción")</f>
        <v>Láminas</v>
      </c>
      <c r="U72" s="43" t="s">
        <v>182</v>
      </c>
    </row>
    <row r="73" spans="1:21" x14ac:dyDescent="0.3">
      <c r="A73" s="43">
        <v>7355250322</v>
      </c>
      <c r="B73" s="43" t="s">
        <v>490</v>
      </c>
      <c r="C73" s="49">
        <f>Datos!$P$118*D73</f>
        <v>56727588.369399257</v>
      </c>
      <c r="D73" s="56">
        <f>Datos!$P$263</f>
        <v>113750</v>
      </c>
      <c r="E73" s="43"/>
      <c r="F73" s="43"/>
      <c r="G73" s="43"/>
      <c r="H73" s="43"/>
      <c r="I73" s="43" t="s">
        <v>560</v>
      </c>
      <c r="J73" s="43" t="s">
        <v>784</v>
      </c>
      <c r="K73" s="43">
        <v>700000</v>
      </c>
      <c r="L73" s="43">
        <v>9</v>
      </c>
      <c r="M73" s="43" t="s">
        <v>445</v>
      </c>
      <c r="N73" s="53"/>
      <c r="O73" s="53"/>
      <c r="P73" s="43" t="str">
        <f>VLOOKUP(K73,Maestro!J:K,2,0)</f>
        <v>HARINA CRUDA</v>
      </c>
      <c r="Q73" s="43" t="str">
        <f>VLOOKUP(P73,Maestro!E:F,2,0)</f>
        <v>Molienda de  Crudo</v>
      </c>
      <c r="R73" s="43">
        <f>VLOOKUP(P73,ORD!$A:$C,3,0)</f>
        <v>3</v>
      </c>
      <c r="S73" t="str">
        <f t="shared" si="2"/>
        <v>7355250322ANILLOS, TAPAS Y SEPARADORESMolienda de  Crudo</v>
      </c>
      <c r="T73" t="str">
        <f>IFERROR(VLOOKUP(S73,Maestro!$A:$H,8,0),"Producción")</f>
        <v>Anillos, Tapas y Separadores</v>
      </c>
      <c r="U73" s="43" t="s">
        <v>182</v>
      </c>
    </row>
    <row r="74" spans="1:21" x14ac:dyDescent="0.3">
      <c r="A74" s="43">
        <v>7105040101</v>
      </c>
      <c r="B74" s="43" t="s">
        <v>448</v>
      </c>
      <c r="C74" s="49">
        <f>Datos!$I$48*D74+Datos!$Q$90*Base!D74</f>
        <v>598193715.64753723</v>
      </c>
      <c r="D74" s="52">
        <f>Datos!$Q$263*Datos!$Q$169*(1+Datos!$Q$213)</f>
        <v>1987.4593749999999</v>
      </c>
      <c r="E74" s="43" t="s">
        <v>556</v>
      </c>
      <c r="F74" s="43" t="s">
        <v>557</v>
      </c>
      <c r="G74" s="43" t="s">
        <v>558</v>
      </c>
      <c r="H74" s="43" t="s">
        <v>559</v>
      </c>
      <c r="I74" s="43" t="s">
        <v>560</v>
      </c>
      <c r="J74" s="43" t="s">
        <v>449</v>
      </c>
      <c r="K74" s="43">
        <v>700000</v>
      </c>
      <c r="L74" s="43">
        <v>10</v>
      </c>
      <c r="M74" s="43" t="s">
        <v>561</v>
      </c>
      <c r="N74" s="51"/>
      <c r="O74" s="51"/>
      <c r="P74" s="43" t="str">
        <f>VLOOKUP(K74,Maestro!J:K,2,0)</f>
        <v>HARINA CRUDA</v>
      </c>
      <c r="Q74" s="43" t="str">
        <f>VLOOKUP(P74,Maestro!E:F,2,0)</f>
        <v>Molienda de  Crudo</v>
      </c>
      <c r="R74" s="43">
        <f>VLOOKUP(P74,ORD!$A:$C,3,0)</f>
        <v>3</v>
      </c>
      <c r="S74" t="str">
        <f t="shared" si="2"/>
        <v>7105040101CORRHIERRMolienda de  Crudo</v>
      </c>
      <c r="T74" t="str">
        <f>IFERROR(VLOOKUP(S74,Maestro!$A:$H,8,0),"Producción")</f>
        <v>Mineral de Hierro</v>
      </c>
      <c r="U74" s="43" t="s">
        <v>182</v>
      </c>
    </row>
    <row r="75" spans="1:21" x14ac:dyDescent="0.3">
      <c r="A75" s="43">
        <v>7105040101</v>
      </c>
      <c r="B75" s="43" t="s">
        <v>448</v>
      </c>
      <c r="C75" s="49">
        <f>Datos!$Q$49*D75+Datos!$Q$90*D75</f>
        <v>57806979.192622773</v>
      </c>
      <c r="D75" s="52">
        <f>Datos!$Q$263*Datos!$Q$170*(1+Datos!$Q$214)</f>
        <v>338.93090624999996</v>
      </c>
      <c r="E75" s="43" t="s">
        <v>556</v>
      </c>
      <c r="F75" s="43" t="s">
        <v>557</v>
      </c>
      <c r="G75" s="43" t="s">
        <v>558</v>
      </c>
      <c r="H75" s="43" t="s">
        <v>559</v>
      </c>
      <c r="I75" s="43" t="s">
        <v>560</v>
      </c>
      <c r="J75" s="43" t="s">
        <v>522</v>
      </c>
      <c r="K75" s="43">
        <v>700000</v>
      </c>
      <c r="L75" s="43">
        <v>10</v>
      </c>
      <c r="M75" s="43" t="s">
        <v>562</v>
      </c>
      <c r="N75" s="51"/>
      <c r="O75" s="51"/>
      <c r="P75" s="43" t="str">
        <f>VLOOKUP(K75,Maestro!J:K,2,0)</f>
        <v>HARINA CRUDA</v>
      </c>
      <c r="Q75" s="43" t="str">
        <f>VLOOKUP(P75,Maestro!E:F,2,0)</f>
        <v>Molienda de  Crudo</v>
      </c>
      <c r="R75" s="43">
        <f>VLOOKUP(P75,ORD!$A:$C,3,0)</f>
        <v>3</v>
      </c>
      <c r="S75" t="str">
        <f t="shared" si="2"/>
        <v>7105040101CALAMINA1Molienda de  Crudo</v>
      </c>
      <c r="T75" t="str">
        <f>IFERROR(VLOOKUP(S75,Maestro!$A:$H,8,0),"Producción")</f>
        <v>Mineral de Hierro</v>
      </c>
      <c r="U75" s="43" t="s">
        <v>182</v>
      </c>
    </row>
    <row r="76" spans="1:21" x14ac:dyDescent="0.3">
      <c r="A76" s="43">
        <v>7105330101</v>
      </c>
      <c r="B76" s="43" t="s">
        <v>443</v>
      </c>
      <c r="C76" s="49"/>
      <c r="D76" s="56">
        <f>Datos!$Q$263*Datos!$Q$168*(1+Datos!$Q$210)</f>
        <v>16361.495000000001</v>
      </c>
      <c r="E76" s="43" t="s">
        <v>556</v>
      </c>
      <c r="F76" s="43" t="s">
        <v>557</v>
      </c>
      <c r="G76" s="43" t="s">
        <v>563</v>
      </c>
      <c r="H76" s="43" t="s">
        <v>564</v>
      </c>
      <c r="I76" s="43" t="s">
        <v>560</v>
      </c>
      <c r="J76" s="43" t="s">
        <v>444</v>
      </c>
      <c r="K76" s="43">
        <v>700000</v>
      </c>
      <c r="L76" s="43">
        <v>10</v>
      </c>
      <c r="M76" s="43" t="s">
        <v>565</v>
      </c>
      <c r="N76" s="51"/>
      <c r="O76" s="51"/>
      <c r="P76" s="43" t="str">
        <f>VLOOKUP(K76,Maestro!J:K,2,0)</f>
        <v>HARINA CRUDA</v>
      </c>
      <c r="Q76" s="43" t="str">
        <f>VLOOKUP(P76,Maestro!E:F,2,0)</f>
        <v>Molienda de  Crudo</v>
      </c>
      <c r="R76" s="43">
        <f>VLOOKUP(P76,ORD!$A:$C,3,0)</f>
        <v>3</v>
      </c>
      <c r="S76" t="str">
        <f t="shared" si="2"/>
        <v>7105330101CALIZATRIMolienda de  Crudo</v>
      </c>
      <c r="T76" t="str">
        <f>IFERROR(VLOOKUP(S76,Maestro!$A:$H,8,0),"Producción")</f>
        <v>Caliza</v>
      </c>
      <c r="U76" s="43" t="s">
        <v>182</v>
      </c>
    </row>
    <row r="77" spans="1:21" x14ac:dyDescent="0.3">
      <c r="A77" s="43">
        <v>7105330101</v>
      </c>
      <c r="B77" s="43" t="s">
        <v>443</v>
      </c>
      <c r="C77" s="49"/>
      <c r="D77" s="52">
        <f>Datos!$Q$263*Datos!$Q$167*(1+Datos!$Q$212)</f>
        <v>74402.408935643572</v>
      </c>
      <c r="E77" s="43" t="s">
        <v>556</v>
      </c>
      <c r="F77" s="43" t="s">
        <v>557</v>
      </c>
      <c r="G77" s="43" t="s">
        <v>563</v>
      </c>
      <c r="H77" s="43" t="s">
        <v>564</v>
      </c>
      <c r="I77" s="43" t="s">
        <v>560</v>
      </c>
      <c r="J77" s="43" t="s">
        <v>447</v>
      </c>
      <c r="K77" s="43">
        <v>700000</v>
      </c>
      <c r="L77" s="43">
        <v>10</v>
      </c>
      <c r="M77" s="43" t="s">
        <v>440</v>
      </c>
      <c r="N77" s="51"/>
      <c r="O77" s="51"/>
      <c r="P77" s="43" t="str">
        <f>VLOOKUP(K77,Maestro!J:K,2,0)</f>
        <v>HARINA CRUDA</v>
      </c>
      <c r="Q77" s="43" t="str">
        <f>VLOOKUP(P77,Maestro!E:F,2,0)</f>
        <v>Molienda de  Crudo</v>
      </c>
      <c r="R77" s="43">
        <f>VLOOKUP(P77,ORD!$A:$C,3,0)</f>
        <v>3</v>
      </c>
      <c r="S77" t="str">
        <f t="shared" si="2"/>
        <v>7105330101MEZCPREHOMolienda de  Crudo</v>
      </c>
      <c r="T77" t="str">
        <f>IFERROR(VLOOKUP(S77,Maestro!$A:$H,8,0),"Producción")</f>
        <v>Prehomo</v>
      </c>
      <c r="U77" s="43" t="s">
        <v>182</v>
      </c>
    </row>
    <row r="78" spans="1:21" x14ac:dyDescent="0.3">
      <c r="A78" s="43">
        <v>7999999995</v>
      </c>
      <c r="B78" s="43" t="s">
        <v>566</v>
      </c>
      <c r="C78" s="49"/>
      <c r="D78" s="56">
        <f>-Datos!$Q$263</f>
        <v>-89500</v>
      </c>
      <c r="E78" s="43" t="s">
        <v>556</v>
      </c>
      <c r="F78" s="43" t="s">
        <v>557</v>
      </c>
      <c r="G78" s="43" t="s">
        <v>567</v>
      </c>
      <c r="H78" s="43" t="s">
        <v>568</v>
      </c>
      <c r="I78" s="43" t="s">
        <v>560</v>
      </c>
      <c r="J78" s="43" t="s">
        <v>458</v>
      </c>
      <c r="K78" s="43">
        <v>700000</v>
      </c>
      <c r="L78" s="43">
        <v>10</v>
      </c>
      <c r="M78" s="43" t="s">
        <v>445</v>
      </c>
      <c r="N78" s="51"/>
      <c r="O78" s="51"/>
      <c r="P78" s="43" t="str">
        <f>VLOOKUP(K78,Maestro!J:K,2,0)</f>
        <v>HARINA CRUDA</v>
      </c>
      <c r="Q78" s="43" t="str">
        <f>VLOOKUP(P78,Maestro!E:F,2,0)</f>
        <v>Molienda de  Crudo</v>
      </c>
      <c r="R78" s="43">
        <f>VLOOKUP(P78,ORD!$A:$C,3,0)</f>
        <v>3</v>
      </c>
      <c r="S78" t="str">
        <f t="shared" si="2"/>
        <v>7999999995HARINACRUDMolienda de  Crudo</v>
      </c>
      <c r="T78" t="str">
        <f>IFERROR(VLOOKUP(S78,Maestro!$A:$H,8,0),"Producción")</f>
        <v>Producción</v>
      </c>
      <c r="U78" s="43" t="s">
        <v>182</v>
      </c>
    </row>
    <row r="79" spans="1:21" x14ac:dyDescent="0.3">
      <c r="A79" s="43">
        <v>7355250320</v>
      </c>
      <c r="B79" s="43" t="s">
        <v>490</v>
      </c>
      <c r="C79" s="49">
        <f>Datos!$Q$112*D79</f>
        <v>14956301.206915095</v>
      </c>
      <c r="D79" s="56">
        <f>Datos!$Q$263</f>
        <v>89500</v>
      </c>
      <c r="E79" s="43"/>
      <c r="F79" s="43"/>
      <c r="G79" s="43"/>
      <c r="H79" s="43"/>
      <c r="I79" s="43" t="s">
        <v>560</v>
      </c>
      <c r="J79" s="43" t="s">
        <v>790</v>
      </c>
      <c r="K79" s="43">
        <v>700000</v>
      </c>
      <c r="L79" s="43">
        <v>10</v>
      </c>
      <c r="M79" s="43" t="s">
        <v>445</v>
      </c>
      <c r="N79" s="53"/>
      <c r="O79" s="53"/>
      <c r="P79" s="43" t="str">
        <f>VLOOKUP(K79,Maestro!J:K,2,0)</f>
        <v>HARINA CRUDA</v>
      </c>
      <c r="Q79" s="43" t="str">
        <f>VLOOKUP(P79,Maestro!E:F,2,0)</f>
        <v>Molienda de  Crudo</v>
      </c>
      <c r="R79" s="43">
        <f>VLOOKUP(P79,ORD!$A:$C,3,0)</f>
        <v>3</v>
      </c>
      <c r="S79" t="str">
        <f t="shared" si="2"/>
        <v>7355250320CUERPOS MOLEDORESMolienda de  Crudo</v>
      </c>
      <c r="T79" t="str">
        <f>IFERROR(VLOOKUP(S79,Maestro!$A:$H,8,0),"Producción")</f>
        <v>Cuerpos Moledores</v>
      </c>
      <c r="U79" s="43" t="s">
        <v>182</v>
      </c>
    </row>
    <row r="80" spans="1:21" x14ac:dyDescent="0.3">
      <c r="A80" s="43">
        <v>7355250321</v>
      </c>
      <c r="B80" s="43" t="s">
        <v>490</v>
      </c>
      <c r="C80" s="49">
        <f>Datos!$Q$114*D80</f>
        <v>10729520.431047786</v>
      </c>
      <c r="D80" s="56">
        <f>Datos!$Q$263</f>
        <v>89500</v>
      </c>
      <c r="E80" s="43"/>
      <c r="F80" s="43"/>
      <c r="G80" s="43"/>
      <c r="H80" s="43"/>
      <c r="I80" s="43" t="s">
        <v>560</v>
      </c>
      <c r="J80" s="43" t="s">
        <v>799</v>
      </c>
      <c r="K80" s="43">
        <v>700000</v>
      </c>
      <c r="L80" s="43">
        <v>10</v>
      </c>
      <c r="M80" s="43" t="s">
        <v>445</v>
      </c>
      <c r="N80" s="53"/>
      <c r="O80" s="53"/>
      <c r="P80" s="43" t="str">
        <f>VLOOKUP(K80,Maestro!J:K,2,0)</f>
        <v>HARINA CRUDA</v>
      </c>
      <c r="Q80" s="43" t="str">
        <f>VLOOKUP(P80,Maestro!E:F,2,0)</f>
        <v>Molienda de  Crudo</v>
      </c>
      <c r="R80" s="43">
        <f>VLOOKUP(P80,ORD!$A:$C,3,0)</f>
        <v>3</v>
      </c>
      <c r="S80" t="str">
        <f t="shared" si="2"/>
        <v>7355250321LAMINASMolienda de  Crudo</v>
      </c>
      <c r="T80" t="str">
        <f>IFERROR(VLOOKUP(S80,Maestro!$A:$H,8,0),"Producción")</f>
        <v>Láminas</v>
      </c>
      <c r="U80" s="43" t="s">
        <v>182</v>
      </c>
    </row>
    <row r="81" spans="1:21" x14ac:dyDescent="0.3">
      <c r="A81" s="43">
        <v>7355250322</v>
      </c>
      <c r="B81" s="43" t="s">
        <v>490</v>
      </c>
      <c r="C81" s="49">
        <f>Datos!$Q$118*D81</f>
        <v>44634014.585153699</v>
      </c>
      <c r="D81" s="56">
        <f>Datos!$Q$263</f>
        <v>89500</v>
      </c>
      <c r="E81" s="43"/>
      <c r="F81" s="43"/>
      <c r="G81" s="43"/>
      <c r="H81" s="43"/>
      <c r="I81" s="43" t="s">
        <v>560</v>
      </c>
      <c r="J81" s="43" t="s">
        <v>784</v>
      </c>
      <c r="K81" s="43">
        <v>700000</v>
      </c>
      <c r="L81" s="43">
        <v>10</v>
      </c>
      <c r="M81" s="43" t="s">
        <v>445</v>
      </c>
      <c r="N81" s="53"/>
      <c r="O81" s="53"/>
      <c r="P81" s="43" t="str">
        <f>VLOOKUP(K81,Maestro!J:K,2,0)</f>
        <v>HARINA CRUDA</v>
      </c>
      <c r="Q81" s="43" t="str">
        <f>VLOOKUP(P81,Maestro!E:F,2,0)</f>
        <v>Molienda de  Crudo</v>
      </c>
      <c r="R81" s="43">
        <f>VLOOKUP(P81,ORD!$A:$C,3,0)</f>
        <v>3</v>
      </c>
      <c r="S81" t="str">
        <f t="shared" si="2"/>
        <v>7355250322ANILLOS, TAPAS Y SEPARADORESMolienda de  Crudo</v>
      </c>
      <c r="T81" t="str">
        <f>IFERROR(VLOOKUP(S81,Maestro!$A:$H,8,0),"Producción")</f>
        <v>Anillos, Tapas y Separadores</v>
      </c>
      <c r="U81" s="43" t="s">
        <v>182</v>
      </c>
    </row>
    <row r="82" spans="1:21" x14ac:dyDescent="0.3">
      <c r="A82" s="43">
        <v>7105040101</v>
      </c>
      <c r="B82" s="43" t="s">
        <v>448</v>
      </c>
      <c r="C82" s="49">
        <f>Datos!$I$48*D82+Datos!$R$90*Base!D82</f>
        <v>951705920.22384059</v>
      </c>
      <c r="D82" s="52">
        <f>Datos!$R$263*Datos!$R$169*(1+Datos!$R$213)</f>
        <v>3164.3906249999995</v>
      </c>
      <c r="E82" s="43" t="s">
        <v>556</v>
      </c>
      <c r="F82" s="43" t="s">
        <v>557</v>
      </c>
      <c r="G82" s="43" t="s">
        <v>558</v>
      </c>
      <c r="H82" s="43" t="s">
        <v>559</v>
      </c>
      <c r="I82" s="43" t="s">
        <v>560</v>
      </c>
      <c r="J82" s="43" t="s">
        <v>449</v>
      </c>
      <c r="K82" s="43">
        <v>700000</v>
      </c>
      <c r="L82" s="43">
        <v>11</v>
      </c>
      <c r="M82" s="43" t="s">
        <v>561</v>
      </c>
      <c r="N82" s="51"/>
      <c r="O82" s="51"/>
      <c r="P82" s="43" t="str">
        <f>VLOOKUP(K82,Maestro!J:K,2,0)</f>
        <v>HARINA CRUDA</v>
      </c>
      <c r="Q82" s="43" t="str">
        <f>VLOOKUP(P82,Maestro!E:F,2,0)</f>
        <v>Molienda de  Crudo</v>
      </c>
      <c r="R82" s="43">
        <f>VLOOKUP(P82,ORD!$A:$C,3,0)</f>
        <v>3</v>
      </c>
      <c r="S82" t="str">
        <f t="shared" si="2"/>
        <v>7105040101CORRHIERRMolienda de  Crudo</v>
      </c>
      <c r="T82" t="str">
        <f>IFERROR(VLOOKUP(S82,Maestro!$A:$H,8,0),"Producción")</f>
        <v>Mineral de Hierro</v>
      </c>
      <c r="U82" s="43" t="s">
        <v>182</v>
      </c>
    </row>
    <row r="83" spans="1:21" x14ac:dyDescent="0.3">
      <c r="A83" s="43">
        <v>7105040101</v>
      </c>
      <c r="B83" s="43" t="s">
        <v>448</v>
      </c>
      <c r="C83" s="49">
        <f>Datos!$R$49*D83+Datos!$R$90*D83</f>
        <v>91915336.654133007</v>
      </c>
      <c r="D83" s="52">
        <f>Datos!$R$263*Datos!$R$170*(1+Datos!$R$214)</f>
        <v>539.63859374999993</v>
      </c>
      <c r="E83" s="43" t="s">
        <v>556</v>
      </c>
      <c r="F83" s="43" t="s">
        <v>557</v>
      </c>
      <c r="G83" s="43" t="s">
        <v>558</v>
      </c>
      <c r="H83" s="43" t="s">
        <v>559</v>
      </c>
      <c r="I83" s="43" t="s">
        <v>560</v>
      </c>
      <c r="J83" s="43" t="s">
        <v>522</v>
      </c>
      <c r="K83" s="43">
        <v>700000</v>
      </c>
      <c r="L83" s="43">
        <v>11</v>
      </c>
      <c r="M83" s="43" t="s">
        <v>562</v>
      </c>
      <c r="N83" s="51"/>
      <c r="O83" s="51"/>
      <c r="P83" s="43" t="str">
        <f>VLOOKUP(K83,Maestro!J:K,2,0)</f>
        <v>HARINA CRUDA</v>
      </c>
      <c r="Q83" s="43" t="str">
        <f>VLOOKUP(P83,Maestro!E:F,2,0)</f>
        <v>Molienda de  Crudo</v>
      </c>
      <c r="R83" s="43">
        <f>VLOOKUP(P83,ORD!$A:$C,3,0)</f>
        <v>3</v>
      </c>
      <c r="S83" t="str">
        <f t="shared" si="2"/>
        <v>7105040101CALAMINA1Molienda de  Crudo</v>
      </c>
      <c r="T83" t="str">
        <f>IFERROR(VLOOKUP(S83,Maestro!$A:$H,8,0),"Producción")</f>
        <v>Mineral de Hierro</v>
      </c>
      <c r="U83" s="43" t="s">
        <v>182</v>
      </c>
    </row>
    <row r="84" spans="1:21" x14ac:dyDescent="0.3">
      <c r="A84" s="43">
        <v>7105330101</v>
      </c>
      <c r="B84" s="43" t="s">
        <v>443</v>
      </c>
      <c r="C84" s="49"/>
      <c r="D84" s="56">
        <f>Datos!$R$263*Datos!$R$168*(1+Datos!$R$210)</f>
        <v>26050.424999999999</v>
      </c>
      <c r="E84" s="43" t="s">
        <v>556</v>
      </c>
      <c r="F84" s="43" t="s">
        <v>557</v>
      </c>
      <c r="G84" s="43" t="s">
        <v>563</v>
      </c>
      <c r="H84" s="43" t="s">
        <v>564</v>
      </c>
      <c r="I84" s="43" t="s">
        <v>560</v>
      </c>
      <c r="J84" s="43" t="s">
        <v>444</v>
      </c>
      <c r="K84" s="43">
        <v>700000</v>
      </c>
      <c r="L84" s="43">
        <v>11</v>
      </c>
      <c r="M84" s="43" t="s">
        <v>565</v>
      </c>
      <c r="N84" s="51"/>
      <c r="O84" s="51"/>
      <c r="P84" s="43" t="str">
        <f>VLOOKUP(K84,Maestro!J:K,2,0)</f>
        <v>HARINA CRUDA</v>
      </c>
      <c r="Q84" s="43" t="str">
        <f>VLOOKUP(P84,Maestro!E:F,2,0)</f>
        <v>Molienda de  Crudo</v>
      </c>
      <c r="R84" s="43">
        <f>VLOOKUP(P84,ORD!$A:$C,3,0)</f>
        <v>3</v>
      </c>
      <c r="S84" t="str">
        <f t="shared" si="2"/>
        <v>7105330101CALIZATRIMolienda de  Crudo</v>
      </c>
      <c r="T84" t="str">
        <f>IFERROR(VLOOKUP(S84,Maestro!$A:$H,8,0),"Producción")</f>
        <v>Caliza</v>
      </c>
      <c r="U84" s="43" t="s">
        <v>182</v>
      </c>
    </row>
    <row r="85" spans="1:21" x14ac:dyDescent="0.3">
      <c r="A85" s="43">
        <v>7105330101</v>
      </c>
      <c r="B85" s="43" t="s">
        <v>443</v>
      </c>
      <c r="C85" s="49"/>
      <c r="D85" s="52">
        <f>Datos!$R$263*Datos!$R$167*(1+Datos!$R$212)</f>
        <v>118461.93601485148</v>
      </c>
      <c r="E85" s="43" t="s">
        <v>556</v>
      </c>
      <c r="F85" s="43" t="s">
        <v>557</v>
      </c>
      <c r="G85" s="43" t="s">
        <v>563</v>
      </c>
      <c r="H85" s="43" t="s">
        <v>564</v>
      </c>
      <c r="I85" s="43" t="s">
        <v>560</v>
      </c>
      <c r="J85" s="43" t="s">
        <v>447</v>
      </c>
      <c r="K85" s="43">
        <v>700000</v>
      </c>
      <c r="L85" s="43">
        <v>11</v>
      </c>
      <c r="M85" s="43" t="s">
        <v>440</v>
      </c>
      <c r="N85" s="51"/>
      <c r="O85" s="51"/>
      <c r="P85" s="43" t="str">
        <f>VLOOKUP(K85,Maestro!J:K,2,0)</f>
        <v>HARINA CRUDA</v>
      </c>
      <c r="Q85" s="43" t="str">
        <f>VLOOKUP(P85,Maestro!E:F,2,0)</f>
        <v>Molienda de  Crudo</v>
      </c>
      <c r="R85" s="43">
        <f>VLOOKUP(P85,ORD!$A:$C,3,0)</f>
        <v>3</v>
      </c>
      <c r="S85" t="str">
        <f t="shared" si="2"/>
        <v>7105330101MEZCPREHOMolienda de  Crudo</v>
      </c>
      <c r="T85" t="str">
        <f>IFERROR(VLOOKUP(S85,Maestro!$A:$H,8,0),"Producción")</f>
        <v>Prehomo</v>
      </c>
      <c r="U85" s="43" t="s">
        <v>182</v>
      </c>
    </row>
    <row r="86" spans="1:21" x14ac:dyDescent="0.3">
      <c r="A86" s="43">
        <v>7999999995</v>
      </c>
      <c r="B86" s="43" t="s">
        <v>566</v>
      </c>
      <c r="C86" s="49"/>
      <c r="D86" s="56">
        <f>-Datos!$R$263</f>
        <v>-142500</v>
      </c>
      <c r="E86" s="43" t="s">
        <v>556</v>
      </c>
      <c r="F86" s="43" t="s">
        <v>557</v>
      </c>
      <c r="G86" s="43" t="s">
        <v>567</v>
      </c>
      <c r="H86" s="43" t="s">
        <v>568</v>
      </c>
      <c r="I86" s="43" t="s">
        <v>560</v>
      </c>
      <c r="J86" s="43" t="s">
        <v>458</v>
      </c>
      <c r="K86" s="43">
        <v>700000</v>
      </c>
      <c r="L86" s="43">
        <v>11</v>
      </c>
      <c r="M86" s="43" t="s">
        <v>445</v>
      </c>
      <c r="N86" s="51"/>
      <c r="O86" s="51"/>
      <c r="P86" s="43" t="str">
        <f>VLOOKUP(K86,Maestro!J:K,2,0)</f>
        <v>HARINA CRUDA</v>
      </c>
      <c r="Q86" s="43" t="str">
        <f>VLOOKUP(P86,Maestro!E:F,2,0)</f>
        <v>Molienda de  Crudo</v>
      </c>
      <c r="R86" s="43">
        <f>VLOOKUP(P86,ORD!$A:$C,3,0)</f>
        <v>3</v>
      </c>
      <c r="S86" t="str">
        <f t="shared" si="2"/>
        <v>7999999995HARINACRUDMolienda de  Crudo</v>
      </c>
      <c r="T86" t="str">
        <f>IFERROR(VLOOKUP(S86,Maestro!$A:$H,8,0),"Producción")</f>
        <v>Producción</v>
      </c>
      <c r="U86" s="43" t="s">
        <v>182</v>
      </c>
    </row>
    <row r="87" spans="1:21" x14ac:dyDescent="0.3">
      <c r="A87" s="43">
        <v>7355250320</v>
      </c>
      <c r="B87" s="43" t="s">
        <v>490</v>
      </c>
      <c r="C87" s="49">
        <f>Datos!$R$112*D87</f>
        <v>23813105.273579903</v>
      </c>
      <c r="D87" s="56">
        <f>Datos!$R$263</f>
        <v>142500</v>
      </c>
      <c r="E87" s="43"/>
      <c r="F87" s="43"/>
      <c r="G87" s="43"/>
      <c r="H87" s="43"/>
      <c r="I87" s="43" t="s">
        <v>560</v>
      </c>
      <c r="J87" s="43" t="s">
        <v>790</v>
      </c>
      <c r="K87" s="43">
        <v>700000</v>
      </c>
      <c r="L87" s="43">
        <v>11</v>
      </c>
      <c r="M87" s="43" t="s">
        <v>445</v>
      </c>
      <c r="N87" s="53"/>
      <c r="O87" s="53"/>
      <c r="P87" s="43" t="str">
        <f>VLOOKUP(K87,Maestro!J:K,2,0)</f>
        <v>HARINA CRUDA</v>
      </c>
      <c r="Q87" s="43" t="str">
        <f>VLOOKUP(P87,Maestro!E:F,2,0)</f>
        <v>Molienda de  Crudo</v>
      </c>
      <c r="R87" s="43">
        <f>VLOOKUP(P87,ORD!$A:$C,3,0)</f>
        <v>3</v>
      </c>
      <c r="S87" t="str">
        <f t="shared" si="2"/>
        <v>7355250320CUERPOS MOLEDORESMolienda de  Crudo</v>
      </c>
      <c r="T87" t="str">
        <f>IFERROR(VLOOKUP(S87,Maestro!$A:$H,8,0),"Producción")</f>
        <v>Cuerpos Moledores</v>
      </c>
      <c r="U87" s="43" t="s">
        <v>182</v>
      </c>
    </row>
    <row r="88" spans="1:21" x14ac:dyDescent="0.3">
      <c r="A88" s="43">
        <v>7355250321</v>
      </c>
      <c r="B88" s="43" t="s">
        <v>490</v>
      </c>
      <c r="C88" s="49">
        <f>Datos!$R$114*D88</f>
        <v>17083314.652785581</v>
      </c>
      <c r="D88" s="56">
        <f>Datos!$R$263</f>
        <v>142500</v>
      </c>
      <c r="E88" s="43"/>
      <c r="F88" s="43"/>
      <c r="G88" s="43"/>
      <c r="H88" s="43"/>
      <c r="I88" s="43" t="s">
        <v>560</v>
      </c>
      <c r="J88" s="43" t="s">
        <v>799</v>
      </c>
      <c r="K88" s="43">
        <v>700000</v>
      </c>
      <c r="L88" s="43">
        <v>11</v>
      </c>
      <c r="M88" s="43" t="s">
        <v>445</v>
      </c>
      <c r="N88" s="53"/>
      <c r="O88" s="53"/>
      <c r="P88" s="43" t="str">
        <f>VLOOKUP(K88,Maestro!J:K,2,0)</f>
        <v>HARINA CRUDA</v>
      </c>
      <c r="Q88" s="43" t="str">
        <f>VLOOKUP(P88,Maestro!E:F,2,0)</f>
        <v>Molienda de  Crudo</v>
      </c>
      <c r="R88" s="43">
        <f>VLOOKUP(P88,ORD!$A:$C,3,0)</f>
        <v>3</v>
      </c>
      <c r="S88" t="str">
        <f t="shared" si="2"/>
        <v>7355250321LAMINASMolienda de  Crudo</v>
      </c>
      <c r="T88" t="str">
        <f>IFERROR(VLOOKUP(S88,Maestro!$A:$H,8,0),"Producción")</f>
        <v>Láminas</v>
      </c>
      <c r="U88" s="43" t="s">
        <v>182</v>
      </c>
    </row>
    <row r="89" spans="1:21" x14ac:dyDescent="0.3">
      <c r="A89" s="43">
        <v>7355250322</v>
      </c>
      <c r="B89" s="43" t="s">
        <v>490</v>
      </c>
      <c r="C89" s="49">
        <f>Datos!$R$118*D89</f>
        <v>71065330.484741926</v>
      </c>
      <c r="D89" s="56">
        <f>Datos!$R$263</f>
        <v>142500</v>
      </c>
      <c r="E89" s="43"/>
      <c r="F89" s="43"/>
      <c r="G89" s="43"/>
      <c r="H89" s="43"/>
      <c r="I89" s="43" t="s">
        <v>560</v>
      </c>
      <c r="J89" s="43" t="s">
        <v>784</v>
      </c>
      <c r="K89" s="43">
        <v>700000</v>
      </c>
      <c r="L89" s="43">
        <v>11</v>
      </c>
      <c r="M89" s="43" t="s">
        <v>445</v>
      </c>
      <c r="N89" s="53"/>
      <c r="O89" s="53"/>
      <c r="P89" s="43" t="str">
        <f>VLOOKUP(K89,Maestro!J:K,2,0)</f>
        <v>HARINA CRUDA</v>
      </c>
      <c r="Q89" s="43" t="str">
        <f>VLOOKUP(P89,Maestro!E:F,2,0)</f>
        <v>Molienda de  Crudo</v>
      </c>
      <c r="R89" s="43">
        <f>VLOOKUP(P89,ORD!$A:$C,3,0)</f>
        <v>3</v>
      </c>
      <c r="S89" t="str">
        <f t="shared" si="2"/>
        <v>7355250322ANILLOS, TAPAS Y SEPARADORESMolienda de  Crudo</v>
      </c>
      <c r="T89" t="str">
        <f>IFERROR(VLOOKUP(S89,Maestro!$A:$H,8,0),"Producción")</f>
        <v>Anillos, Tapas y Separadores</v>
      </c>
      <c r="U89" s="43" t="s">
        <v>182</v>
      </c>
    </row>
    <row r="90" spans="1:21" x14ac:dyDescent="0.3">
      <c r="A90" s="43">
        <v>7105040101</v>
      </c>
      <c r="B90" s="43" t="s">
        <v>448</v>
      </c>
      <c r="C90" s="49">
        <f>Datos!$I$48*D90+Datos!$S$90*Base!D90</f>
        <v>610551968.82534039</v>
      </c>
      <c r="D90" s="52">
        <f>Datos!$S$263*Datos!$S$169*(1+Datos!$S$213)</f>
        <v>2028.3847929084577</v>
      </c>
      <c r="E90" s="43" t="s">
        <v>556</v>
      </c>
      <c r="F90" s="43" t="s">
        <v>557</v>
      </c>
      <c r="G90" s="43" t="s">
        <v>558</v>
      </c>
      <c r="H90" s="43" t="s">
        <v>559</v>
      </c>
      <c r="I90" s="43" t="s">
        <v>560</v>
      </c>
      <c r="J90" s="43" t="s">
        <v>449</v>
      </c>
      <c r="K90" s="43">
        <v>700000</v>
      </c>
      <c r="L90" s="43">
        <v>12</v>
      </c>
      <c r="M90" s="43" t="s">
        <v>561</v>
      </c>
      <c r="N90" s="51"/>
      <c r="O90" s="51"/>
      <c r="P90" s="43" t="str">
        <f>VLOOKUP(K90,Maestro!J:K,2,0)</f>
        <v>HARINA CRUDA</v>
      </c>
      <c r="Q90" s="43" t="str">
        <f>VLOOKUP(P90,Maestro!E:F,2,0)</f>
        <v>Molienda de  Crudo</v>
      </c>
      <c r="R90" s="43">
        <f>VLOOKUP(P90,ORD!$A:$C,3,0)</f>
        <v>3</v>
      </c>
      <c r="S90" t="str">
        <f t="shared" si="2"/>
        <v>7105040101CORRHIERRMolienda de  Crudo</v>
      </c>
      <c r="T90" t="str">
        <f>IFERROR(VLOOKUP(S90,Maestro!$A:$H,8,0),"Producción")</f>
        <v>Mineral de Hierro</v>
      </c>
      <c r="U90" s="43" t="s">
        <v>182</v>
      </c>
    </row>
    <row r="91" spans="1:21" x14ac:dyDescent="0.3">
      <c r="A91" s="43">
        <v>7105040101</v>
      </c>
      <c r="B91" s="43" t="s">
        <v>448</v>
      </c>
      <c r="C91" s="49">
        <f>Datos!$S$49*D91+Datos!$S$90*D91</f>
        <v>59004211.908402108</v>
      </c>
      <c r="D91" s="52">
        <f>Datos!$S$263*Datos!$S$170*(1+Datos!$S$214)</f>
        <v>345.91011254465627</v>
      </c>
      <c r="E91" s="43" t="s">
        <v>556</v>
      </c>
      <c r="F91" s="43" t="s">
        <v>557</v>
      </c>
      <c r="G91" s="43" t="s">
        <v>558</v>
      </c>
      <c r="H91" s="43" t="s">
        <v>559</v>
      </c>
      <c r="I91" s="43" t="s">
        <v>560</v>
      </c>
      <c r="J91" s="43" t="s">
        <v>522</v>
      </c>
      <c r="K91" s="43">
        <v>700000</v>
      </c>
      <c r="L91" s="43">
        <v>12</v>
      </c>
      <c r="M91" s="43" t="s">
        <v>562</v>
      </c>
      <c r="N91" s="51"/>
      <c r="O91" s="51"/>
      <c r="P91" s="43" t="str">
        <f>VLOOKUP(K91,Maestro!J:K,2,0)</f>
        <v>HARINA CRUDA</v>
      </c>
      <c r="Q91" s="43" t="str">
        <f>VLOOKUP(P91,Maestro!E:F,2,0)</f>
        <v>Molienda de  Crudo</v>
      </c>
      <c r="R91" s="43">
        <f>VLOOKUP(P91,ORD!$A:$C,3,0)</f>
        <v>3</v>
      </c>
      <c r="S91" t="str">
        <f t="shared" si="2"/>
        <v>7105040101CALAMINA1Molienda de  Crudo</v>
      </c>
      <c r="T91" t="str">
        <f>IFERROR(VLOOKUP(S91,Maestro!$A:$H,8,0),"Producción")</f>
        <v>Mineral de Hierro</v>
      </c>
      <c r="U91" s="43" t="s">
        <v>182</v>
      </c>
    </row>
    <row r="92" spans="1:21" x14ac:dyDescent="0.3">
      <c r="A92" s="43">
        <v>7105330101</v>
      </c>
      <c r="B92" s="43" t="s">
        <v>443</v>
      </c>
      <c r="C92" s="49"/>
      <c r="D92" s="56">
        <f>Datos!$S$263*Datos!$S$168*(1+Datos!$S$210)</f>
        <v>16698.408060415204</v>
      </c>
      <c r="E92" s="43" t="s">
        <v>556</v>
      </c>
      <c r="F92" s="43" t="s">
        <v>557</v>
      </c>
      <c r="G92" s="43" t="s">
        <v>563</v>
      </c>
      <c r="H92" s="43" t="s">
        <v>564</v>
      </c>
      <c r="I92" s="43" t="s">
        <v>560</v>
      </c>
      <c r="J92" s="43" t="s">
        <v>444</v>
      </c>
      <c r="K92" s="43">
        <v>700000</v>
      </c>
      <c r="L92" s="43">
        <v>12</v>
      </c>
      <c r="M92" s="43" t="s">
        <v>565</v>
      </c>
      <c r="N92" s="51"/>
      <c r="O92" s="51"/>
      <c r="P92" s="43" t="str">
        <f>VLOOKUP(K92,Maestro!J:K,2,0)</f>
        <v>HARINA CRUDA</v>
      </c>
      <c r="Q92" s="43" t="str">
        <f>VLOOKUP(P92,Maestro!E:F,2,0)</f>
        <v>Molienda de  Crudo</v>
      </c>
      <c r="R92" s="43">
        <f>VLOOKUP(P92,ORD!$A:$C,3,0)</f>
        <v>3</v>
      </c>
      <c r="S92" t="str">
        <f t="shared" si="2"/>
        <v>7105330101CALIZATRIMolienda de  Crudo</v>
      </c>
      <c r="T92" t="str">
        <f>IFERROR(VLOOKUP(S92,Maestro!$A:$H,8,0),"Producción")</f>
        <v>Caliza</v>
      </c>
      <c r="U92" s="43" t="s">
        <v>182</v>
      </c>
    </row>
    <row r="93" spans="1:21" x14ac:dyDescent="0.3">
      <c r="A93" s="43">
        <v>7105330101</v>
      </c>
      <c r="B93" s="43" t="s">
        <v>443</v>
      </c>
      <c r="C93" s="49"/>
      <c r="D93" s="52">
        <f>Datos!$S$263*Datos!$S$167*(1+Datos!$S$212)</f>
        <v>75934.490404774071</v>
      </c>
      <c r="E93" s="43" t="s">
        <v>556</v>
      </c>
      <c r="F93" s="43" t="s">
        <v>557</v>
      </c>
      <c r="G93" s="43" t="s">
        <v>563</v>
      </c>
      <c r="H93" s="43" t="s">
        <v>564</v>
      </c>
      <c r="I93" s="43" t="s">
        <v>560</v>
      </c>
      <c r="J93" s="43" t="s">
        <v>447</v>
      </c>
      <c r="K93" s="43">
        <v>700000</v>
      </c>
      <c r="L93" s="43">
        <v>12</v>
      </c>
      <c r="M93" s="43" t="s">
        <v>440</v>
      </c>
      <c r="N93" s="51"/>
      <c r="O93" s="51"/>
      <c r="P93" s="43" t="str">
        <f>VLOOKUP(K93,Maestro!J:K,2,0)</f>
        <v>HARINA CRUDA</v>
      </c>
      <c r="Q93" s="43" t="str">
        <f>VLOOKUP(P93,Maestro!E:F,2,0)</f>
        <v>Molienda de  Crudo</v>
      </c>
      <c r="R93" s="43">
        <f>VLOOKUP(P93,ORD!$A:$C,3,0)</f>
        <v>3</v>
      </c>
      <c r="S93" t="str">
        <f t="shared" si="2"/>
        <v>7105330101MEZCPREHOMolienda de  Crudo</v>
      </c>
      <c r="T93" t="str">
        <f>IFERROR(VLOOKUP(S93,Maestro!$A:$H,8,0),"Producción")</f>
        <v>Prehomo</v>
      </c>
      <c r="U93" s="43" t="s">
        <v>182</v>
      </c>
    </row>
    <row r="94" spans="1:21" x14ac:dyDescent="0.3">
      <c r="A94" s="43">
        <v>7999999995</v>
      </c>
      <c r="B94" s="43" t="s">
        <v>566</v>
      </c>
      <c r="C94" s="49"/>
      <c r="D94" s="56">
        <f>-Datos!$S$263</f>
        <v>-91342.968439446457</v>
      </c>
      <c r="E94" s="43" t="s">
        <v>556</v>
      </c>
      <c r="F94" s="43" t="s">
        <v>557</v>
      </c>
      <c r="G94" s="43" t="s">
        <v>567</v>
      </c>
      <c r="H94" s="43" t="s">
        <v>568</v>
      </c>
      <c r="I94" s="43" t="s">
        <v>560</v>
      </c>
      <c r="J94" s="43" t="s">
        <v>458</v>
      </c>
      <c r="K94" s="43">
        <v>700000</v>
      </c>
      <c r="L94" s="43">
        <v>12</v>
      </c>
      <c r="M94" s="43" t="s">
        <v>445</v>
      </c>
      <c r="N94" s="51"/>
      <c r="O94" s="51"/>
      <c r="P94" s="43" t="str">
        <f>VLOOKUP(K94,Maestro!J:K,2,0)</f>
        <v>HARINA CRUDA</v>
      </c>
      <c r="Q94" s="43" t="str">
        <f>VLOOKUP(P94,Maestro!E:F,2,0)</f>
        <v>Molienda de  Crudo</v>
      </c>
      <c r="R94" s="43">
        <f>VLOOKUP(P94,ORD!$A:$C,3,0)</f>
        <v>3</v>
      </c>
      <c r="S94" t="str">
        <f t="shared" si="2"/>
        <v>7999999995HARINACRUDMolienda de  Crudo</v>
      </c>
      <c r="T94" t="str">
        <f>IFERROR(VLOOKUP(S94,Maestro!$A:$H,8,0),"Producción")</f>
        <v>Producción</v>
      </c>
      <c r="U94" s="43" t="s">
        <v>182</v>
      </c>
    </row>
    <row r="95" spans="1:21" x14ac:dyDescent="0.3">
      <c r="A95" s="43">
        <v>7355250320</v>
      </c>
      <c r="B95" s="43" t="s">
        <v>490</v>
      </c>
      <c r="C95" s="49">
        <f>Datos!$S$112*D95</f>
        <v>15264278.761051403</v>
      </c>
      <c r="D95" s="56">
        <f>Datos!$S$263</f>
        <v>91342.968439446457</v>
      </c>
      <c r="E95" s="43"/>
      <c r="F95" s="43"/>
      <c r="G95" s="43"/>
      <c r="H95" s="43"/>
      <c r="I95" s="43" t="s">
        <v>560</v>
      </c>
      <c r="J95" s="43" t="s">
        <v>790</v>
      </c>
      <c r="K95" s="43">
        <v>700000</v>
      </c>
      <c r="L95" s="43">
        <v>12</v>
      </c>
      <c r="M95" s="43" t="s">
        <v>445</v>
      </c>
      <c r="N95" s="53"/>
      <c r="O95" s="53"/>
      <c r="P95" s="43" t="str">
        <f>VLOOKUP(K95,Maestro!J:K,2,0)</f>
        <v>HARINA CRUDA</v>
      </c>
      <c r="Q95" s="43" t="str">
        <f>VLOOKUP(P95,Maestro!E:F,2,0)</f>
        <v>Molienda de  Crudo</v>
      </c>
      <c r="R95" s="43">
        <f>VLOOKUP(P95,ORD!$A:$C,3,0)</f>
        <v>3</v>
      </c>
      <c r="S95" t="str">
        <f t="shared" si="2"/>
        <v>7355250320CUERPOS MOLEDORESMolienda de  Crudo</v>
      </c>
      <c r="T95" t="str">
        <f>IFERROR(VLOOKUP(S95,Maestro!$A:$H,8,0),"Producción")</f>
        <v>Cuerpos Moledores</v>
      </c>
      <c r="U95" s="43" t="s">
        <v>182</v>
      </c>
    </row>
    <row r="96" spans="1:21" x14ac:dyDescent="0.3">
      <c r="A96" s="43">
        <v>7355250321</v>
      </c>
      <c r="B96" s="43" t="s">
        <v>490</v>
      </c>
      <c r="C96" s="49">
        <f>Datos!$S$114*D96</f>
        <v>10950460.850319486</v>
      </c>
      <c r="D96" s="56">
        <f>Datos!$S$263</f>
        <v>91342.968439446457</v>
      </c>
      <c r="E96" s="43"/>
      <c r="F96" s="43"/>
      <c r="G96" s="43"/>
      <c r="H96" s="43"/>
      <c r="I96" s="43" t="s">
        <v>560</v>
      </c>
      <c r="J96" s="43" t="s">
        <v>799</v>
      </c>
      <c r="K96" s="43">
        <v>700000</v>
      </c>
      <c r="L96" s="43">
        <v>12</v>
      </c>
      <c r="M96" s="43" t="s">
        <v>445</v>
      </c>
      <c r="N96" s="53"/>
      <c r="O96" s="53"/>
      <c r="P96" s="43" t="str">
        <f>VLOOKUP(K96,Maestro!J:K,2,0)</f>
        <v>HARINA CRUDA</v>
      </c>
      <c r="Q96" s="43" t="str">
        <f>VLOOKUP(P96,Maestro!E:F,2,0)</f>
        <v>Molienda de  Crudo</v>
      </c>
      <c r="R96" s="43">
        <f>VLOOKUP(P96,ORD!$A:$C,3,0)</f>
        <v>3</v>
      </c>
      <c r="S96" t="str">
        <f t="shared" si="2"/>
        <v>7355250321LAMINASMolienda de  Crudo</v>
      </c>
      <c r="T96" t="str">
        <f>IFERROR(VLOOKUP(S96,Maestro!$A:$H,8,0),"Producción")</f>
        <v>Láminas</v>
      </c>
      <c r="U96" s="43" t="s">
        <v>182</v>
      </c>
    </row>
    <row r="97" spans="1:21" x14ac:dyDescent="0.3">
      <c r="A97" s="43">
        <v>7355250322</v>
      </c>
      <c r="B97" s="43" t="s">
        <v>490</v>
      </c>
      <c r="C97" s="49">
        <f>Datos!$S$118*D97</f>
        <v>45553110.45337975</v>
      </c>
      <c r="D97" s="56">
        <f>Datos!$S$263</f>
        <v>91342.968439446457</v>
      </c>
      <c r="E97" s="43"/>
      <c r="F97" s="43"/>
      <c r="G97" s="43"/>
      <c r="H97" s="43"/>
      <c r="I97" s="43" t="s">
        <v>560</v>
      </c>
      <c r="J97" s="43" t="s">
        <v>784</v>
      </c>
      <c r="K97" s="43">
        <v>700000</v>
      </c>
      <c r="L97" s="43">
        <v>12</v>
      </c>
      <c r="M97" s="43" t="s">
        <v>445</v>
      </c>
      <c r="N97" s="53"/>
      <c r="O97" s="53"/>
      <c r="P97" s="43" t="str">
        <f>VLOOKUP(K97,Maestro!J:K,2,0)</f>
        <v>HARINA CRUDA</v>
      </c>
      <c r="Q97" s="43" t="str">
        <f>VLOOKUP(P97,Maestro!E:F,2,0)</f>
        <v>Molienda de  Crudo</v>
      </c>
      <c r="R97" s="43">
        <f>VLOOKUP(P97,ORD!$A:$C,3,0)</f>
        <v>3</v>
      </c>
      <c r="S97" t="str">
        <f t="shared" si="2"/>
        <v>7355250322ANILLOS, TAPAS Y SEPARADORESMolienda de  Crudo</v>
      </c>
      <c r="T97" t="str">
        <f>IFERROR(VLOOKUP(S97,Maestro!$A:$H,8,0),"Producción")</f>
        <v>Anillos, Tapas y Separadores</v>
      </c>
      <c r="U97" s="43" t="s">
        <v>182</v>
      </c>
    </row>
    <row r="98" spans="1:21" x14ac:dyDescent="0.3">
      <c r="A98" s="43">
        <v>7199990001</v>
      </c>
      <c r="B98" s="43" t="s">
        <v>438</v>
      </c>
      <c r="C98" s="50"/>
      <c r="D98" s="50">
        <f>Datos!$H$449</f>
        <v>9193.1270585948077</v>
      </c>
      <c r="E98" s="43" t="s">
        <v>556</v>
      </c>
      <c r="F98" s="43" t="s">
        <v>557</v>
      </c>
      <c r="G98" s="43" t="s">
        <v>567</v>
      </c>
      <c r="H98" s="43" t="s">
        <v>568</v>
      </c>
      <c r="I98" s="43" t="s">
        <v>560</v>
      </c>
      <c r="J98" s="43" t="s">
        <v>455</v>
      </c>
      <c r="K98" s="43">
        <v>700001</v>
      </c>
      <c r="L98" s="43">
        <v>1</v>
      </c>
      <c r="M98" s="43" t="s">
        <v>452</v>
      </c>
      <c r="N98" s="51"/>
      <c r="O98" s="51"/>
      <c r="P98" s="43" t="str">
        <f>VLOOKUP(K98,Maestro!J:K,2,0)</f>
        <v>CLINKER</v>
      </c>
      <c r="Q98" s="43" t="str">
        <f>VLOOKUP(P98,Maestro!E:F,2,0)</f>
        <v>Clinkerización</v>
      </c>
      <c r="R98" s="43">
        <f>VLOOKUP(P98,ORD!$A:$C,3,0)</f>
        <v>5</v>
      </c>
      <c r="S98" t="str">
        <f t="shared" si="2"/>
        <v>7199990001CARBONMOLClinkerización</v>
      </c>
      <c r="T98" t="str">
        <f>IFERROR(VLOOKUP(S98,Maestro!$A:$H,8,0),"Producción")</f>
        <v>Carbón Molido</v>
      </c>
      <c r="U98" s="43" t="s">
        <v>182</v>
      </c>
    </row>
    <row r="99" spans="1:21" x14ac:dyDescent="0.3">
      <c r="A99" s="43">
        <v>7199990001</v>
      </c>
      <c r="B99" s="43" t="s">
        <v>438</v>
      </c>
      <c r="C99" s="54"/>
      <c r="D99" s="50">
        <f>Datos!$H$260*Datos!$H$178*(1+Datos!$H$217)</f>
        <v>128465.99999999967</v>
      </c>
      <c r="E99" s="43" t="s">
        <v>556</v>
      </c>
      <c r="F99" s="43" t="s">
        <v>557</v>
      </c>
      <c r="G99" s="43" t="s">
        <v>567</v>
      </c>
      <c r="H99" s="43" t="s">
        <v>568</v>
      </c>
      <c r="I99" s="43" t="s">
        <v>560</v>
      </c>
      <c r="J99" s="43" t="s">
        <v>458</v>
      </c>
      <c r="K99" s="43">
        <v>700001</v>
      </c>
      <c r="L99" s="43">
        <v>1</v>
      </c>
      <c r="M99" s="43" t="s">
        <v>445</v>
      </c>
      <c r="N99" s="51"/>
      <c r="O99" s="51"/>
      <c r="P99" s="43" t="str">
        <f>VLOOKUP(K99,Maestro!J:K,2,0)</f>
        <v>CLINKER</v>
      </c>
      <c r="Q99" s="43" t="str">
        <f>VLOOKUP(P99,Maestro!E:F,2,0)</f>
        <v>Clinkerización</v>
      </c>
      <c r="R99" s="43">
        <f>VLOOKUP(P99,ORD!$A:$C,3,0)</f>
        <v>5</v>
      </c>
      <c r="S99" t="str">
        <f t="shared" si="2"/>
        <v>7199990001HARINACRUDClinkerización</v>
      </c>
      <c r="T99" t="str">
        <f>IFERROR(VLOOKUP(S99,Maestro!$A:$H,8,0),"Producción")</f>
        <v>Crudo</v>
      </c>
      <c r="U99" s="43" t="s">
        <v>182</v>
      </c>
    </row>
    <row r="100" spans="1:21" x14ac:dyDescent="0.3">
      <c r="A100" s="43">
        <v>7999999995</v>
      </c>
      <c r="B100" s="43" t="s">
        <v>566</v>
      </c>
      <c r="C100" s="50"/>
      <c r="D100" s="56">
        <f>-Datos!$H$260</f>
        <v>-82349.999999999782</v>
      </c>
      <c r="E100" s="43" t="s">
        <v>556</v>
      </c>
      <c r="F100" s="43" t="s">
        <v>557</v>
      </c>
      <c r="G100" s="43" t="s">
        <v>567</v>
      </c>
      <c r="H100" s="43" t="s">
        <v>568</v>
      </c>
      <c r="I100" s="43" t="s">
        <v>560</v>
      </c>
      <c r="J100" s="43" t="s">
        <v>463</v>
      </c>
      <c r="K100" s="43">
        <v>700001</v>
      </c>
      <c r="L100" s="43">
        <v>1</v>
      </c>
      <c r="M100" s="43" t="s">
        <v>62</v>
      </c>
      <c r="N100" s="51"/>
      <c r="O100" s="51"/>
      <c r="P100" s="43" t="str">
        <f>VLOOKUP(K100,Maestro!J:K,2,0)</f>
        <v>CLINKER</v>
      </c>
      <c r="Q100" s="43" t="str">
        <f>VLOOKUP(P100,Maestro!E:F,2,0)</f>
        <v>Clinkerización</v>
      </c>
      <c r="R100" s="43">
        <f>VLOOKUP(P100,ORD!$A:$C,3,0)</f>
        <v>5</v>
      </c>
      <c r="S100" t="str">
        <f t="shared" si="2"/>
        <v>7999999995CLINKER001Clinkerización</v>
      </c>
      <c r="T100" t="str">
        <f>IFERROR(VLOOKUP(S100,Maestro!$A:$H,8,0),"Producción")</f>
        <v>Producción</v>
      </c>
      <c r="U100" s="43" t="s">
        <v>182</v>
      </c>
    </row>
    <row r="101" spans="1:21" x14ac:dyDescent="0.3">
      <c r="A101" s="43">
        <v>7355250320</v>
      </c>
      <c r="B101" s="43" t="s">
        <v>490</v>
      </c>
      <c r="C101" s="52">
        <f>Datos!$H$100*D101</f>
        <v>0</v>
      </c>
      <c r="D101" s="56">
        <f>Datos!$H$260</f>
        <v>82349.999999999782</v>
      </c>
      <c r="E101" s="43"/>
      <c r="F101" s="43"/>
      <c r="G101" s="43"/>
      <c r="H101" s="43"/>
      <c r="I101" s="43" t="s">
        <v>560</v>
      </c>
      <c r="J101" s="43" t="s">
        <v>796</v>
      </c>
      <c r="K101">
        <v>700001</v>
      </c>
      <c r="L101">
        <v>1</v>
      </c>
      <c r="M101" s="43" t="s">
        <v>62</v>
      </c>
      <c r="N101" s="53"/>
      <c r="O101" s="53"/>
      <c r="P101" s="43" t="str">
        <f>VLOOKUP(K101,Maestro!J:K,2,0)</f>
        <v>CLINKER</v>
      </c>
      <c r="Q101" s="43" t="str">
        <f>VLOOKUP(P101,Maestro!E:F,2,0)</f>
        <v>Clinkerización</v>
      </c>
      <c r="R101" s="43">
        <f>VLOOKUP(P101,ORD!$A:$C,3,0)</f>
        <v>5</v>
      </c>
      <c r="S101" t="str">
        <f t="shared" si="2"/>
        <v>7355250320DUCTOSClinkerización</v>
      </c>
      <c r="T101" t="str">
        <f>IFERROR(VLOOKUP(S101,Maestro!$A:$H,8,0),"Producción")</f>
        <v>Ductos</v>
      </c>
      <c r="U101" s="43" t="s">
        <v>182</v>
      </c>
    </row>
    <row r="102" spans="1:21" x14ac:dyDescent="0.3">
      <c r="A102" s="43">
        <v>7355250321</v>
      </c>
      <c r="B102" s="43" t="s">
        <v>490</v>
      </c>
      <c r="C102" s="52">
        <f>Datos!$H$104*D102</f>
        <v>15190195.529597098</v>
      </c>
      <c r="D102" s="56">
        <f>Datos!$H$260</f>
        <v>82349.999999999782</v>
      </c>
      <c r="E102" s="43"/>
      <c r="F102" s="43"/>
      <c r="G102" s="43"/>
      <c r="H102" s="43"/>
      <c r="I102" s="43" t="s">
        <v>560</v>
      </c>
      <c r="J102" s="43" t="s">
        <v>798</v>
      </c>
      <c r="K102">
        <v>700001</v>
      </c>
      <c r="L102">
        <v>1</v>
      </c>
      <c r="M102" s="43" t="s">
        <v>62</v>
      </c>
      <c r="N102" s="53"/>
      <c r="O102" s="53"/>
      <c r="P102" s="43" t="str">
        <f>VLOOKUP(K102,Maestro!J:K,2,0)</f>
        <v>CLINKER</v>
      </c>
      <c r="Q102" s="43" t="str">
        <f>VLOOKUP(P102,Maestro!E:F,2,0)</f>
        <v>Clinkerización</v>
      </c>
      <c r="R102" s="43">
        <f>VLOOKUP(P102,ORD!$A:$C,3,0)</f>
        <v>5</v>
      </c>
      <c r="S102" t="str">
        <f t="shared" si="2"/>
        <v>7355250321ENFRIADORClinkerización</v>
      </c>
      <c r="T102" t="str">
        <f>IFERROR(VLOOKUP(S102,Maestro!$A:$H,8,0),"Producción")</f>
        <v>Enfriador</v>
      </c>
      <c r="U102" s="43" t="s">
        <v>182</v>
      </c>
    </row>
    <row r="103" spans="1:21" x14ac:dyDescent="0.3">
      <c r="A103" s="43">
        <v>7355250322</v>
      </c>
      <c r="B103" s="43" t="s">
        <v>490</v>
      </c>
      <c r="C103" s="52">
        <f>Datos!$H$106*D103</f>
        <v>104033717.70964222</v>
      </c>
      <c r="D103" s="56">
        <f>Datos!$H$260</f>
        <v>82349.999999999782</v>
      </c>
      <c r="E103" s="43"/>
      <c r="F103" s="43"/>
      <c r="G103" s="43"/>
      <c r="H103" s="43"/>
      <c r="I103" s="43" t="s">
        <v>560</v>
      </c>
      <c r="J103" s="40" t="s">
        <v>801</v>
      </c>
      <c r="K103">
        <v>700001</v>
      </c>
      <c r="L103">
        <v>1</v>
      </c>
      <c r="M103" s="43" t="s">
        <v>62</v>
      </c>
      <c r="N103" s="53"/>
      <c r="O103" s="53"/>
      <c r="P103" s="43" t="str">
        <f>VLOOKUP(K103,Maestro!J:K,2,0)</f>
        <v>CLINKER</v>
      </c>
      <c r="Q103" s="43" t="str">
        <f>VLOOKUP(P103,Maestro!E:F,2,0)</f>
        <v>Clinkerización</v>
      </c>
      <c r="R103" s="43">
        <f>VLOOKUP(P103,ORD!$A:$C,3,0)</f>
        <v>5</v>
      </c>
      <c r="S103" t="str">
        <f t="shared" si="2"/>
        <v>7355250322PLACASClinkerización</v>
      </c>
      <c r="T103" t="str">
        <f>IFERROR(VLOOKUP(S103,Maestro!$A:$H,8,0),"Producción")</f>
        <v>Placas</v>
      </c>
      <c r="U103" s="43" t="s">
        <v>182</v>
      </c>
    </row>
    <row r="104" spans="1:21" x14ac:dyDescent="0.3">
      <c r="A104" s="43">
        <v>7355300105</v>
      </c>
      <c r="B104" s="43" t="s">
        <v>569</v>
      </c>
      <c r="C104" s="52">
        <f>Datos!$H$110*D104</f>
        <v>296509866.0625183</v>
      </c>
      <c r="D104" s="56">
        <f>Datos!$H$260</f>
        <v>82349.999999999782</v>
      </c>
      <c r="E104" s="55"/>
      <c r="F104" s="43"/>
      <c r="G104" s="43"/>
      <c r="H104" s="43"/>
      <c r="I104" s="43" t="s">
        <v>560</v>
      </c>
      <c r="J104" s="43" t="s">
        <v>803</v>
      </c>
      <c r="K104">
        <v>700001</v>
      </c>
      <c r="L104">
        <v>1</v>
      </c>
      <c r="M104" s="43" t="s">
        <v>62</v>
      </c>
      <c r="N104" s="53"/>
      <c r="O104" s="53"/>
      <c r="P104" s="43" t="str">
        <f>VLOOKUP(K104,Maestro!J:K,2,0)</f>
        <v>CLINKER</v>
      </c>
      <c r="Q104" s="43" t="str">
        <f>VLOOKUP(P104,Maestro!E:F,2,0)</f>
        <v>Clinkerización</v>
      </c>
      <c r="R104" s="43">
        <f>VLOOKUP(P104,ORD!$A:$C,3,0)</f>
        <v>5</v>
      </c>
      <c r="S104" t="str">
        <f t="shared" si="2"/>
        <v>7355300105REFRACTARIOSClinkerización</v>
      </c>
      <c r="T104" t="str">
        <f>IFERROR(VLOOKUP(S104,Maestro!$A:$H,8,0),"Producción")</f>
        <v>Refractarios</v>
      </c>
      <c r="U104" s="43" t="s">
        <v>182</v>
      </c>
    </row>
    <row r="105" spans="1:21" x14ac:dyDescent="0.3">
      <c r="A105" s="43">
        <v>7355250323</v>
      </c>
      <c r="B105" s="43" t="s">
        <v>490</v>
      </c>
      <c r="C105" s="52">
        <f>Datos!$H$108*D105</f>
        <v>0</v>
      </c>
      <c r="D105" s="56">
        <f>Datos!$H$260</f>
        <v>82349.999999999782</v>
      </c>
      <c r="E105" s="55"/>
      <c r="F105" s="43"/>
      <c r="G105" s="43"/>
      <c r="H105" s="43"/>
      <c r="I105" s="43" t="s">
        <v>560</v>
      </c>
      <c r="J105" s="43" t="s">
        <v>804</v>
      </c>
      <c r="K105">
        <v>700001</v>
      </c>
      <c r="L105">
        <v>1</v>
      </c>
      <c r="M105" s="43" t="s">
        <v>62</v>
      </c>
      <c r="N105" s="53"/>
      <c r="O105" s="53"/>
      <c r="P105" s="43" t="str">
        <f>VLOOKUP(K105,Maestro!J:K,2,0)</f>
        <v>CLINKER</v>
      </c>
      <c r="Q105" s="43" t="str">
        <f>VLOOKUP(P105,Maestro!E:F,2,0)</f>
        <v>Clinkerización</v>
      </c>
      <c r="R105" s="43">
        <f>VLOOKUP(P105,ORD!$A:$C,3,0)</f>
        <v>5</v>
      </c>
      <c r="S105" t="str">
        <f t="shared" si="2"/>
        <v>7355250323SELLADOClinkerización</v>
      </c>
      <c r="T105" t="str">
        <f>IFERROR(VLOOKUP(S105,Maestro!$A:$H,8,0),"Producción")</f>
        <v>Sellado</v>
      </c>
      <c r="U105" s="43" t="s">
        <v>182</v>
      </c>
    </row>
    <row r="106" spans="1:21" x14ac:dyDescent="0.3">
      <c r="A106" s="43">
        <v>7355050105</v>
      </c>
      <c r="B106" s="43" t="s">
        <v>462</v>
      </c>
      <c r="C106" s="50">
        <f>Datos!$H$78*D106</f>
        <v>24000000</v>
      </c>
      <c r="D106" s="50">
        <f>Datos!$H$460</f>
        <v>2000</v>
      </c>
      <c r="E106" s="43"/>
      <c r="F106" s="43" t="s">
        <v>557</v>
      </c>
      <c r="G106" s="43" t="s">
        <v>570</v>
      </c>
      <c r="H106" s="43" t="s">
        <v>571</v>
      </c>
      <c r="I106" s="43" t="s">
        <v>560</v>
      </c>
      <c r="J106" s="43">
        <v>70000000000</v>
      </c>
      <c r="K106" s="43">
        <v>700001</v>
      </c>
      <c r="L106">
        <v>1</v>
      </c>
      <c r="M106" s="43" t="s">
        <v>62</v>
      </c>
      <c r="N106" s="53"/>
      <c r="O106" s="53"/>
      <c r="P106" s="43" t="str">
        <f>VLOOKUP(K106,Maestro!J:K,2,0)</f>
        <v>CLINKER</v>
      </c>
      <c r="Q106" s="43" t="str">
        <f>VLOOKUP(P106,Maestro!E:F,2,0)</f>
        <v>Clinkerización</v>
      </c>
      <c r="R106" s="43">
        <f>VLOOKUP(P106,ORD!$A:$C,3,0)</f>
        <v>5</v>
      </c>
      <c r="S106" t="str">
        <f t="shared" si="2"/>
        <v>735505010570000000000Clinkerización</v>
      </c>
      <c r="T106" t="str">
        <f>IFERROR(VLOOKUP(S106,Maestro!$A:$H,8,0),"Producción")</f>
        <v>Gasoil</v>
      </c>
      <c r="U106" s="43" t="s">
        <v>182</v>
      </c>
    </row>
    <row r="107" spans="1:21" x14ac:dyDescent="0.3">
      <c r="A107" s="43">
        <v>7199990001</v>
      </c>
      <c r="B107" s="43" t="s">
        <v>438</v>
      </c>
      <c r="C107" s="50"/>
      <c r="D107" s="50">
        <f>Datos!$I$449</f>
        <v>9306.729420387499</v>
      </c>
      <c r="E107" s="43" t="s">
        <v>556</v>
      </c>
      <c r="F107" s="43" t="s">
        <v>557</v>
      </c>
      <c r="G107" s="43" t="s">
        <v>567</v>
      </c>
      <c r="H107" s="43" t="s">
        <v>568</v>
      </c>
      <c r="I107" s="43" t="s">
        <v>560</v>
      </c>
      <c r="J107" s="43" t="s">
        <v>455</v>
      </c>
      <c r="K107" s="43">
        <v>700001</v>
      </c>
      <c r="L107" s="43">
        <v>2</v>
      </c>
      <c r="M107" s="43" t="s">
        <v>452</v>
      </c>
      <c r="N107" s="51"/>
      <c r="O107" s="51"/>
      <c r="P107" s="43" t="str">
        <f>VLOOKUP(K107,Maestro!J:K,2,0)</f>
        <v>CLINKER</v>
      </c>
      <c r="Q107" s="43" t="str">
        <f>VLOOKUP(P107,Maestro!E:F,2,0)</f>
        <v>Clinkerización</v>
      </c>
      <c r="R107" s="43">
        <f>VLOOKUP(P107,ORD!$A:$C,3,0)</f>
        <v>5</v>
      </c>
      <c r="S107" t="str">
        <f t="shared" si="2"/>
        <v>7199990001CARBONMOLClinkerización</v>
      </c>
      <c r="T107" t="str">
        <f>IFERROR(VLOOKUP(S107,Maestro!$A:$H,8,0),"Producción")</f>
        <v>Carbón Molido</v>
      </c>
      <c r="U107" s="43" t="s">
        <v>182</v>
      </c>
    </row>
    <row r="108" spans="1:21" x14ac:dyDescent="0.3">
      <c r="A108" s="43">
        <v>7199990001</v>
      </c>
      <c r="B108" s="43" t="s">
        <v>438</v>
      </c>
      <c r="C108" s="50"/>
      <c r="D108" s="50">
        <f>Datos!$I$260*Datos!$I$178*(1+Datos!$I$217)</f>
        <v>130051.99999999967</v>
      </c>
      <c r="E108" s="43" t="s">
        <v>556</v>
      </c>
      <c r="F108" s="43" t="s">
        <v>557</v>
      </c>
      <c r="G108" s="43" t="s">
        <v>567</v>
      </c>
      <c r="H108" s="43" t="s">
        <v>568</v>
      </c>
      <c r="I108" s="43" t="s">
        <v>560</v>
      </c>
      <c r="J108" s="43" t="s">
        <v>458</v>
      </c>
      <c r="K108" s="43">
        <v>700001</v>
      </c>
      <c r="L108" s="43">
        <v>2</v>
      </c>
      <c r="M108" s="43" t="s">
        <v>445</v>
      </c>
      <c r="N108" s="51"/>
      <c r="O108" s="51"/>
      <c r="P108" s="43" t="str">
        <f>VLOOKUP(K108,Maestro!J:K,2,0)</f>
        <v>CLINKER</v>
      </c>
      <c r="Q108" s="43" t="str">
        <f>VLOOKUP(P108,Maestro!E:F,2,0)</f>
        <v>Clinkerización</v>
      </c>
      <c r="R108" s="43">
        <f>VLOOKUP(P108,ORD!$A:$C,3,0)</f>
        <v>5</v>
      </c>
      <c r="S108" t="str">
        <f t="shared" si="2"/>
        <v>7199990001HARINACRUDClinkerización</v>
      </c>
      <c r="T108" t="str">
        <f>IFERROR(VLOOKUP(S108,Maestro!$A:$H,8,0),"Producción")</f>
        <v>Crudo</v>
      </c>
      <c r="U108" s="43" t="s">
        <v>182</v>
      </c>
    </row>
    <row r="109" spans="1:21" x14ac:dyDescent="0.3">
      <c r="A109" s="43">
        <v>7999999995</v>
      </c>
      <c r="B109" s="43" t="s">
        <v>566</v>
      </c>
      <c r="C109" s="50"/>
      <c r="D109" s="56">
        <f>-Datos!$I$260</f>
        <v>-83366.666666666453</v>
      </c>
      <c r="E109" s="43" t="s">
        <v>556</v>
      </c>
      <c r="F109" s="43" t="s">
        <v>557</v>
      </c>
      <c r="G109" s="43" t="s">
        <v>567</v>
      </c>
      <c r="H109" s="43" t="s">
        <v>568</v>
      </c>
      <c r="I109" s="43" t="s">
        <v>560</v>
      </c>
      <c r="J109" s="43" t="s">
        <v>463</v>
      </c>
      <c r="K109" s="43">
        <v>700001</v>
      </c>
      <c r="L109" s="43">
        <v>2</v>
      </c>
      <c r="M109" s="43" t="s">
        <v>62</v>
      </c>
      <c r="N109" s="51"/>
      <c r="O109" s="51"/>
      <c r="P109" s="43" t="str">
        <f>VLOOKUP(K109,Maestro!J:K,2,0)</f>
        <v>CLINKER</v>
      </c>
      <c r="Q109" s="43" t="str">
        <f>VLOOKUP(P109,Maestro!E:F,2,0)</f>
        <v>Clinkerización</v>
      </c>
      <c r="R109" s="43">
        <f>VLOOKUP(P109,ORD!$A:$C,3,0)</f>
        <v>5</v>
      </c>
      <c r="S109" t="str">
        <f t="shared" si="2"/>
        <v>7999999995CLINKER001Clinkerización</v>
      </c>
      <c r="T109" t="str">
        <f>IFERROR(VLOOKUP(S109,Maestro!$A:$H,8,0),"Producción")</f>
        <v>Producción</v>
      </c>
      <c r="U109" s="43" t="s">
        <v>182</v>
      </c>
    </row>
    <row r="110" spans="1:21" x14ac:dyDescent="0.3">
      <c r="A110" s="43">
        <v>7355250320</v>
      </c>
      <c r="B110" s="43" t="s">
        <v>490</v>
      </c>
      <c r="C110" s="52">
        <f>Datos!$I$100*D110</f>
        <v>0</v>
      </c>
      <c r="D110" s="56">
        <f>Datos!$I$260</f>
        <v>83366.666666666453</v>
      </c>
      <c r="E110" s="43"/>
      <c r="F110" s="43"/>
      <c r="G110" s="43"/>
      <c r="H110" s="43"/>
      <c r="I110" s="43" t="s">
        <v>560</v>
      </c>
      <c r="J110" s="43" t="s">
        <v>796</v>
      </c>
      <c r="K110">
        <v>700001</v>
      </c>
      <c r="L110" s="43">
        <v>2</v>
      </c>
      <c r="M110" s="43" t="s">
        <v>62</v>
      </c>
      <c r="N110" s="53"/>
      <c r="O110" s="53"/>
      <c r="P110" s="43" t="str">
        <f>VLOOKUP(K110,Maestro!J:K,2,0)</f>
        <v>CLINKER</v>
      </c>
      <c r="Q110" s="43" t="str">
        <f>VLOOKUP(P110,Maestro!E:F,2,0)</f>
        <v>Clinkerización</v>
      </c>
      <c r="R110" s="43">
        <f>VLOOKUP(P110,ORD!$A:$C,3,0)</f>
        <v>5</v>
      </c>
      <c r="S110" t="str">
        <f t="shared" si="2"/>
        <v>7355250320DUCTOSClinkerización</v>
      </c>
      <c r="T110" t="str">
        <f>IFERROR(VLOOKUP(S110,Maestro!$A:$H,8,0),"Producción")</f>
        <v>Ductos</v>
      </c>
      <c r="U110" s="43" t="s">
        <v>182</v>
      </c>
    </row>
    <row r="111" spans="1:21" x14ac:dyDescent="0.3">
      <c r="A111" s="43">
        <v>7355250321</v>
      </c>
      <c r="B111" s="43" t="s">
        <v>490</v>
      </c>
      <c r="C111" s="52">
        <f>Datos!$I$104*D111</f>
        <v>15377728.807740273</v>
      </c>
      <c r="D111" s="56">
        <f>Datos!$I$260</f>
        <v>83366.666666666453</v>
      </c>
      <c r="E111" s="43"/>
      <c r="F111" s="43"/>
      <c r="G111" s="43"/>
      <c r="H111" s="43"/>
      <c r="I111" s="43" t="s">
        <v>560</v>
      </c>
      <c r="J111" s="43" t="s">
        <v>798</v>
      </c>
      <c r="K111">
        <v>700001</v>
      </c>
      <c r="L111" s="43">
        <v>2</v>
      </c>
      <c r="M111" s="43" t="s">
        <v>62</v>
      </c>
      <c r="N111" s="53"/>
      <c r="O111" s="53"/>
      <c r="P111" s="43" t="str">
        <f>VLOOKUP(K111,Maestro!J:K,2,0)</f>
        <v>CLINKER</v>
      </c>
      <c r="Q111" s="43" t="str">
        <f>VLOOKUP(P111,Maestro!E:F,2,0)</f>
        <v>Clinkerización</v>
      </c>
      <c r="R111" s="43">
        <f>VLOOKUP(P111,ORD!$A:$C,3,0)</f>
        <v>5</v>
      </c>
      <c r="S111" t="str">
        <f t="shared" si="2"/>
        <v>7355250321ENFRIADORClinkerización</v>
      </c>
      <c r="T111" t="str">
        <f>IFERROR(VLOOKUP(S111,Maestro!$A:$H,8,0),"Producción")</f>
        <v>Enfriador</v>
      </c>
      <c r="U111" s="43" t="s">
        <v>182</v>
      </c>
    </row>
    <row r="112" spans="1:21" x14ac:dyDescent="0.3">
      <c r="A112" s="43">
        <v>7355250322</v>
      </c>
      <c r="B112" s="43" t="s">
        <v>490</v>
      </c>
      <c r="C112" s="52">
        <f>Datos!$I$106*D112</f>
        <v>105318084.59494646</v>
      </c>
      <c r="D112" s="56">
        <f>Datos!$I$260</f>
        <v>83366.666666666453</v>
      </c>
      <c r="E112" s="43"/>
      <c r="F112" s="43"/>
      <c r="G112" s="43"/>
      <c r="H112" s="43"/>
      <c r="I112" s="43" t="s">
        <v>560</v>
      </c>
      <c r="J112" s="40" t="s">
        <v>801</v>
      </c>
      <c r="K112">
        <v>700001</v>
      </c>
      <c r="L112" s="43">
        <v>2</v>
      </c>
      <c r="M112" s="43" t="s">
        <v>62</v>
      </c>
      <c r="N112" s="53"/>
      <c r="O112" s="53"/>
      <c r="P112" s="43" t="str">
        <f>VLOOKUP(K112,Maestro!J:K,2,0)</f>
        <v>CLINKER</v>
      </c>
      <c r="Q112" s="43" t="str">
        <f>VLOOKUP(P112,Maestro!E:F,2,0)</f>
        <v>Clinkerización</v>
      </c>
      <c r="R112" s="43">
        <f>VLOOKUP(P112,ORD!$A:$C,3,0)</f>
        <v>5</v>
      </c>
      <c r="S112" t="str">
        <f t="shared" si="2"/>
        <v>7355250322PLACASClinkerización</v>
      </c>
      <c r="T112" t="str">
        <f>IFERROR(VLOOKUP(S112,Maestro!$A:$H,8,0),"Producción")</f>
        <v>Placas</v>
      </c>
      <c r="U112" s="43" t="s">
        <v>182</v>
      </c>
    </row>
    <row r="113" spans="1:21" x14ac:dyDescent="0.3">
      <c r="A113" s="43">
        <v>7355300105</v>
      </c>
      <c r="B113" s="43" t="s">
        <v>569</v>
      </c>
      <c r="C113" s="52">
        <f>Datos!$I$110*D113</f>
        <v>300170481.69291979</v>
      </c>
      <c r="D113" s="56">
        <f>Datos!$I$260</f>
        <v>83366.666666666453</v>
      </c>
      <c r="E113" s="55"/>
      <c r="F113" s="43"/>
      <c r="G113" s="43"/>
      <c r="H113" s="43"/>
      <c r="I113" s="43" t="s">
        <v>560</v>
      </c>
      <c r="J113" s="43" t="s">
        <v>803</v>
      </c>
      <c r="K113">
        <v>700001</v>
      </c>
      <c r="L113" s="43">
        <v>2</v>
      </c>
      <c r="M113" s="43" t="s">
        <v>62</v>
      </c>
      <c r="N113" s="53"/>
      <c r="O113" s="53"/>
      <c r="P113" s="43" t="str">
        <f>VLOOKUP(K113,Maestro!J:K,2,0)</f>
        <v>CLINKER</v>
      </c>
      <c r="Q113" s="43" t="str">
        <f>VLOOKUP(P113,Maestro!E:F,2,0)</f>
        <v>Clinkerización</v>
      </c>
      <c r="R113" s="43">
        <f>VLOOKUP(P113,ORD!$A:$C,3,0)</f>
        <v>5</v>
      </c>
      <c r="S113" t="str">
        <f t="shared" si="2"/>
        <v>7355300105REFRACTARIOSClinkerización</v>
      </c>
      <c r="T113" t="str">
        <f>IFERROR(VLOOKUP(S113,Maestro!$A:$H,8,0),"Producción")</f>
        <v>Refractarios</v>
      </c>
      <c r="U113" s="43" t="s">
        <v>182</v>
      </c>
    </row>
    <row r="114" spans="1:21" x14ac:dyDescent="0.3">
      <c r="A114" s="43">
        <v>7355250323</v>
      </c>
      <c r="B114" s="43" t="s">
        <v>490</v>
      </c>
      <c r="C114" s="52">
        <f>Datos!$I$108*D114</f>
        <v>0</v>
      </c>
      <c r="D114" s="56">
        <f>Datos!$I$260</f>
        <v>83366.666666666453</v>
      </c>
      <c r="E114" s="55"/>
      <c r="F114" s="43"/>
      <c r="G114" s="43"/>
      <c r="H114" s="43"/>
      <c r="I114" s="43" t="s">
        <v>560</v>
      </c>
      <c r="J114" s="43" t="s">
        <v>804</v>
      </c>
      <c r="K114">
        <v>700001</v>
      </c>
      <c r="L114" s="43">
        <v>2</v>
      </c>
      <c r="M114" s="43" t="s">
        <v>62</v>
      </c>
      <c r="N114" s="53"/>
      <c r="O114" s="53"/>
      <c r="P114" s="43" t="str">
        <f>VLOOKUP(K114,Maestro!J:K,2,0)</f>
        <v>CLINKER</v>
      </c>
      <c r="Q114" s="43" t="str">
        <f>VLOOKUP(P114,Maestro!E:F,2,0)</f>
        <v>Clinkerización</v>
      </c>
      <c r="R114" s="43">
        <f>VLOOKUP(P114,ORD!$A:$C,3,0)</f>
        <v>5</v>
      </c>
      <c r="S114" t="str">
        <f t="shared" si="2"/>
        <v>7355250323SELLADOClinkerización</v>
      </c>
      <c r="T114" t="str">
        <f>IFERROR(VLOOKUP(S114,Maestro!$A:$H,8,0),"Producción")</f>
        <v>Sellado</v>
      </c>
      <c r="U114" s="43" t="s">
        <v>182</v>
      </c>
    </row>
    <row r="115" spans="1:21" x14ac:dyDescent="0.3">
      <c r="A115" s="43">
        <v>7355050105</v>
      </c>
      <c r="B115" s="43" t="s">
        <v>462</v>
      </c>
      <c r="C115" s="50">
        <f>Datos!$I$78*D115</f>
        <v>24000000</v>
      </c>
      <c r="D115" s="50">
        <f>Datos!$I$460</f>
        <v>2000</v>
      </c>
      <c r="E115" s="43"/>
      <c r="F115" s="43" t="s">
        <v>557</v>
      </c>
      <c r="G115" s="43" t="s">
        <v>570</v>
      </c>
      <c r="H115" s="43" t="s">
        <v>571</v>
      </c>
      <c r="I115" s="43" t="s">
        <v>560</v>
      </c>
      <c r="J115" s="43">
        <v>70000000000</v>
      </c>
      <c r="K115" s="43">
        <v>700001</v>
      </c>
      <c r="L115" s="43">
        <v>2</v>
      </c>
      <c r="M115" s="43" t="s">
        <v>62</v>
      </c>
      <c r="N115" s="53"/>
      <c r="O115" s="53"/>
      <c r="P115" s="43" t="str">
        <f>VLOOKUP(K115,Maestro!J:K,2,0)</f>
        <v>CLINKER</v>
      </c>
      <c r="Q115" s="43" t="str">
        <f>VLOOKUP(P115,Maestro!E:F,2,0)</f>
        <v>Clinkerización</v>
      </c>
      <c r="R115" s="43">
        <f>VLOOKUP(P115,ORD!$A:$C,3,0)</f>
        <v>5</v>
      </c>
      <c r="S115" t="str">
        <f t="shared" si="2"/>
        <v>735505010570000000000Clinkerización</v>
      </c>
      <c r="T115" t="str">
        <f>IFERROR(VLOOKUP(S115,Maestro!$A:$H,8,0),"Producción")</f>
        <v>Gasoil</v>
      </c>
      <c r="U115" s="43" t="s">
        <v>182</v>
      </c>
    </row>
    <row r="116" spans="1:21" x14ac:dyDescent="0.3">
      <c r="A116" s="43">
        <v>7199990001</v>
      </c>
      <c r="B116" s="43" t="s">
        <v>438</v>
      </c>
      <c r="C116" s="50"/>
      <c r="D116" s="50">
        <f>Datos!$J$449</f>
        <v>6466.6703755702074</v>
      </c>
      <c r="E116" s="43" t="s">
        <v>556</v>
      </c>
      <c r="F116" s="43" t="s">
        <v>557</v>
      </c>
      <c r="G116" s="43" t="s">
        <v>567</v>
      </c>
      <c r="H116" s="43" t="s">
        <v>568</v>
      </c>
      <c r="I116" s="43" t="s">
        <v>560</v>
      </c>
      <c r="J116" s="43" t="s">
        <v>455</v>
      </c>
      <c r="K116" s="43">
        <v>700001</v>
      </c>
      <c r="L116" s="43">
        <v>3</v>
      </c>
      <c r="M116" s="43" t="s">
        <v>452</v>
      </c>
      <c r="N116" s="51"/>
      <c r="O116" s="51"/>
      <c r="P116" s="43" t="str">
        <f>VLOOKUP(K116,Maestro!J:K,2,0)</f>
        <v>CLINKER</v>
      </c>
      <c r="Q116" s="43" t="str">
        <f>VLOOKUP(P116,Maestro!E:F,2,0)</f>
        <v>Clinkerización</v>
      </c>
      <c r="R116" s="43">
        <f>VLOOKUP(P116,ORD!$A:$C,3,0)</f>
        <v>5</v>
      </c>
      <c r="S116" t="str">
        <f t="shared" si="2"/>
        <v>7199990001CARBONMOLClinkerización</v>
      </c>
      <c r="T116" t="str">
        <f>IFERROR(VLOOKUP(S116,Maestro!$A:$H,8,0),"Producción")</f>
        <v>Carbón Molido</v>
      </c>
      <c r="U116" s="43" t="s">
        <v>182</v>
      </c>
    </row>
    <row r="117" spans="1:21" x14ac:dyDescent="0.3">
      <c r="A117" s="43">
        <v>7199990001</v>
      </c>
      <c r="B117" s="43" t="s">
        <v>438</v>
      </c>
      <c r="C117" s="50"/>
      <c r="D117" s="50">
        <f>Datos!$J$260*Datos!$J$178*(1+Datos!$J$217)</f>
        <v>90401.999999999767</v>
      </c>
      <c r="E117" s="43" t="s">
        <v>556</v>
      </c>
      <c r="F117" s="43" t="s">
        <v>557</v>
      </c>
      <c r="G117" s="43" t="s">
        <v>567</v>
      </c>
      <c r="H117" s="43" t="s">
        <v>568</v>
      </c>
      <c r="I117" s="43" t="s">
        <v>560</v>
      </c>
      <c r="J117" s="43" t="s">
        <v>458</v>
      </c>
      <c r="K117" s="43">
        <v>700001</v>
      </c>
      <c r="L117" s="43">
        <v>3</v>
      </c>
      <c r="M117" s="43" t="s">
        <v>445</v>
      </c>
      <c r="N117" s="51"/>
      <c r="O117" s="51"/>
      <c r="P117" s="43" t="str">
        <f>VLOOKUP(K117,Maestro!J:K,2,0)</f>
        <v>CLINKER</v>
      </c>
      <c r="Q117" s="43" t="str">
        <f>VLOOKUP(P117,Maestro!E:F,2,0)</f>
        <v>Clinkerización</v>
      </c>
      <c r="R117" s="43">
        <f>VLOOKUP(P117,ORD!$A:$C,3,0)</f>
        <v>5</v>
      </c>
      <c r="S117" t="str">
        <f t="shared" si="2"/>
        <v>7199990001HARINACRUDClinkerización</v>
      </c>
      <c r="T117" t="str">
        <f>IFERROR(VLOOKUP(S117,Maestro!$A:$H,8,0),"Producción")</f>
        <v>Crudo</v>
      </c>
      <c r="U117" s="43" t="s">
        <v>182</v>
      </c>
    </row>
    <row r="118" spans="1:21" x14ac:dyDescent="0.3">
      <c r="A118" s="43">
        <v>7999999995</v>
      </c>
      <c r="B118" s="43" t="s">
        <v>566</v>
      </c>
      <c r="C118" s="50"/>
      <c r="D118" s="56">
        <f>-Datos!$J$260</f>
        <v>-57949.999999999847</v>
      </c>
      <c r="E118" s="43" t="s">
        <v>556</v>
      </c>
      <c r="F118" s="43" t="s">
        <v>557</v>
      </c>
      <c r="G118" s="43" t="s">
        <v>567</v>
      </c>
      <c r="H118" s="43" t="s">
        <v>568</v>
      </c>
      <c r="I118" s="43" t="s">
        <v>560</v>
      </c>
      <c r="J118" s="43" t="s">
        <v>463</v>
      </c>
      <c r="K118" s="43">
        <v>700001</v>
      </c>
      <c r="L118" s="43">
        <v>3</v>
      </c>
      <c r="M118" s="43" t="s">
        <v>62</v>
      </c>
      <c r="N118" s="51"/>
      <c r="O118" s="51"/>
      <c r="P118" s="43" t="str">
        <f>VLOOKUP(K118,Maestro!J:K,2,0)</f>
        <v>CLINKER</v>
      </c>
      <c r="Q118" s="43" t="str">
        <f>VLOOKUP(P118,Maestro!E:F,2,0)</f>
        <v>Clinkerización</v>
      </c>
      <c r="R118" s="43">
        <f>VLOOKUP(P118,ORD!$A:$C,3,0)</f>
        <v>5</v>
      </c>
      <c r="S118" t="str">
        <f t="shared" si="2"/>
        <v>7999999995CLINKER001Clinkerización</v>
      </c>
      <c r="T118" t="str">
        <f>IFERROR(VLOOKUP(S118,Maestro!$A:$H,8,0),"Producción")</f>
        <v>Producción</v>
      </c>
      <c r="U118" s="43" t="s">
        <v>182</v>
      </c>
    </row>
    <row r="119" spans="1:21" x14ac:dyDescent="0.3">
      <c r="A119" s="43">
        <v>7355250320</v>
      </c>
      <c r="B119" s="43" t="s">
        <v>490</v>
      </c>
      <c r="C119" s="52">
        <f>Datos!$J$100*D119</f>
        <v>0</v>
      </c>
      <c r="D119" s="56">
        <f>Datos!$J$260</f>
        <v>57949.999999999847</v>
      </c>
      <c r="E119" s="43"/>
      <c r="F119" s="43"/>
      <c r="G119" s="43"/>
      <c r="H119" s="43"/>
      <c r="I119" s="43" t="s">
        <v>560</v>
      </c>
      <c r="J119" s="43" t="s">
        <v>796</v>
      </c>
      <c r="K119">
        <v>700001</v>
      </c>
      <c r="L119" s="43">
        <v>3</v>
      </c>
      <c r="M119" s="43" t="s">
        <v>62</v>
      </c>
      <c r="N119" s="53"/>
      <c r="O119" s="53"/>
      <c r="P119" s="43" t="str">
        <f>VLOOKUP(K119,Maestro!J:K,2,0)</f>
        <v>CLINKER</v>
      </c>
      <c r="Q119" s="43" t="str">
        <f>VLOOKUP(P119,Maestro!E:F,2,0)</f>
        <v>Clinkerización</v>
      </c>
      <c r="R119" s="43">
        <f>VLOOKUP(P119,ORD!$A:$C,3,0)</f>
        <v>5</v>
      </c>
      <c r="S119" t="str">
        <f t="shared" si="2"/>
        <v>7355250320DUCTOSClinkerización</v>
      </c>
      <c r="T119" t="str">
        <f>IFERROR(VLOOKUP(S119,Maestro!$A:$H,8,0),"Producción")</f>
        <v>Ductos</v>
      </c>
      <c r="U119" s="43" t="s">
        <v>182</v>
      </c>
    </row>
    <row r="120" spans="1:21" x14ac:dyDescent="0.3">
      <c r="A120" s="43">
        <v>7355250321</v>
      </c>
      <c r="B120" s="43" t="s">
        <v>490</v>
      </c>
      <c r="C120" s="52">
        <f>Datos!$J$104*D120</f>
        <v>10689396.854160922</v>
      </c>
      <c r="D120" s="56">
        <f>Datos!$J$260</f>
        <v>57949.999999999847</v>
      </c>
      <c r="E120" s="43"/>
      <c r="F120" s="43"/>
      <c r="G120" s="43"/>
      <c r="H120" s="43"/>
      <c r="I120" s="43" t="s">
        <v>560</v>
      </c>
      <c r="J120" s="43" t="s">
        <v>798</v>
      </c>
      <c r="K120">
        <v>700001</v>
      </c>
      <c r="L120" s="43">
        <v>3</v>
      </c>
      <c r="M120" s="43" t="s">
        <v>62</v>
      </c>
      <c r="N120" s="53"/>
      <c r="O120" s="53"/>
      <c r="P120" s="43" t="str">
        <f>VLOOKUP(K120,Maestro!J:K,2,0)</f>
        <v>CLINKER</v>
      </c>
      <c r="Q120" s="43" t="str">
        <f>VLOOKUP(P120,Maestro!E:F,2,0)</f>
        <v>Clinkerización</v>
      </c>
      <c r="R120" s="43">
        <f>VLOOKUP(P120,ORD!$A:$C,3,0)</f>
        <v>5</v>
      </c>
      <c r="S120" t="str">
        <f t="shared" si="2"/>
        <v>7355250321ENFRIADORClinkerización</v>
      </c>
      <c r="T120" t="str">
        <f>IFERROR(VLOOKUP(S120,Maestro!$A:$H,8,0),"Producción")</f>
        <v>Enfriador</v>
      </c>
      <c r="U120" s="43" t="s">
        <v>182</v>
      </c>
    </row>
    <row r="121" spans="1:21" x14ac:dyDescent="0.3">
      <c r="A121" s="43">
        <v>7355250322</v>
      </c>
      <c r="B121" s="43" t="s">
        <v>490</v>
      </c>
      <c r="C121" s="52">
        <f>Datos!$J$106*D121</f>
        <v>73208912.462340817</v>
      </c>
      <c r="D121" s="56">
        <f>Datos!$J$260</f>
        <v>57949.999999999847</v>
      </c>
      <c r="E121" s="43"/>
      <c r="F121" s="43"/>
      <c r="G121" s="43"/>
      <c r="H121" s="43"/>
      <c r="I121" s="43" t="s">
        <v>560</v>
      </c>
      <c r="J121" s="40" t="s">
        <v>801</v>
      </c>
      <c r="K121">
        <v>700001</v>
      </c>
      <c r="L121" s="43">
        <v>3</v>
      </c>
      <c r="M121" s="43" t="s">
        <v>62</v>
      </c>
      <c r="N121" s="53"/>
      <c r="O121" s="53"/>
      <c r="P121" s="43" t="str">
        <f>VLOOKUP(K121,Maestro!J:K,2,0)</f>
        <v>CLINKER</v>
      </c>
      <c r="Q121" s="43" t="str">
        <f>VLOOKUP(P121,Maestro!E:F,2,0)</f>
        <v>Clinkerización</v>
      </c>
      <c r="R121" s="43">
        <f>VLOOKUP(P121,ORD!$A:$C,3,0)</f>
        <v>5</v>
      </c>
      <c r="S121" t="str">
        <f t="shared" si="2"/>
        <v>7355250322PLACASClinkerización</v>
      </c>
      <c r="T121" t="str">
        <f>IFERROR(VLOOKUP(S121,Maestro!$A:$H,8,0),"Producción")</f>
        <v>Placas</v>
      </c>
      <c r="U121" s="43" t="s">
        <v>182</v>
      </c>
    </row>
    <row r="122" spans="1:21" x14ac:dyDescent="0.3">
      <c r="A122" s="43">
        <v>7355300105</v>
      </c>
      <c r="B122" s="43" t="s">
        <v>569</v>
      </c>
      <c r="C122" s="52">
        <f>Datos!$J$110*D122</f>
        <v>208655090.93288326</v>
      </c>
      <c r="D122" s="56">
        <f>Datos!$J$260</f>
        <v>57949.999999999847</v>
      </c>
      <c r="E122" s="55"/>
      <c r="F122" s="43"/>
      <c r="G122" s="43"/>
      <c r="H122" s="43"/>
      <c r="I122" s="43" t="s">
        <v>560</v>
      </c>
      <c r="J122" s="43" t="s">
        <v>803</v>
      </c>
      <c r="K122">
        <v>700001</v>
      </c>
      <c r="L122" s="43">
        <v>3</v>
      </c>
      <c r="M122" s="43" t="s">
        <v>62</v>
      </c>
      <c r="N122" s="53"/>
      <c r="O122" s="53"/>
      <c r="P122" s="43" t="str">
        <f>VLOOKUP(K122,Maestro!J:K,2,0)</f>
        <v>CLINKER</v>
      </c>
      <c r="Q122" s="43" t="str">
        <f>VLOOKUP(P122,Maestro!E:F,2,0)</f>
        <v>Clinkerización</v>
      </c>
      <c r="R122" s="43">
        <f>VLOOKUP(P122,ORD!$A:$C,3,0)</f>
        <v>5</v>
      </c>
      <c r="S122" t="str">
        <f t="shared" si="2"/>
        <v>7355300105REFRACTARIOSClinkerización</v>
      </c>
      <c r="T122" t="str">
        <f>IFERROR(VLOOKUP(S122,Maestro!$A:$H,8,0),"Producción")</f>
        <v>Refractarios</v>
      </c>
      <c r="U122" s="43" t="s">
        <v>182</v>
      </c>
    </row>
    <row r="123" spans="1:21" x14ac:dyDescent="0.3">
      <c r="A123" s="43">
        <v>7355250323</v>
      </c>
      <c r="B123" s="43" t="s">
        <v>490</v>
      </c>
      <c r="C123" s="52">
        <f>Datos!$J$108*D123</f>
        <v>0</v>
      </c>
      <c r="D123" s="56">
        <f>Datos!$J$260</f>
        <v>57949.999999999847</v>
      </c>
      <c r="E123" s="55"/>
      <c r="F123" s="43"/>
      <c r="G123" s="43"/>
      <c r="H123" s="43"/>
      <c r="I123" s="43" t="s">
        <v>560</v>
      </c>
      <c r="J123" s="43" t="s">
        <v>804</v>
      </c>
      <c r="K123">
        <v>700001</v>
      </c>
      <c r="L123" s="43">
        <v>3</v>
      </c>
      <c r="M123" s="43" t="s">
        <v>62</v>
      </c>
      <c r="N123" s="53"/>
      <c r="O123" s="53"/>
      <c r="P123" s="43" t="str">
        <f>VLOOKUP(K123,Maestro!J:K,2,0)</f>
        <v>CLINKER</v>
      </c>
      <c r="Q123" s="43" t="str">
        <f>VLOOKUP(P123,Maestro!E:F,2,0)</f>
        <v>Clinkerización</v>
      </c>
      <c r="R123" s="43">
        <f>VLOOKUP(P123,ORD!$A:$C,3,0)</f>
        <v>5</v>
      </c>
      <c r="S123" t="str">
        <f t="shared" si="2"/>
        <v>7355250323SELLADOClinkerización</v>
      </c>
      <c r="T123" t="str">
        <f>IFERROR(VLOOKUP(S123,Maestro!$A:$H,8,0),"Producción")</f>
        <v>Sellado</v>
      </c>
      <c r="U123" s="43" t="s">
        <v>182</v>
      </c>
    </row>
    <row r="124" spans="1:21" x14ac:dyDescent="0.3">
      <c r="A124" s="43">
        <v>7355050105</v>
      </c>
      <c r="B124" s="43" t="s">
        <v>462</v>
      </c>
      <c r="C124" s="50">
        <f>Datos!$J$78*D124</f>
        <v>24000000</v>
      </c>
      <c r="D124" s="50">
        <f>Datos!$J$460</f>
        <v>2000</v>
      </c>
      <c r="E124" s="43"/>
      <c r="F124" s="43" t="s">
        <v>557</v>
      </c>
      <c r="G124" s="43" t="s">
        <v>570</v>
      </c>
      <c r="H124" s="43" t="s">
        <v>571</v>
      </c>
      <c r="I124" s="43" t="s">
        <v>560</v>
      </c>
      <c r="J124" s="43">
        <v>70000000000</v>
      </c>
      <c r="K124" s="43">
        <v>700001</v>
      </c>
      <c r="L124" s="43">
        <v>3</v>
      </c>
      <c r="M124" s="43" t="s">
        <v>62</v>
      </c>
      <c r="N124" s="53"/>
      <c r="O124" s="53"/>
      <c r="P124" s="43" t="str">
        <f>VLOOKUP(K124,Maestro!J:K,2,0)</f>
        <v>CLINKER</v>
      </c>
      <c r="Q124" s="43" t="str">
        <f>VLOOKUP(P124,Maestro!E:F,2,0)</f>
        <v>Clinkerización</v>
      </c>
      <c r="R124" s="43">
        <f>VLOOKUP(P124,ORD!$A:$C,3,0)</f>
        <v>5</v>
      </c>
      <c r="S124" t="str">
        <f t="shared" si="2"/>
        <v>735505010570000000000Clinkerización</v>
      </c>
      <c r="T124" t="str">
        <f>IFERROR(VLOOKUP(S124,Maestro!$A:$H,8,0),"Producción")</f>
        <v>Gasoil</v>
      </c>
      <c r="U124" s="43" t="s">
        <v>182</v>
      </c>
    </row>
    <row r="125" spans="1:21" x14ac:dyDescent="0.3">
      <c r="A125" s="43">
        <v>7199990001</v>
      </c>
      <c r="B125" s="43" t="s">
        <v>438</v>
      </c>
      <c r="C125" s="50"/>
      <c r="D125" s="50">
        <f>Datos!$K$449</f>
        <v>6764.1562278822057</v>
      </c>
      <c r="E125" s="43" t="s">
        <v>556</v>
      </c>
      <c r="F125" s="43" t="s">
        <v>557</v>
      </c>
      <c r="G125" s="43" t="s">
        <v>567</v>
      </c>
      <c r="H125" s="43" t="s">
        <v>568</v>
      </c>
      <c r="I125" s="43" t="s">
        <v>560</v>
      </c>
      <c r="J125" s="43" t="s">
        <v>455</v>
      </c>
      <c r="K125" s="43">
        <v>700001</v>
      </c>
      <c r="L125" s="43">
        <v>4</v>
      </c>
      <c r="M125" s="43" t="s">
        <v>452</v>
      </c>
      <c r="N125" s="51"/>
      <c r="O125" s="51"/>
      <c r="P125" s="43" t="str">
        <f>VLOOKUP(K125,Maestro!J:K,2,0)</f>
        <v>CLINKER</v>
      </c>
      <c r="Q125" s="43" t="str">
        <f>VLOOKUP(P125,Maestro!E:F,2,0)</f>
        <v>Clinkerización</v>
      </c>
      <c r="R125" s="43">
        <f>VLOOKUP(P125,ORD!$A:$C,3,0)</f>
        <v>5</v>
      </c>
      <c r="S125" t="str">
        <f t="shared" si="2"/>
        <v>7199990001CARBONMOLClinkerización</v>
      </c>
      <c r="T125" t="str">
        <f>IFERROR(VLOOKUP(S125,Maestro!$A:$H,8,0),"Producción")</f>
        <v>Carbón Molido</v>
      </c>
      <c r="U125" s="43" t="s">
        <v>182</v>
      </c>
    </row>
    <row r="126" spans="1:21" x14ac:dyDescent="0.3">
      <c r="A126" s="43">
        <v>7199990001</v>
      </c>
      <c r="B126" s="43" t="s">
        <v>438</v>
      </c>
      <c r="C126" s="50"/>
      <c r="D126" s="50">
        <f>Datos!$K$260*Datos!$K$178*(1+Datos!$K$217)</f>
        <v>95159.999999999753</v>
      </c>
      <c r="E126" s="43" t="s">
        <v>556</v>
      </c>
      <c r="F126" s="43" t="s">
        <v>557</v>
      </c>
      <c r="G126" s="43" t="s">
        <v>567</v>
      </c>
      <c r="H126" s="43" t="s">
        <v>568</v>
      </c>
      <c r="I126" s="43" t="s">
        <v>560</v>
      </c>
      <c r="J126" s="43" t="s">
        <v>458</v>
      </c>
      <c r="K126" s="43">
        <v>700001</v>
      </c>
      <c r="L126" s="43">
        <v>4</v>
      </c>
      <c r="M126" s="43" t="s">
        <v>445</v>
      </c>
      <c r="N126" s="51"/>
      <c r="O126" s="51"/>
      <c r="P126" s="43" t="str">
        <f>VLOOKUP(K126,Maestro!J:K,2,0)</f>
        <v>CLINKER</v>
      </c>
      <c r="Q126" s="43" t="str">
        <f>VLOOKUP(P126,Maestro!E:F,2,0)</f>
        <v>Clinkerización</v>
      </c>
      <c r="R126" s="43">
        <f>VLOOKUP(P126,ORD!$A:$C,3,0)</f>
        <v>5</v>
      </c>
      <c r="S126" t="str">
        <f t="shared" si="2"/>
        <v>7199990001HARINACRUDClinkerización</v>
      </c>
      <c r="T126" t="str">
        <f>IFERROR(VLOOKUP(S126,Maestro!$A:$H,8,0),"Producción")</f>
        <v>Crudo</v>
      </c>
      <c r="U126" s="43" t="s">
        <v>182</v>
      </c>
    </row>
    <row r="127" spans="1:21" x14ac:dyDescent="0.3">
      <c r="A127" s="43">
        <v>7999999995</v>
      </c>
      <c r="B127" s="43" t="s">
        <v>566</v>
      </c>
      <c r="C127" s="50"/>
      <c r="D127" s="56">
        <f>-Datos!$K$260</f>
        <v>-60999.99999999984</v>
      </c>
      <c r="E127" s="43" t="s">
        <v>556</v>
      </c>
      <c r="F127" s="43" t="s">
        <v>557</v>
      </c>
      <c r="G127" s="43" t="s">
        <v>567</v>
      </c>
      <c r="H127" s="43" t="s">
        <v>568</v>
      </c>
      <c r="I127" s="43" t="s">
        <v>560</v>
      </c>
      <c r="J127" s="43" t="s">
        <v>463</v>
      </c>
      <c r="K127" s="43">
        <v>700001</v>
      </c>
      <c r="L127" s="43">
        <v>4</v>
      </c>
      <c r="M127" s="43" t="s">
        <v>62</v>
      </c>
      <c r="N127" s="51"/>
      <c r="O127" s="51"/>
      <c r="P127" s="43" t="str">
        <f>VLOOKUP(K127,Maestro!J:K,2,0)</f>
        <v>CLINKER</v>
      </c>
      <c r="Q127" s="43" t="str">
        <f>VLOOKUP(P127,Maestro!E:F,2,0)</f>
        <v>Clinkerización</v>
      </c>
      <c r="R127" s="43">
        <f>VLOOKUP(P127,ORD!$A:$C,3,0)</f>
        <v>5</v>
      </c>
      <c r="S127" t="str">
        <f t="shared" si="2"/>
        <v>7999999995CLINKER001Clinkerización</v>
      </c>
      <c r="T127" t="str">
        <f>IFERROR(VLOOKUP(S127,Maestro!$A:$H,8,0),"Producción")</f>
        <v>Producción</v>
      </c>
      <c r="U127" s="43" t="s">
        <v>182</v>
      </c>
    </row>
    <row r="128" spans="1:21" x14ac:dyDescent="0.3">
      <c r="A128" s="43">
        <v>7355250320</v>
      </c>
      <c r="B128" s="43" t="s">
        <v>490</v>
      </c>
      <c r="C128" s="52">
        <f>Datos!$K$100*D128</f>
        <v>0</v>
      </c>
      <c r="D128" s="56">
        <f>Datos!$K$260</f>
        <v>60999.99999999984</v>
      </c>
      <c r="E128" s="43"/>
      <c r="F128" s="43"/>
      <c r="G128" s="43"/>
      <c r="H128" s="43"/>
      <c r="I128" s="43" t="s">
        <v>560</v>
      </c>
      <c r="J128" s="43" t="s">
        <v>796</v>
      </c>
      <c r="K128">
        <v>700001</v>
      </c>
      <c r="L128" s="43">
        <v>4</v>
      </c>
      <c r="M128" s="43" t="s">
        <v>62</v>
      </c>
      <c r="N128" s="53"/>
      <c r="O128" s="53"/>
      <c r="P128" s="43" t="str">
        <f>VLOOKUP(K128,Maestro!J:K,2,0)</f>
        <v>CLINKER</v>
      </c>
      <c r="Q128" s="43" t="str">
        <f>VLOOKUP(P128,Maestro!E:F,2,0)</f>
        <v>Clinkerización</v>
      </c>
      <c r="R128" s="43">
        <f>VLOOKUP(P128,ORD!$A:$C,3,0)</f>
        <v>5</v>
      </c>
      <c r="S128" t="str">
        <f t="shared" si="2"/>
        <v>7355250320DUCTOSClinkerización</v>
      </c>
      <c r="T128" t="str">
        <f>IFERROR(VLOOKUP(S128,Maestro!$A:$H,8,0),"Producción")</f>
        <v>Ductos</v>
      </c>
      <c r="U128" s="43" t="s">
        <v>182</v>
      </c>
    </row>
    <row r="129" spans="1:21" x14ac:dyDescent="0.3">
      <c r="A129" s="43">
        <v>7355250321</v>
      </c>
      <c r="B129" s="43" t="s">
        <v>490</v>
      </c>
      <c r="C129" s="52">
        <f>Datos!$K$104*D129</f>
        <v>11251996.688590443</v>
      </c>
      <c r="D129" s="56">
        <f>Datos!$K$260</f>
        <v>60999.99999999984</v>
      </c>
      <c r="E129" s="43"/>
      <c r="F129" s="43"/>
      <c r="G129" s="43"/>
      <c r="H129" s="43"/>
      <c r="I129" s="43" t="s">
        <v>560</v>
      </c>
      <c r="J129" s="43" t="s">
        <v>798</v>
      </c>
      <c r="K129">
        <v>700001</v>
      </c>
      <c r="L129" s="43">
        <v>4</v>
      </c>
      <c r="M129" s="43" t="s">
        <v>62</v>
      </c>
      <c r="N129" s="53"/>
      <c r="O129" s="53"/>
      <c r="P129" s="43" t="str">
        <f>VLOOKUP(K129,Maestro!J:K,2,0)</f>
        <v>CLINKER</v>
      </c>
      <c r="Q129" s="43" t="str">
        <f>VLOOKUP(P129,Maestro!E:F,2,0)</f>
        <v>Clinkerización</v>
      </c>
      <c r="R129" s="43">
        <f>VLOOKUP(P129,ORD!$A:$C,3,0)</f>
        <v>5</v>
      </c>
      <c r="S129" t="str">
        <f t="shared" si="2"/>
        <v>7355250321ENFRIADORClinkerización</v>
      </c>
      <c r="T129" t="str">
        <f>IFERROR(VLOOKUP(S129,Maestro!$A:$H,8,0),"Producción")</f>
        <v>Enfriador</v>
      </c>
      <c r="U129" s="43" t="s">
        <v>182</v>
      </c>
    </row>
    <row r="130" spans="1:21" x14ac:dyDescent="0.3">
      <c r="A130" s="43">
        <v>7355250322</v>
      </c>
      <c r="B130" s="43" t="s">
        <v>490</v>
      </c>
      <c r="C130" s="52">
        <f>Datos!$K$106*D130</f>
        <v>77062013.118253499</v>
      </c>
      <c r="D130" s="56">
        <f>Datos!$K$260</f>
        <v>60999.99999999984</v>
      </c>
      <c r="E130" s="43"/>
      <c r="F130" s="43"/>
      <c r="G130" s="43"/>
      <c r="H130" s="43"/>
      <c r="I130" s="43" t="s">
        <v>560</v>
      </c>
      <c r="J130" s="40" t="s">
        <v>801</v>
      </c>
      <c r="K130">
        <v>700001</v>
      </c>
      <c r="L130" s="43">
        <v>4</v>
      </c>
      <c r="M130" s="43" t="s">
        <v>62</v>
      </c>
      <c r="N130" s="53"/>
      <c r="O130" s="53"/>
      <c r="P130" s="43" t="str">
        <f>VLOOKUP(K130,Maestro!J:K,2,0)</f>
        <v>CLINKER</v>
      </c>
      <c r="Q130" s="43" t="str">
        <f>VLOOKUP(P130,Maestro!E:F,2,0)</f>
        <v>Clinkerización</v>
      </c>
      <c r="R130" s="43">
        <f>VLOOKUP(P130,ORD!$A:$C,3,0)</f>
        <v>5</v>
      </c>
      <c r="S130" t="str">
        <f t="shared" si="2"/>
        <v>7355250322PLACASClinkerización</v>
      </c>
      <c r="T130" t="str">
        <f>IFERROR(VLOOKUP(S130,Maestro!$A:$H,8,0),"Producción")</f>
        <v>Placas</v>
      </c>
      <c r="U130" s="43" t="s">
        <v>182</v>
      </c>
    </row>
    <row r="131" spans="1:21" x14ac:dyDescent="0.3">
      <c r="A131" s="43">
        <v>7355300105</v>
      </c>
      <c r="B131" s="43" t="s">
        <v>569</v>
      </c>
      <c r="C131" s="52">
        <f>Datos!$K$110*D131</f>
        <v>219636937.82408765</v>
      </c>
      <c r="D131" s="56">
        <f>Datos!$K$260</f>
        <v>60999.99999999984</v>
      </c>
      <c r="E131" s="55"/>
      <c r="F131" s="43"/>
      <c r="G131" s="43"/>
      <c r="H131" s="43"/>
      <c r="I131" s="43" t="s">
        <v>560</v>
      </c>
      <c r="J131" s="43" t="s">
        <v>803</v>
      </c>
      <c r="K131">
        <v>700001</v>
      </c>
      <c r="L131" s="43">
        <v>4</v>
      </c>
      <c r="M131" s="43" t="s">
        <v>62</v>
      </c>
      <c r="N131" s="53"/>
      <c r="O131" s="53"/>
      <c r="P131" s="43" t="str">
        <f>VLOOKUP(K131,Maestro!J:K,2,0)</f>
        <v>CLINKER</v>
      </c>
      <c r="Q131" s="43" t="str">
        <f>VLOOKUP(P131,Maestro!E:F,2,0)</f>
        <v>Clinkerización</v>
      </c>
      <c r="R131" s="43">
        <f>VLOOKUP(P131,ORD!$A:$C,3,0)</f>
        <v>5</v>
      </c>
      <c r="S131" t="str">
        <f t="shared" ref="S131:S194" si="3">A131&amp;J131&amp;Q131</f>
        <v>7355300105REFRACTARIOSClinkerización</v>
      </c>
      <c r="T131" t="str">
        <f>IFERROR(VLOOKUP(S131,Maestro!$A:$H,8,0),"Producción")</f>
        <v>Refractarios</v>
      </c>
      <c r="U131" s="43" t="s">
        <v>182</v>
      </c>
    </row>
    <row r="132" spans="1:21" x14ac:dyDescent="0.3">
      <c r="A132" s="43">
        <v>7355250323</v>
      </c>
      <c r="B132" s="43" t="s">
        <v>490</v>
      </c>
      <c r="C132" s="52">
        <f>Datos!$K$108*D132</f>
        <v>0</v>
      </c>
      <c r="D132" s="56">
        <f>Datos!$K$260</f>
        <v>60999.99999999984</v>
      </c>
      <c r="E132" s="55"/>
      <c r="F132" s="43"/>
      <c r="G132" s="43"/>
      <c r="H132" s="43"/>
      <c r="I132" s="43" t="s">
        <v>560</v>
      </c>
      <c r="J132" s="43" t="s">
        <v>804</v>
      </c>
      <c r="K132">
        <v>700001</v>
      </c>
      <c r="L132" s="43">
        <v>4</v>
      </c>
      <c r="M132" s="43" t="s">
        <v>62</v>
      </c>
      <c r="N132" s="53"/>
      <c r="O132" s="53"/>
      <c r="P132" s="43" t="str">
        <f>VLOOKUP(K132,Maestro!J:K,2,0)</f>
        <v>CLINKER</v>
      </c>
      <c r="Q132" s="43" t="str">
        <f>VLOOKUP(P132,Maestro!E:F,2,0)</f>
        <v>Clinkerización</v>
      </c>
      <c r="R132" s="43">
        <f>VLOOKUP(P132,ORD!$A:$C,3,0)</f>
        <v>5</v>
      </c>
      <c r="S132" t="str">
        <f t="shared" si="3"/>
        <v>7355250323SELLADOClinkerización</v>
      </c>
      <c r="T132" t="str">
        <f>IFERROR(VLOOKUP(S132,Maestro!$A:$H,8,0),"Producción")</f>
        <v>Sellado</v>
      </c>
      <c r="U132" s="43" t="s">
        <v>182</v>
      </c>
    </row>
    <row r="133" spans="1:21" x14ac:dyDescent="0.3">
      <c r="A133" s="43">
        <v>7355050105</v>
      </c>
      <c r="B133" s="43" t="s">
        <v>462</v>
      </c>
      <c r="C133" s="50">
        <f>Datos!$K$78*D133</f>
        <v>144000000</v>
      </c>
      <c r="D133" s="50">
        <f>Datos!$K$460</f>
        <v>12000</v>
      </c>
      <c r="E133" s="43"/>
      <c r="F133" s="43" t="s">
        <v>557</v>
      </c>
      <c r="G133" s="43" t="s">
        <v>570</v>
      </c>
      <c r="H133" s="43" t="s">
        <v>571</v>
      </c>
      <c r="I133" s="43" t="s">
        <v>560</v>
      </c>
      <c r="J133" s="43">
        <v>70000000000</v>
      </c>
      <c r="K133" s="43">
        <v>700001</v>
      </c>
      <c r="L133" s="43">
        <v>4</v>
      </c>
      <c r="M133" s="43" t="s">
        <v>62</v>
      </c>
      <c r="N133" s="53"/>
      <c r="O133" s="53"/>
      <c r="P133" s="43" t="str">
        <f>VLOOKUP(K133,Maestro!J:K,2,0)</f>
        <v>CLINKER</v>
      </c>
      <c r="Q133" s="43" t="str">
        <f>VLOOKUP(P133,Maestro!E:F,2,0)</f>
        <v>Clinkerización</v>
      </c>
      <c r="R133" s="43">
        <f>VLOOKUP(P133,ORD!$A:$C,3,0)</f>
        <v>5</v>
      </c>
      <c r="S133" t="str">
        <f t="shared" si="3"/>
        <v>735505010570000000000Clinkerización</v>
      </c>
      <c r="T133" t="str">
        <f>IFERROR(VLOOKUP(S133,Maestro!$A:$H,8,0),"Producción")</f>
        <v>Gasoil</v>
      </c>
      <c r="U133" s="43" t="s">
        <v>182</v>
      </c>
    </row>
    <row r="134" spans="1:21" x14ac:dyDescent="0.3">
      <c r="A134" s="43">
        <v>7199990001</v>
      </c>
      <c r="B134" s="43" t="s">
        <v>438</v>
      </c>
      <c r="C134" s="50"/>
      <c r="D134" s="50">
        <f>Datos!$L$449</f>
        <v>10329.150676521722</v>
      </c>
      <c r="E134" s="43" t="s">
        <v>556</v>
      </c>
      <c r="F134" s="43" t="s">
        <v>557</v>
      </c>
      <c r="G134" s="43" t="s">
        <v>567</v>
      </c>
      <c r="H134" s="43" t="s">
        <v>568</v>
      </c>
      <c r="I134" s="43" t="s">
        <v>560</v>
      </c>
      <c r="J134" s="43" t="s">
        <v>455</v>
      </c>
      <c r="K134" s="43">
        <v>700001</v>
      </c>
      <c r="L134" s="43">
        <v>5</v>
      </c>
      <c r="M134" s="43" t="s">
        <v>452</v>
      </c>
      <c r="N134" s="51"/>
      <c r="O134" s="51"/>
      <c r="P134" s="43" t="str">
        <f>VLOOKUP(K134,Maestro!J:K,2,0)</f>
        <v>CLINKER</v>
      </c>
      <c r="Q134" s="43" t="str">
        <f>VLOOKUP(P134,Maestro!E:F,2,0)</f>
        <v>Clinkerización</v>
      </c>
      <c r="R134" s="43">
        <f>VLOOKUP(P134,ORD!$A:$C,3,0)</f>
        <v>5</v>
      </c>
      <c r="S134" t="str">
        <f t="shared" si="3"/>
        <v>7199990001CARBONMOLClinkerización</v>
      </c>
      <c r="T134" t="str">
        <f>IFERROR(VLOOKUP(S134,Maestro!$A:$H,8,0),"Producción")</f>
        <v>Carbón Molido</v>
      </c>
      <c r="U134" s="43" t="s">
        <v>182</v>
      </c>
    </row>
    <row r="135" spans="1:21" x14ac:dyDescent="0.3">
      <c r="A135" s="43">
        <v>7199990001</v>
      </c>
      <c r="B135" s="43" t="s">
        <v>438</v>
      </c>
      <c r="C135" s="50"/>
      <c r="D135" s="50">
        <f>Datos!$L$260*Datos!$L$178*(1+Datos!$L$217)</f>
        <v>144325.99999999962</v>
      </c>
      <c r="E135" s="43" t="s">
        <v>556</v>
      </c>
      <c r="F135" s="43" t="s">
        <v>557</v>
      </c>
      <c r="G135" s="43" t="s">
        <v>567</v>
      </c>
      <c r="H135" s="43" t="s">
        <v>568</v>
      </c>
      <c r="I135" s="43" t="s">
        <v>560</v>
      </c>
      <c r="J135" s="43" t="s">
        <v>458</v>
      </c>
      <c r="K135" s="43">
        <v>700001</v>
      </c>
      <c r="L135" s="43">
        <v>5</v>
      </c>
      <c r="M135" s="43" t="s">
        <v>445</v>
      </c>
      <c r="N135" s="51"/>
      <c r="O135" s="51"/>
      <c r="P135" s="43" t="str">
        <f>VLOOKUP(K135,Maestro!J:K,2,0)</f>
        <v>CLINKER</v>
      </c>
      <c r="Q135" s="43" t="str">
        <f>VLOOKUP(P135,Maestro!E:F,2,0)</f>
        <v>Clinkerización</v>
      </c>
      <c r="R135" s="43">
        <f>VLOOKUP(P135,ORD!$A:$C,3,0)</f>
        <v>5</v>
      </c>
      <c r="S135" t="str">
        <f t="shared" si="3"/>
        <v>7199990001HARINACRUDClinkerización</v>
      </c>
      <c r="T135" t="str">
        <f>IFERROR(VLOOKUP(S135,Maestro!$A:$H,8,0),"Producción")</f>
        <v>Crudo</v>
      </c>
      <c r="U135" s="43" t="s">
        <v>182</v>
      </c>
    </row>
    <row r="136" spans="1:21" x14ac:dyDescent="0.3">
      <c r="A136" s="43">
        <v>7999999995</v>
      </c>
      <c r="B136" s="43" t="s">
        <v>566</v>
      </c>
      <c r="C136" s="50"/>
      <c r="D136" s="56">
        <f>-Datos!$L$260</f>
        <v>-92516.666666666424</v>
      </c>
      <c r="E136" s="43" t="s">
        <v>556</v>
      </c>
      <c r="F136" s="43" t="s">
        <v>557</v>
      </c>
      <c r="G136" s="43" t="s">
        <v>567</v>
      </c>
      <c r="H136" s="43" t="s">
        <v>568</v>
      </c>
      <c r="I136" s="43" t="s">
        <v>560</v>
      </c>
      <c r="J136" s="43" t="s">
        <v>463</v>
      </c>
      <c r="K136" s="43">
        <v>700001</v>
      </c>
      <c r="L136" s="43">
        <v>5</v>
      </c>
      <c r="M136" s="43" t="s">
        <v>62</v>
      </c>
      <c r="N136" s="51"/>
      <c r="O136" s="51"/>
      <c r="P136" s="43" t="str">
        <f>VLOOKUP(K136,Maestro!J:K,2,0)</f>
        <v>CLINKER</v>
      </c>
      <c r="Q136" s="43" t="str">
        <f>VLOOKUP(P136,Maestro!E:F,2,0)</f>
        <v>Clinkerización</v>
      </c>
      <c r="R136" s="43">
        <f>VLOOKUP(P136,ORD!$A:$C,3,0)</f>
        <v>5</v>
      </c>
      <c r="S136" t="str">
        <f t="shared" si="3"/>
        <v>7999999995CLINKER001Clinkerización</v>
      </c>
      <c r="T136" t="str">
        <f>IFERROR(VLOOKUP(S136,Maestro!$A:$H,8,0),"Producción")</f>
        <v>Producción</v>
      </c>
      <c r="U136" s="43" t="s">
        <v>182</v>
      </c>
    </row>
    <row r="137" spans="1:21" x14ac:dyDescent="0.3">
      <c r="A137" s="43">
        <v>7355250320</v>
      </c>
      <c r="B137" s="43" t="s">
        <v>490</v>
      </c>
      <c r="C137" s="52">
        <f>Datos!$L$100*D137</f>
        <v>0</v>
      </c>
      <c r="D137" s="52">
        <v>92516.666666666424</v>
      </c>
      <c r="E137" s="43"/>
      <c r="F137" s="43"/>
      <c r="G137" s="43"/>
      <c r="H137" s="43"/>
      <c r="I137" s="43" t="s">
        <v>560</v>
      </c>
      <c r="J137" s="43" t="s">
        <v>796</v>
      </c>
      <c r="K137">
        <v>700001</v>
      </c>
      <c r="L137" s="43">
        <v>5</v>
      </c>
      <c r="M137" s="43" t="s">
        <v>62</v>
      </c>
      <c r="N137" s="53"/>
      <c r="O137" s="53"/>
      <c r="P137" s="43" t="str">
        <f>VLOOKUP(K137,Maestro!J:K,2,0)</f>
        <v>CLINKER</v>
      </c>
      <c r="Q137" s="43" t="str">
        <f>VLOOKUP(P137,Maestro!E:F,2,0)</f>
        <v>Clinkerización</v>
      </c>
      <c r="R137" s="43">
        <f>VLOOKUP(P137,ORD!$A:$C,3,0)</f>
        <v>5</v>
      </c>
      <c r="S137" t="str">
        <f t="shared" si="3"/>
        <v>7355250320DUCTOSClinkerización</v>
      </c>
      <c r="T137" t="str">
        <f>IFERROR(VLOOKUP(S137,Maestro!$A:$H,8,0),"Producción")</f>
        <v>Ductos</v>
      </c>
      <c r="U137" s="43" t="s">
        <v>182</v>
      </c>
    </row>
    <row r="138" spans="1:21" x14ac:dyDescent="0.3">
      <c r="A138" s="43">
        <v>7355250321</v>
      </c>
      <c r="B138" s="43" t="s">
        <v>490</v>
      </c>
      <c r="C138" s="52">
        <f>Datos!$L$104*D138</f>
        <v>17065528.311028838</v>
      </c>
      <c r="D138" s="56">
        <f>Datos!$L$260</f>
        <v>92516.666666666424</v>
      </c>
      <c r="E138" s="43"/>
      <c r="F138" s="43"/>
      <c r="G138" s="43"/>
      <c r="H138" s="43"/>
      <c r="I138" s="43" t="s">
        <v>560</v>
      </c>
      <c r="J138" s="43" t="s">
        <v>798</v>
      </c>
      <c r="K138">
        <v>700001</v>
      </c>
      <c r="L138" s="43">
        <v>5</v>
      </c>
      <c r="M138" s="43" t="s">
        <v>62</v>
      </c>
      <c r="N138" s="53"/>
      <c r="O138" s="53"/>
      <c r="P138" s="43" t="str">
        <f>VLOOKUP(K138,Maestro!J:K,2,0)</f>
        <v>CLINKER</v>
      </c>
      <c r="Q138" s="43" t="str">
        <f>VLOOKUP(P138,Maestro!E:F,2,0)</f>
        <v>Clinkerización</v>
      </c>
      <c r="R138" s="43">
        <f>VLOOKUP(P138,ORD!$A:$C,3,0)</f>
        <v>5</v>
      </c>
      <c r="S138" t="str">
        <f t="shared" si="3"/>
        <v>7355250321ENFRIADORClinkerización</v>
      </c>
      <c r="T138" t="str">
        <f>IFERROR(VLOOKUP(S138,Maestro!$A:$H,8,0),"Producción")</f>
        <v>Enfriador</v>
      </c>
      <c r="U138" s="43" t="s">
        <v>182</v>
      </c>
    </row>
    <row r="139" spans="1:21" x14ac:dyDescent="0.3">
      <c r="A139" s="43">
        <v>7355250322</v>
      </c>
      <c r="B139" s="43" t="s">
        <v>490</v>
      </c>
      <c r="C139" s="52">
        <f>Datos!$L$106*D139</f>
        <v>116877386.56268448</v>
      </c>
      <c r="D139" s="56">
        <f>Datos!$L$260</f>
        <v>92516.666666666424</v>
      </c>
      <c r="E139" s="43"/>
      <c r="F139" s="43"/>
      <c r="G139" s="43"/>
      <c r="H139" s="43"/>
      <c r="I139" s="43" t="s">
        <v>560</v>
      </c>
      <c r="J139" s="40" t="s">
        <v>801</v>
      </c>
      <c r="K139">
        <v>700001</v>
      </c>
      <c r="L139" s="43">
        <v>5</v>
      </c>
      <c r="M139" s="43" t="s">
        <v>62</v>
      </c>
      <c r="N139" s="53"/>
      <c r="O139" s="53"/>
      <c r="P139" s="43" t="str">
        <f>VLOOKUP(K139,Maestro!J:K,2,0)</f>
        <v>CLINKER</v>
      </c>
      <c r="Q139" s="43" t="str">
        <f>VLOOKUP(P139,Maestro!E:F,2,0)</f>
        <v>Clinkerización</v>
      </c>
      <c r="R139" s="43">
        <f>VLOOKUP(P139,ORD!$A:$C,3,0)</f>
        <v>5</v>
      </c>
      <c r="S139" t="str">
        <f t="shared" si="3"/>
        <v>7355250322PLACASClinkerización</v>
      </c>
      <c r="T139" t="str">
        <f>IFERROR(VLOOKUP(S139,Maestro!$A:$H,8,0),"Producción")</f>
        <v>Placas</v>
      </c>
      <c r="U139" s="43" t="s">
        <v>182</v>
      </c>
    </row>
    <row r="140" spans="1:21" x14ac:dyDescent="0.3">
      <c r="A140" s="43">
        <v>7355300105</v>
      </c>
      <c r="B140" s="43" t="s">
        <v>569</v>
      </c>
      <c r="C140" s="52">
        <f>Datos!$L$110*D140</f>
        <v>333116022.36653292</v>
      </c>
      <c r="D140" s="56">
        <f>Datos!$L$260</f>
        <v>92516.666666666424</v>
      </c>
      <c r="E140" s="55"/>
      <c r="F140" s="43"/>
      <c r="G140" s="43"/>
      <c r="H140" s="43"/>
      <c r="I140" s="43" t="s">
        <v>560</v>
      </c>
      <c r="J140" s="43" t="s">
        <v>803</v>
      </c>
      <c r="K140">
        <v>700001</v>
      </c>
      <c r="L140" s="43">
        <v>5</v>
      </c>
      <c r="M140" s="43" t="s">
        <v>62</v>
      </c>
      <c r="N140" s="53"/>
      <c r="O140" s="53"/>
      <c r="P140" s="43" t="str">
        <f>VLOOKUP(K140,Maestro!J:K,2,0)</f>
        <v>CLINKER</v>
      </c>
      <c r="Q140" s="43" t="str">
        <f>VLOOKUP(P140,Maestro!E:F,2,0)</f>
        <v>Clinkerización</v>
      </c>
      <c r="R140" s="43">
        <f>VLOOKUP(P140,ORD!$A:$C,3,0)</f>
        <v>5</v>
      </c>
      <c r="S140" t="str">
        <f t="shared" si="3"/>
        <v>7355300105REFRACTARIOSClinkerización</v>
      </c>
      <c r="T140" t="str">
        <f>IFERROR(VLOOKUP(S140,Maestro!$A:$H,8,0),"Producción")</f>
        <v>Refractarios</v>
      </c>
      <c r="U140" s="43" t="s">
        <v>182</v>
      </c>
    </row>
    <row r="141" spans="1:21" x14ac:dyDescent="0.3">
      <c r="A141" s="43">
        <v>7355250323</v>
      </c>
      <c r="B141" s="43" t="s">
        <v>490</v>
      </c>
      <c r="C141" s="52">
        <f>Datos!$L$108*D141</f>
        <v>0</v>
      </c>
      <c r="D141" s="56">
        <f>Datos!$L$260</f>
        <v>92516.666666666424</v>
      </c>
      <c r="E141" s="55"/>
      <c r="F141" s="43"/>
      <c r="G141" s="43"/>
      <c r="H141" s="43"/>
      <c r="I141" s="43" t="s">
        <v>560</v>
      </c>
      <c r="J141" s="43" t="s">
        <v>804</v>
      </c>
      <c r="K141">
        <v>700001</v>
      </c>
      <c r="L141" s="43">
        <v>5</v>
      </c>
      <c r="M141" s="43" t="s">
        <v>62</v>
      </c>
      <c r="N141" s="53"/>
      <c r="O141" s="53"/>
      <c r="P141" s="43" t="str">
        <f>VLOOKUP(K141,Maestro!J:K,2,0)</f>
        <v>CLINKER</v>
      </c>
      <c r="Q141" s="43" t="str">
        <f>VLOOKUP(P141,Maestro!E:F,2,0)</f>
        <v>Clinkerización</v>
      </c>
      <c r="R141" s="43">
        <f>VLOOKUP(P141,ORD!$A:$C,3,0)</f>
        <v>5</v>
      </c>
      <c r="S141" t="str">
        <f t="shared" si="3"/>
        <v>7355250323SELLADOClinkerización</v>
      </c>
      <c r="T141" t="str">
        <f>IFERROR(VLOOKUP(S141,Maestro!$A:$H,8,0),"Producción")</f>
        <v>Sellado</v>
      </c>
      <c r="U141" s="43" t="s">
        <v>182</v>
      </c>
    </row>
    <row r="142" spans="1:21" x14ac:dyDescent="0.3">
      <c r="A142" s="43">
        <v>7355050105</v>
      </c>
      <c r="B142" s="43" t="s">
        <v>462</v>
      </c>
      <c r="C142" s="50">
        <f>Datos!$L$78*D142</f>
        <v>24000000</v>
      </c>
      <c r="D142" s="50">
        <f>Datos!$L$460</f>
        <v>2000</v>
      </c>
      <c r="E142" s="43"/>
      <c r="F142" s="43" t="s">
        <v>557</v>
      </c>
      <c r="G142" s="43" t="s">
        <v>570</v>
      </c>
      <c r="H142" s="43" t="s">
        <v>571</v>
      </c>
      <c r="I142" s="43" t="s">
        <v>560</v>
      </c>
      <c r="J142" s="43">
        <v>70000000000</v>
      </c>
      <c r="K142" s="43">
        <v>700001</v>
      </c>
      <c r="L142" s="43">
        <v>5</v>
      </c>
      <c r="M142" s="43" t="s">
        <v>62</v>
      </c>
      <c r="N142" s="53"/>
      <c r="O142" s="53"/>
      <c r="P142" s="43" t="str">
        <f>VLOOKUP(K142,Maestro!J:K,2,0)</f>
        <v>CLINKER</v>
      </c>
      <c r="Q142" s="43" t="str">
        <f>VLOOKUP(P142,Maestro!E:F,2,0)</f>
        <v>Clinkerización</v>
      </c>
      <c r="R142" s="43">
        <f>VLOOKUP(P142,ORD!$A:$C,3,0)</f>
        <v>5</v>
      </c>
      <c r="S142" t="str">
        <f t="shared" si="3"/>
        <v>735505010570000000000Clinkerización</v>
      </c>
      <c r="T142" t="str">
        <f>IFERROR(VLOOKUP(S142,Maestro!$A:$H,8,0),"Producción")</f>
        <v>Gasoil</v>
      </c>
      <c r="U142" s="43" t="s">
        <v>182</v>
      </c>
    </row>
    <row r="143" spans="1:21" x14ac:dyDescent="0.3">
      <c r="A143" s="43">
        <v>7199990001</v>
      </c>
      <c r="B143" s="43" t="s">
        <v>438</v>
      </c>
      <c r="C143" s="50"/>
      <c r="D143" s="50">
        <f>Datos!$M$449</f>
        <v>4421.827863301759</v>
      </c>
      <c r="E143" s="43" t="s">
        <v>556</v>
      </c>
      <c r="F143" s="43" t="s">
        <v>557</v>
      </c>
      <c r="G143" s="43" t="s">
        <v>567</v>
      </c>
      <c r="H143" s="43" t="s">
        <v>568</v>
      </c>
      <c r="I143" s="43" t="s">
        <v>560</v>
      </c>
      <c r="J143" s="43" t="s">
        <v>455</v>
      </c>
      <c r="K143" s="43">
        <v>700001</v>
      </c>
      <c r="L143" s="43">
        <v>6</v>
      </c>
      <c r="M143" s="43" t="s">
        <v>452</v>
      </c>
      <c r="N143" s="51"/>
      <c r="O143" s="51"/>
      <c r="P143" s="43" t="str">
        <f>VLOOKUP(K143,Maestro!J:K,2,0)</f>
        <v>CLINKER</v>
      </c>
      <c r="Q143" s="43" t="str">
        <f>VLOOKUP(P143,Maestro!E:F,2,0)</f>
        <v>Clinkerización</v>
      </c>
      <c r="R143" s="43">
        <f>VLOOKUP(P143,ORD!$A:$C,3,0)</f>
        <v>5</v>
      </c>
      <c r="S143" t="str">
        <f t="shared" si="3"/>
        <v>7199990001CARBONMOLClinkerización</v>
      </c>
      <c r="T143" t="str">
        <f>IFERROR(VLOOKUP(S143,Maestro!$A:$H,8,0),"Producción")</f>
        <v>Carbón Molido</v>
      </c>
      <c r="U143" s="43" t="s">
        <v>182</v>
      </c>
    </row>
    <row r="144" spans="1:21" x14ac:dyDescent="0.3">
      <c r="A144" s="43">
        <v>7199990001</v>
      </c>
      <c r="B144" s="43" t="s">
        <v>438</v>
      </c>
      <c r="C144" s="50"/>
      <c r="D144" s="50">
        <f>Datos!$M$260*Datos!$M$178*(1+Datos!$M$217)</f>
        <v>61853.99999999984</v>
      </c>
      <c r="E144" s="43" t="s">
        <v>556</v>
      </c>
      <c r="F144" s="43" t="s">
        <v>557</v>
      </c>
      <c r="G144" s="43" t="s">
        <v>567</v>
      </c>
      <c r="H144" s="43" t="s">
        <v>568</v>
      </c>
      <c r="I144" s="43" t="s">
        <v>560</v>
      </c>
      <c r="J144" s="43" t="s">
        <v>458</v>
      </c>
      <c r="K144" s="43">
        <v>700001</v>
      </c>
      <c r="L144" s="43">
        <v>6</v>
      </c>
      <c r="M144" s="43" t="s">
        <v>445</v>
      </c>
      <c r="N144" s="51"/>
      <c r="O144" s="51"/>
      <c r="P144" s="43" t="str">
        <f>VLOOKUP(K144,Maestro!J:K,2,0)</f>
        <v>CLINKER</v>
      </c>
      <c r="Q144" s="43" t="str">
        <f>VLOOKUP(P144,Maestro!E:F,2,0)</f>
        <v>Clinkerización</v>
      </c>
      <c r="R144" s="43">
        <f>VLOOKUP(P144,ORD!$A:$C,3,0)</f>
        <v>5</v>
      </c>
      <c r="S144" t="str">
        <f t="shared" si="3"/>
        <v>7199990001HARINACRUDClinkerización</v>
      </c>
      <c r="T144" t="str">
        <f>IFERROR(VLOOKUP(S144,Maestro!$A:$H,8,0),"Producción")</f>
        <v>Crudo</v>
      </c>
      <c r="U144" s="43" t="s">
        <v>182</v>
      </c>
    </row>
    <row r="145" spans="1:21" x14ac:dyDescent="0.3">
      <c r="A145" s="43">
        <v>7999999995</v>
      </c>
      <c r="B145" s="43" t="s">
        <v>566</v>
      </c>
      <c r="C145" s="50"/>
      <c r="D145" s="56">
        <f>-Datos!$M$260</f>
        <v>-39649.999999999898</v>
      </c>
      <c r="E145" s="43" t="s">
        <v>556</v>
      </c>
      <c r="F145" s="43" t="s">
        <v>557</v>
      </c>
      <c r="G145" s="43" t="s">
        <v>567</v>
      </c>
      <c r="H145" s="43" t="s">
        <v>568</v>
      </c>
      <c r="I145" s="43" t="s">
        <v>560</v>
      </c>
      <c r="J145" s="43" t="s">
        <v>463</v>
      </c>
      <c r="K145" s="43">
        <v>700001</v>
      </c>
      <c r="L145" s="43">
        <v>6</v>
      </c>
      <c r="M145" s="43" t="s">
        <v>62</v>
      </c>
      <c r="N145" s="51"/>
      <c r="O145" s="51"/>
      <c r="P145" s="43" t="str">
        <f>VLOOKUP(K145,Maestro!J:K,2,0)</f>
        <v>CLINKER</v>
      </c>
      <c r="Q145" s="43" t="str">
        <f>VLOOKUP(P145,Maestro!E:F,2,0)</f>
        <v>Clinkerización</v>
      </c>
      <c r="R145" s="43">
        <f>VLOOKUP(P145,ORD!$A:$C,3,0)</f>
        <v>5</v>
      </c>
      <c r="S145" t="str">
        <f t="shared" si="3"/>
        <v>7999999995CLINKER001Clinkerización</v>
      </c>
      <c r="T145" t="str">
        <f>IFERROR(VLOOKUP(S145,Maestro!$A:$H,8,0),"Producción")</f>
        <v>Producción</v>
      </c>
      <c r="U145" s="43" t="s">
        <v>182</v>
      </c>
    </row>
    <row r="146" spans="1:21" x14ac:dyDescent="0.3">
      <c r="A146" s="43">
        <v>7355250320</v>
      </c>
      <c r="B146" s="43" t="s">
        <v>490</v>
      </c>
      <c r="C146" s="52">
        <f>Datos!$M$100*D146</f>
        <v>0</v>
      </c>
      <c r="D146" s="56">
        <f>Datos!$M$260</f>
        <v>39649.999999999898</v>
      </c>
      <c r="E146" s="43"/>
      <c r="F146" s="43"/>
      <c r="G146" s="43"/>
      <c r="H146" s="43"/>
      <c r="I146" s="43" t="s">
        <v>560</v>
      </c>
      <c r="J146" s="43" t="s">
        <v>796</v>
      </c>
      <c r="K146">
        <v>700001</v>
      </c>
      <c r="L146" s="43">
        <v>6</v>
      </c>
      <c r="M146" s="43" t="s">
        <v>62</v>
      </c>
      <c r="N146" s="53"/>
      <c r="O146" s="53"/>
      <c r="P146" s="43" t="str">
        <f>VLOOKUP(K146,Maestro!J:K,2,0)</f>
        <v>CLINKER</v>
      </c>
      <c r="Q146" s="43" t="str">
        <f>VLOOKUP(P146,Maestro!E:F,2,0)</f>
        <v>Clinkerización</v>
      </c>
      <c r="R146" s="43">
        <f>VLOOKUP(P146,ORD!$A:$C,3,0)</f>
        <v>5</v>
      </c>
      <c r="S146" t="str">
        <f t="shared" si="3"/>
        <v>7355250320DUCTOSClinkerización</v>
      </c>
      <c r="T146" t="str">
        <f>IFERROR(VLOOKUP(S146,Maestro!$A:$H,8,0),"Producción")</f>
        <v>Ductos</v>
      </c>
      <c r="U146" s="43" t="s">
        <v>182</v>
      </c>
    </row>
    <row r="147" spans="1:21" x14ac:dyDescent="0.3">
      <c r="A147" s="43">
        <v>7355250321</v>
      </c>
      <c r="B147" s="43" t="s">
        <v>490</v>
      </c>
      <c r="C147" s="52">
        <f>Datos!$M$104*D147</f>
        <v>7313797.8475837884</v>
      </c>
      <c r="D147" s="56">
        <f>Datos!$M$260</f>
        <v>39649.999999999898</v>
      </c>
      <c r="E147" s="43"/>
      <c r="F147" s="43"/>
      <c r="G147" s="43"/>
      <c r="H147" s="43"/>
      <c r="I147" s="43" t="s">
        <v>560</v>
      </c>
      <c r="J147" s="43" t="s">
        <v>798</v>
      </c>
      <c r="K147">
        <v>700001</v>
      </c>
      <c r="L147" s="43">
        <v>6</v>
      </c>
      <c r="M147" s="43" t="s">
        <v>62</v>
      </c>
      <c r="N147" s="53"/>
      <c r="O147" s="53"/>
      <c r="P147" s="43" t="str">
        <f>VLOOKUP(K147,Maestro!J:K,2,0)</f>
        <v>CLINKER</v>
      </c>
      <c r="Q147" s="43" t="str">
        <f>VLOOKUP(P147,Maestro!E:F,2,0)</f>
        <v>Clinkerización</v>
      </c>
      <c r="R147" s="43">
        <f>VLOOKUP(P147,ORD!$A:$C,3,0)</f>
        <v>5</v>
      </c>
      <c r="S147" t="str">
        <f t="shared" si="3"/>
        <v>7355250321ENFRIADORClinkerización</v>
      </c>
      <c r="T147" t="str">
        <f>IFERROR(VLOOKUP(S147,Maestro!$A:$H,8,0),"Producción")</f>
        <v>Enfriador</v>
      </c>
      <c r="U147" s="43" t="s">
        <v>182</v>
      </c>
    </row>
    <row r="148" spans="1:21" x14ac:dyDescent="0.3">
      <c r="A148" s="43">
        <v>7355250322</v>
      </c>
      <c r="B148" s="43" t="s">
        <v>490</v>
      </c>
      <c r="C148" s="52">
        <f>Datos!$M$106*D148</f>
        <v>50090308.526864775</v>
      </c>
      <c r="D148" s="56">
        <f>Datos!$M$260</f>
        <v>39649.999999999898</v>
      </c>
      <c r="E148" s="43"/>
      <c r="F148" s="43"/>
      <c r="G148" s="43"/>
      <c r="H148" s="43"/>
      <c r="I148" s="43" t="s">
        <v>560</v>
      </c>
      <c r="J148" s="40" t="s">
        <v>801</v>
      </c>
      <c r="K148">
        <v>700001</v>
      </c>
      <c r="L148" s="43">
        <v>6</v>
      </c>
      <c r="M148" s="43" t="s">
        <v>62</v>
      </c>
      <c r="N148" s="53"/>
      <c r="O148" s="53"/>
      <c r="P148" s="43" t="str">
        <f>VLOOKUP(K148,Maestro!J:K,2,0)</f>
        <v>CLINKER</v>
      </c>
      <c r="Q148" s="43" t="str">
        <f>VLOOKUP(P148,Maestro!E:F,2,0)</f>
        <v>Clinkerización</v>
      </c>
      <c r="R148" s="43">
        <f>VLOOKUP(P148,ORD!$A:$C,3,0)</f>
        <v>5</v>
      </c>
      <c r="S148" t="str">
        <f t="shared" si="3"/>
        <v>7355250322PLACASClinkerización</v>
      </c>
      <c r="T148" t="str">
        <f>IFERROR(VLOOKUP(S148,Maestro!$A:$H,8,0),"Producción")</f>
        <v>Placas</v>
      </c>
      <c r="U148" s="43" t="s">
        <v>182</v>
      </c>
    </row>
    <row r="149" spans="1:21" x14ac:dyDescent="0.3">
      <c r="A149" s="43">
        <v>7355300105</v>
      </c>
      <c r="B149" s="43" t="s">
        <v>569</v>
      </c>
      <c r="C149" s="52">
        <f>Datos!$M$110*D149</f>
        <v>142764009.58565697</v>
      </c>
      <c r="D149" s="56">
        <f>Datos!$M$260</f>
        <v>39649.999999999898</v>
      </c>
      <c r="E149" s="55"/>
      <c r="F149" s="43"/>
      <c r="G149" s="43"/>
      <c r="H149" s="43"/>
      <c r="I149" s="43" t="s">
        <v>560</v>
      </c>
      <c r="J149" s="43" t="s">
        <v>803</v>
      </c>
      <c r="K149">
        <v>700001</v>
      </c>
      <c r="L149" s="43">
        <v>6</v>
      </c>
      <c r="M149" s="43" t="s">
        <v>62</v>
      </c>
      <c r="N149" s="53"/>
      <c r="O149" s="53"/>
      <c r="P149" s="43" t="str">
        <f>VLOOKUP(K149,Maestro!J:K,2,0)</f>
        <v>CLINKER</v>
      </c>
      <c r="Q149" s="43" t="str">
        <f>VLOOKUP(P149,Maestro!E:F,2,0)</f>
        <v>Clinkerización</v>
      </c>
      <c r="R149" s="43">
        <f>VLOOKUP(P149,ORD!$A:$C,3,0)</f>
        <v>5</v>
      </c>
      <c r="S149" t="str">
        <f t="shared" si="3"/>
        <v>7355300105REFRACTARIOSClinkerización</v>
      </c>
      <c r="T149" t="str">
        <f>IFERROR(VLOOKUP(S149,Maestro!$A:$H,8,0),"Producción")</f>
        <v>Refractarios</v>
      </c>
      <c r="U149" s="43" t="s">
        <v>182</v>
      </c>
    </row>
    <row r="150" spans="1:21" x14ac:dyDescent="0.3">
      <c r="A150" s="43">
        <v>7355250323</v>
      </c>
      <c r="B150" s="43" t="s">
        <v>490</v>
      </c>
      <c r="C150" s="52">
        <f>Datos!$M$108*D150</f>
        <v>0</v>
      </c>
      <c r="D150" s="56">
        <f>Datos!$M$260</f>
        <v>39649.999999999898</v>
      </c>
      <c r="E150" s="55"/>
      <c r="F150" s="43"/>
      <c r="G150" s="43"/>
      <c r="H150" s="43"/>
      <c r="I150" s="43" t="s">
        <v>560</v>
      </c>
      <c r="J150" s="43" t="s">
        <v>804</v>
      </c>
      <c r="K150">
        <v>700001</v>
      </c>
      <c r="L150" s="43">
        <v>6</v>
      </c>
      <c r="M150" s="43" t="s">
        <v>62</v>
      </c>
      <c r="N150" s="53"/>
      <c r="O150" s="53"/>
      <c r="P150" s="43" t="str">
        <f>VLOOKUP(K150,Maestro!J:K,2,0)</f>
        <v>CLINKER</v>
      </c>
      <c r="Q150" s="43" t="str">
        <f>VLOOKUP(P150,Maestro!E:F,2,0)</f>
        <v>Clinkerización</v>
      </c>
      <c r="R150" s="43">
        <f>VLOOKUP(P150,ORD!$A:$C,3,0)</f>
        <v>5</v>
      </c>
      <c r="S150" t="str">
        <f t="shared" si="3"/>
        <v>7355250323SELLADOClinkerización</v>
      </c>
      <c r="T150" t="str">
        <f>IFERROR(VLOOKUP(S150,Maestro!$A:$H,8,0),"Producción")</f>
        <v>Sellado</v>
      </c>
      <c r="U150" s="43" t="s">
        <v>182</v>
      </c>
    </row>
    <row r="151" spans="1:21" x14ac:dyDescent="0.3">
      <c r="A151" s="43">
        <v>7355050105</v>
      </c>
      <c r="B151" s="43" t="s">
        <v>462</v>
      </c>
      <c r="C151" s="50">
        <f>Datos!$M$78*D151</f>
        <v>24000000</v>
      </c>
      <c r="D151" s="50">
        <f>Datos!$M$460</f>
        <v>2000</v>
      </c>
      <c r="E151" s="43"/>
      <c r="F151" s="43" t="s">
        <v>557</v>
      </c>
      <c r="G151" s="43" t="s">
        <v>570</v>
      </c>
      <c r="H151" s="43" t="s">
        <v>571</v>
      </c>
      <c r="I151" s="43" t="s">
        <v>560</v>
      </c>
      <c r="J151" s="43">
        <v>70000000000</v>
      </c>
      <c r="K151" s="43">
        <v>700001</v>
      </c>
      <c r="L151" s="43">
        <v>6</v>
      </c>
      <c r="M151" s="43" t="s">
        <v>62</v>
      </c>
      <c r="N151" s="53"/>
      <c r="O151" s="53"/>
      <c r="P151" s="43" t="str">
        <f>VLOOKUP(K151,Maestro!J:K,2,0)</f>
        <v>CLINKER</v>
      </c>
      <c r="Q151" s="43" t="str">
        <f>VLOOKUP(P151,Maestro!E:F,2,0)</f>
        <v>Clinkerización</v>
      </c>
      <c r="R151" s="43">
        <f>VLOOKUP(P151,ORD!$A:$C,3,0)</f>
        <v>5</v>
      </c>
      <c r="S151" t="str">
        <f t="shared" si="3"/>
        <v>735505010570000000000Clinkerización</v>
      </c>
      <c r="T151" t="str">
        <f>IFERROR(VLOOKUP(S151,Maestro!$A:$H,8,0),"Producción")</f>
        <v>Gasoil</v>
      </c>
      <c r="U151" s="43" t="s">
        <v>182</v>
      </c>
    </row>
    <row r="152" spans="1:21" x14ac:dyDescent="0.3">
      <c r="A152" s="43">
        <v>7199990001</v>
      </c>
      <c r="B152" s="43" t="s">
        <v>438</v>
      </c>
      <c r="C152" s="50"/>
      <c r="D152" s="50">
        <f>Datos!$N$449</f>
        <v>8468.1916547725796</v>
      </c>
      <c r="E152" s="43" t="s">
        <v>556</v>
      </c>
      <c r="F152" s="43" t="s">
        <v>557</v>
      </c>
      <c r="G152" s="43" t="s">
        <v>567</v>
      </c>
      <c r="H152" s="43" t="s">
        <v>568</v>
      </c>
      <c r="I152" s="43" t="s">
        <v>560</v>
      </c>
      <c r="J152" s="43" t="s">
        <v>455</v>
      </c>
      <c r="K152" s="43">
        <v>700001</v>
      </c>
      <c r="L152" s="43">
        <v>7</v>
      </c>
      <c r="M152" s="43" t="s">
        <v>452</v>
      </c>
      <c r="N152" s="51"/>
      <c r="O152" s="51"/>
      <c r="P152" s="43" t="str">
        <f>VLOOKUP(K152,Maestro!J:K,2,0)</f>
        <v>CLINKER</v>
      </c>
      <c r="Q152" s="43" t="str">
        <f>VLOOKUP(P152,Maestro!E:F,2,0)</f>
        <v>Clinkerización</v>
      </c>
      <c r="R152" s="43">
        <f>VLOOKUP(P152,ORD!$A:$C,3,0)</f>
        <v>5</v>
      </c>
      <c r="S152" t="str">
        <f t="shared" si="3"/>
        <v>7199990001CARBONMOLClinkerización</v>
      </c>
      <c r="T152" t="str">
        <f>IFERROR(VLOOKUP(S152,Maestro!$A:$H,8,0),"Producción")</f>
        <v>Carbón Molido</v>
      </c>
      <c r="U152" s="43" t="s">
        <v>182</v>
      </c>
    </row>
    <row r="153" spans="1:21" x14ac:dyDescent="0.3">
      <c r="A153" s="43">
        <v>7199990001</v>
      </c>
      <c r="B153" s="43" t="s">
        <v>438</v>
      </c>
      <c r="C153" s="50"/>
      <c r="D153" s="50">
        <f>Datos!$N$260*Datos!$N$178*(1+Datos!$N$217)</f>
        <v>118949.99999999968</v>
      </c>
      <c r="E153" s="43" t="s">
        <v>556</v>
      </c>
      <c r="F153" s="43" t="s">
        <v>557</v>
      </c>
      <c r="G153" s="43" t="s">
        <v>567</v>
      </c>
      <c r="H153" s="43" t="s">
        <v>568</v>
      </c>
      <c r="I153" s="43" t="s">
        <v>560</v>
      </c>
      <c r="J153" s="43" t="s">
        <v>458</v>
      </c>
      <c r="K153" s="43">
        <v>700001</v>
      </c>
      <c r="L153" s="43">
        <v>7</v>
      </c>
      <c r="M153" s="43" t="s">
        <v>445</v>
      </c>
      <c r="N153" s="51"/>
      <c r="O153" s="51"/>
      <c r="P153" s="43" t="str">
        <f>VLOOKUP(K153,Maestro!J:K,2,0)</f>
        <v>CLINKER</v>
      </c>
      <c r="Q153" s="43" t="str">
        <f>VLOOKUP(P153,Maestro!E:F,2,0)</f>
        <v>Clinkerización</v>
      </c>
      <c r="R153" s="43">
        <f>VLOOKUP(P153,ORD!$A:$C,3,0)</f>
        <v>5</v>
      </c>
      <c r="S153" t="str">
        <f t="shared" si="3"/>
        <v>7199990001HARINACRUDClinkerización</v>
      </c>
      <c r="T153" t="str">
        <f>IFERROR(VLOOKUP(S153,Maestro!$A:$H,8,0),"Producción")</f>
        <v>Crudo</v>
      </c>
      <c r="U153" s="43" t="s">
        <v>182</v>
      </c>
    </row>
    <row r="154" spans="1:21" x14ac:dyDescent="0.3">
      <c r="A154" s="43">
        <v>7999999995</v>
      </c>
      <c r="B154" s="43" t="s">
        <v>566</v>
      </c>
      <c r="C154" s="50"/>
      <c r="D154" s="56">
        <f>-Datos!$N$260</f>
        <v>-76249.999999999796</v>
      </c>
      <c r="E154" s="43" t="s">
        <v>556</v>
      </c>
      <c r="F154" s="43" t="s">
        <v>557</v>
      </c>
      <c r="G154" s="43" t="s">
        <v>567</v>
      </c>
      <c r="H154" s="43" t="s">
        <v>568</v>
      </c>
      <c r="I154" s="43" t="s">
        <v>560</v>
      </c>
      <c r="J154" s="43" t="s">
        <v>463</v>
      </c>
      <c r="K154" s="43">
        <v>700001</v>
      </c>
      <c r="L154" s="43">
        <v>7</v>
      </c>
      <c r="M154" s="43" t="s">
        <v>62</v>
      </c>
      <c r="N154" s="51"/>
      <c r="O154" s="51"/>
      <c r="P154" s="43" t="str">
        <f>VLOOKUP(K154,Maestro!J:K,2,0)</f>
        <v>CLINKER</v>
      </c>
      <c r="Q154" s="43" t="str">
        <f>VLOOKUP(P154,Maestro!E:F,2,0)</f>
        <v>Clinkerización</v>
      </c>
      <c r="R154" s="43">
        <f>VLOOKUP(P154,ORD!$A:$C,3,0)</f>
        <v>5</v>
      </c>
      <c r="S154" t="str">
        <f t="shared" si="3"/>
        <v>7999999995CLINKER001Clinkerización</v>
      </c>
      <c r="T154" t="str">
        <f>IFERROR(VLOOKUP(S154,Maestro!$A:$H,8,0),"Producción")</f>
        <v>Producción</v>
      </c>
      <c r="U154" s="43" t="s">
        <v>182</v>
      </c>
    </row>
    <row r="155" spans="1:21" x14ac:dyDescent="0.3">
      <c r="A155" s="43">
        <v>7355250320</v>
      </c>
      <c r="B155" s="43" t="s">
        <v>490</v>
      </c>
      <c r="C155" s="52">
        <f>Datos!$N$100*D155</f>
        <v>0</v>
      </c>
      <c r="D155" s="56">
        <f>Datos!$N$260</f>
        <v>76249.999999999796</v>
      </c>
      <c r="E155" s="43"/>
      <c r="F155" s="43"/>
      <c r="G155" s="43"/>
      <c r="H155" s="43"/>
      <c r="I155" s="43" t="s">
        <v>560</v>
      </c>
      <c r="J155" s="43" t="s">
        <v>796</v>
      </c>
      <c r="K155">
        <v>700001</v>
      </c>
      <c r="L155" s="43">
        <v>7</v>
      </c>
      <c r="M155" s="43" t="s">
        <v>62</v>
      </c>
      <c r="N155" s="53"/>
      <c r="O155" s="53"/>
      <c r="P155" s="43" t="str">
        <f>VLOOKUP(K155,Maestro!J:K,2,0)</f>
        <v>CLINKER</v>
      </c>
      <c r="Q155" s="43" t="str">
        <f>VLOOKUP(P155,Maestro!E:F,2,0)</f>
        <v>Clinkerización</v>
      </c>
      <c r="R155" s="43">
        <f>VLOOKUP(P155,ORD!$A:$C,3,0)</f>
        <v>5</v>
      </c>
      <c r="S155" t="str">
        <f t="shared" si="3"/>
        <v>7355250320DUCTOSClinkerización</v>
      </c>
      <c r="T155" t="str">
        <f>IFERROR(VLOOKUP(S155,Maestro!$A:$H,8,0),"Producción")</f>
        <v>Ductos</v>
      </c>
      <c r="U155" s="43" t="s">
        <v>182</v>
      </c>
    </row>
    <row r="156" spans="1:21" x14ac:dyDescent="0.3">
      <c r="A156" s="43">
        <v>7355250321</v>
      </c>
      <c r="B156" s="43" t="s">
        <v>490</v>
      </c>
      <c r="C156" s="52">
        <f>Datos!$N$104*D156</f>
        <v>14064995.860738054</v>
      </c>
      <c r="D156" s="56">
        <f>Datos!$N$260</f>
        <v>76249.999999999796</v>
      </c>
      <c r="E156" s="43"/>
      <c r="F156" s="43"/>
      <c r="G156" s="43"/>
      <c r="H156" s="43"/>
      <c r="I156" s="43" t="s">
        <v>560</v>
      </c>
      <c r="J156" s="43" t="s">
        <v>798</v>
      </c>
      <c r="K156">
        <v>700001</v>
      </c>
      <c r="L156" s="43">
        <v>7</v>
      </c>
      <c r="M156" s="43" t="s">
        <v>62</v>
      </c>
      <c r="N156" s="53"/>
      <c r="O156" s="53"/>
      <c r="P156" s="43" t="str">
        <f>VLOOKUP(K156,Maestro!J:K,2,0)</f>
        <v>CLINKER</v>
      </c>
      <c r="Q156" s="43" t="str">
        <f>VLOOKUP(P156,Maestro!E:F,2,0)</f>
        <v>Clinkerización</v>
      </c>
      <c r="R156" s="43">
        <f>VLOOKUP(P156,ORD!$A:$C,3,0)</f>
        <v>5</v>
      </c>
      <c r="S156" t="str">
        <f t="shared" si="3"/>
        <v>7355250321ENFRIADORClinkerización</v>
      </c>
      <c r="T156" t="str">
        <f>IFERROR(VLOOKUP(S156,Maestro!$A:$H,8,0),"Producción")</f>
        <v>Enfriador</v>
      </c>
      <c r="U156" s="43" t="s">
        <v>182</v>
      </c>
    </row>
    <row r="157" spans="1:21" x14ac:dyDescent="0.3">
      <c r="A157" s="43">
        <v>7355250322</v>
      </c>
      <c r="B157" s="43" t="s">
        <v>490</v>
      </c>
      <c r="C157" s="52">
        <f>Datos!$N$106*D157</f>
        <v>96327516.397816867</v>
      </c>
      <c r="D157" s="56">
        <f>Datos!$N$260</f>
        <v>76249.999999999796</v>
      </c>
      <c r="E157" s="43"/>
      <c r="F157" s="43"/>
      <c r="G157" s="43"/>
      <c r="H157" s="43"/>
      <c r="I157" s="43" t="s">
        <v>560</v>
      </c>
      <c r="J157" s="40" t="s">
        <v>801</v>
      </c>
      <c r="K157">
        <v>700001</v>
      </c>
      <c r="L157" s="43">
        <v>7</v>
      </c>
      <c r="M157" s="43" t="s">
        <v>62</v>
      </c>
      <c r="N157" s="53"/>
      <c r="O157" s="53"/>
      <c r="P157" s="43" t="str">
        <f>VLOOKUP(K157,Maestro!J:K,2,0)</f>
        <v>CLINKER</v>
      </c>
      <c r="Q157" s="43" t="str">
        <f>VLOOKUP(P157,Maestro!E:F,2,0)</f>
        <v>Clinkerización</v>
      </c>
      <c r="R157" s="43">
        <f>VLOOKUP(P157,ORD!$A:$C,3,0)</f>
        <v>5</v>
      </c>
      <c r="S157" t="str">
        <f t="shared" si="3"/>
        <v>7355250322PLACASClinkerización</v>
      </c>
      <c r="T157" t="str">
        <f>IFERROR(VLOOKUP(S157,Maestro!$A:$H,8,0),"Producción")</f>
        <v>Placas</v>
      </c>
      <c r="U157" s="43" t="s">
        <v>182</v>
      </c>
    </row>
    <row r="158" spans="1:21" x14ac:dyDescent="0.3">
      <c r="A158" s="43">
        <v>7355300105</v>
      </c>
      <c r="B158" s="43" t="s">
        <v>569</v>
      </c>
      <c r="C158" s="52">
        <f>Datos!$N$110*D158</f>
        <v>274546172.28010952</v>
      </c>
      <c r="D158" s="56">
        <f>Datos!$N$260</f>
        <v>76249.999999999796</v>
      </c>
      <c r="E158" s="55"/>
      <c r="F158" s="43"/>
      <c r="G158" s="43"/>
      <c r="H158" s="43"/>
      <c r="I158" s="43" t="s">
        <v>560</v>
      </c>
      <c r="J158" s="43" t="s">
        <v>803</v>
      </c>
      <c r="K158">
        <v>700001</v>
      </c>
      <c r="L158" s="43">
        <v>7</v>
      </c>
      <c r="M158" s="43" t="s">
        <v>62</v>
      </c>
      <c r="N158" s="53"/>
      <c r="O158" s="53"/>
      <c r="P158" s="43" t="str">
        <f>VLOOKUP(K158,Maestro!J:K,2,0)</f>
        <v>CLINKER</v>
      </c>
      <c r="Q158" s="43" t="str">
        <f>VLOOKUP(P158,Maestro!E:F,2,0)</f>
        <v>Clinkerización</v>
      </c>
      <c r="R158" s="43">
        <f>VLOOKUP(P158,ORD!$A:$C,3,0)</f>
        <v>5</v>
      </c>
      <c r="S158" t="str">
        <f t="shared" si="3"/>
        <v>7355300105REFRACTARIOSClinkerización</v>
      </c>
      <c r="T158" t="str">
        <f>IFERROR(VLOOKUP(S158,Maestro!$A:$H,8,0),"Producción")</f>
        <v>Refractarios</v>
      </c>
      <c r="U158" s="43" t="s">
        <v>182</v>
      </c>
    </row>
    <row r="159" spans="1:21" x14ac:dyDescent="0.3">
      <c r="A159" s="43">
        <v>7355250323</v>
      </c>
      <c r="B159" s="43" t="s">
        <v>490</v>
      </c>
      <c r="C159" s="52">
        <f>Datos!$N$108*D159</f>
        <v>0</v>
      </c>
      <c r="D159" s="56">
        <f>Datos!$N$260</f>
        <v>76249.999999999796</v>
      </c>
      <c r="E159" s="55"/>
      <c r="F159" s="43"/>
      <c r="G159" s="43"/>
      <c r="H159" s="43"/>
      <c r="I159" s="43" t="s">
        <v>560</v>
      </c>
      <c r="J159" s="43" t="s">
        <v>804</v>
      </c>
      <c r="K159">
        <v>700001</v>
      </c>
      <c r="L159" s="43">
        <v>7</v>
      </c>
      <c r="M159" s="43" t="s">
        <v>62</v>
      </c>
      <c r="N159" s="53"/>
      <c r="O159" s="53"/>
      <c r="P159" s="43" t="str">
        <f>VLOOKUP(K159,Maestro!J:K,2,0)</f>
        <v>CLINKER</v>
      </c>
      <c r="Q159" s="43" t="str">
        <f>VLOOKUP(P159,Maestro!E:F,2,0)</f>
        <v>Clinkerización</v>
      </c>
      <c r="R159" s="43">
        <f>VLOOKUP(P159,ORD!$A:$C,3,0)</f>
        <v>5</v>
      </c>
      <c r="S159" t="str">
        <f t="shared" si="3"/>
        <v>7355250323SELLADOClinkerización</v>
      </c>
      <c r="T159" t="str">
        <f>IFERROR(VLOOKUP(S159,Maestro!$A:$H,8,0),"Producción")</f>
        <v>Sellado</v>
      </c>
      <c r="U159" s="43" t="s">
        <v>182</v>
      </c>
    </row>
    <row r="160" spans="1:21" x14ac:dyDescent="0.3">
      <c r="A160" s="43">
        <v>7355050105</v>
      </c>
      <c r="B160" s="43" t="s">
        <v>462</v>
      </c>
      <c r="C160" s="50">
        <f>Datos!$N$78*D160</f>
        <v>144000000</v>
      </c>
      <c r="D160" s="50">
        <f>Datos!$N$460</f>
        <v>12000</v>
      </c>
      <c r="E160" s="43"/>
      <c r="F160" s="43" t="s">
        <v>557</v>
      </c>
      <c r="G160" s="43" t="s">
        <v>570</v>
      </c>
      <c r="H160" s="43" t="s">
        <v>571</v>
      </c>
      <c r="I160" s="43" t="s">
        <v>560</v>
      </c>
      <c r="J160" s="43">
        <v>70000000000</v>
      </c>
      <c r="K160" s="43">
        <v>700001</v>
      </c>
      <c r="L160" s="43">
        <v>7</v>
      </c>
      <c r="M160" s="43" t="s">
        <v>62</v>
      </c>
      <c r="N160" s="53"/>
      <c r="O160" s="53"/>
      <c r="P160" s="43" t="str">
        <f>VLOOKUP(K160,Maestro!J:K,2,0)</f>
        <v>CLINKER</v>
      </c>
      <c r="Q160" s="43" t="str">
        <f>VLOOKUP(P160,Maestro!E:F,2,0)</f>
        <v>Clinkerización</v>
      </c>
      <c r="R160" s="43">
        <f>VLOOKUP(P160,ORD!$A:$C,3,0)</f>
        <v>5</v>
      </c>
      <c r="S160" t="str">
        <f t="shared" si="3"/>
        <v>735505010570000000000Clinkerización</v>
      </c>
      <c r="T160" t="str">
        <f>IFERROR(VLOOKUP(S160,Maestro!$A:$H,8,0),"Producción")</f>
        <v>Gasoil</v>
      </c>
      <c r="U160" s="43" t="s">
        <v>182</v>
      </c>
    </row>
    <row r="161" spans="1:21" x14ac:dyDescent="0.3">
      <c r="A161" s="43">
        <v>7199990001</v>
      </c>
      <c r="B161" s="43" t="s">
        <v>438</v>
      </c>
      <c r="C161" s="50"/>
      <c r="D161" s="50">
        <f>Datos!$O$449</f>
        <v>10329.150676521722</v>
      </c>
      <c r="E161" s="43" t="s">
        <v>556</v>
      </c>
      <c r="F161" s="43" t="s">
        <v>557</v>
      </c>
      <c r="G161" s="43" t="s">
        <v>567</v>
      </c>
      <c r="H161" s="43" t="s">
        <v>568</v>
      </c>
      <c r="I161" s="43" t="s">
        <v>560</v>
      </c>
      <c r="J161" s="43" t="s">
        <v>455</v>
      </c>
      <c r="K161" s="43">
        <v>700001</v>
      </c>
      <c r="L161" s="43">
        <v>8</v>
      </c>
      <c r="M161" s="43" t="s">
        <v>452</v>
      </c>
      <c r="N161" s="51"/>
      <c r="O161" s="51"/>
      <c r="P161" s="43" t="str">
        <f>VLOOKUP(K161,Maestro!J:K,2,0)</f>
        <v>CLINKER</v>
      </c>
      <c r="Q161" s="43" t="str">
        <f>VLOOKUP(P161,Maestro!E:F,2,0)</f>
        <v>Clinkerización</v>
      </c>
      <c r="R161" s="43">
        <f>VLOOKUP(P161,ORD!$A:$C,3,0)</f>
        <v>5</v>
      </c>
      <c r="S161" t="str">
        <f t="shared" si="3"/>
        <v>7199990001CARBONMOLClinkerización</v>
      </c>
      <c r="T161" t="str">
        <f>IFERROR(VLOOKUP(S161,Maestro!$A:$H,8,0),"Producción")</f>
        <v>Carbón Molido</v>
      </c>
      <c r="U161" s="43" t="s">
        <v>182</v>
      </c>
    </row>
    <row r="162" spans="1:21" x14ac:dyDescent="0.3">
      <c r="A162" s="43">
        <v>7199990001</v>
      </c>
      <c r="B162" s="43" t="s">
        <v>438</v>
      </c>
      <c r="C162" s="50"/>
      <c r="D162" s="50">
        <f>Datos!$O$260*Datos!$O$178*(1+Datos!$O$217)</f>
        <v>144325.99999999962</v>
      </c>
      <c r="E162" s="43" t="s">
        <v>556</v>
      </c>
      <c r="F162" s="43" t="s">
        <v>557</v>
      </c>
      <c r="G162" s="43" t="s">
        <v>567</v>
      </c>
      <c r="H162" s="43" t="s">
        <v>568</v>
      </c>
      <c r="I162" s="43" t="s">
        <v>560</v>
      </c>
      <c r="J162" s="43" t="s">
        <v>458</v>
      </c>
      <c r="K162" s="43">
        <v>700001</v>
      </c>
      <c r="L162" s="43">
        <v>8</v>
      </c>
      <c r="M162" s="43" t="s">
        <v>445</v>
      </c>
      <c r="N162" s="51"/>
      <c r="O162" s="51"/>
      <c r="P162" s="43" t="str">
        <f>VLOOKUP(K162,Maestro!J:K,2,0)</f>
        <v>CLINKER</v>
      </c>
      <c r="Q162" s="43" t="str">
        <f>VLOOKUP(P162,Maestro!E:F,2,0)</f>
        <v>Clinkerización</v>
      </c>
      <c r="R162" s="43">
        <f>VLOOKUP(P162,ORD!$A:$C,3,0)</f>
        <v>5</v>
      </c>
      <c r="S162" t="str">
        <f t="shared" si="3"/>
        <v>7199990001HARINACRUDClinkerización</v>
      </c>
      <c r="T162" t="str">
        <f>IFERROR(VLOOKUP(S162,Maestro!$A:$H,8,0),"Producción")</f>
        <v>Crudo</v>
      </c>
      <c r="U162" s="43" t="s">
        <v>182</v>
      </c>
    </row>
    <row r="163" spans="1:21" x14ac:dyDescent="0.3">
      <c r="A163" s="43">
        <v>7999999995</v>
      </c>
      <c r="B163" s="43" t="s">
        <v>566</v>
      </c>
      <c r="C163" s="50"/>
      <c r="D163" s="56">
        <f>-Datos!$O$260</f>
        <v>-92516.666666666424</v>
      </c>
      <c r="E163" s="43" t="s">
        <v>556</v>
      </c>
      <c r="F163" s="43" t="s">
        <v>557</v>
      </c>
      <c r="G163" s="43" t="s">
        <v>567</v>
      </c>
      <c r="H163" s="43" t="s">
        <v>568</v>
      </c>
      <c r="I163" s="43" t="s">
        <v>560</v>
      </c>
      <c r="J163" s="43" t="s">
        <v>463</v>
      </c>
      <c r="K163" s="43">
        <v>700001</v>
      </c>
      <c r="L163" s="43">
        <v>8</v>
      </c>
      <c r="M163" s="43" t="s">
        <v>62</v>
      </c>
      <c r="N163" s="51"/>
      <c r="O163" s="51"/>
      <c r="P163" s="43" t="str">
        <f>VLOOKUP(K163,Maestro!J:K,2,0)</f>
        <v>CLINKER</v>
      </c>
      <c r="Q163" s="43" t="str">
        <f>VLOOKUP(P163,Maestro!E:F,2,0)</f>
        <v>Clinkerización</v>
      </c>
      <c r="R163" s="43">
        <f>VLOOKUP(P163,ORD!$A:$C,3,0)</f>
        <v>5</v>
      </c>
      <c r="S163" t="str">
        <f t="shared" si="3"/>
        <v>7999999995CLINKER001Clinkerización</v>
      </c>
      <c r="T163" t="str">
        <f>IFERROR(VLOOKUP(S163,Maestro!$A:$H,8,0),"Producción")</f>
        <v>Producción</v>
      </c>
      <c r="U163" s="43" t="s">
        <v>182</v>
      </c>
    </row>
    <row r="164" spans="1:21" x14ac:dyDescent="0.3">
      <c r="A164" s="43">
        <v>7355250320</v>
      </c>
      <c r="B164" s="43" t="s">
        <v>490</v>
      </c>
      <c r="C164" s="52">
        <f>Datos!$O$100*D164</f>
        <v>0</v>
      </c>
      <c r="D164" s="56">
        <f>Datos!$O$260</f>
        <v>92516.666666666424</v>
      </c>
      <c r="E164" s="43"/>
      <c r="F164" s="43"/>
      <c r="G164" s="43"/>
      <c r="H164" s="43"/>
      <c r="I164" s="43" t="s">
        <v>560</v>
      </c>
      <c r="J164" s="43" t="s">
        <v>796</v>
      </c>
      <c r="K164">
        <v>700001</v>
      </c>
      <c r="L164" s="43">
        <v>8</v>
      </c>
      <c r="M164" s="43" t="s">
        <v>62</v>
      </c>
      <c r="N164" s="53"/>
      <c r="O164" s="53"/>
      <c r="P164" s="43" t="str">
        <f>VLOOKUP(K164,Maestro!J:K,2,0)</f>
        <v>CLINKER</v>
      </c>
      <c r="Q164" s="43" t="str">
        <f>VLOOKUP(P164,Maestro!E:F,2,0)</f>
        <v>Clinkerización</v>
      </c>
      <c r="R164" s="43">
        <f>VLOOKUP(P164,ORD!$A:$C,3,0)</f>
        <v>5</v>
      </c>
      <c r="S164" t="str">
        <f t="shared" si="3"/>
        <v>7355250320DUCTOSClinkerización</v>
      </c>
      <c r="T164" t="str">
        <f>IFERROR(VLOOKUP(S164,Maestro!$A:$H,8,0),"Producción")</f>
        <v>Ductos</v>
      </c>
      <c r="U164" s="43" t="s">
        <v>182</v>
      </c>
    </row>
    <row r="165" spans="1:21" x14ac:dyDescent="0.3">
      <c r="A165" s="43">
        <v>7355250321</v>
      </c>
      <c r="B165" s="43" t="s">
        <v>490</v>
      </c>
      <c r="C165" s="52">
        <f>Datos!$O$104*D165</f>
        <v>17065528.311028838</v>
      </c>
      <c r="D165" s="56">
        <f>Datos!$O$260</f>
        <v>92516.666666666424</v>
      </c>
      <c r="E165" s="43"/>
      <c r="F165" s="43"/>
      <c r="G165" s="43"/>
      <c r="H165" s="43"/>
      <c r="I165" s="43" t="s">
        <v>560</v>
      </c>
      <c r="J165" s="43" t="s">
        <v>798</v>
      </c>
      <c r="K165">
        <v>700001</v>
      </c>
      <c r="L165" s="43">
        <v>8</v>
      </c>
      <c r="M165" s="43" t="s">
        <v>62</v>
      </c>
      <c r="N165" s="53"/>
      <c r="O165" s="53"/>
      <c r="P165" s="43" t="str">
        <f>VLOOKUP(K165,Maestro!J:K,2,0)</f>
        <v>CLINKER</v>
      </c>
      <c r="Q165" s="43" t="str">
        <f>VLOOKUP(P165,Maestro!E:F,2,0)</f>
        <v>Clinkerización</v>
      </c>
      <c r="R165" s="43">
        <f>VLOOKUP(P165,ORD!$A:$C,3,0)</f>
        <v>5</v>
      </c>
      <c r="S165" t="str">
        <f t="shared" si="3"/>
        <v>7355250321ENFRIADORClinkerización</v>
      </c>
      <c r="T165" t="str">
        <f>IFERROR(VLOOKUP(S165,Maestro!$A:$H,8,0),"Producción")</f>
        <v>Enfriador</v>
      </c>
      <c r="U165" s="43" t="s">
        <v>182</v>
      </c>
    </row>
    <row r="166" spans="1:21" x14ac:dyDescent="0.3">
      <c r="A166" s="43">
        <v>7355250322</v>
      </c>
      <c r="B166" s="43" t="s">
        <v>490</v>
      </c>
      <c r="C166" s="52">
        <f>Datos!$O$106*D166</f>
        <v>116877386.56268448</v>
      </c>
      <c r="D166" s="56">
        <f>Datos!$O$260</f>
        <v>92516.666666666424</v>
      </c>
      <c r="E166" s="43"/>
      <c r="F166" s="43"/>
      <c r="G166" s="43"/>
      <c r="H166" s="43"/>
      <c r="I166" s="43" t="s">
        <v>560</v>
      </c>
      <c r="J166" s="40" t="s">
        <v>801</v>
      </c>
      <c r="K166">
        <v>700001</v>
      </c>
      <c r="L166" s="43">
        <v>8</v>
      </c>
      <c r="M166" s="43" t="s">
        <v>62</v>
      </c>
      <c r="N166" s="53"/>
      <c r="O166" s="53"/>
      <c r="P166" s="43" t="str">
        <f>VLOOKUP(K166,Maestro!J:K,2,0)</f>
        <v>CLINKER</v>
      </c>
      <c r="Q166" s="43" t="str">
        <f>VLOOKUP(P166,Maestro!E:F,2,0)</f>
        <v>Clinkerización</v>
      </c>
      <c r="R166" s="43">
        <f>VLOOKUP(P166,ORD!$A:$C,3,0)</f>
        <v>5</v>
      </c>
      <c r="S166" t="str">
        <f t="shared" si="3"/>
        <v>7355250322PLACASClinkerización</v>
      </c>
      <c r="T166" t="str">
        <f>IFERROR(VLOOKUP(S166,Maestro!$A:$H,8,0),"Producción")</f>
        <v>Placas</v>
      </c>
      <c r="U166" s="43" t="s">
        <v>182</v>
      </c>
    </row>
    <row r="167" spans="1:21" x14ac:dyDescent="0.3">
      <c r="A167" s="43">
        <v>7355300105</v>
      </c>
      <c r="B167" s="43" t="s">
        <v>569</v>
      </c>
      <c r="C167" s="52">
        <f>Datos!$O$110*D167</f>
        <v>333116022.36653292</v>
      </c>
      <c r="D167" s="56">
        <f>Datos!$O$260</f>
        <v>92516.666666666424</v>
      </c>
      <c r="E167" s="55"/>
      <c r="F167" s="43"/>
      <c r="G167" s="43"/>
      <c r="H167" s="43"/>
      <c r="I167" s="43" t="s">
        <v>560</v>
      </c>
      <c r="J167" s="43" t="s">
        <v>803</v>
      </c>
      <c r="K167">
        <v>700001</v>
      </c>
      <c r="L167" s="43">
        <v>8</v>
      </c>
      <c r="M167" s="43" t="s">
        <v>62</v>
      </c>
      <c r="N167" s="53"/>
      <c r="O167" s="53"/>
      <c r="P167" s="43" t="str">
        <f>VLOOKUP(K167,Maestro!J:K,2,0)</f>
        <v>CLINKER</v>
      </c>
      <c r="Q167" s="43" t="str">
        <f>VLOOKUP(P167,Maestro!E:F,2,0)</f>
        <v>Clinkerización</v>
      </c>
      <c r="R167" s="43">
        <f>VLOOKUP(P167,ORD!$A:$C,3,0)</f>
        <v>5</v>
      </c>
      <c r="S167" t="str">
        <f t="shared" si="3"/>
        <v>7355300105REFRACTARIOSClinkerización</v>
      </c>
      <c r="T167" t="str">
        <f>IFERROR(VLOOKUP(S167,Maestro!$A:$H,8,0),"Producción")</f>
        <v>Refractarios</v>
      </c>
      <c r="U167" s="43" t="s">
        <v>182</v>
      </c>
    </row>
    <row r="168" spans="1:21" x14ac:dyDescent="0.3">
      <c r="A168" s="43">
        <v>7355250323</v>
      </c>
      <c r="B168" s="43" t="s">
        <v>490</v>
      </c>
      <c r="C168" s="52">
        <f>Datos!$O$108*D168</f>
        <v>0</v>
      </c>
      <c r="D168" s="56">
        <f>Datos!$O$260</f>
        <v>92516.666666666424</v>
      </c>
      <c r="E168" s="55"/>
      <c r="F168" s="43"/>
      <c r="G168" s="43"/>
      <c r="H168" s="43"/>
      <c r="I168" s="43" t="s">
        <v>560</v>
      </c>
      <c r="J168" s="43" t="s">
        <v>804</v>
      </c>
      <c r="K168">
        <v>700001</v>
      </c>
      <c r="L168" s="43">
        <v>8</v>
      </c>
      <c r="M168" s="43" t="s">
        <v>62</v>
      </c>
      <c r="N168" s="53"/>
      <c r="O168" s="53"/>
      <c r="P168" s="43" t="str">
        <f>VLOOKUP(K168,Maestro!J:K,2,0)</f>
        <v>CLINKER</v>
      </c>
      <c r="Q168" s="43" t="str">
        <f>VLOOKUP(P168,Maestro!E:F,2,0)</f>
        <v>Clinkerización</v>
      </c>
      <c r="R168" s="43">
        <f>VLOOKUP(P168,ORD!$A:$C,3,0)</f>
        <v>5</v>
      </c>
      <c r="S168" t="str">
        <f t="shared" si="3"/>
        <v>7355250323SELLADOClinkerización</v>
      </c>
      <c r="T168" t="str">
        <f>IFERROR(VLOOKUP(S168,Maestro!$A:$H,8,0),"Producción")</f>
        <v>Sellado</v>
      </c>
      <c r="U168" s="43" t="s">
        <v>182</v>
      </c>
    </row>
    <row r="169" spans="1:21" x14ac:dyDescent="0.3">
      <c r="A169" s="43">
        <v>7355050105</v>
      </c>
      <c r="B169" s="43" t="s">
        <v>462</v>
      </c>
      <c r="C169" s="50">
        <f>Datos!$O$78*D169</f>
        <v>24000000</v>
      </c>
      <c r="D169" s="50">
        <f>Datos!$O$460</f>
        <v>2000</v>
      </c>
      <c r="E169" s="43"/>
      <c r="F169" s="43" t="s">
        <v>557</v>
      </c>
      <c r="G169" s="43" t="s">
        <v>570</v>
      </c>
      <c r="H169" s="43" t="s">
        <v>571</v>
      </c>
      <c r="I169" s="43" t="s">
        <v>560</v>
      </c>
      <c r="J169" s="43">
        <v>70000000000</v>
      </c>
      <c r="K169" s="43">
        <v>700001</v>
      </c>
      <c r="L169" s="43">
        <v>8</v>
      </c>
      <c r="M169" s="43" t="s">
        <v>62</v>
      </c>
      <c r="N169" s="53"/>
      <c r="O169" s="53"/>
      <c r="P169" s="43" t="str">
        <f>VLOOKUP(K169,Maestro!J:K,2,0)</f>
        <v>CLINKER</v>
      </c>
      <c r="Q169" s="43" t="str">
        <f>VLOOKUP(P169,Maestro!E:F,2,0)</f>
        <v>Clinkerización</v>
      </c>
      <c r="R169" s="43">
        <f>VLOOKUP(P169,ORD!$A:$C,3,0)</f>
        <v>5</v>
      </c>
      <c r="S169" t="str">
        <f t="shared" si="3"/>
        <v>735505010570000000000Clinkerización</v>
      </c>
      <c r="T169" t="str">
        <f>IFERROR(VLOOKUP(S169,Maestro!$A:$H,8,0),"Producción")</f>
        <v>Gasoil</v>
      </c>
      <c r="U169" s="43" t="s">
        <v>182</v>
      </c>
    </row>
    <row r="170" spans="1:21" x14ac:dyDescent="0.3">
      <c r="A170" s="43">
        <v>7199990001</v>
      </c>
      <c r="B170" s="43" t="s">
        <v>438</v>
      </c>
      <c r="C170" s="50"/>
      <c r="D170" s="50">
        <f>Datos!$P$449</f>
        <v>7829.8987170825058</v>
      </c>
      <c r="E170" s="43" t="s">
        <v>556</v>
      </c>
      <c r="F170" s="43" t="s">
        <v>557</v>
      </c>
      <c r="G170" s="43" t="s">
        <v>567</v>
      </c>
      <c r="H170" s="43" t="s">
        <v>568</v>
      </c>
      <c r="I170" s="43" t="s">
        <v>560</v>
      </c>
      <c r="J170" s="43" t="s">
        <v>455</v>
      </c>
      <c r="K170" s="43">
        <v>700001</v>
      </c>
      <c r="L170" s="43">
        <v>9</v>
      </c>
      <c r="M170" s="43" t="s">
        <v>452</v>
      </c>
      <c r="N170" s="51"/>
      <c r="O170" s="51"/>
      <c r="P170" s="43" t="str">
        <f>VLOOKUP(K170,Maestro!J:K,2,0)</f>
        <v>CLINKER</v>
      </c>
      <c r="Q170" s="43" t="str">
        <f>VLOOKUP(P170,Maestro!E:F,2,0)</f>
        <v>Clinkerización</v>
      </c>
      <c r="R170" s="43">
        <f>VLOOKUP(P170,ORD!$A:$C,3,0)</f>
        <v>5</v>
      </c>
      <c r="S170" t="str">
        <f t="shared" si="3"/>
        <v>7199990001CARBONMOLClinkerización</v>
      </c>
      <c r="T170" t="str">
        <f>IFERROR(VLOOKUP(S170,Maestro!$A:$H,8,0),"Producción")</f>
        <v>Carbón Molido</v>
      </c>
      <c r="U170" s="43" t="s">
        <v>182</v>
      </c>
    </row>
    <row r="171" spans="1:21" x14ac:dyDescent="0.3">
      <c r="A171" s="43">
        <v>7199990001</v>
      </c>
      <c r="B171" s="43" t="s">
        <v>438</v>
      </c>
      <c r="C171" s="50"/>
      <c r="D171" s="50">
        <f>Datos!$P$260*Datos!$P$178*(1+Datos!$P$217)</f>
        <v>109433.99999999971</v>
      </c>
      <c r="E171" s="43" t="s">
        <v>556</v>
      </c>
      <c r="F171" s="43" t="s">
        <v>557</v>
      </c>
      <c r="G171" s="43" t="s">
        <v>567</v>
      </c>
      <c r="H171" s="43" t="s">
        <v>568</v>
      </c>
      <c r="I171" s="43" t="s">
        <v>560</v>
      </c>
      <c r="J171" s="43" t="s">
        <v>458</v>
      </c>
      <c r="K171" s="43">
        <v>700001</v>
      </c>
      <c r="L171" s="43">
        <v>9</v>
      </c>
      <c r="M171" s="43" t="s">
        <v>445</v>
      </c>
      <c r="N171" s="51"/>
      <c r="O171" s="51"/>
      <c r="P171" s="43" t="str">
        <f>VLOOKUP(K171,Maestro!J:K,2,0)</f>
        <v>CLINKER</v>
      </c>
      <c r="Q171" s="43" t="str">
        <f>VLOOKUP(P171,Maestro!E:F,2,0)</f>
        <v>Clinkerización</v>
      </c>
      <c r="R171" s="43">
        <f>VLOOKUP(P171,ORD!$A:$C,3,0)</f>
        <v>5</v>
      </c>
      <c r="S171" t="str">
        <f t="shared" si="3"/>
        <v>7199990001HARINACRUDClinkerización</v>
      </c>
      <c r="T171" t="str">
        <f>IFERROR(VLOOKUP(S171,Maestro!$A:$H,8,0),"Producción")</f>
        <v>Crudo</v>
      </c>
      <c r="U171" s="43" t="s">
        <v>182</v>
      </c>
    </row>
    <row r="172" spans="1:21" x14ac:dyDescent="0.3">
      <c r="A172" s="43">
        <v>7999999995</v>
      </c>
      <c r="B172" s="43" t="s">
        <v>566</v>
      </c>
      <c r="C172" s="50"/>
      <c r="D172" s="56">
        <f>-Datos!$P$260</f>
        <v>-70149.999999999811</v>
      </c>
      <c r="E172" s="43" t="s">
        <v>556</v>
      </c>
      <c r="F172" s="43" t="s">
        <v>557</v>
      </c>
      <c r="G172" s="43" t="s">
        <v>567</v>
      </c>
      <c r="H172" s="43" t="s">
        <v>568</v>
      </c>
      <c r="I172" s="43" t="s">
        <v>560</v>
      </c>
      <c r="J172" s="43" t="s">
        <v>463</v>
      </c>
      <c r="K172" s="43">
        <v>700001</v>
      </c>
      <c r="L172" s="43">
        <v>9</v>
      </c>
      <c r="M172" s="43" t="s">
        <v>62</v>
      </c>
      <c r="N172" s="51"/>
      <c r="O172" s="51"/>
      <c r="P172" s="43" t="str">
        <f>VLOOKUP(K172,Maestro!J:K,2,0)</f>
        <v>CLINKER</v>
      </c>
      <c r="Q172" s="43" t="str">
        <f>VLOOKUP(P172,Maestro!E:F,2,0)</f>
        <v>Clinkerización</v>
      </c>
      <c r="R172" s="43">
        <f>VLOOKUP(P172,ORD!$A:$C,3,0)</f>
        <v>5</v>
      </c>
      <c r="S172" t="str">
        <f t="shared" si="3"/>
        <v>7999999995CLINKER001Clinkerización</v>
      </c>
      <c r="T172" t="str">
        <f>IFERROR(VLOOKUP(S172,Maestro!$A:$H,8,0),"Producción")</f>
        <v>Producción</v>
      </c>
      <c r="U172" s="43" t="s">
        <v>182</v>
      </c>
    </row>
    <row r="173" spans="1:21" x14ac:dyDescent="0.3">
      <c r="A173" s="43">
        <v>7355250320</v>
      </c>
      <c r="B173" s="43" t="s">
        <v>490</v>
      </c>
      <c r="C173" s="52">
        <f>Datos!$P$100*D173</f>
        <v>0</v>
      </c>
      <c r="D173" s="56">
        <f>Datos!$P$260</f>
        <v>70149.999999999811</v>
      </c>
      <c r="E173" s="43"/>
      <c r="F173" s="43"/>
      <c r="G173" s="43"/>
      <c r="H173" s="43"/>
      <c r="I173" s="43" t="s">
        <v>560</v>
      </c>
      <c r="J173" s="43" t="s">
        <v>796</v>
      </c>
      <c r="K173">
        <v>700001</v>
      </c>
      <c r="L173" s="43">
        <v>9</v>
      </c>
      <c r="M173" s="43" t="s">
        <v>62</v>
      </c>
      <c r="N173" s="53"/>
      <c r="O173" s="53"/>
      <c r="P173" s="43" t="str">
        <f>VLOOKUP(K173,Maestro!J:K,2,0)</f>
        <v>CLINKER</v>
      </c>
      <c r="Q173" s="43" t="str">
        <f>VLOOKUP(P173,Maestro!E:F,2,0)</f>
        <v>Clinkerización</v>
      </c>
      <c r="R173" s="43">
        <f>VLOOKUP(P173,ORD!$A:$C,3,0)</f>
        <v>5</v>
      </c>
      <c r="S173" t="str">
        <f t="shared" si="3"/>
        <v>7355250320DUCTOSClinkerización</v>
      </c>
      <c r="T173" t="str">
        <f>IFERROR(VLOOKUP(S173,Maestro!$A:$H,8,0),"Producción")</f>
        <v>Ductos</v>
      </c>
      <c r="U173" s="43" t="s">
        <v>182</v>
      </c>
    </row>
    <row r="174" spans="1:21" x14ac:dyDescent="0.3">
      <c r="A174" s="43">
        <v>7355250321</v>
      </c>
      <c r="B174" s="43" t="s">
        <v>490</v>
      </c>
      <c r="C174" s="52">
        <f>Datos!$P$104*D174</f>
        <v>12939796.191879008</v>
      </c>
      <c r="D174" s="56">
        <f>Datos!$P$260</f>
        <v>70149.999999999811</v>
      </c>
      <c r="E174" s="43"/>
      <c r="F174" s="43"/>
      <c r="G174" s="43"/>
      <c r="H174" s="43"/>
      <c r="I174" s="43" t="s">
        <v>560</v>
      </c>
      <c r="J174" s="43" t="s">
        <v>798</v>
      </c>
      <c r="K174">
        <v>700001</v>
      </c>
      <c r="L174" s="43">
        <v>9</v>
      </c>
      <c r="M174" s="43" t="s">
        <v>62</v>
      </c>
      <c r="N174" s="53"/>
      <c r="O174" s="53"/>
      <c r="P174" s="43" t="str">
        <f>VLOOKUP(K174,Maestro!J:K,2,0)</f>
        <v>CLINKER</v>
      </c>
      <c r="Q174" s="43" t="str">
        <f>VLOOKUP(P174,Maestro!E:F,2,0)</f>
        <v>Clinkerización</v>
      </c>
      <c r="R174" s="43">
        <f>VLOOKUP(P174,ORD!$A:$C,3,0)</f>
        <v>5</v>
      </c>
      <c r="S174" t="str">
        <f t="shared" si="3"/>
        <v>7355250321ENFRIADORClinkerización</v>
      </c>
      <c r="T174" t="str">
        <f>IFERROR(VLOOKUP(S174,Maestro!$A:$H,8,0),"Producción")</f>
        <v>Enfriador</v>
      </c>
      <c r="U174" s="43" t="s">
        <v>182</v>
      </c>
    </row>
    <row r="175" spans="1:21" x14ac:dyDescent="0.3">
      <c r="A175" s="43">
        <v>7355250322</v>
      </c>
      <c r="B175" s="43" t="s">
        <v>490</v>
      </c>
      <c r="C175" s="52">
        <f>Datos!$P$106*D175</f>
        <v>88621315.085991517</v>
      </c>
      <c r="D175" s="56">
        <f>Datos!$P$260</f>
        <v>70149.999999999811</v>
      </c>
      <c r="E175" s="43"/>
      <c r="F175" s="43"/>
      <c r="G175" s="43"/>
      <c r="H175" s="43"/>
      <c r="I175" s="43" t="s">
        <v>560</v>
      </c>
      <c r="J175" s="40" t="s">
        <v>801</v>
      </c>
      <c r="K175">
        <v>700001</v>
      </c>
      <c r="L175" s="43">
        <v>9</v>
      </c>
      <c r="M175" s="43" t="s">
        <v>62</v>
      </c>
      <c r="N175" s="53"/>
      <c r="O175" s="53"/>
      <c r="P175" s="43" t="str">
        <f>VLOOKUP(K175,Maestro!J:K,2,0)</f>
        <v>CLINKER</v>
      </c>
      <c r="Q175" s="43" t="str">
        <f>VLOOKUP(P175,Maestro!E:F,2,0)</f>
        <v>Clinkerización</v>
      </c>
      <c r="R175" s="43">
        <f>VLOOKUP(P175,ORD!$A:$C,3,0)</f>
        <v>5</v>
      </c>
      <c r="S175" t="str">
        <f t="shared" si="3"/>
        <v>7355250322PLACASClinkerización</v>
      </c>
      <c r="T175" t="str">
        <f>IFERROR(VLOOKUP(S175,Maestro!$A:$H,8,0),"Producción")</f>
        <v>Placas</v>
      </c>
      <c r="U175" s="43" t="s">
        <v>182</v>
      </c>
    </row>
    <row r="176" spans="1:21" x14ac:dyDescent="0.3">
      <c r="A176" s="43">
        <v>7355300105</v>
      </c>
      <c r="B176" s="43" t="s">
        <v>569</v>
      </c>
      <c r="C176" s="52">
        <f>Datos!$P$110*D176</f>
        <v>252582478.49770078</v>
      </c>
      <c r="D176" s="56">
        <f>Datos!$P$260</f>
        <v>70149.999999999811</v>
      </c>
      <c r="E176" s="55"/>
      <c r="F176" s="43"/>
      <c r="G176" s="43"/>
      <c r="H176" s="43"/>
      <c r="I176" s="43" t="s">
        <v>560</v>
      </c>
      <c r="J176" s="43" t="s">
        <v>803</v>
      </c>
      <c r="K176">
        <v>700001</v>
      </c>
      <c r="L176" s="43">
        <v>9</v>
      </c>
      <c r="M176" s="43" t="s">
        <v>62</v>
      </c>
      <c r="N176" s="53"/>
      <c r="O176" s="53"/>
      <c r="P176" s="43" t="str">
        <f>VLOOKUP(K176,Maestro!J:K,2,0)</f>
        <v>CLINKER</v>
      </c>
      <c r="Q176" s="43" t="str">
        <f>VLOOKUP(P176,Maestro!E:F,2,0)</f>
        <v>Clinkerización</v>
      </c>
      <c r="R176" s="43">
        <f>VLOOKUP(P176,ORD!$A:$C,3,0)</f>
        <v>5</v>
      </c>
      <c r="S176" t="str">
        <f t="shared" si="3"/>
        <v>7355300105REFRACTARIOSClinkerización</v>
      </c>
      <c r="T176" t="str">
        <f>IFERROR(VLOOKUP(S176,Maestro!$A:$H,8,0),"Producción")</f>
        <v>Refractarios</v>
      </c>
      <c r="U176" s="43" t="s">
        <v>182</v>
      </c>
    </row>
    <row r="177" spans="1:21" x14ac:dyDescent="0.3">
      <c r="A177" s="43">
        <v>7355250323</v>
      </c>
      <c r="B177" s="43" t="s">
        <v>490</v>
      </c>
      <c r="C177" s="52">
        <f>Datos!$P$108*D177</f>
        <v>0</v>
      </c>
      <c r="D177" s="56">
        <f>Datos!$P$260</f>
        <v>70149.999999999811</v>
      </c>
      <c r="E177" s="55"/>
      <c r="F177" s="43"/>
      <c r="G177" s="43"/>
      <c r="H177" s="43"/>
      <c r="I177" s="43" t="s">
        <v>560</v>
      </c>
      <c r="J177" s="43" t="s">
        <v>804</v>
      </c>
      <c r="K177">
        <v>700001</v>
      </c>
      <c r="L177" s="43">
        <v>9</v>
      </c>
      <c r="M177" s="43" t="s">
        <v>62</v>
      </c>
      <c r="N177" s="53"/>
      <c r="O177" s="53"/>
      <c r="P177" s="43" t="str">
        <f>VLOOKUP(K177,Maestro!J:K,2,0)</f>
        <v>CLINKER</v>
      </c>
      <c r="Q177" s="43" t="str">
        <f>VLOOKUP(P177,Maestro!E:F,2,0)</f>
        <v>Clinkerización</v>
      </c>
      <c r="R177" s="43">
        <f>VLOOKUP(P177,ORD!$A:$C,3,0)</f>
        <v>5</v>
      </c>
      <c r="S177" t="str">
        <f t="shared" si="3"/>
        <v>7355250323SELLADOClinkerización</v>
      </c>
      <c r="T177" t="str">
        <f>IFERROR(VLOOKUP(S177,Maestro!$A:$H,8,0),"Producción")</f>
        <v>Sellado</v>
      </c>
      <c r="U177" s="43" t="s">
        <v>182</v>
      </c>
    </row>
    <row r="178" spans="1:21" x14ac:dyDescent="0.3">
      <c r="A178" s="43">
        <v>7355050105</v>
      </c>
      <c r="B178" s="43" t="s">
        <v>462</v>
      </c>
      <c r="C178" s="50">
        <f>Datos!$P$78*D178</f>
        <v>24000000</v>
      </c>
      <c r="D178" s="50">
        <f>Datos!$P$460</f>
        <v>2000</v>
      </c>
      <c r="E178" s="43"/>
      <c r="F178" s="43" t="s">
        <v>557</v>
      </c>
      <c r="G178" s="43" t="s">
        <v>570</v>
      </c>
      <c r="H178" s="43" t="s">
        <v>571</v>
      </c>
      <c r="I178" s="43" t="s">
        <v>560</v>
      </c>
      <c r="J178" s="43">
        <v>70000000000</v>
      </c>
      <c r="K178" s="43">
        <v>700001</v>
      </c>
      <c r="L178" s="43">
        <v>9</v>
      </c>
      <c r="M178" s="43" t="s">
        <v>62</v>
      </c>
      <c r="N178" s="53"/>
      <c r="O178" s="53"/>
      <c r="P178" s="43" t="str">
        <f>VLOOKUP(K178,Maestro!J:K,2,0)</f>
        <v>CLINKER</v>
      </c>
      <c r="Q178" s="43" t="str">
        <f>VLOOKUP(P178,Maestro!E:F,2,0)</f>
        <v>Clinkerización</v>
      </c>
      <c r="R178" s="43">
        <f>VLOOKUP(P178,ORD!$A:$C,3,0)</f>
        <v>5</v>
      </c>
      <c r="S178" t="str">
        <f t="shared" si="3"/>
        <v>735505010570000000000Clinkerización</v>
      </c>
      <c r="T178" t="str">
        <f>IFERROR(VLOOKUP(S178,Maestro!$A:$H,8,0),"Producción")</f>
        <v>Gasoil</v>
      </c>
      <c r="U178" s="43" t="s">
        <v>182</v>
      </c>
    </row>
    <row r="179" spans="1:21" x14ac:dyDescent="0.3">
      <c r="A179" s="43">
        <v>7199990001</v>
      </c>
      <c r="B179" s="43" t="s">
        <v>438</v>
      </c>
      <c r="C179" s="50"/>
      <c r="D179" s="50">
        <f>Datos!$Q$449</f>
        <v>6082.5420571260565</v>
      </c>
      <c r="E179" s="43" t="s">
        <v>556</v>
      </c>
      <c r="F179" s="43" t="s">
        <v>557</v>
      </c>
      <c r="G179" s="43" t="s">
        <v>567</v>
      </c>
      <c r="H179" s="43" t="s">
        <v>568</v>
      </c>
      <c r="I179" s="43" t="s">
        <v>560</v>
      </c>
      <c r="J179" s="43" t="s">
        <v>455</v>
      </c>
      <c r="K179" s="43">
        <v>700001</v>
      </c>
      <c r="L179" s="43">
        <v>10</v>
      </c>
      <c r="M179" s="43" t="s">
        <v>452</v>
      </c>
      <c r="N179" s="51"/>
      <c r="O179" s="51"/>
      <c r="P179" s="43" t="str">
        <f>VLOOKUP(K179,Maestro!J:K,2,0)</f>
        <v>CLINKER</v>
      </c>
      <c r="Q179" s="43" t="str">
        <f>VLOOKUP(P179,Maestro!E:F,2,0)</f>
        <v>Clinkerización</v>
      </c>
      <c r="R179" s="43">
        <f>VLOOKUP(P179,ORD!$A:$C,3,0)</f>
        <v>5</v>
      </c>
      <c r="S179" t="str">
        <f t="shared" si="3"/>
        <v>7199990001CARBONMOLClinkerización</v>
      </c>
      <c r="T179" t="str">
        <f>IFERROR(VLOOKUP(S179,Maestro!$A:$H,8,0),"Producción")</f>
        <v>Carbón Molido</v>
      </c>
      <c r="U179" s="43" t="s">
        <v>182</v>
      </c>
    </row>
    <row r="180" spans="1:21" x14ac:dyDescent="0.3">
      <c r="A180" s="43">
        <v>7199990001</v>
      </c>
      <c r="B180" s="43" t="s">
        <v>438</v>
      </c>
      <c r="C180" s="50"/>
      <c r="D180" s="50">
        <f>Datos!$Q$260*Datos!$Q$178*(1+Datos!$Q$217)</f>
        <v>85643.999999999782</v>
      </c>
      <c r="E180" s="43" t="s">
        <v>556</v>
      </c>
      <c r="F180" s="43" t="s">
        <v>557</v>
      </c>
      <c r="G180" s="43" t="s">
        <v>567</v>
      </c>
      <c r="H180" s="43" t="s">
        <v>568</v>
      </c>
      <c r="I180" s="43" t="s">
        <v>560</v>
      </c>
      <c r="J180" s="43" t="s">
        <v>458</v>
      </c>
      <c r="K180" s="43">
        <v>700001</v>
      </c>
      <c r="L180" s="43">
        <v>10</v>
      </c>
      <c r="M180" s="43" t="s">
        <v>445</v>
      </c>
      <c r="N180" s="51"/>
      <c r="O180" s="51"/>
      <c r="P180" s="43" t="str">
        <f>VLOOKUP(K180,Maestro!J:K,2,0)</f>
        <v>CLINKER</v>
      </c>
      <c r="Q180" s="43" t="str">
        <f>VLOOKUP(P180,Maestro!E:F,2,0)</f>
        <v>Clinkerización</v>
      </c>
      <c r="R180" s="43">
        <f>VLOOKUP(P180,ORD!$A:$C,3,0)</f>
        <v>5</v>
      </c>
      <c r="S180" t="str">
        <f t="shared" si="3"/>
        <v>7199990001HARINACRUDClinkerización</v>
      </c>
      <c r="T180" t="str">
        <f>IFERROR(VLOOKUP(S180,Maestro!$A:$H,8,0),"Producción")</f>
        <v>Crudo</v>
      </c>
      <c r="U180" s="43" t="s">
        <v>182</v>
      </c>
    </row>
    <row r="181" spans="1:21" x14ac:dyDescent="0.3">
      <c r="A181" s="43">
        <v>7999999995</v>
      </c>
      <c r="B181" s="43" t="s">
        <v>566</v>
      </c>
      <c r="C181" s="50"/>
      <c r="D181" s="56">
        <f>-Datos!$Q$260</f>
        <v>-54899.999999999854</v>
      </c>
      <c r="E181" s="43" t="s">
        <v>556</v>
      </c>
      <c r="F181" s="43" t="s">
        <v>557</v>
      </c>
      <c r="G181" s="43" t="s">
        <v>567</v>
      </c>
      <c r="H181" s="43" t="s">
        <v>568</v>
      </c>
      <c r="I181" s="43" t="s">
        <v>560</v>
      </c>
      <c r="J181" s="43" t="s">
        <v>463</v>
      </c>
      <c r="K181" s="43">
        <v>700001</v>
      </c>
      <c r="L181" s="43">
        <v>10</v>
      </c>
      <c r="M181" s="43" t="s">
        <v>62</v>
      </c>
      <c r="N181" s="51"/>
      <c r="O181" s="51"/>
      <c r="P181" s="43" t="str">
        <f>VLOOKUP(K181,Maestro!J:K,2,0)</f>
        <v>CLINKER</v>
      </c>
      <c r="Q181" s="43" t="str">
        <f>VLOOKUP(P181,Maestro!E:F,2,0)</f>
        <v>Clinkerización</v>
      </c>
      <c r="R181" s="43">
        <f>VLOOKUP(P181,ORD!$A:$C,3,0)</f>
        <v>5</v>
      </c>
      <c r="S181" t="str">
        <f t="shared" si="3"/>
        <v>7999999995CLINKER001Clinkerización</v>
      </c>
      <c r="T181" t="str">
        <f>IFERROR(VLOOKUP(S181,Maestro!$A:$H,8,0),"Producción")</f>
        <v>Producción</v>
      </c>
      <c r="U181" s="43" t="s">
        <v>182</v>
      </c>
    </row>
    <row r="182" spans="1:21" x14ac:dyDescent="0.3">
      <c r="A182" s="43">
        <v>7355250320</v>
      </c>
      <c r="B182" s="43" t="s">
        <v>490</v>
      </c>
      <c r="C182" s="52">
        <f>Datos!$Q$100*D182</f>
        <v>0</v>
      </c>
      <c r="D182" s="56">
        <f>Datos!$Q$260</f>
        <v>54899.999999999854</v>
      </c>
      <c r="E182" s="43"/>
      <c r="F182" s="43"/>
      <c r="G182" s="43"/>
      <c r="H182" s="43"/>
      <c r="I182" s="43" t="s">
        <v>560</v>
      </c>
      <c r="J182" s="43" t="s">
        <v>796</v>
      </c>
      <c r="K182">
        <v>700001</v>
      </c>
      <c r="L182" s="43">
        <v>10</v>
      </c>
      <c r="M182" s="43" t="s">
        <v>62</v>
      </c>
      <c r="N182" s="53"/>
      <c r="O182" s="53"/>
      <c r="P182" s="43" t="str">
        <f>VLOOKUP(K182,Maestro!J:K,2,0)</f>
        <v>CLINKER</v>
      </c>
      <c r="Q182" s="43" t="str">
        <f>VLOOKUP(P182,Maestro!E:F,2,0)</f>
        <v>Clinkerización</v>
      </c>
      <c r="R182" s="43">
        <f>VLOOKUP(P182,ORD!$A:$C,3,0)</f>
        <v>5</v>
      </c>
      <c r="S182" t="str">
        <f t="shared" si="3"/>
        <v>7355250320DUCTOSClinkerización</v>
      </c>
      <c r="T182" t="str">
        <f>IFERROR(VLOOKUP(S182,Maestro!$A:$H,8,0),"Producción")</f>
        <v>Ductos</v>
      </c>
      <c r="U182" s="43" t="s">
        <v>182</v>
      </c>
    </row>
    <row r="183" spans="1:21" x14ac:dyDescent="0.3">
      <c r="A183" s="43">
        <v>7355250321</v>
      </c>
      <c r="B183" s="43" t="s">
        <v>490</v>
      </c>
      <c r="C183" s="52">
        <f>Datos!$Q$104*D183</f>
        <v>10126797.019731399</v>
      </c>
      <c r="D183" s="56">
        <f>Datos!$Q$260</f>
        <v>54899.999999999854</v>
      </c>
      <c r="E183" s="43"/>
      <c r="F183" s="43"/>
      <c r="G183" s="43"/>
      <c r="H183" s="43"/>
      <c r="I183" s="43" t="s">
        <v>560</v>
      </c>
      <c r="J183" s="43" t="s">
        <v>798</v>
      </c>
      <c r="K183">
        <v>700001</v>
      </c>
      <c r="L183" s="43">
        <v>10</v>
      </c>
      <c r="M183" s="43" t="s">
        <v>62</v>
      </c>
      <c r="N183" s="53"/>
      <c r="O183" s="53"/>
      <c r="P183" s="43" t="str">
        <f>VLOOKUP(K183,Maestro!J:K,2,0)</f>
        <v>CLINKER</v>
      </c>
      <c r="Q183" s="43" t="str">
        <f>VLOOKUP(P183,Maestro!E:F,2,0)</f>
        <v>Clinkerización</v>
      </c>
      <c r="R183" s="43">
        <f>VLOOKUP(P183,ORD!$A:$C,3,0)</f>
        <v>5</v>
      </c>
      <c r="S183" t="str">
        <f t="shared" si="3"/>
        <v>7355250321ENFRIADORClinkerización</v>
      </c>
      <c r="T183" t="str">
        <f>IFERROR(VLOOKUP(S183,Maestro!$A:$H,8,0),"Producción")</f>
        <v>Enfriador</v>
      </c>
      <c r="U183" s="43" t="s">
        <v>182</v>
      </c>
    </row>
    <row r="184" spans="1:21" x14ac:dyDescent="0.3">
      <c r="A184" s="43">
        <v>7355250322</v>
      </c>
      <c r="B184" s="43" t="s">
        <v>490</v>
      </c>
      <c r="C184" s="52">
        <f>Datos!$Q$106*D184</f>
        <v>69355811.806428149</v>
      </c>
      <c r="D184" s="56">
        <f>Datos!$Q$260</f>
        <v>54899.999999999854</v>
      </c>
      <c r="E184" s="43"/>
      <c r="F184" s="43"/>
      <c r="G184" s="43"/>
      <c r="H184" s="43"/>
      <c r="I184" s="43" t="s">
        <v>560</v>
      </c>
      <c r="J184" s="40" t="s">
        <v>801</v>
      </c>
      <c r="K184">
        <v>700001</v>
      </c>
      <c r="L184" s="43">
        <v>10</v>
      </c>
      <c r="M184" s="43" t="s">
        <v>62</v>
      </c>
      <c r="N184" s="53"/>
      <c r="O184" s="53"/>
      <c r="P184" s="43" t="str">
        <f>VLOOKUP(K184,Maestro!J:K,2,0)</f>
        <v>CLINKER</v>
      </c>
      <c r="Q184" s="43" t="str">
        <f>VLOOKUP(P184,Maestro!E:F,2,0)</f>
        <v>Clinkerización</v>
      </c>
      <c r="R184" s="43">
        <f>VLOOKUP(P184,ORD!$A:$C,3,0)</f>
        <v>5</v>
      </c>
      <c r="S184" t="str">
        <f t="shared" si="3"/>
        <v>7355250322PLACASClinkerización</v>
      </c>
      <c r="T184" t="str">
        <f>IFERROR(VLOOKUP(S184,Maestro!$A:$H,8,0),"Producción")</f>
        <v>Placas</v>
      </c>
      <c r="U184" s="43" t="s">
        <v>182</v>
      </c>
    </row>
    <row r="185" spans="1:21" x14ac:dyDescent="0.3">
      <c r="A185" s="43">
        <v>7355300105</v>
      </c>
      <c r="B185" s="43" t="s">
        <v>569</v>
      </c>
      <c r="C185" s="52">
        <f>Datos!$Q$110*D185</f>
        <v>197673244.04167888</v>
      </c>
      <c r="D185" s="56">
        <f>Datos!$Q$260</f>
        <v>54899.999999999854</v>
      </c>
      <c r="E185" s="55"/>
      <c r="F185" s="43"/>
      <c r="G185" s="43"/>
      <c r="H185" s="43"/>
      <c r="I185" s="43" t="s">
        <v>560</v>
      </c>
      <c r="J185" s="43" t="s">
        <v>803</v>
      </c>
      <c r="K185">
        <v>700001</v>
      </c>
      <c r="L185" s="43">
        <v>10</v>
      </c>
      <c r="M185" s="43" t="s">
        <v>62</v>
      </c>
      <c r="N185" s="53"/>
      <c r="O185" s="53"/>
      <c r="P185" s="43" t="str">
        <f>VLOOKUP(K185,Maestro!J:K,2,0)</f>
        <v>CLINKER</v>
      </c>
      <c r="Q185" s="43" t="str">
        <f>VLOOKUP(P185,Maestro!E:F,2,0)</f>
        <v>Clinkerización</v>
      </c>
      <c r="R185" s="43">
        <f>VLOOKUP(P185,ORD!$A:$C,3,0)</f>
        <v>5</v>
      </c>
      <c r="S185" t="str">
        <f t="shared" si="3"/>
        <v>7355300105REFRACTARIOSClinkerización</v>
      </c>
      <c r="T185" t="str">
        <f>IFERROR(VLOOKUP(S185,Maestro!$A:$H,8,0),"Producción")</f>
        <v>Refractarios</v>
      </c>
      <c r="U185" s="43" t="s">
        <v>182</v>
      </c>
    </row>
    <row r="186" spans="1:21" x14ac:dyDescent="0.3">
      <c r="A186" s="43">
        <v>7355250323</v>
      </c>
      <c r="B186" s="43" t="s">
        <v>490</v>
      </c>
      <c r="C186" s="52">
        <f>Datos!$Q$108*D186</f>
        <v>0</v>
      </c>
      <c r="D186" s="56">
        <f>Datos!$Q$260</f>
        <v>54899.999999999854</v>
      </c>
      <c r="E186" s="55"/>
      <c r="F186" s="43"/>
      <c r="G186" s="43"/>
      <c r="H186" s="43"/>
      <c r="I186" s="43" t="s">
        <v>560</v>
      </c>
      <c r="J186" s="43" t="s">
        <v>804</v>
      </c>
      <c r="K186">
        <v>700001</v>
      </c>
      <c r="L186" s="43">
        <v>10</v>
      </c>
      <c r="M186" s="43" t="s">
        <v>62</v>
      </c>
      <c r="N186" s="53"/>
      <c r="O186" s="53"/>
      <c r="P186" s="43" t="str">
        <f>VLOOKUP(K186,Maestro!J:K,2,0)</f>
        <v>CLINKER</v>
      </c>
      <c r="Q186" s="43" t="str">
        <f>VLOOKUP(P186,Maestro!E:F,2,0)</f>
        <v>Clinkerización</v>
      </c>
      <c r="R186" s="43">
        <f>VLOOKUP(P186,ORD!$A:$C,3,0)</f>
        <v>5</v>
      </c>
      <c r="S186" t="str">
        <f t="shared" si="3"/>
        <v>7355250323SELLADOClinkerización</v>
      </c>
      <c r="T186" t="str">
        <f>IFERROR(VLOOKUP(S186,Maestro!$A:$H,8,0),"Producción")</f>
        <v>Sellado</v>
      </c>
      <c r="U186" s="43" t="s">
        <v>182</v>
      </c>
    </row>
    <row r="187" spans="1:21" x14ac:dyDescent="0.3">
      <c r="A187" s="43">
        <v>7355050105</v>
      </c>
      <c r="B187" s="43" t="s">
        <v>462</v>
      </c>
      <c r="C187" s="50">
        <f>Datos!$Q$78*D187</f>
        <v>144000000</v>
      </c>
      <c r="D187" s="50">
        <f>Datos!$Q$460</f>
        <v>12000</v>
      </c>
      <c r="E187" s="43"/>
      <c r="F187" s="43" t="s">
        <v>557</v>
      </c>
      <c r="G187" s="43" t="s">
        <v>570</v>
      </c>
      <c r="H187" s="43" t="s">
        <v>571</v>
      </c>
      <c r="I187" s="43" t="s">
        <v>560</v>
      </c>
      <c r="J187" s="43">
        <v>70000000000</v>
      </c>
      <c r="K187" s="43">
        <v>700001</v>
      </c>
      <c r="L187" s="43">
        <v>10</v>
      </c>
      <c r="M187" s="43" t="s">
        <v>62</v>
      </c>
      <c r="N187" s="53"/>
      <c r="O187" s="53"/>
      <c r="P187" s="43" t="str">
        <f>VLOOKUP(K187,Maestro!J:K,2,0)</f>
        <v>CLINKER</v>
      </c>
      <c r="Q187" s="43" t="str">
        <f>VLOOKUP(P187,Maestro!E:F,2,0)</f>
        <v>Clinkerización</v>
      </c>
      <c r="R187" s="43">
        <f>VLOOKUP(P187,ORD!$A:$C,3,0)</f>
        <v>5</v>
      </c>
      <c r="S187" t="str">
        <f t="shared" si="3"/>
        <v>735505010570000000000Clinkerización</v>
      </c>
      <c r="T187" t="str">
        <f>IFERROR(VLOOKUP(S187,Maestro!$A:$H,8,0),"Producción")</f>
        <v>Gasoil</v>
      </c>
      <c r="U187" s="43" t="s">
        <v>182</v>
      </c>
    </row>
    <row r="188" spans="1:21" x14ac:dyDescent="0.3">
      <c r="A188" s="43">
        <v>7199990001</v>
      </c>
      <c r="B188" s="43" t="s">
        <v>438</v>
      </c>
      <c r="C188" s="50"/>
      <c r="D188" s="50">
        <f>Datos!$R$449</f>
        <v>9988.3435911436482</v>
      </c>
      <c r="E188" s="43" t="s">
        <v>556</v>
      </c>
      <c r="F188" s="43" t="s">
        <v>557</v>
      </c>
      <c r="G188" s="43" t="s">
        <v>567</v>
      </c>
      <c r="H188" s="43" t="s">
        <v>568</v>
      </c>
      <c r="I188" s="43" t="s">
        <v>560</v>
      </c>
      <c r="J188" s="43" t="s">
        <v>455</v>
      </c>
      <c r="K188" s="43">
        <v>700001</v>
      </c>
      <c r="L188" s="43">
        <v>11</v>
      </c>
      <c r="M188" s="43" t="s">
        <v>452</v>
      </c>
      <c r="N188" s="51"/>
      <c r="O188" s="51"/>
      <c r="P188" s="43" t="str">
        <f>VLOOKUP(K188,Maestro!J:K,2,0)</f>
        <v>CLINKER</v>
      </c>
      <c r="Q188" s="43" t="str">
        <f>VLOOKUP(P188,Maestro!E:F,2,0)</f>
        <v>Clinkerización</v>
      </c>
      <c r="R188" s="43">
        <f>VLOOKUP(P188,ORD!$A:$C,3,0)</f>
        <v>5</v>
      </c>
      <c r="S188" t="str">
        <f t="shared" si="3"/>
        <v>7199990001CARBONMOLClinkerización</v>
      </c>
      <c r="T188" t="str">
        <f>IFERROR(VLOOKUP(S188,Maestro!$A:$H,8,0),"Producción")</f>
        <v>Carbón Molido</v>
      </c>
      <c r="U188" s="43" t="s">
        <v>182</v>
      </c>
    </row>
    <row r="189" spans="1:21" x14ac:dyDescent="0.3">
      <c r="A189" s="43">
        <v>7199990001</v>
      </c>
      <c r="B189" s="43" t="s">
        <v>438</v>
      </c>
      <c r="C189" s="50"/>
      <c r="D189" s="50">
        <f>Datos!$R$260*Datos!$R$178*(1+Datos!$R$217)</f>
        <v>139567.99999999965</v>
      </c>
      <c r="E189" s="43" t="s">
        <v>556</v>
      </c>
      <c r="F189" s="43" t="s">
        <v>557</v>
      </c>
      <c r="G189" s="43" t="s">
        <v>567</v>
      </c>
      <c r="H189" s="43" t="s">
        <v>568</v>
      </c>
      <c r="I189" s="43" t="s">
        <v>560</v>
      </c>
      <c r="J189" s="43" t="s">
        <v>458</v>
      </c>
      <c r="K189" s="43">
        <v>700001</v>
      </c>
      <c r="L189" s="43">
        <v>11</v>
      </c>
      <c r="M189" s="43" t="s">
        <v>445</v>
      </c>
      <c r="N189" s="51"/>
      <c r="O189" s="51"/>
      <c r="P189" s="43" t="str">
        <f>VLOOKUP(K189,Maestro!J:K,2,0)</f>
        <v>CLINKER</v>
      </c>
      <c r="Q189" s="43" t="str">
        <f>VLOOKUP(P189,Maestro!E:F,2,0)</f>
        <v>Clinkerización</v>
      </c>
      <c r="R189" s="43">
        <f>VLOOKUP(P189,ORD!$A:$C,3,0)</f>
        <v>5</v>
      </c>
      <c r="S189" t="str">
        <f t="shared" si="3"/>
        <v>7199990001HARINACRUDClinkerización</v>
      </c>
      <c r="T189" t="str">
        <f>IFERROR(VLOOKUP(S189,Maestro!$A:$H,8,0),"Producción")</f>
        <v>Crudo</v>
      </c>
      <c r="U189" s="43" t="s">
        <v>182</v>
      </c>
    </row>
    <row r="190" spans="1:21" x14ac:dyDescent="0.3">
      <c r="A190" s="43">
        <v>7999999995</v>
      </c>
      <c r="B190" s="43" t="s">
        <v>566</v>
      </c>
      <c r="C190" s="50"/>
      <c r="D190" s="56">
        <f>-Datos!$R$260</f>
        <v>-89466.666666666439</v>
      </c>
      <c r="E190" s="43" t="s">
        <v>556</v>
      </c>
      <c r="F190" s="43" t="s">
        <v>557</v>
      </c>
      <c r="G190" s="43" t="s">
        <v>567</v>
      </c>
      <c r="H190" s="43" t="s">
        <v>568</v>
      </c>
      <c r="I190" s="43" t="s">
        <v>560</v>
      </c>
      <c r="J190" s="43" t="s">
        <v>463</v>
      </c>
      <c r="K190" s="43">
        <v>700001</v>
      </c>
      <c r="L190" s="43">
        <v>11</v>
      </c>
      <c r="M190" s="43" t="s">
        <v>62</v>
      </c>
      <c r="N190" s="51"/>
      <c r="O190" s="51"/>
      <c r="P190" s="43" t="str">
        <f>VLOOKUP(K190,Maestro!J:K,2,0)</f>
        <v>CLINKER</v>
      </c>
      <c r="Q190" s="43" t="str">
        <f>VLOOKUP(P190,Maestro!E:F,2,0)</f>
        <v>Clinkerización</v>
      </c>
      <c r="R190" s="43">
        <f>VLOOKUP(P190,ORD!$A:$C,3,0)</f>
        <v>5</v>
      </c>
      <c r="S190" t="str">
        <f t="shared" si="3"/>
        <v>7999999995CLINKER001Clinkerización</v>
      </c>
      <c r="T190" t="str">
        <f>IFERROR(VLOOKUP(S190,Maestro!$A:$H,8,0),"Producción")</f>
        <v>Producción</v>
      </c>
      <c r="U190" s="43" t="s">
        <v>182</v>
      </c>
    </row>
    <row r="191" spans="1:21" x14ac:dyDescent="0.3">
      <c r="A191" s="43">
        <v>7355250320</v>
      </c>
      <c r="B191" s="43" t="s">
        <v>490</v>
      </c>
      <c r="C191" s="52">
        <f>Datos!$R$100*D191</f>
        <v>0</v>
      </c>
      <c r="D191" s="56">
        <f>Datos!$R$260</f>
        <v>89466.666666666439</v>
      </c>
      <c r="E191" s="43"/>
      <c r="F191" s="43"/>
      <c r="G191" s="43"/>
      <c r="H191" s="43"/>
      <c r="I191" s="43" t="s">
        <v>560</v>
      </c>
      <c r="J191" s="43" t="s">
        <v>796</v>
      </c>
      <c r="K191">
        <v>700001</v>
      </c>
      <c r="L191" s="43">
        <v>11</v>
      </c>
      <c r="M191" s="43" t="s">
        <v>62</v>
      </c>
      <c r="N191" s="53"/>
      <c r="O191" s="53"/>
      <c r="P191" s="43" t="str">
        <f>VLOOKUP(K191,Maestro!J:K,2,0)</f>
        <v>CLINKER</v>
      </c>
      <c r="Q191" s="43" t="str">
        <f>VLOOKUP(P191,Maestro!E:F,2,0)</f>
        <v>Clinkerización</v>
      </c>
      <c r="R191" s="43">
        <f>VLOOKUP(P191,ORD!$A:$C,3,0)</f>
        <v>5</v>
      </c>
      <c r="S191" t="str">
        <f t="shared" si="3"/>
        <v>7355250320DUCTOSClinkerización</v>
      </c>
      <c r="T191" t="str">
        <f>IFERROR(VLOOKUP(S191,Maestro!$A:$H,8,0),"Producción")</f>
        <v>Ductos</v>
      </c>
      <c r="U191" s="43" t="s">
        <v>182</v>
      </c>
    </row>
    <row r="192" spans="1:21" x14ac:dyDescent="0.3">
      <c r="A192" s="43">
        <v>7355250321</v>
      </c>
      <c r="B192" s="43" t="s">
        <v>490</v>
      </c>
      <c r="C192" s="52">
        <f>Datos!$R$104*D192</f>
        <v>16502928.476599319</v>
      </c>
      <c r="D192" s="56">
        <f>Datos!$R$260</f>
        <v>89466.666666666439</v>
      </c>
      <c r="E192" s="43"/>
      <c r="F192" s="43"/>
      <c r="G192" s="43"/>
      <c r="H192" s="43"/>
      <c r="I192" s="43" t="s">
        <v>560</v>
      </c>
      <c r="J192" s="43" t="s">
        <v>798</v>
      </c>
      <c r="K192">
        <v>700001</v>
      </c>
      <c r="L192" s="43">
        <v>11</v>
      </c>
      <c r="M192" s="43" t="s">
        <v>62</v>
      </c>
      <c r="N192" s="53"/>
      <c r="O192" s="53"/>
      <c r="P192" s="43" t="str">
        <f>VLOOKUP(K192,Maestro!J:K,2,0)</f>
        <v>CLINKER</v>
      </c>
      <c r="Q192" s="43" t="str">
        <f>VLOOKUP(P192,Maestro!E:F,2,0)</f>
        <v>Clinkerización</v>
      </c>
      <c r="R192" s="43">
        <f>VLOOKUP(P192,ORD!$A:$C,3,0)</f>
        <v>5</v>
      </c>
      <c r="S192" t="str">
        <f t="shared" si="3"/>
        <v>7355250321ENFRIADORClinkerización</v>
      </c>
      <c r="T192" t="str">
        <f>IFERROR(VLOOKUP(S192,Maestro!$A:$H,8,0),"Producción")</f>
        <v>Enfriador</v>
      </c>
      <c r="U192" s="43" t="s">
        <v>182</v>
      </c>
    </row>
    <row r="193" spans="1:21" x14ac:dyDescent="0.3">
      <c r="A193" s="43">
        <v>7355250322</v>
      </c>
      <c r="B193" s="43" t="s">
        <v>490</v>
      </c>
      <c r="C193" s="52">
        <f>Datos!$R$106*D193</f>
        <v>113024285.90677181</v>
      </c>
      <c r="D193" s="56">
        <f>Datos!$R$260</f>
        <v>89466.666666666439</v>
      </c>
      <c r="E193" s="43"/>
      <c r="F193" s="43"/>
      <c r="G193" s="43"/>
      <c r="H193" s="43"/>
      <c r="I193" s="43" t="s">
        <v>560</v>
      </c>
      <c r="J193" s="40" t="s">
        <v>801</v>
      </c>
      <c r="K193">
        <v>700001</v>
      </c>
      <c r="L193" s="43">
        <v>11</v>
      </c>
      <c r="M193" s="43" t="s">
        <v>62</v>
      </c>
      <c r="N193" s="53"/>
      <c r="O193" s="53"/>
      <c r="P193" s="43" t="str">
        <f>VLOOKUP(K193,Maestro!J:K,2,0)</f>
        <v>CLINKER</v>
      </c>
      <c r="Q193" s="43" t="str">
        <f>VLOOKUP(P193,Maestro!E:F,2,0)</f>
        <v>Clinkerización</v>
      </c>
      <c r="R193" s="43">
        <f>VLOOKUP(P193,ORD!$A:$C,3,0)</f>
        <v>5</v>
      </c>
      <c r="S193" t="str">
        <f t="shared" si="3"/>
        <v>7355250322PLACASClinkerización</v>
      </c>
      <c r="T193" t="str">
        <f>IFERROR(VLOOKUP(S193,Maestro!$A:$H,8,0),"Producción")</f>
        <v>Placas</v>
      </c>
      <c r="U193" s="43" t="s">
        <v>182</v>
      </c>
    </row>
    <row r="194" spans="1:21" x14ac:dyDescent="0.3">
      <c r="A194" s="43">
        <v>7355300105</v>
      </c>
      <c r="B194" s="43" t="s">
        <v>569</v>
      </c>
      <c r="C194" s="52">
        <f>Datos!$R$110*D194</f>
        <v>322134175.47532856</v>
      </c>
      <c r="D194" s="56">
        <f>Datos!$R$260</f>
        <v>89466.666666666439</v>
      </c>
      <c r="E194" s="55"/>
      <c r="F194" s="43"/>
      <c r="G194" s="43"/>
      <c r="H194" s="43"/>
      <c r="I194" s="43" t="s">
        <v>560</v>
      </c>
      <c r="J194" s="43" t="s">
        <v>803</v>
      </c>
      <c r="K194">
        <v>700001</v>
      </c>
      <c r="L194" s="43">
        <v>11</v>
      </c>
      <c r="M194" s="43" t="s">
        <v>62</v>
      </c>
      <c r="N194" s="53"/>
      <c r="O194" s="53"/>
      <c r="P194" s="43" t="str">
        <f>VLOOKUP(K194,Maestro!J:K,2,0)</f>
        <v>CLINKER</v>
      </c>
      <c r="Q194" s="43" t="str">
        <f>VLOOKUP(P194,Maestro!E:F,2,0)</f>
        <v>Clinkerización</v>
      </c>
      <c r="R194" s="43">
        <f>VLOOKUP(P194,ORD!$A:$C,3,0)</f>
        <v>5</v>
      </c>
      <c r="S194" t="str">
        <f t="shared" si="3"/>
        <v>7355300105REFRACTARIOSClinkerización</v>
      </c>
      <c r="T194" t="str">
        <f>IFERROR(VLOOKUP(S194,Maestro!$A:$H,8,0),"Producción")</f>
        <v>Refractarios</v>
      </c>
      <c r="U194" s="43" t="s">
        <v>182</v>
      </c>
    </row>
    <row r="195" spans="1:21" x14ac:dyDescent="0.3">
      <c r="A195" s="43">
        <v>7355250323</v>
      </c>
      <c r="B195" s="43" t="s">
        <v>490</v>
      </c>
      <c r="C195" s="52">
        <f>Datos!$R$108*D195</f>
        <v>0</v>
      </c>
      <c r="D195" s="56">
        <f>Datos!$R$260</f>
        <v>89466.666666666439</v>
      </c>
      <c r="E195" s="55"/>
      <c r="F195" s="43"/>
      <c r="G195" s="43"/>
      <c r="H195" s="43"/>
      <c r="I195" s="43" t="s">
        <v>560</v>
      </c>
      <c r="J195" s="43" t="s">
        <v>804</v>
      </c>
      <c r="K195">
        <v>700001</v>
      </c>
      <c r="L195" s="43">
        <v>11</v>
      </c>
      <c r="M195" s="43" t="s">
        <v>62</v>
      </c>
      <c r="N195" s="53"/>
      <c r="O195" s="53"/>
      <c r="P195" s="43" t="str">
        <f>VLOOKUP(K195,Maestro!J:K,2,0)</f>
        <v>CLINKER</v>
      </c>
      <c r="Q195" s="43" t="str">
        <f>VLOOKUP(P195,Maestro!E:F,2,0)</f>
        <v>Clinkerización</v>
      </c>
      <c r="R195" s="43">
        <f>VLOOKUP(P195,ORD!$A:$C,3,0)</f>
        <v>5</v>
      </c>
      <c r="S195" t="str">
        <f t="shared" ref="S195:S258" si="4">A195&amp;J195&amp;Q195</f>
        <v>7355250323SELLADOClinkerización</v>
      </c>
      <c r="T195" t="str">
        <f>IFERROR(VLOOKUP(S195,Maestro!$A:$H,8,0),"Producción")</f>
        <v>Sellado</v>
      </c>
      <c r="U195" s="43" t="s">
        <v>182</v>
      </c>
    </row>
    <row r="196" spans="1:21" x14ac:dyDescent="0.3">
      <c r="A196" s="43">
        <v>7355050105</v>
      </c>
      <c r="B196" s="43" t="s">
        <v>462</v>
      </c>
      <c r="C196" s="50">
        <f>Datos!$R$78*D196</f>
        <v>24000000</v>
      </c>
      <c r="D196" s="50">
        <f>Datos!$R$460</f>
        <v>2000</v>
      </c>
      <c r="E196" s="43"/>
      <c r="F196" s="43" t="s">
        <v>557</v>
      </c>
      <c r="G196" s="43" t="s">
        <v>570</v>
      </c>
      <c r="H196" s="43" t="s">
        <v>571</v>
      </c>
      <c r="I196" s="43" t="s">
        <v>560</v>
      </c>
      <c r="J196" s="43">
        <v>70000000000</v>
      </c>
      <c r="K196" s="43">
        <v>700001</v>
      </c>
      <c r="L196" s="43">
        <v>11</v>
      </c>
      <c r="M196" s="43" t="s">
        <v>62</v>
      </c>
      <c r="N196" s="53"/>
      <c r="O196" s="53"/>
      <c r="P196" s="43" t="str">
        <f>VLOOKUP(K196,Maestro!J:K,2,0)</f>
        <v>CLINKER</v>
      </c>
      <c r="Q196" s="43" t="str">
        <f>VLOOKUP(P196,Maestro!E:F,2,0)</f>
        <v>Clinkerización</v>
      </c>
      <c r="R196" s="43">
        <f>VLOOKUP(P196,ORD!$A:$C,3,0)</f>
        <v>5</v>
      </c>
      <c r="S196" t="str">
        <f t="shared" si="4"/>
        <v>735505010570000000000Clinkerización</v>
      </c>
      <c r="T196" t="str">
        <f>IFERROR(VLOOKUP(S196,Maestro!$A:$H,8,0),"Producción")</f>
        <v>Gasoil</v>
      </c>
      <c r="U196" s="43" t="s">
        <v>182</v>
      </c>
    </row>
    <row r="197" spans="1:21" x14ac:dyDescent="0.3">
      <c r="A197" s="43">
        <v>7199990001</v>
      </c>
      <c r="B197" s="43" t="s">
        <v>438</v>
      </c>
      <c r="C197" s="50"/>
      <c r="D197" s="50">
        <f>Datos!$S$449</f>
        <v>6254.8920440171096</v>
      </c>
      <c r="E197" s="43" t="s">
        <v>556</v>
      </c>
      <c r="F197" s="43" t="s">
        <v>557</v>
      </c>
      <c r="G197" s="43" t="s">
        <v>567</v>
      </c>
      <c r="H197" s="43" t="s">
        <v>568</v>
      </c>
      <c r="I197" s="43" t="s">
        <v>560</v>
      </c>
      <c r="J197" s="43" t="s">
        <v>455</v>
      </c>
      <c r="K197" s="43">
        <v>700001</v>
      </c>
      <c r="L197" s="43">
        <v>12</v>
      </c>
      <c r="M197" s="43" t="s">
        <v>452</v>
      </c>
      <c r="N197" s="51"/>
      <c r="O197" s="51"/>
      <c r="P197" s="43" t="str">
        <f>VLOOKUP(K197,Maestro!J:K,2,0)</f>
        <v>CLINKER</v>
      </c>
      <c r="Q197" s="43" t="str">
        <f>VLOOKUP(P197,Maestro!E:F,2,0)</f>
        <v>Clinkerización</v>
      </c>
      <c r="R197" s="43">
        <f>VLOOKUP(P197,ORD!$A:$C,3,0)</f>
        <v>5</v>
      </c>
      <c r="S197" t="str">
        <f t="shared" si="4"/>
        <v>7199990001CARBONMOLClinkerización</v>
      </c>
      <c r="T197" t="str">
        <f>IFERROR(VLOOKUP(S197,Maestro!$A:$H,8,0),"Producción")</f>
        <v>Carbón Molido</v>
      </c>
      <c r="U197" s="43" t="s">
        <v>182</v>
      </c>
    </row>
    <row r="198" spans="1:21" x14ac:dyDescent="0.3">
      <c r="A198" s="43">
        <v>7199990001</v>
      </c>
      <c r="B198" s="43" t="s">
        <v>438</v>
      </c>
      <c r="C198" s="50"/>
      <c r="D198" s="50">
        <f>Datos!$S$260*Datos!$S$178*(1+Datos!$S$217)</f>
        <v>88050.174263418987</v>
      </c>
      <c r="E198" s="43" t="s">
        <v>556</v>
      </c>
      <c r="F198" s="43" t="s">
        <v>557</v>
      </c>
      <c r="G198" s="43" t="s">
        <v>567</v>
      </c>
      <c r="H198" s="43" t="s">
        <v>568</v>
      </c>
      <c r="I198" s="43" t="s">
        <v>560</v>
      </c>
      <c r="J198" s="43" t="s">
        <v>458</v>
      </c>
      <c r="K198" s="43">
        <v>700001</v>
      </c>
      <c r="L198" s="43">
        <v>12</v>
      </c>
      <c r="M198" s="43" t="s">
        <v>445</v>
      </c>
      <c r="N198" s="51"/>
      <c r="O198" s="51"/>
      <c r="P198" s="43" t="str">
        <f>VLOOKUP(K198,Maestro!J:K,2,0)</f>
        <v>CLINKER</v>
      </c>
      <c r="Q198" s="43" t="str">
        <f>VLOOKUP(P198,Maestro!E:F,2,0)</f>
        <v>Clinkerización</v>
      </c>
      <c r="R198" s="43">
        <f>VLOOKUP(P198,ORD!$A:$C,3,0)</f>
        <v>5</v>
      </c>
      <c r="S198" t="str">
        <f t="shared" si="4"/>
        <v>7199990001HARINACRUDClinkerización</v>
      </c>
      <c r="T198" t="str">
        <f>IFERROR(VLOOKUP(S198,Maestro!$A:$H,8,0),"Producción")</f>
        <v>Crudo</v>
      </c>
      <c r="U198" s="43" t="s">
        <v>182</v>
      </c>
    </row>
    <row r="199" spans="1:21" x14ac:dyDescent="0.3">
      <c r="A199" s="43">
        <v>7999999995</v>
      </c>
      <c r="B199" s="43" t="s">
        <v>566</v>
      </c>
      <c r="C199" s="50"/>
      <c r="D199" s="56">
        <f>-Datos!$S$260</f>
        <v>-56442.419399627557</v>
      </c>
      <c r="E199" s="43" t="s">
        <v>556</v>
      </c>
      <c r="F199" s="43" t="s">
        <v>557</v>
      </c>
      <c r="G199" s="43" t="s">
        <v>567</v>
      </c>
      <c r="H199" s="43" t="s">
        <v>568</v>
      </c>
      <c r="I199" s="43" t="s">
        <v>560</v>
      </c>
      <c r="J199" s="43" t="s">
        <v>463</v>
      </c>
      <c r="K199" s="43">
        <v>700001</v>
      </c>
      <c r="L199" s="43">
        <v>12</v>
      </c>
      <c r="M199" s="43" t="s">
        <v>62</v>
      </c>
      <c r="N199" s="51"/>
      <c r="O199" s="51"/>
      <c r="P199" s="43" t="str">
        <f>VLOOKUP(K199,Maestro!J:K,2,0)</f>
        <v>CLINKER</v>
      </c>
      <c r="Q199" s="43" t="str">
        <f>VLOOKUP(P199,Maestro!E:F,2,0)</f>
        <v>Clinkerización</v>
      </c>
      <c r="R199" s="43">
        <f>VLOOKUP(P199,ORD!$A:$C,3,0)</f>
        <v>5</v>
      </c>
      <c r="S199" t="str">
        <f t="shared" si="4"/>
        <v>7999999995CLINKER001Clinkerización</v>
      </c>
      <c r="T199" t="str">
        <f>IFERROR(VLOOKUP(S199,Maestro!$A:$H,8,0),"Producción")</f>
        <v>Producción</v>
      </c>
      <c r="U199" s="43" t="s">
        <v>182</v>
      </c>
    </row>
    <row r="200" spans="1:21" x14ac:dyDescent="0.3">
      <c r="A200" s="43">
        <v>7355250320</v>
      </c>
      <c r="B200" s="43" t="s">
        <v>490</v>
      </c>
      <c r="C200" s="52">
        <f>Datos!$S$100*D200</f>
        <v>0</v>
      </c>
      <c r="D200" s="56">
        <f>Datos!$S$260</f>
        <v>56442.419399627557</v>
      </c>
      <c r="E200" s="43"/>
      <c r="F200" s="43"/>
      <c r="G200" s="43"/>
      <c r="H200" s="43"/>
      <c r="I200" s="43" t="s">
        <v>560</v>
      </c>
      <c r="J200" s="43" t="s">
        <v>796</v>
      </c>
      <c r="K200">
        <v>700001</v>
      </c>
      <c r="L200" s="43">
        <v>12</v>
      </c>
      <c r="M200" s="43" t="s">
        <v>62</v>
      </c>
      <c r="N200" s="53"/>
      <c r="O200" s="53"/>
      <c r="P200" s="43" t="str">
        <f>VLOOKUP(K200,Maestro!J:K,2,0)</f>
        <v>CLINKER</v>
      </c>
      <c r="Q200" s="43" t="str">
        <f>VLOOKUP(P200,Maestro!E:F,2,0)</f>
        <v>Clinkerización</v>
      </c>
      <c r="R200" s="43">
        <f>VLOOKUP(P200,ORD!$A:$C,3,0)</f>
        <v>5</v>
      </c>
      <c r="S200" t="str">
        <f t="shared" si="4"/>
        <v>7355250320DUCTOSClinkerización</v>
      </c>
      <c r="T200" t="str">
        <f>IFERROR(VLOOKUP(S200,Maestro!$A:$H,8,0),"Producción")</f>
        <v>Ductos</v>
      </c>
      <c r="U200" s="43" t="s">
        <v>182</v>
      </c>
    </row>
    <row r="201" spans="1:21" x14ac:dyDescent="0.3">
      <c r="A201" s="43">
        <v>7355250321</v>
      </c>
      <c r="B201" s="43" t="s">
        <v>490</v>
      </c>
      <c r="C201" s="52">
        <f>Datos!$S$104*D201</f>
        <v>10411310.101322033</v>
      </c>
      <c r="D201" s="56">
        <f>Datos!$S$260</f>
        <v>56442.419399627557</v>
      </c>
      <c r="E201" s="43"/>
      <c r="F201" s="43"/>
      <c r="G201" s="43"/>
      <c r="H201" s="43"/>
      <c r="I201" s="43" t="s">
        <v>560</v>
      </c>
      <c r="J201" s="43" t="s">
        <v>798</v>
      </c>
      <c r="K201">
        <v>700001</v>
      </c>
      <c r="L201" s="43">
        <v>12</v>
      </c>
      <c r="M201" s="43" t="s">
        <v>62</v>
      </c>
      <c r="N201" s="53"/>
      <c r="O201" s="53"/>
      <c r="P201" s="43" t="str">
        <f>VLOOKUP(K201,Maestro!J:K,2,0)</f>
        <v>CLINKER</v>
      </c>
      <c r="Q201" s="43" t="str">
        <f>VLOOKUP(P201,Maestro!E:F,2,0)</f>
        <v>Clinkerización</v>
      </c>
      <c r="R201" s="43">
        <f>VLOOKUP(P201,ORD!$A:$C,3,0)</f>
        <v>5</v>
      </c>
      <c r="S201" t="str">
        <f t="shared" si="4"/>
        <v>7355250321ENFRIADORClinkerización</v>
      </c>
      <c r="T201" t="str">
        <f>IFERROR(VLOOKUP(S201,Maestro!$A:$H,8,0),"Producción")</f>
        <v>Enfriador</v>
      </c>
      <c r="U201" s="43" t="s">
        <v>182</v>
      </c>
    </row>
    <row r="202" spans="1:21" x14ac:dyDescent="0.3">
      <c r="A202" s="43">
        <v>7355250322</v>
      </c>
      <c r="B202" s="43" t="s">
        <v>490</v>
      </c>
      <c r="C202" s="52">
        <f>Datos!$S$106*D202</f>
        <v>71304368.265575022</v>
      </c>
      <c r="D202" s="56">
        <f>Datos!$S$260</f>
        <v>56442.419399627557</v>
      </c>
      <c r="E202" s="43"/>
      <c r="F202" s="43"/>
      <c r="G202" s="43"/>
      <c r="H202" s="43"/>
      <c r="I202" s="43" t="s">
        <v>560</v>
      </c>
      <c r="J202" s="40" t="s">
        <v>801</v>
      </c>
      <c r="K202">
        <v>700001</v>
      </c>
      <c r="L202" s="43">
        <v>12</v>
      </c>
      <c r="M202" s="43" t="s">
        <v>62</v>
      </c>
      <c r="N202" s="53"/>
      <c r="O202" s="53"/>
      <c r="P202" s="43" t="str">
        <f>VLOOKUP(K202,Maestro!J:K,2,0)</f>
        <v>CLINKER</v>
      </c>
      <c r="Q202" s="43" t="str">
        <f>VLOOKUP(P202,Maestro!E:F,2,0)</f>
        <v>Clinkerización</v>
      </c>
      <c r="R202" s="43">
        <f>VLOOKUP(P202,ORD!$A:$C,3,0)</f>
        <v>5</v>
      </c>
      <c r="S202" t="str">
        <f t="shared" si="4"/>
        <v>7355250322PLACASClinkerización</v>
      </c>
      <c r="T202" t="str">
        <f>IFERROR(VLOOKUP(S202,Maestro!$A:$H,8,0),"Producción")</f>
        <v>Placas</v>
      </c>
      <c r="U202" s="43" t="s">
        <v>182</v>
      </c>
    </row>
    <row r="203" spans="1:21" x14ac:dyDescent="0.3">
      <c r="A203" s="43">
        <v>7355300105</v>
      </c>
      <c r="B203" s="43" t="s">
        <v>569</v>
      </c>
      <c r="C203" s="52">
        <f>Datos!$S$110*D203</f>
        <v>203226887.87405095</v>
      </c>
      <c r="D203" s="56">
        <f>Datos!$S$260</f>
        <v>56442.419399627557</v>
      </c>
      <c r="E203" s="55"/>
      <c r="F203" s="43"/>
      <c r="G203" s="43"/>
      <c r="H203" s="43"/>
      <c r="I203" s="43" t="s">
        <v>560</v>
      </c>
      <c r="J203" s="43" t="s">
        <v>803</v>
      </c>
      <c r="K203">
        <v>700001</v>
      </c>
      <c r="L203" s="43">
        <v>12</v>
      </c>
      <c r="M203" s="43" t="s">
        <v>62</v>
      </c>
      <c r="N203" s="53"/>
      <c r="O203" s="53"/>
      <c r="P203" s="43" t="str">
        <f>VLOOKUP(K203,Maestro!J:K,2,0)</f>
        <v>CLINKER</v>
      </c>
      <c r="Q203" s="43" t="str">
        <f>VLOOKUP(P203,Maestro!E:F,2,0)</f>
        <v>Clinkerización</v>
      </c>
      <c r="R203" s="43">
        <f>VLOOKUP(P203,ORD!$A:$C,3,0)</f>
        <v>5</v>
      </c>
      <c r="S203" t="str">
        <f t="shared" si="4"/>
        <v>7355300105REFRACTARIOSClinkerización</v>
      </c>
      <c r="T203" t="str">
        <f>IFERROR(VLOOKUP(S203,Maestro!$A:$H,8,0),"Producción")</f>
        <v>Refractarios</v>
      </c>
      <c r="U203" s="43" t="s">
        <v>182</v>
      </c>
    </row>
    <row r="204" spans="1:21" x14ac:dyDescent="0.3">
      <c r="A204" s="43">
        <v>7355250323</v>
      </c>
      <c r="B204" s="43" t="s">
        <v>490</v>
      </c>
      <c r="C204" s="52">
        <f>Datos!$S$108*D204</f>
        <v>0</v>
      </c>
      <c r="D204" s="56">
        <f>Datos!$S$260</f>
        <v>56442.419399627557</v>
      </c>
      <c r="E204" s="55"/>
      <c r="F204" s="43"/>
      <c r="G204" s="43"/>
      <c r="H204" s="43"/>
      <c r="I204" s="43" t="s">
        <v>560</v>
      </c>
      <c r="J204" s="43" t="s">
        <v>804</v>
      </c>
      <c r="K204">
        <v>700001</v>
      </c>
      <c r="L204" s="43">
        <v>12</v>
      </c>
      <c r="M204" s="43" t="s">
        <v>62</v>
      </c>
      <c r="N204" s="53"/>
      <c r="O204" s="53"/>
      <c r="P204" s="43" t="str">
        <f>VLOOKUP(K204,Maestro!J:K,2,0)</f>
        <v>CLINKER</v>
      </c>
      <c r="Q204" s="43" t="str">
        <f>VLOOKUP(P204,Maestro!E:F,2,0)</f>
        <v>Clinkerización</v>
      </c>
      <c r="R204" s="43">
        <f>VLOOKUP(P204,ORD!$A:$C,3,0)</f>
        <v>5</v>
      </c>
      <c r="S204" t="str">
        <f t="shared" si="4"/>
        <v>7355250323SELLADOClinkerización</v>
      </c>
      <c r="T204" t="str">
        <f>IFERROR(VLOOKUP(S204,Maestro!$A:$H,8,0),"Producción")</f>
        <v>Sellado</v>
      </c>
      <c r="U204" s="43" t="s">
        <v>182</v>
      </c>
    </row>
    <row r="205" spans="1:21" x14ac:dyDescent="0.3">
      <c r="A205" s="43">
        <v>7355050105</v>
      </c>
      <c r="B205" s="43" t="s">
        <v>462</v>
      </c>
      <c r="C205" s="50">
        <f>Datos!$S$78*D205</f>
        <v>144000000</v>
      </c>
      <c r="D205" s="50">
        <f>Datos!$S$460</f>
        <v>12000</v>
      </c>
      <c r="E205" s="43"/>
      <c r="F205" s="43" t="s">
        <v>557</v>
      </c>
      <c r="G205" s="43" t="s">
        <v>570</v>
      </c>
      <c r="H205" s="43" t="s">
        <v>571</v>
      </c>
      <c r="I205" s="43" t="s">
        <v>560</v>
      </c>
      <c r="J205" s="43">
        <v>70000000000</v>
      </c>
      <c r="K205" s="43">
        <v>700001</v>
      </c>
      <c r="L205" s="43">
        <v>12</v>
      </c>
      <c r="M205" s="43" t="s">
        <v>62</v>
      </c>
      <c r="N205" s="53"/>
      <c r="O205" s="53"/>
      <c r="P205" s="43" t="str">
        <f>VLOOKUP(K205,Maestro!J:K,2,0)</f>
        <v>CLINKER</v>
      </c>
      <c r="Q205" s="43" t="str">
        <f>VLOOKUP(P205,Maestro!E:F,2,0)</f>
        <v>Clinkerización</v>
      </c>
      <c r="R205" s="43">
        <f>VLOOKUP(P205,ORD!$A:$C,3,0)</f>
        <v>5</v>
      </c>
      <c r="S205" t="str">
        <f t="shared" si="4"/>
        <v>735505010570000000000Clinkerización</v>
      </c>
      <c r="T205" t="str">
        <f>IFERROR(VLOOKUP(S205,Maestro!$A:$H,8,0),"Producción")</f>
        <v>Gasoil</v>
      </c>
      <c r="U205" s="43" t="s">
        <v>182</v>
      </c>
    </row>
    <row r="206" spans="1:21" x14ac:dyDescent="0.3">
      <c r="A206" s="43">
        <v>7355050103</v>
      </c>
      <c r="B206" s="43" t="s">
        <v>450</v>
      </c>
      <c r="C206" s="50">
        <f>Datos!$H$10*Base!D206+Datos!$H$90*D206+Datos!$H$92*D206</f>
        <v>3000566596.1759367</v>
      </c>
      <c r="D206" s="50">
        <f>Datos!$H$463</f>
        <v>7840.6200926181727</v>
      </c>
      <c r="E206" s="43" t="s">
        <v>556</v>
      </c>
      <c r="F206" s="43" t="s">
        <v>557</v>
      </c>
      <c r="G206" s="43" t="s">
        <v>572</v>
      </c>
      <c r="H206" s="43" t="s">
        <v>573</v>
      </c>
      <c r="I206" s="43" t="s">
        <v>560</v>
      </c>
      <c r="J206" s="43" t="s">
        <v>451</v>
      </c>
      <c r="K206" s="43">
        <v>700002</v>
      </c>
      <c r="L206" s="43">
        <v>1</v>
      </c>
      <c r="M206" s="43" t="s">
        <v>574</v>
      </c>
      <c r="N206" s="51"/>
      <c r="O206" s="51"/>
      <c r="P206" s="43" t="str">
        <f>VLOOKUP(K206,Maestro!J:K,2,0)</f>
        <v>CARBON MOLIDO</v>
      </c>
      <c r="Q206" s="43" t="str">
        <f>VLOOKUP(P206,Maestro!E:F,2,0)</f>
        <v>Molienda de Carbón</v>
      </c>
      <c r="R206" s="43">
        <f>VLOOKUP(P206,ORD!$A:$C,3,0)</f>
        <v>4</v>
      </c>
      <c r="S206" t="str">
        <f t="shared" si="4"/>
        <v>7355050103CARBITUMIMolienda de Carbón</v>
      </c>
      <c r="T206" t="str">
        <f>IFERROR(VLOOKUP(S206,Maestro!$A:$H,8,0),"Producción")</f>
        <v>Carbón</v>
      </c>
      <c r="U206" s="43" t="s">
        <v>182</v>
      </c>
    </row>
    <row r="207" spans="1:21" x14ac:dyDescent="0.3">
      <c r="A207" s="43">
        <v>7355050103</v>
      </c>
      <c r="B207" s="43" t="s">
        <v>450</v>
      </c>
      <c r="C207" s="50">
        <f>Datos!$H$9*D207+Datos!$H$90*D207</f>
        <v>294534988.19907492</v>
      </c>
      <c r="D207" s="50">
        <f>Datos!$H$461</f>
        <v>1960.1550231545432</v>
      </c>
      <c r="E207" s="43" t="s">
        <v>556</v>
      </c>
      <c r="F207" s="43" t="s">
        <v>557</v>
      </c>
      <c r="G207" s="43" t="s">
        <v>572</v>
      </c>
      <c r="H207" s="43" t="s">
        <v>573</v>
      </c>
      <c r="I207" s="43" t="s">
        <v>560</v>
      </c>
      <c r="J207" s="43" t="s">
        <v>523</v>
      </c>
      <c r="K207" s="43">
        <v>700002</v>
      </c>
      <c r="L207" s="43">
        <v>1</v>
      </c>
      <c r="M207" s="43" t="s">
        <v>575</v>
      </c>
      <c r="N207" s="51"/>
      <c r="O207" s="51"/>
      <c r="P207" s="43" t="str">
        <f>VLOOKUP(K207,Maestro!J:K,2,0)</f>
        <v>CARBON MOLIDO</v>
      </c>
      <c r="Q207" s="43" t="str">
        <f>VLOOKUP(P207,Maestro!E:F,2,0)</f>
        <v>Molienda de Carbón</v>
      </c>
      <c r="R207" s="43">
        <f>VLOOKUP(P207,ORD!$A:$C,3,0)</f>
        <v>4</v>
      </c>
      <c r="S207" t="str">
        <f t="shared" si="4"/>
        <v>7355050103CARMIXTOMolienda de Carbón</v>
      </c>
      <c r="T207" t="str">
        <f>IFERROR(VLOOKUP(S207,Maestro!$A:$H,8,0),"Producción")</f>
        <v>Carbón</v>
      </c>
      <c r="U207" s="43" t="s">
        <v>182</v>
      </c>
    </row>
    <row r="208" spans="1:21" x14ac:dyDescent="0.3">
      <c r="A208" s="43">
        <v>7355050103</v>
      </c>
      <c r="B208" s="43" t="s">
        <v>450</v>
      </c>
      <c r="C208" s="50"/>
      <c r="D208" s="56">
        <f>-Datos!$H$275</f>
        <v>-1578.8742818877511</v>
      </c>
      <c r="E208" s="43" t="s">
        <v>556</v>
      </c>
      <c r="F208" s="43" t="s">
        <v>557</v>
      </c>
      <c r="G208" s="43" t="s">
        <v>572</v>
      </c>
      <c r="H208" s="43" t="s">
        <v>573</v>
      </c>
      <c r="I208" s="43" t="s">
        <v>560</v>
      </c>
      <c r="J208" s="43" t="s">
        <v>526</v>
      </c>
      <c r="K208" s="43">
        <v>700120</v>
      </c>
      <c r="L208" s="43">
        <v>1</v>
      </c>
      <c r="M208" s="43" t="s">
        <v>526</v>
      </c>
      <c r="N208" s="51"/>
      <c r="O208" s="51"/>
      <c r="P208" s="43" t="str">
        <f>VLOOKUP(K208,Maestro!J:K,2,0)</f>
        <v>COMBUSTIBLES ALTERNOS</v>
      </c>
      <c r="Q208" s="43" t="str">
        <f>VLOOKUP(P208,Maestro!E:F,2,0)</f>
        <v>COMBUSTIBLES ALTERNOS</v>
      </c>
      <c r="R208" s="43">
        <f>VLOOKUP(P208,ORD!$A:$C,3,0)</f>
        <v>20</v>
      </c>
      <c r="S208" t="str">
        <f t="shared" si="4"/>
        <v>7355050103COMBUSTIBLES ALTERNOSCOMBUSTIBLES ALTERNOS</v>
      </c>
      <c r="T208" t="str">
        <f>IFERROR(VLOOKUP(S208,Maestro!$A:$H,8,0),"Producción")</f>
        <v>Combustibles Alternos</v>
      </c>
      <c r="U208" s="43" t="s">
        <v>182</v>
      </c>
    </row>
    <row r="209" spans="1:21" x14ac:dyDescent="0.3">
      <c r="A209" s="43">
        <v>7999999995</v>
      </c>
      <c r="B209" s="43" t="s">
        <v>566</v>
      </c>
      <c r="C209" s="52"/>
      <c r="D209" s="166">
        <f>-Datos!$H$272</f>
        <v>-9193.1270585948077</v>
      </c>
      <c r="E209" s="43" t="s">
        <v>556</v>
      </c>
      <c r="F209" s="43" t="s">
        <v>557</v>
      </c>
      <c r="G209" s="43" t="s">
        <v>567</v>
      </c>
      <c r="H209" s="43" t="s">
        <v>568</v>
      </c>
      <c r="I209" s="43" t="s">
        <v>560</v>
      </c>
      <c r="J209" s="43" t="s">
        <v>455</v>
      </c>
      <c r="K209" s="43">
        <v>700002</v>
      </c>
      <c r="L209" s="43">
        <v>1</v>
      </c>
      <c r="M209" s="43" t="s">
        <v>452</v>
      </c>
      <c r="N209" s="51"/>
      <c r="O209" s="51"/>
      <c r="P209" s="43" t="str">
        <f>VLOOKUP(K209,Maestro!J:K,2,0)</f>
        <v>CARBON MOLIDO</v>
      </c>
      <c r="Q209" s="43" t="str">
        <f>VLOOKUP(P209,Maestro!E:F,2,0)</f>
        <v>Molienda de Carbón</v>
      </c>
      <c r="R209" s="43">
        <f>VLOOKUP(P209,ORD!$A:$C,3,0)</f>
        <v>4</v>
      </c>
      <c r="S209" t="str">
        <f t="shared" si="4"/>
        <v>7999999995CARBONMOLMolienda de Carbón</v>
      </c>
      <c r="T209" t="str">
        <f>IFERROR(VLOOKUP(S209,Maestro!$A:$H,8,0),"Producción")</f>
        <v>Producción</v>
      </c>
      <c r="U209" s="43" t="s">
        <v>182</v>
      </c>
    </row>
    <row r="210" spans="1:21" x14ac:dyDescent="0.3">
      <c r="A210" s="43">
        <v>7355250320</v>
      </c>
      <c r="B210" s="43" t="s">
        <v>490</v>
      </c>
      <c r="C210" s="49">
        <f>Datos!$H$116*D210</f>
        <v>34832565.391809188</v>
      </c>
      <c r="D210" s="166">
        <f>Datos!$H$272</f>
        <v>9193.1270585948077</v>
      </c>
      <c r="E210" s="43"/>
      <c r="F210" s="43"/>
      <c r="G210" s="43"/>
      <c r="H210" s="43"/>
      <c r="I210" s="43" t="s">
        <v>560</v>
      </c>
      <c r="J210" s="40" t="s">
        <v>791</v>
      </c>
      <c r="K210" s="43">
        <v>700002</v>
      </c>
      <c r="L210" s="43">
        <v>1</v>
      </c>
      <c r="M210" s="43" t="s">
        <v>452</v>
      </c>
      <c r="N210" s="53"/>
      <c r="O210" s="53"/>
      <c r="P210" s="43" t="str">
        <f>VLOOKUP(K210,Maestro!J:K,2,0)</f>
        <v>CARBON MOLIDO</v>
      </c>
      <c r="Q210" s="43" t="str">
        <f>VLOOKUP(P210,Maestro!E:F,2,0)</f>
        <v>Molienda de Carbón</v>
      </c>
      <c r="R210" s="43">
        <f>VLOOKUP(P210,ORD!$A:$C,3,0)</f>
        <v>4</v>
      </c>
      <c r="S210" t="str">
        <f t="shared" si="4"/>
        <v>7355250320CUERPOS MOLEDORES Y LAMINASMolienda de Carbón</v>
      </c>
      <c r="T210" t="str">
        <f>IFERROR(VLOOKUP(S210,Maestro!$A:$H,8,0),"Producción")</f>
        <v>Cuerpos Moledores y Láminas</v>
      </c>
      <c r="U210" s="43" t="s">
        <v>182</v>
      </c>
    </row>
    <row r="211" spans="1:21" x14ac:dyDescent="0.3">
      <c r="A211" s="43">
        <v>7355050103</v>
      </c>
      <c r="B211" s="43" t="s">
        <v>450</v>
      </c>
      <c r="C211" s="50">
        <f>Datos!$I$10*Base!D211+Datos!$I$90*D211+Datos!$I$92*D211</f>
        <v>3037421419.4913402</v>
      </c>
      <c r="D211" s="50">
        <f>Datos!$I$463</f>
        <v>7937.5091005437089</v>
      </c>
      <c r="E211" s="43" t="s">
        <v>556</v>
      </c>
      <c r="F211" s="43" t="s">
        <v>557</v>
      </c>
      <c r="G211" s="43" t="s">
        <v>572</v>
      </c>
      <c r="H211" s="43" t="s">
        <v>573</v>
      </c>
      <c r="I211" s="43" t="s">
        <v>560</v>
      </c>
      <c r="J211" s="43" t="s">
        <v>451</v>
      </c>
      <c r="K211" s="43">
        <v>700002</v>
      </c>
      <c r="L211" s="43">
        <v>2</v>
      </c>
      <c r="M211" s="43" t="s">
        <v>574</v>
      </c>
      <c r="N211" s="51"/>
      <c r="O211" s="51"/>
      <c r="P211" s="43" t="str">
        <f>VLOOKUP(K211,Maestro!J:K,2,0)</f>
        <v>CARBON MOLIDO</v>
      </c>
      <c r="Q211" s="43" t="str">
        <f>VLOOKUP(P211,Maestro!E:F,2,0)</f>
        <v>Molienda de Carbón</v>
      </c>
      <c r="R211" s="43">
        <f>VLOOKUP(P211,ORD!$A:$C,3,0)</f>
        <v>4</v>
      </c>
      <c r="S211" t="str">
        <f t="shared" si="4"/>
        <v>7355050103CARBITUMIMolienda de Carbón</v>
      </c>
      <c r="T211" t="str">
        <f>IFERROR(VLOOKUP(S211,Maestro!$A:$H,8,0),"Producción")</f>
        <v>Carbón</v>
      </c>
      <c r="U211" s="43" t="s">
        <v>182</v>
      </c>
    </row>
    <row r="212" spans="1:21" x14ac:dyDescent="0.3">
      <c r="A212" s="43">
        <v>7355050103</v>
      </c>
      <c r="B212" s="43" t="s">
        <v>450</v>
      </c>
      <c r="C212" s="50">
        <f>Datos!$I$9*D212+Datos!$I$90*D212</f>
        <v>298118619.25678742</v>
      </c>
      <c r="D212" s="50">
        <f>Datos!$I$461</f>
        <v>1984.3772751359272</v>
      </c>
      <c r="E212" s="43" t="s">
        <v>556</v>
      </c>
      <c r="F212" s="43" t="s">
        <v>557</v>
      </c>
      <c r="G212" s="43" t="s">
        <v>572</v>
      </c>
      <c r="H212" s="43" t="s">
        <v>573</v>
      </c>
      <c r="I212" s="43" t="s">
        <v>560</v>
      </c>
      <c r="J212" s="43" t="s">
        <v>523</v>
      </c>
      <c r="K212" s="43">
        <v>700002</v>
      </c>
      <c r="L212" s="43">
        <v>2</v>
      </c>
      <c r="M212" s="43" t="s">
        <v>575</v>
      </c>
      <c r="N212" s="51"/>
      <c r="O212" s="51"/>
      <c r="P212" s="43" t="str">
        <f>VLOOKUP(K212,Maestro!J:K,2,0)</f>
        <v>CARBON MOLIDO</v>
      </c>
      <c r="Q212" s="43" t="str">
        <f>VLOOKUP(P212,Maestro!E:F,2,0)</f>
        <v>Molienda de Carbón</v>
      </c>
      <c r="R212" s="43">
        <f>VLOOKUP(P212,ORD!$A:$C,3,0)</f>
        <v>4</v>
      </c>
      <c r="S212" t="str">
        <f t="shared" si="4"/>
        <v>7355050103CARMIXTOMolienda de Carbón</v>
      </c>
      <c r="T212" t="str">
        <f>IFERROR(VLOOKUP(S212,Maestro!$A:$H,8,0),"Producción")</f>
        <v>Carbón</v>
      </c>
      <c r="U212" s="43" t="s">
        <v>182</v>
      </c>
    </row>
    <row r="213" spans="1:21" x14ac:dyDescent="0.3">
      <c r="A213" s="43">
        <v>7355050103</v>
      </c>
      <c r="B213" s="43" t="s">
        <v>450</v>
      </c>
      <c r="C213" s="50"/>
      <c r="D213" s="56">
        <f>-Datos!$I$275</f>
        <v>-1598.366556972785</v>
      </c>
      <c r="E213" s="43" t="s">
        <v>556</v>
      </c>
      <c r="F213" s="43" t="s">
        <v>557</v>
      </c>
      <c r="G213" s="43" t="s">
        <v>572</v>
      </c>
      <c r="H213" s="43" t="s">
        <v>573</v>
      </c>
      <c r="I213" s="43" t="s">
        <v>560</v>
      </c>
      <c r="J213" s="43" t="s">
        <v>526</v>
      </c>
      <c r="K213" s="43">
        <v>700120</v>
      </c>
      <c r="L213" s="43">
        <v>2</v>
      </c>
      <c r="M213" s="43" t="s">
        <v>526</v>
      </c>
      <c r="N213" s="51"/>
      <c r="O213" s="51"/>
      <c r="P213" s="43" t="str">
        <f>VLOOKUP(K213,Maestro!J:K,2,0)</f>
        <v>COMBUSTIBLES ALTERNOS</v>
      </c>
      <c r="Q213" s="43" t="str">
        <f>VLOOKUP(P213,Maestro!E:F,2,0)</f>
        <v>COMBUSTIBLES ALTERNOS</v>
      </c>
      <c r="R213" s="43">
        <f>VLOOKUP(P213,ORD!$A:$C,3,0)</f>
        <v>20</v>
      </c>
      <c r="S213" t="str">
        <f t="shared" si="4"/>
        <v>7355050103COMBUSTIBLES ALTERNOSCOMBUSTIBLES ALTERNOS</v>
      </c>
      <c r="T213" t="str">
        <f>IFERROR(VLOOKUP(S213,Maestro!$A:$H,8,0),"Producción")</f>
        <v>Combustibles Alternos</v>
      </c>
      <c r="U213" s="43" t="s">
        <v>182</v>
      </c>
    </row>
    <row r="214" spans="1:21" x14ac:dyDescent="0.3">
      <c r="A214" s="43">
        <v>7999999995</v>
      </c>
      <c r="B214" s="43" t="s">
        <v>566</v>
      </c>
      <c r="C214" s="52"/>
      <c r="D214" s="166">
        <f>-Datos!$I$272</f>
        <v>-9306.729420387499</v>
      </c>
      <c r="E214" s="43" t="s">
        <v>556</v>
      </c>
      <c r="F214" s="43" t="s">
        <v>557</v>
      </c>
      <c r="G214" s="43" t="s">
        <v>567</v>
      </c>
      <c r="H214" s="43" t="s">
        <v>568</v>
      </c>
      <c r="I214" s="43" t="s">
        <v>560</v>
      </c>
      <c r="J214" s="43" t="s">
        <v>455</v>
      </c>
      <c r="K214" s="43">
        <v>700002</v>
      </c>
      <c r="L214" s="43">
        <v>2</v>
      </c>
      <c r="M214" s="43" t="s">
        <v>452</v>
      </c>
      <c r="N214" s="51"/>
      <c r="O214" s="51"/>
      <c r="P214" s="43" t="str">
        <f>VLOOKUP(K214,Maestro!J:K,2,0)</f>
        <v>CARBON MOLIDO</v>
      </c>
      <c r="Q214" s="43" t="str">
        <f>VLOOKUP(P214,Maestro!E:F,2,0)</f>
        <v>Molienda de Carbón</v>
      </c>
      <c r="R214" s="43">
        <f>VLOOKUP(P214,ORD!$A:$C,3,0)</f>
        <v>4</v>
      </c>
      <c r="S214" t="str">
        <f t="shared" si="4"/>
        <v>7999999995CARBONMOLMolienda de Carbón</v>
      </c>
      <c r="T214" t="str">
        <f>IFERROR(VLOOKUP(S214,Maestro!$A:$H,8,0),"Producción")</f>
        <v>Producción</v>
      </c>
      <c r="U214" s="43" t="s">
        <v>182</v>
      </c>
    </row>
    <row r="215" spans="1:21" x14ac:dyDescent="0.3">
      <c r="A215" s="43">
        <v>7355250320</v>
      </c>
      <c r="B215" s="43" t="s">
        <v>490</v>
      </c>
      <c r="C215" s="49">
        <f>Datos!$I$116*D215</f>
        <v>35263002.355269663</v>
      </c>
      <c r="D215" s="166">
        <f>Datos!$I$272</f>
        <v>9306.729420387499</v>
      </c>
      <c r="E215" s="43"/>
      <c r="F215" s="43"/>
      <c r="G215" s="43"/>
      <c r="H215" s="43"/>
      <c r="I215" s="43" t="s">
        <v>560</v>
      </c>
      <c r="J215" s="40" t="s">
        <v>791</v>
      </c>
      <c r="K215" s="43">
        <v>700002</v>
      </c>
      <c r="L215" s="43">
        <v>2</v>
      </c>
      <c r="M215" s="43" t="s">
        <v>452</v>
      </c>
      <c r="N215" s="53"/>
      <c r="O215" s="53"/>
      <c r="P215" s="43" t="str">
        <f>VLOOKUP(K215,Maestro!J:K,2,0)</f>
        <v>CARBON MOLIDO</v>
      </c>
      <c r="Q215" s="43" t="str">
        <f>VLOOKUP(P215,Maestro!E:F,2,0)</f>
        <v>Molienda de Carbón</v>
      </c>
      <c r="R215" s="43">
        <f>VLOOKUP(P215,ORD!$A:$C,3,0)</f>
        <v>4</v>
      </c>
      <c r="S215" t="str">
        <f t="shared" si="4"/>
        <v>7355250320CUERPOS MOLEDORES Y LAMINASMolienda de Carbón</v>
      </c>
      <c r="T215" t="str">
        <f>IFERROR(VLOOKUP(S215,Maestro!$A:$H,8,0),"Producción")</f>
        <v>Cuerpos Moledores y Láminas</v>
      </c>
      <c r="U215" s="43" t="s">
        <v>182</v>
      </c>
    </row>
    <row r="216" spans="1:21" x14ac:dyDescent="0.3">
      <c r="A216" s="43">
        <v>7355050103</v>
      </c>
      <c r="B216" s="43" t="s">
        <v>450</v>
      </c>
      <c r="C216" s="50">
        <f>Datos!$J$10*Base!D216+Datos!$J$90*D216+Datos!$J$92*D216</f>
        <v>2111460626.6014671</v>
      </c>
      <c r="D216" s="50">
        <f>Datos!$J$463</f>
        <v>5515.2839024052946</v>
      </c>
      <c r="E216" s="43" t="s">
        <v>556</v>
      </c>
      <c r="F216" s="43" t="s">
        <v>557</v>
      </c>
      <c r="G216" s="43" t="s">
        <v>572</v>
      </c>
      <c r="H216" s="43" t="s">
        <v>573</v>
      </c>
      <c r="I216" s="43" t="s">
        <v>560</v>
      </c>
      <c r="J216" s="43" t="s">
        <v>451</v>
      </c>
      <c r="K216" s="43">
        <v>700002</v>
      </c>
      <c r="L216" s="43">
        <v>3</v>
      </c>
      <c r="M216" s="43" t="s">
        <v>574</v>
      </c>
      <c r="N216" s="51"/>
      <c r="O216" s="51"/>
      <c r="P216" s="43" t="str">
        <f>VLOOKUP(K216,Maestro!J:K,2,0)</f>
        <v>CARBON MOLIDO</v>
      </c>
      <c r="Q216" s="43" t="str">
        <f>VLOOKUP(P216,Maestro!E:F,2,0)</f>
        <v>Molienda de Carbón</v>
      </c>
      <c r="R216" s="43">
        <f>VLOOKUP(P216,ORD!$A:$C,3,0)</f>
        <v>4</v>
      </c>
      <c r="S216" t="str">
        <f t="shared" si="4"/>
        <v>7355050103CARBITUMIMolienda de Carbón</v>
      </c>
      <c r="T216" t="str">
        <f>IFERROR(VLOOKUP(S216,Maestro!$A:$H,8,0),"Producción")</f>
        <v>Carbón</v>
      </c>
      <c r="U216" s="43" t="s">
        <v>182</v>
      </c>
    </row>
    <row r="217" spans="1:21" x14ac:dyDescent="0.3">
      <c r="A217" s="43">
        <v>7355050103</v>
      </c>
      <c r="B217" s="43" t="s">
        <v>450</v>
      </c>
      <c r="C217" s="50">
        <f>Datos!$J$9*D217+Datos!$J$90*D217</f>
        <v>207380290.31277695</v>
      </c>
      <c r="D217" s="50">
        <f>Datos!$J$461</f>
        <v>1378.8209756013237</v>
      </c>
      <c r="E217" s="43" t="s">
        <v>556</v>
      </c>
      <c r="F217" s="43" t="s">
        <v>557</v>
      </c>
      <c r="G217" s="43" t="s">
        <v>572</v>
      </c>
      <c r="H217" s="43" t="s">
        <v>573</v>
      </c>
      <c r="I217" s="43" t="s">
        <v>560</v>
      </c>
      <c r="J217" s="43" t="s">
        <v>523</v>
      </c>
      <c r="K217" s="43">
        <v>700002</v>
      </c>
      <c r="L217" s="43">
        <v>3</v>
      </c>
      <c r="M217" s="43" t="s">
        <v>575</v>
      </c>
      <c r="N217" s="51"/>
      <c r="O217" s="51"/>
      <c r="P217" s="43" t="str">
        <f>VLOOKUP(K217,Maestro!J:K,2,0)</f>
        <v>CARBON MOLIDO</v>
      </c>
      <c r="Q217" s="43" t="str">
        <f>VLOOKUP(P217,Maestro!E:F,2,0)</f>
        <v>Molienda de Carbón</v>
      </c>
      <c r="R217" s="43">
        <f>VLOOKUP(P217,ORD!$A:$C,3,0)</f>
        <v>4</v>
      </c>
      <c r="S217" t="str">
        <f t="shared" si="4"/>
        <v>7355050103CARMIXTOMolienda de Carbón</v>
      </c>
      <c r="T217" t="str">
        <f>IFERROR(VLOOKUP(S217,Maestro!$A:$H,8,0),"Producción")</f>
        <v>Carbón</v>
      </c>
      <c r="U217" s="43" t="s">
        <v>182</v>
      </c>
    </row>
    <row r="218" spans="1:21" x14ac:dyDescent="0.3">
      <c r="A218" s="43">
        <v>7355050103</v>
      </c>
      <c r="B218" s="43" t="s">
        <v>450</v>
      </c>
      <c r="C218" s="50"/>
      <c r="D218" s="56">
        <f>-Datos!$J$275</f>
        <v>-1111.059679846936</v>
      </c>
      <c r="E218" s="43" t="s">
        <v>556</v>
      </c>
      <c r="F218" s="43" t="s">
        <v>557</v>
      </c>
      <c r="G218" s="43" t="s">
        <v>572</v>
      </c>
      <c r="H218" s="43" t="s">
        <v>573</v>
      </c>
      <c r="I218" s="43" t="s">
        <v>560</v>
      </c>
      <c r="J218" s="43" t="s">
        <v>526</v>
      </c>
      <c r="K218" s="43">
        <v>700120</v>
      </c>
      <c r="L218" s="43">
        <v>3</v>
      </c>
      <c r="M218" s="43" t="s">
        <v>526</v>
      </c>
      <c r="N218" s="51"/>
      <c r="O218" s="51"/>
      <c r="P218" s="43" t="str">
        <f>VLOOKUP(K218,Maestro!J:K,2,0)</f>
        <v>COMBUSTIBLES ALTERNOS</v>
      </c>
      <c r="Q218" s="43" t="str">
        <f>VLOOKUP(P218,Maestro!E:F,2,0)</f>
        <v>COMBUSTIBLES ALTERNOS</v>
      </c>
      <c r="R218" s="43">
        <f>VLOOKUP(P218,ORD!$A:$C,3,0)</f>
        <v>20</v>
      </c>
      <c r="S218" t="str">
        <f t="shared" si="4"/>
        <v>7355050103COMBUSTIBLES ALTERNOSCOMBUSTIBLES ALTERNOS</v>
      </c>
      <c r="T218" t="str">
        <f>IFERROR(VLOOKUP(S218,Maestro!$A:$H,8,0),"Producción")</f>
        <v>Combustibles Alternos</v>
      </c>
      <c r="U218" s="43" t="s">
        <v>182</v>
      </c>
    </row>
    <row r="219" spans="1:21" x14ac:dyDescent="0.3">
      <c r="A219" s="43">
        <v>7999999995</v>
      </c>
      <c r="B219" s="43" t="s">
        <v>566</v>
      </c>
      <c r="C219" s="52"/>
      <c r="D219" s="166">
        <f>-Datos!$J$272</f>
        <v>-6466.6703755702074</v>
      </c>
      <c r="E219" s="43" t="s">
        <v>556</v>
      </c>
      <c r="F219" s="43" t="s">
        <v>557</v>
      </c>
      <c r="G219" s="43" t="s">
        <v>567</v>
      </c>
      <c r="H219" s="43" t="s">
        <v>568</v>
      </c>
      <c r="I219" s="43" t="s">
        <v>560</v>
      </c>
      <c r="J219" s="43" t="s">
        <v>455</v>
      </c>
      <c r="K219" s="43">
        <v>700002</v>
      </c>
      <c r="L219" s="43">
        <v>3</v>
      </c>
      <c r="M219" s="43" t="s">
        <v>452</v>
      </c>
      <c r="N219" s="51"/>
      <c r="O219" s="51"/>
      <c r="P219" s="43" t="str">
        <f>VLOOKUP(K219,Maestro!J:K,2,0)</f>
        <v>CARBON MOLIDO</v>
      </c>
      <c r="Q219" s="43" t="str">
        <f>VLOOKUP(P219,Maestro!E:F,2,0)</f>
        <v>Molienda de Carbón</v>
      </c>
      <c r="R219" s="43">
        <f>VLOOKUP(P219,ORD!$A:$C,3,0)</f>
        <v>4</v>
      </c>
      <c r="S219" t="str">
        <f t="shared" si="4"/>
        <v>7999999995CARBONMOLMolienda de Carbón</v>
      </c>
      <c r="T219" t="str">
        <f>IFERROR(VLOOKUP(S219,Maestro!$A:$H,8,0),"Producción")</f>
        <v>Producción</v>
      </c>
      <c r="U219" s="43" t="s">
        <v>182</v>
      </c>
    </row>
    <row r="220" spans="1:21" x14ac:dyDescent="0.3">
      <c r="A220" s="43">
        <v>7355250320</v>
      </c>
      <c r="B220" s="43" t="s">
        <v>490</v>
      </c>
      <c r="C220" s="49">
        <f>Datos!$J$116*D220</f>
        <v>24502078.268757734</v>
      </c>
      <c r="D220" s="166">
        <f>Datos!$J$272</f>
        <v>6466.6703755702074</v>
      </c>
      <c r="E220" s="43"/>
      <c r="F220" s="43"/>
      <c r="G220" s="43"/>
      <c r="H220" s="43"/>
      <c r="I220" s="43" t="s">
        <v>560</v>
      </c>
      <c r="J220" s="40" t="s">
        <v>791</v>
      </c>
      <c r="K220" s="43">
        <v>700002</v>
      </c>
      <c r="L220" s="43">
        <v>3</v>
      </c>
      <c r="M220" s="43" t="s">
        <v>452</v>
      </c>
      <c r="N220" s="53"/>
      <c r="O220" s="53"/>
      <c r="P220" s="43" t="str">
        <f>VLOOKUP(K220,Maestro!J:K,2,0)</f>
        <v>CARBON MOLIDO</v>
      </c>
      <c r="Q220" s="43" t="str">
        <f>VLOOKUP(P220,Maestro!E:F,2,0)</f>
        <v>Molienda de Carbón</v>
      </c>
      <c r="R220" s="43">
        <f>VLOOKUP(P220,ORD!$A:$C,3,0)</f>
        <v>4</v>
      </c>
      <c r="S220" t="str">
        <f t="shared" si="4"/>
        <v>7355250320CUERPOS MOLEDORES Y LAMINASMolienda de Carbón</v>
      </c>
      <c r="T220" t="str">
        <f>IFERROR(VLOOKUP(S220,Maestro!$A:$H,8,0),"Producción")</f>
        <v>Cuerpos Moledores y Láminas</v>
      </c>
      <c r="U220" s="43" t="s">
        <v>182</v>
      </c>
    </row>
    <row r="221" spans="1:21" x14ac:dyDescent="0.3">
      <c r="A221" s="43">
        <v>7355050103</v>
      </c>
      <c r="B221" s="43" t="s">
        <v>450</v>
      </c>
      <c r="C221" s="50">
        <f>Datos!$K$10*Base!D221+Datos!$K$90*D221+Datos!$K$92*D221</f>
        <v>2208635712.6891856</v>
      </c>
      <c r="D221" s="50">
        <f>Datos!$K$463</f>
        <v>5769.0031794304532</v>
      </c>
      <c r="E221" s="43" t="s">
        <v>556</v>
      </c>
      <c r="F221" s="43" t="s">
        <v>557</v>
      </c>
      <c r="G221" s="43" t="s">
        <v>572</v>
      </c>
      <c r="H221" s="43" t="s">
        <v>573</v>
      </c>
      <c r="I221" s="43" t="s">
        <v>560</v>
      </c>
      <c r="J221" s="43" t="s">
        <v>451</v>
      </c>
      <c r="K221" s="43">
        <v>700002</v>
      </c>
      <c r="L221" s="43">
        <v>4</v>
      </c>
      <c r="M221" s="43" t="s">
        <v>574</v>
      </c>
      <c r="N221" s="51"/>
      <c r="O221" s="51"/>
      <c r="P221" s="43" t="str">
        <f>VLOOKUP(K221,Maestro!J:K,2,0)</f>
        <v>CARBON MOLIDO</v>
      </c>
      <c r="Q221" s="43" t="str">
        <f>VLOOKUP(P221,Maestro!E:F,2,0)</f>
        <v>Molienda de Carbón</v>
      </c>
      <c r="R221" s="43">
        <f>VLOOKUP(P221,ORD!$A:$C,3,0)</f>
        <v>4</v>
      </c>
      <c r="S221" t="str">
        <f t="shared" si="4"/>
        <v>7355050103CARBITUMIMolienda de Carbón</v>
      </c>
      <c r="T221" t="str">
        <f>IFERROR(VLOOKUP(S221,Maestro!$A:$H,8,0),"Producción")</f>
        <v>Carbón</v>
      </c>
      <c r="U221" s="43" t="s">
        <v>182</v>
      </c>
    </row>
    <row r="222" spans="1:21" x14ac:dyDescent="0.3">
      <c r="A222" s="43">
        <v>7355050103</v>
      </c>
      <c r="B222" s="43" t="s">
        <v>450</v>
      </c>
      <c r="C222" s="50">
        <f>Datos!$K$9*D222+Datos!$K$90*D222</f>
        <v>216930815.60775965</v>
      </c>
      <c r="D222" s="50">
        <f>Datos!$K$461</f>
        <v>1442.2507948576133</v>
      </c>
      <c r="E222" s="43" t="s">
        <v>556</v>
      </c>
      <c r="F222" s="43" t="s">
        <v>557</v>
      </c>
      <c r="G222" s="43" t="s">
        <v>572</v>
      </c>
      <c r="H222" s="43" t="s">
        <v>573</v>
      </c>
      <c r="I222" s="43" t="s">
        <v>560</v>
      </c>
      <c r="J222" s="43" t="s">
        <v>523</v>
      </c>
      <c r="K222" s="43">
        <v>700002</v>
      </c>
      <c r="L222" s="43">
        <v>4</v>
      </c>
      <c r="M222" s="43" t="s">
        <v>575</v>
      </c>
      <c r="N222" s="51"/>
      <c r="O222" s="51"/>
      <c r="P222" s="43" t="str">
        <f>VLOOKUP(K222,Maestro!J:K,2,0)</f>
        <v>CARBON MOLIDO</v>
      </c>
      <c r="Q222" s="43" t="str">
        <f>VLOOKUP(P222,Maestro!E:F,2,0)</f>
        <v>Molienda de Carbón</v>
      </c>
      <c r="R222" s="43">
        <f>VLOOKUP(P222,ORD!$A:$C,3,0)</f>
        <v>4</v>
      </c>
      <c r="S222" t="str">
        <f t="shared" si="4"/>
        <v>7355050103CARMIXTOMolienda de Carbón</v>
      </c>
      <c r="T222" t="str">
        <f>IFERROR(VLOOKUP(S222,Maestro!$A:$H,8,0),"Producción")</f>
        <v>Carbón</v>
      </c>
      <c r="U222" s="43" t="s">
        <v>182</v>
      </c>
    </row>
    <row r="223" spans="1:21" x14ac:dyDescent="0.3">
      <c r="A223" s="43">
        <v>7355050103</v>
      </c>
      <c r="B223" s="43" t="s">
        <v>450</v>
      </c>
      <c r="C223" s="50"/>
      <c r="D223" s="56">
        <f>-Datos!$K$275</f>
        <v>-1169.5365051020378</v>
      </c>
      <c r="E223" s="43" t="s">
        <v>556</v>
      </c>
      <c r="F223" s="43" t="s">
        <v>557</v>
      </c>
      <c r="G223" s="43" t="s">
        <v>572</v>
      </c>
      <c r="H223" s="43" t="s">
        <v>573</v>
      </c>
      <c r="I223" s="43" t="s">
        <v>560</v>
      </c>
      <c r="J223" s="43" t="s">
        <v>526</v>
      </c>
      <c r="K223" s="43">
        <v>700120</v>
      </c>
      <c r="L223" s="43">
        <v>4</v>
      </c>
      <c r="M223" s="43" t="s">
        <v>526</v>
      </c>
      <c r="N223" s="51"/>
      <c r="O223" s="51"/>
      <c r="P223" s="43" t="str">
        <f>VLOOKUP(K223,Maestro!J:K,2,0)</f>
        <v>COMBUSTIBLES ALTERNOS</v>
      </c>
      <c r="Q223" s="43" t="str">
        <f>VLOOKUP(P223,Maestro!E:F,2,0)</f>
        <v>COMBUSTIBLES ALTERNOS</v>
      </c>
      <c r="R223" s="43">
        <f>VLOOKUP(P223,ORD!$A:$C,3,0)</f>
        <v>20</v>
      </c>
      <c r="S223" t="str">
        <f t="shared" si="4"/>
        <v>7355050103COMBUSTIBLES ALTERNOSCOMBUSTIBLES ALTERNOS</v>
      </c>
      <c r="T223" t="str">
        <f>IFERROR(VLOOKUP(S223,Maestro!$A:$H,8,0),"Producción")</f>
        <v>Combustibles Alternos</v>
      </c>
      <c r="U223" s="43" t="s">
        <v>182</v>
      </c>
    </row>
    <row r="224" spans="1:21" x14ac:dyDescent="0.3">
      <c r="A224" s="43">
        <v>7999999995</v>
      </c>
      <c r="B224" s="43" t="s">
        <v>566</v>
      </c>
      <c r="C224" s="52"/>
      <c r="D224" s="166">
        <f>-Datos!$K$272</f>
        <v>-6764.1562278822057</v>
      </c>
      <c r="E224" s="43" t="s">
        <v>556</v>
      </c>
      <c r="F224" s="43" t="s">
        <v>557</v>
      </c>
      <c r="G224" s="43" t="s">
        <v>567</v>
      </c>
      <c r="H224" s="43" t="s">
        <v>568</v>
      </c>
      <c r="I224" s="43" t="s">
        <v>560</v>
      </c>
      <c r="J224" s="43" t="s">
        <v>455</v>
      </c>
      <c r="K224" s="43">
        <v>700002</v>
      </c>
      <c r="L224" s="43">
        <v>4</v>
      </c>
      <c r="M224" s="43" t="s">
        <v>452</v>
      </c>
      <c r="N224" s="51"/>
      <c r="O224" s="51"/>
      <c r="P224" s="43" t="str">
        <f>VLOOKUP(K224,Maestro!J:K,2,0)</f>
        <v>CARBON MOLIDO</v>
      </c>
      <c r="Q224" s="43" t="str">
        <f>VLOOKUP(P224,Maestro!E:F,2,0)</f>
        <v>Molienda de Carbón</v>
      </c>
      <c r="R224" s="43">
        <f>VLOOKUP(P224,ORD!$A:$C,3,0)</f>
        <v>4</v>
      </c>
      <c r="S224" t="str">
        <f t="shared" si="4"/>
        <v>7999999995CARBONMOLMolienda de Carbón</v>
      </c>
      <c r="T224" t="str">
        <f>IFERROR(VLOOKUP(S224,Maestro!$A:$H,8,0),"Producción")</f>
        <v>Producción</v>
      </c>
      <c r="U224" s="43" t="s">
        <v>182</v>
      </c>
    </row>
    <row r="225" spans="1:21" x14ac:dyDescent="0.3">
      <c r="A225" s="43">
        <v>7355250320</v>
      </c>
      <c r="B225" s="43" t="s">
        <v>490</v>
      </c>
      <c r="C225" s="49">
        <f>Datos!$K$116*D225</f>
        <v>25629245.916691847</v>
      </c>
      <c r="D225" s="166">
        <f>Datos!$K$272</f>
        <v>6764.1562278822057</v>
      </c>
      <c r="E225" s="43"/>
      <c r="F225" s="43"/>
      <c r="G225" s="43"/>
      <c r="H225" s="43"/>
      <c r="I225" s="43" t="s">
        <v>560</v>
      </c>
      <c r="J225" s="40" t="s">
        <v>791</v>
      </c>
      <c r="K225" s="43">
        <v>700002</v>
      </c>
      <c r="L225" s="43">
        <v>4</v>
      </c>
      <c r="M225" s="43" t="s">
        <v>452</v>
      </c>
      <c r="N225" s="53"/>
      <c r="O225" s="53"/>
      <c r="P225" s="43" t="str">
        <f>VLOOKUP(K225,Maestro!J:K,2,0)</f>
        <v>CARBON MOLIDO</v>
      </c>
      <c r="Q225" s="43" t="str">
        <f>VLOOKUP(P225,Maestro!E:F,2,0)</f>
        <v>Molienda de Carbón</v>
      </c>
      <c r="R225" s="43">
        <f>VLOOKUP(P225,ORD!$A:$C,3,0)</f>
        <v>4</v>
      </c>
      <c r="S225" t="str">
        <f t="shared" si="4"/>
        <v>7355250320CUERPOS MOLEDORES Y LAMINASMolienda de Carbón</v>
      </c>
      <c r="T225" t="str">
        <f>IFERROR(VLOOKUP(S225,Maestro!$A:$H,8,0),"Producción")</f>
        <v>Cuerpos Moledores y Láminas</v>
      </c>
      <c r="U225" s="43" t="s">
        <v>182</v>
      </c>
    </row>
    <row r="226" spans="1:21" x14ac:dyDescent="0.3">
      <c r="A226" s="43">
        <v>7355050103</v>
      </c>
      <c r="B226" s="43" t="s">
        <v>450</v>
      </c>
      <c r="C226" s="50">
        <f>Datos!$L$10*Base!D226+Datos!$L$90*D226+Datos!$L$92*D226</f>
        <v>3370700327.3812213</v>
      </c>
      <c r="D226" s="50">
        <f>Datos!$L$463</f>
        <v>8809.5101718735368</v>
      </c>
      <c r="E226" s="43" t="s">
        <v>556</v>
      </c>
      <c r="F226" s="43" t="s">
        <v>557</v>
      </c>
      <c r="G226" s="43" t="s">
        <v>572</v>
      </c>
      <c r="H226" s="43" t="s">
        <v>573</v>
      </c>
      <c r="I226" s="43" t="s">
        <v>560</v>
      </c>
      <c r="J226" s="43" t="s">
        <v>451</v>
      </c>
      <c r="K226" s="43">
        <v>700002</v>
      </c>
      <c r="L226" s="43">
        <v>5</v>
      </c>
      <c r="M226" s="43" t="s">
        <v>574</v>
      </c>
      <c r="N226" s="51"/>
      <c r="O226" s="51"/>
      <c r="P226" s="43" t="str">
        <f>VLOOKUP(K226,Maestro!J:K,2,0)</f>
        <v>CARBON MOLIDO</v>
      </c>
      <c r="Q226" s="43" t="str">
        <f>VLOOKUP(P226,Maestro!E:F,2,0)</f>
        <v>Molienda de Carbón</v>
      </c>
      <c r="R226" s="43">
        <f>VLOOKUP(P226,ORD!$A:$C,3,0)</f>
        <v>4</v>
      </c>
      <c r="S226" t="str">
        <f t="shared" si="4"/>
        <v>7355050103CARBITUMIMolienda de Carbón</v>
      </c>
      <c r="T226" t="str">
        <f>IFERROR(VLOOKUP(S226,Maestro!$A:$H,8,0),"Producción")</f>
        <v>Carbón</v>
      </c>
      <c r="U226" s="43" t="s">
        <v>182</v>
      </c>
    </row>
    <row r="227" spans="1:21" x14ac:dyDescent="0.3">
      <c r="A227" s="43">
        <v>7355050103</v>
      </c>
      <c r="B227" s="43" t="s">
        <v>450</v>
      </c>
      <c r="C227" s="50">
        <f>Datos!$L$9*D227+Datos!$L$90*D227</f>
        <v>330767673.28901327</v>
      </c>
      <c r="D227" s="50">
        <f>Datos!$L$461</f>
        <v>2202.3775429683847</v>
      </c>
      <c r="E227" s="43" t="s">
        <v>556</v>
      </c>
      <c r="F227" s="43" t="s">
        <v>557</v>
      </c>
      <c r="G227" s="43" t="s">
        <v>572</v>
      </c>
      <c r="H227" s="43" t="s">
        <v>573</v>
      </c>
      <c r="I227" s="43" t="s">
        <v>560</v>
      </c>
      <c r="J227" s="43" t="s">
        <v>523</v>
      </c>
      <c r="K227" s="43">
        <v>700002</v>
      </c>
      <c r="L227" s="43">
        <v>5</v>
      </c>
      <c r="M227" s="43" t="s">
        <v>575</v>
      </c>
      <c r="N227" s="51"/>
      <c r="O227" s="51"/>
      <c r="P227" s="43" t="str">
        <f>VLOOKUP(K227,Maestro!J:K,2,0)</f>
        <v>CARBON MOLIDO</v>
      </c>
      <c r="Q227" s="43" t="str">
        <f>VLOOKUP(P227,Maestro!E:F,2,0)</f>
        <v>Molienda de Carbón</v>
      </c>
      <c r="R227" s="43">
        <f>VLOOKUP(P227,ORD!$A:$C,3,0)</f>
        <v>4</v>
      </c>
      <c r="S227" t="str">
        <f t="shared" si="4"/>
        <v>7355050103CARMIXTOMolienda de Carbón</v>
      </c>
      <c r="T227" t="str">
        <f>IFERROR(VLOOKUP(S227,Maestro!$A:$H,8,0),"Producción")</f>
        <v>Carbón</v>
      </c>
      <c r="U227" s="43" t="s">
        <v>182</v>
      </c>
    </row>
    <row r="228" spans="1:21" x14ac:dyDescent="0.3">
      <c r="A228" s="43">
        <v>7355050103</v>
      </c>
      <c r="B228" s="43" t="s">
        <v>450</v>
      </c>
      <c r="C228" s="50"/>
      <c r="D228" s="56">
        <f>-Datos!$L$275</f>
        <v>-1773.7970327380904</v>
      </c>
      <c r="E228" s="43" t="s">
        <v>556</v>
      </c>
      <c r="F228" s="43" t="s">
        <v>557</v>
      </c>
      <c r="G228" s="43" t="s">
        <v>572</v>
      </c>
      <c r="H228" s="43" t="s">
        <v>573</v>
      </c>
      <c r="I228" s="43" t="s">
        <v>560</v>
      </c>
      <c r="J228" s="43" t="s">
        <v>526</v>
      </c>
      <c r="K228" s="43">
        <v>700120</v>
      </c>
      <c r="L228" s="43">
        <v>5</v>
      </c>
      <c r="M228" s="43" t="s">
        <v>526</v>
      </c>
      <c r="N228" s="51"/>
      <c r="O228" s="51"/>
      <c r="P228" s="43" t="str">
        <f>VLOOKUP(K228,Maestro!J:K,2,0)</f>
        <v>COMBUSTIBLES ALTERNOS</v>
      </c>
      <c r="Q228" s="43" t="str">
        <f>VLOOKUP(P228,Maestro!E:F,2,0)</f>
        <v>COMBUSTIBLES ALTERNOS</v>
      </c>
      <c r="R228" s="43">
        <f>VLOOKUP(P228,ORD!$A:$C,3,0)</f>
        <v>20</v>
      </c>
      <c r="S228" t="str">
        <f t="shared" si="4"/>
        <v>7355050103COMBUSTIBLES ALTERNOSCOMBUSTIBLES ALTERNOS</v>
      </c>
      <c r="T228" t="str">
        <f>IFERROR(VLOOKUP(S228,Maestro!$A:$H,8,0),"Producción")</f>
        <v>Combustibles Alternos</v>
      </c>
      <c r="U228" s="43" t="s">
        <v>182</v>
      </c>
    </row>
    <row r="229" spans="1:21" x14ac:dyDescent="0.3">
      <c r="A229" s="43">
        <v>7999999995</v>
      </c>
      <c r="B229" s="43" t="s">
        <v>566</v>
      </c>
      <c r="C229" s="52"/>
      <c r="D229" s="166">
        <f>-Datos!$L$272</f>
        <v>-10329.150676521722</v>
      </c>
      <c r="E229" s="43" t="s">
        <v>556</v>
      </c>
      <c r="F229" s="43" t="s">
        <v>557</v>
      </c>
      <c r="G229" s="43" t="s">
        <v>567</v>
      </c>
      <c r="H229" s="43" t="s">
        <v>568</v>
      </c>
      <c r="I229" s="43" t="s">
        <v>560</v>
      </c>
      <c r="J229" s="43" t="s">
        <v>455</v>
      </c>
      <c r="K229" s="43">
        <v>700002</v>
      </c>
      <c r="L229" s="43">
        <v>5</v>
      </c>
      <c r="M229" s="43" t="s">
        <v>452</v>
      </c>
      <c r="N229" s="51"/>
      <c r="O229" s="51"/>
      <c r="P229" s="43" t="str">
        <f>VLOOKUP(K229,Maestro!J:K,2,0)</f>
        <v>CARBON MOLIDO</v>
      </c>
      <c r="Q229" s="43" t="str">
        <f>VLOOKUP(P229,Maestro!E:F,2,0)</f>
        <v>Molienda de Carbón</v>
      </c>
      <c r="R229" s="43">
        <f>VLOOKUP(P229,ORD!$A:$C,3,0)</f>
        <v>4</v>
      </c>
      <c r="S229" t="str">
        <f t="shared" si="4"/>
        <v>7999999995CARBONMOLMolienda de Carbón</v>
      </c>
      <c r="T229" t="str">
        <f>IFERROR(VLOOKUP(S229,Maestro!$A:$H,8,0),"Producción")</f>
        <v>Producción</v>
      </c>
      <c r="U229" s="43" t="s">
        <v>182</v>
      </c>
    </row>
    <row r="230" spans="1:21" x14ac:dyDescent="0.3">
      <c r="A230" s="43">
        <v>7355250320</v>
      </c>
      <c r="B230" s="43" t="s">
        <v>490</v>
      </c>
      <c r="C230" s="49">
        <f>Datos!$L$116*D230</f>
        <v>39136935.026413955</v>
      </c>
      <c r="D230" s="166">
        <f>Datos!$L$272</f>
        <v>10329.150676521722</v>
      </c>
      <c r="E230" s="43"/>
      <c r="F230" s="43"/>
      <c r="G230" s="43"/>
      <c r="H230" s="43"/>
      <c r="I230" s="43" t="s">
        <v>560</v>
      </c>
      <c r="J230" s="40" t="s">
        <v>791</v>
      </c>
      <c r="K230" s="43">
        <v>700002</v>
      </c>
      <c r="L230" s="43">
        <v>5</v>
      </c>
      <c r="M230" s="43" t="s">
        <v>452</v>
      </c>
      <c r="N230" s="53"/>
      <c r="O230" s="53"/>
      <c r="P230" s="43" t="str">
        <f>VLOOKUP(K230,Maestro!J:K,2,0)</f>
        <v>CARBON MOLIDO</v>
      </c>
      <c r="Q230" s="43" t="str">
        <f>VLOOKUP(P230,Maestro!E:F,2,0)</f>
        <v>Molienda de Carbón</v>
      </c>
      <c r="R230" s="43">
        <f>VLOOKUP(P230,ORD!$A:$C,3,0)</f>
        <v>4</v>
      </c>
      <c r="S230" t="str">
        <f t="shared" si="4"/>
        <v>7355250320CUERPOS MOLEDORES Y LAMINASMolienda de Carbón</v>
      </c>
      <c r="T230" t="str">
        <f>IFERROR(VLOOKUP(S230,Maestro!$A:$H,8,0),"Producción")</f>
        <v>Cuerpos Moledores y Láminas</v>
      </c>
      <c r="U230" s="43" t="s">
        <v>182</v>
      </c>
    </row>
    <row r="231" spans="1:21" x14ac:dyDescent="0.3">
      <c r="A231" s="43">
        <v>7355050103</v>
      </c>
      <c r="B231" s="43" t="s">
        <v>450</v>
      </c>
      <c r="C231" s="50">
        <f>Datos!$M$10*Base!D231+Datos!$M$90*D231+Datos!$M$92*D231</f>
        <v>1444846509.2290578</v>
      </c>
      <c r="D231" s="50">
        <f>Datos!$M$463</f>
        <v>3771.2817597456365</v>
      </c>
      <c r="E231" s="43" t="s">
        <v>556</v>
      </c>
      <c r="F231" s="43" t="s">
        <v>557</v>
      </c>
      <c r="G231" s="43" t="s">
        <v>572</v>
      </c>
      <c r="H231" s="43" t="s">
        <v>573</v>
      </c>
      <c r="I231" s="43" t="s">
        <v>560</v>
      </c>
      <c r="J231" s="43" t="s">
        <v>451</v>
      </c>
      <c r="K231" s="43">
        <v>700002</v>
      </c>
      <c r="L231" s="43">
        <v>6</v>
      </c>
      <c r="M231" s="43" t="s">
        <v>574</v>
      </c>
      <c r="N231" s="51"/>
      <c r="O231" s="51"/>
      <c r="P231" s="43" t="str">
        <f>VLOOKUP(K231,Maestro!J:K,2,0)</f>
        <v>CARBON MOLIDO</v>
      </c>
      <c r="Q231" s="43" t="str">
        <f>VLOOKUP(P231,Maestro!E:F,2,0)</f>
        <v>Molienda de Carbón</v>
      </c>
      <c r="R231" s="43">
        <f>VLOOKUP(P231,ORD!$A:$C,3,0)</f>
        <v>4</v>
      </c>
      <c r="S231" t="str">
        <f t="shared" si="4"/>
        <v>7355050103CARBITUMIMolienda de Carbón</v>
      </c>
      <c r="T231" t="str">
        <f>IFERROR(VLOOKUP(S231,Maestro!$A:$H,8,0),"Producción")</f>
        <v>Carbón</v>
      </c>
      <c r="U231" s="43" t="s">
        <v>182</v>
      </c>
    </row>
    <row r="232" spans="1:21" x14ac:dyDescent="0.3">
      <c r="A232" s="43">
        <v>7355050103</v>
      </c>
      <c r="B232" s="43" t="s">
        <v>450</v>
      </c>
      <c r="C232" s="50">
        <f>Datos!$M$9*D232+Datos!$M$90*D232</f>
        <v>142068106.85016412</v>
      </c>
      <c r="D232" s="50">
        <f>Datos!$M$461</f>
        <v>942.82043993640912</v>
      </c>
      <c r="E232" s="43" t="s">
        <v>556</v>
      </c>
      <c r="F232" s="43" t="s">
        <v>557</v>
      </c>
      <c r="G232" s="43" t="s">
        <v>572</v>
      </c>
      <c r="H232" s="43" t="s">
        <v>573</v>
      </c>
      <c r="I232" s="43" t="s">
        <v>560</v>
      </c>
      <c r="J232" s="43" t="s">
        <v>523</v>
      </c>
      <c r="K232" s="43">
        <v>700002</v>
      </c>
      <c r="L232" s="43">
        <v>6</v>
      </c>
      <c r="M232" s="43" t="s">
        <v>575</v>
      </c>
      <c r="N232" s="51"/>
      <c r="O232" s="51"/>
      <c r="P232" s="43" t="str">
        <f>VLOOKUP(K232,Maestro!J:K,2,0)</f>
        <v>CARBON MOLIDO</v>
      </c>
      <c r="Q232" s="43" t="str">
        <f>VLOOKUP(P232,Maestro!E:F,2,0)</f>
        <v>Molienda de Carbón</v>
      </c>
      <c r="R232" s="43">
        <f>VLOOKUP(P232,ORD!$A:$C,3,0)</f>
        <v>4</v>
      </c>
      <c r="S232" t="str">
        <f t="shared" si="4"/>
        <v>7355050103CARMIXTOMolienda de Carbón</v>
      </c>
      <c r="T232" t="str">
        <f>IFERROR(VLOOKUP(S232,Maestro!$A:$H,8,0),"Producción")</f>
        <v>Carbón</v>
      </c>
      <c r="U232" s="43" t="s">
        <v>182</v>
      </c>
    </row>
    <row r="233" spans="1:21" x14ac:dyDescent="0.3">
      <c r="A233" s="43">
        <v>7355050103</v>
      </c>
      <c r="B233" s="43" t="s">
        <v>450</v>
      </c>
      <c r="C233" s="50"/>
      <c r="D233" s="56">
        <f>-Datos!$M$275</f>
        <v>-760.1987283163246</v>
      </c>
      <c r="E233" s="43" t="s">
        <v>556</v>
      </c>
      <c r="F233" s="43" t="s">
        <v>557</v>
      </c>
      <c r="G233" s="43" t="s">
        <v>572</v>
      </c>
      <c r="H233" s="43" t="s">
        <v>573</v>
      </c>
      <c r="I233" s="43" t="s">
        <v>560</v>
      </c>
      <c r="J233" s="43" t="s">
        <v>526</v>
      </c>
      <c r="K233" s="43">
        <v>700120</v>
      </c>
      <c r="L233" s="43">
        <v>6</v>
      </c>
      <c r="M233" s="43" t="s">
        <v>526</v>
      </c>
      <c r="N233" s="51"/>
      <c r="O233" s="51"/>
      <c r="P233" s="43" t="str">
        <f>VLOOKUP(K233,Maestro!J:K,2,0)</f>
        <v>COMBUSTIBLES ALTERNOS</v>
      </c>
      <c r="Q233" s="43" t="str">
        <f>VLOOKUP(P233,Maestro!E:F,2,0)</f>
        <v>COMBUSTIBLES ALTERNOS</v>
      </c>
      <c r="R233" s="43">
        <f>VLOOKUP(P233,ORD!$A:$C,3,0)</f>
        <v>20</v>
      </c>
      <c r="S233" t="str">
        <f t="shared" si="4"/>
        <v>7355050103COMBUSTIBLES ALTERNOSCOMBUSTIBLES ALTERNOS</v>
      </c>
      <c r="T233" t="str">
        <f>IFERROR(VLOOKUP(S233,Maestro!$A:$H,8,0),"Producción")</f>
        <v>Combustibles Alternos</v>
      </c>
      <c r="U233" s="43" t="s">
        <v>182</v>
      </c>
    </row>
    <row r="234" spans="1:21" x14ac:dyDescent="0.3">
      <c r="A234" s="43">
        <v>7999999995</v>
      </c>
      <c r="B234" s="43" t="s">
        <v>566</v>
      </c>
      <c r="C234" s="52"/>
      <c r="D234" s="166">
        <f>-Datos!$M$272</f>
        <v>-4421.827863301759</v>
      </c>
      <c r="E234" s="43" t="s">
        <v>556</v>
      </c>
      <c r="F234" s="43" t="s">
        <v>557</v>
      </c>
      <c r="G234" s="43" t="s">
        <v>567</v>
      </c>
      <c r="H234" s="43" t="s">
        <v>568</v>
      </c>
      <c r="I234" s="43" t="s">
        <v>560</v>
      </c>
      <c r="J234" s="43" t="s">
        <v>455</v>
      </c>
      <c r="K234" s="43">
        <v>700002</v>
      </c>
      <c r="L234" s="43">
        <v>6</v>
      </c>
      <c r="M234" s="43" t="s">
        <v>452</v>
      </c>
      <c r="N234" s="51"/>
      <c r="O234" s="51"/>
      <c r="P234" s="43" t="str">
        <f>VLOOKUP(K234,Maestro!J:K,2,0)</f>
        <v>CARBON MOLIDO</v>
      </c>
      <c r="Q234" s="43" t="str">
        <f>VLOOKUP(P234,Maestro!E:F,2,0)</f>
        <v>Molienda de Carbón</v>
      </c>
      <c r="R234" s="43">
        <f>VLOOKUP(P234,ORD!$A:$C,3,0)</f>
        <v>4</v>
      </c>
      <c r="S234" t="str">
        <f t="shared" si="4"/>
        <v>7999999995CARBONMOLMolienda de Carbón</v>
      </c>
      <c r="T234" t="str">
        <f>IFERROR(VLOOKUP(S234,Maestro!$A:$H,8,0),"Producción")</f>
        <v>Producción</v>
      </c>
      <c r="U234" s="43" t="s">
        <v>182</v>
      </c>
    </row>
    <row r="235" spans="1:21" x14ac:dyDescent="0.3">
      <c r="A235" s="43">
        <v>7355250320</v>
      </c>
      <c r="B235" s="43" t="s">
        <v>490</v>
      </c>
      <c r="C235" s="49">
        <f>Datos!$M$116*D235</f>
        <v>16754212.926469147</v>
      </c>
      <c r="D235" s="166">
        <f>Datos!$M$272</f>
        <v>4421.827863301759</v>
      </c>
      <c r="E235" s="43"/>
      <c r="F235" s="43"/>
      <c r="G235" s="43"/>
      <c r="H235" s="43"/>
      <c r="I235" s="43" t="s">
        <v>560</v>
      </c>
      <c r="J235" s="40" t="s">
        <v>791</v>
      </c>
      <c r="K235" s="43">
        <v>700002</v>
      </c>
      <c r="L235" s="43">
        <v>6</v>
      </c>
      <c r="M235" s="43" t="s">
        <v>452</v>
      </c>
      <c r="N235" s="53"/>
      <c r="O235" s="53"/>
      <c r="P235" s="43" t="str">
        <f>VLOOKUP(K235,Maestro!J:K,2,0)</f>
        <v>CARBON MOLIDO</v>
      </c>
      <c r="Q235" s="43" t="str">
        <f>VLOOKUP(P235,Maestro!E:F,2,0)</f>
        <v>Molienda de Carbón</v>
      </c>
      <c r="R235" s="43">
        <f>VLOOKUP(P235,ORD!$A:$C,3,0)</f>
        <v>4</v>
      </c>
      <c r="S235" t="str">
        <f t="shared" si="4"/>
        <v>7355250320CUERPOS MOLEDORES Y LAMINASMolienda de Carbón</v>
      </c>
      <c r="T235" t="str">
        <f>IFERROR(VLOOKUP(S235,Maestro!$A:$H,8,0),"Producción")</f>
        <v>Cuerpos Moledores y Láminas</v>
      </c>
      <c r="U235" s="43" t="s">
        <v>182</v>
      </c>
    </row>
    <row r="236" spans="1:21" x14ac:dyDescent="0.3">
      <c r="A236" s="43">
        <v>7355050103</v>
      </c>
      <c r="B236" s="43" t="s">
        <v>450</v>
      </c>
      <c r="C236" s="50">
        <f>Datos!$N$10*Base!D236+Datos!$N$90*D236+Datos!$N$92*D236</f>
        <v>2763821228.5262771</v>
      </c>
      <c r="D236" s="50">
        <f>Datos!$N$463</f>
        <v>7222.3382983135007</v>
      </c>
      <c r="E236" s="43" t="s">
        <v>556</v>
      </c>
      <c r="F236" s="43" t="s">
        <v>557</v>
      </c>
      <c r="G236" s="43" t="s">
        <v>572</v>
      </c>
      <c r="H236" s="43" t="s">
        <v>573</v>
      </c>
      <c r="I236" s="43" t="s">
        <v>560</v>
      </c>
      <c r="J236" s="43" t="s">
        <v>451</v>
      </c>
      <c r="K236" s="43">
        <v>700002</v>
      </c>
      <c r="L236" s="43">
        <v>7</v>
      </c>
      <c r="M236" s="43" t="s">
        <v>574</v>
      </c>
      <c r="N236" s="51"/>
      <c r="O236" s="51"/>
      <c r="P236" s="43" t="str">
        <f>VLOOKUP(K236,Maestro!J:K,2,0)</f>
        <v>CARBON MOLIDO</v>
      </c>
      <c r="Q236" s="43" t="str">
        <f>VLOOKUP(P236,Maestro!E:F,2,0)</f>
        <v>Molienda de Carbón</v>
      </c>
      <c r="R236" s="43">
        <f>VLOOKUP(P236,ORD!$A:$C,3,0)</f>
        <v>4</v>
      </c>
      <c r="S236" t="str">
        <f t="shared" si="4"/>
        <v>7355050103CARBITUMIMolienda de Carbón</v>
      </c>
      <c r="T236" t="str">
        <f>IFERROR(VLOOKUP(S236,Maestro!$A:$H,8,0),"Producción")</f>
        <v>Carbón</v>
      </c>
      <c r="U236" s="43" t="s">
        <v>182</v>
      </c>
    </row>
    <row r="237" spans="1:21" x14ac:dyDescent="0.3">
      <c r="A237" s="43">
        <v>7355050103</v>
      </c>
      <c r="B237" s="43" t="s">
        <v>450</v>
      </c>
      <c r="C237" s="50">
        <f>Datos!$N$9*D237+Datos!$N$90*D237</f>
        <v>271276072.99995792</v>
      </c>
      <c r="D237" s="50">
        <f>Datos!$N$461</f>
        <v>1805.5845745783747</v>
      </c>
      <c r="E237" s="43" t="s">
        <v>556</v>
      </c>
      <c r="F237" s="43" t="s">
        <v>557</v>
      </c>
      <c r="G237" s="43" t="s">
        <v>572</v>
      </c>
      <c r="H237" s="43" t="s">
        <v>573</v>
      </c>
      <c r="I237" s="43" t="s">
        <v>560</v>
      </c>
      <c r="J237" s="43" t="s">
        <v>523</v>
      </c>
      <c r="K237" s="43">
        <v>700002</v>
      </c>
      <c r="L237" s="43">
        <v>7</v>
      </c>
      <c r="M237" s="43" t="s">
        <v>575</v>
      </c>
      <c r="N237" s="51"/>
      <c r="O237" s="51"/>
      <c r="P237" s="43" t="str">
        <f>VLOOKUP(K237,Maestro!J:K,2,0)</f>
        <v>CARBON MOLIDO</v>
      </c>
      <c r="Q237" s="43" t="str">
        <f>VLOOKUP(P237,Maestro!E:F,2,0)</f>
        <v>Molienda de Carbón</v>
      </c>
      <c r="R237" s="43">
        <f>VLOOKUP(P237,ORD!$A:$C,3,0)</f>
        <v>4</v>
      </c>
      <c r="S237" t="str">
        <f t="shared" si="4"/>
        <v>7355050103CARMIXTOMolienda de Carbón</v>
      </c>
      <c r="T237" t="str">
        <f>IFERROR(VLOOKUP(S237,Maestro!$A:$H,8,0),"Producción")</f>
        <v>Carbón</v>
      </c>
      <c r="U237" s="43" t="s">
        <v>182</v>
      </c>
    </row>
    <row r="238" spans="1:21" x14ac:dyDescent="0.3">
      <c r="A238" s="43">
        <v>7355050103</v>
      </c>
      <c r="B238" s="43" t="s">
        <v>450</v>
      </c>
      <c r="C238" s="50"/>
      <c r="D238" s="56">
        <f>-Datos!$N$275</f>
        <v>-1461.9206313775471</v>
      </c>
      <c r="E238" s="43" t="s">
        <v>556</v>
      </c>
      <c r="F238" s="43" t="s">
        <v>557</v>
      </c>
      <c r="G238" s="43" t="s">
        <v>572</v>
      </c>
      <c r="H238" s="43" t="s">
        <v>573</v>
      </c>
      <c r="I238" s="43" t="s">
        <v>560</v>
      </c>
      <c r="J238" s="43" t="s">
        <v>526</v>
      </c>
      <c r="K238" s="43">
        <v>700120</v>
      </c>
      <c r="L238" s="43">
        <v>7</v>
      </c>
      <c r="M238" s="43" t="s">
        <v>526</v>
      </c>
      <c r="N238" s="51"/>
      <c r="O238" s="51"/>
      <c r="P238" s="43" t="str">
        <f>VLOOKUP(K238,Maestro!J:K,2,0)</f>
        <v>COMBUSTIBLES ALTERNOS</v>
      </c>
      <c r="Q238" s="43" t="str">
        <f>VLOOKUP(P238,Maestro!E:F,2,0)</f>
        <v>COMBUSTIBLES ALTERNOS</v>
      </c>
      <c r="R238" s="43">
        <f>VLOOKUP(P238,ORD!$A:$C,3,0)</f>
        <v>20</v>
      </c>
      <c r="S238" t="str">
        <f t="shared" si="4"/>
        <v>7355050103COMBUSTIBLES ALTERNOSCOMBUSTIBLES ALTERNOS</v>
      </c>
      <c r="T238" t="str">
        <f>IFERROR(VLOOKUP(S238,Maestro!$A:$H,8,0),"Producción")</f>
        <v>Combustibles Alternos</v>
      </c>
      <c r="U238" s="43" t="s">
        <v>182</v>
      </c>
    </row>
    <row r="239" spans="1:21" x14ac:dyDescent="0.3">
      <c r="A239" s="43">
        <v>7999999995</v>
      </c>
      <c r="B239" s="43" t="s">
        <v>566</v>
      </c>
      <c r="C239" s="52"/>
      <c r="D239" s="166">
        <f>-Datos!$N$272</f>
        <v>-8468.1916547725796</v>
      </c>
      <c r="E239" s="43" t="s">
        <v>556</v>
      </c>
      <c r="F239" s="43" t="s">
        <v>557</v>
      </c>
      <c r="G239" s="43" t="s">
        <v>567</v>
      </c>
      <c r="H239" s="43" t="s">
        <v>568</v>
      </c>
      <c r="I239" s="43" t="s">
        <v>560</v>
      </c>
      <c r="J239" s="43" t="s">
        <v>455</v>
      </c>
      <c r="K239" s="43">
        <v>700002</v>
      </c>
      <c r="L239" s="43">
        <v>7</v>
      </c>
      <c r="M239" s="43" t="s">
        <v>452</v>
      </c>
      <c r="N239" s="51"/>
      <c r="O239" s="51"/>
      <c r="P239" s="43" t="str">
        <f>VLOOKUP(K239,Maestro!J:K,2,0)</f>
        <v>CARBON MOLIDO</v>
      </c>
      <c r="Q239" s="43" t="str">
        <f>VLOOKUP(P239,Maestro!E:F,2,0)</f>
        <v>Molienda de Carbón</v>
      </c>
      <c r="R239" s="43">
        <f>VLOOKUP(P239,ORD!$A:$C,3,0)</f>
        <v>4</v>
      </c>
      <c r="S239" t="str">
        <f t="shared" si="4"/>
        <v>7999999995CARBONMOLMolienda de Carbón</v>
      </c>
      <c r="T239" t="str">
        <f>IFERROR(VLOOKUP(S239,Maestro!$A:$H,8,0),"Producción")</f>
        <v>Producción</v>
      </c>
      <c r="U239" s="43" t="s">
        <v>182</v>
      </c>
    </row>
    <row r="240" spans="1:21" x14ac:dyDescent="0.3">
      <c r="A240" s="43">
        <v>7355250320</v>
      </c>
      <c r="B240" s="43" t="s">
        <v>490</v>
      </c>
      <c r="C240" s="49">
        <f>Datos!$N$116*D240</f>
        <v>32085800.368599001</v>
      </c>
      <c r="D240" s="166">
        <f>Datos!$N$272</f>
        <v>8468.1916547725796</v>
      </c>
      <c r="E240" s="43"/>
      <c r="F240" s="43"/>
      <c r="G240" s="43"/>
      <c r="H240" s="43"/>
      <c r="I240" s="43" t="s">
        <v>560</v>
      </c>
      <c r="J240" s="40" t="s">
        <v>791</v>
      </c>
      <c r="K240" s="43">
        <v>700002</v>
      </c>
      <c r="L240" s="43">
        <v>7</v>
      </c>
      <c r="M240" s="43" t="s">
        <v>452</v>
      </c>
      <c r="N240" s="53"/>
      <c r="O240" s="53"/>
      <c r="P240" s="43" t="str">
        <f>VLOOKUP(K240,Maestro!J:K,2,0)</f>
        <v>CARBON MOLIDO</v>
      </c>
      <c r="Q240" s="43" t="str">
        <f>VLOOKUP(P240,Maestro!E:F,2,0)</f>
        <v>Molienda de Carbón</v>
      </c>
      <c r="R240" s="43">
        <f>VLOOKUP(P240,ORD!$A:$C,3,0)</f>
        <v>4</v>
      </c>
      <c r="S240" t="str">
        <f t="shared" si="4"/>
        <v>7355250320CUERPOS MOLEDORES Y LAMINASMolienda de Carbón</v>
      </c>
      <c r="T240" t="str">
        <f>IFERROR(VLOOKUP(S240,Maestro!$A:$H,8,0),"Producción")</f>
        <v>Cuerpos Moledores y Láminas</v>
      </c>
      <c r="U240" s="43" t="s">
        <v>182</v>
      </c>
    </row>
    <row r="241" spans="1:21" x14ac:dyDescent="0.3">
      <c r="A241" s="43">
        <v>7355050103</v>
      </c>
      <c r="B241" s="43" t="s">
        <v>450</v>
      </c>
      <c r="C241" s="50">
        <f>Datos!$O$10*Base!D241+Datos!$O$90*D241+Datos!$O$92*D241</f>
        <v>3370574208.2467237</v>
      </c>
      <c r="D241" s="50">
        <f>Datos!$O$463</f>
        <v>8809.5101718735368</v>
      </c>
      <c r="E241" s="43" t="s">
        <v>556</v>
      </c>
      <c r="F241" s="43" t="s">
        <v>557</v>
      </c>
      <c r="G241" s="43" t="s">
        <v>572</v>
      </c>
      <c r="H241" s="43" t="s">
        <v>573</v>
      </c>
      <c r="I241" s="43" t="s">
        <v>560</v>
      </c>
      <c r="J241" s="43" t="s">
        <v>451</v>
      </c>
      <c r="K241" s="43">
        <v>700002</v>
      </c>
      <c r="L241" s="43">
        <v>8</v>
      </c>
      <c r="M241" s="43" t="s">
        <v>574</v>
      </c>
      <c r="N241" s="51"/>
      <c r="O241" s="51"/>
      <c r="P241" s="43" t="str">
        <f>VLOOKUP(K241,Maestro!J:K,2,0)</f>
        <v>CARBON MOLIDO</v>
      </c>
      <c r="Q241" s="43" t="str">
        <f>VLOOKUP(P241,Maestro!E:F,2,0)</f>
        <v>Molienda de Carbón</v>
      </c>
      <c r="R241" s="43">
        <f>VLOOKUP(P241,ORD!$A:$C,3,0)</f>
        <v>4</v>
      </c>
      <c r="S241" t="str">
        <f t="shared" si="4"/>
        <v>7355050103CARBITUMIMolienda de Carbón</v>
      </c>
      <c r="T241" t="str">
        <f>IFERROR(VLOOKUP(S241,Maestro!$A:$H,8,0),"Producción")</f>
        <v>Carbón</v>
      </c>
      <c r="U241" s="43" t="s">
        <v>182</v>
      </c>
    </row>
    <row r="242" spans="1:21" x14ac:dyDescent="0.3">
      <c r="A242" s="43">
        <v>7355050103</v>
      </c>
      <c r="B242" s="43" t="s">
        <v>450</v>
      </c>
      <c r="C242" s="50">
        <f>Datos!$O$9*D242+Datos!$O$90*D242</f>
        <v>330736143.5053888</v>
      </c>
      <c r="D242" s="50">
        <f>Datos!$O$461</f>
        <v>2202.3775429683847</v>
      </c>
      <c r="E242" s="43" t="s">
        <v>556</v>
      </c>
      <c r="F242" s="43" t="s">
        <v>557</v>
      </c>
      <c r="G242" s="43" t="s">
        <v>572</v>
      </c>
      <c r="H242" s="43" t="s">
        <v>573</v>
      </c>
      <c r="I242" s="43" t="s">
        <v>560</v>
      </c>
      <c r="J242" s="43" t="s">
        <v>523</v>
      </c>
      <c r="K242" s="43">
        <v>700002</v>
      </c>
      <c r="L242" s="43">
        <v>8</v>
      </c>
      <c r="M242" s="43" t="s">
        <v>575</v>
      </c>
      <c r="N242" s="51"/>
      <c r="O242" s="51"/>
      <c r="P242" s="43" t="str">
        <f>VLOOKUP(K242,Maestro!J:K,2,0)</f>
        <v>CARBON MOLIDO</v>
      </c>
      <c r="Q242" s="43" t="str">
        <f>VLOOKUP(P242,Maestro!E:F,2,0)</f>
        <v>Molienda de Carbón</v>
      </c>
      <c r="R242" s="43">
        <f>VLOOKUP(P242,ORD!$A:$C,3,0)</f>
        <v>4</v>
      </c>
      <c r="S242" t="str">
        <f t="shared" si="4"/>
        <v>7355050103CARMIXTOMolienda de Carbón</v>
      </c>
      <c r="T242" t="str">
        <f>IFERROR(VLOOKUP(S242,Maestro!$A:$H,8,0),"Producción")</f>
        <v>Carbón</v>
      </c>
      <c r="U242" s="43" t="s">
        <v>182</v>
      </c>
    </row>
    <row r="243" spans="1:21" x14ac:dyDescent="0.3">
      <c r="A243" s="43">
        <v>7355050103</v>
      </c>
      <c r="B243" s="43" t="s">
        <v>450</v>
      </c>
      <c r="C243" s="50"/>
      <c r="D243" s="56">
        <f>-Datos!$O$275</f>
        <v>-1773.7970327380904</v>
      </c>
      <c r="E243" s="43" t="s">
        <v>556</v>
      </c>
      <c r="F243" s="43" t="s">
        <v>557</v>
      </c>
      <c r="G243" s="43" t="s">
        <v>572</v>
      </c>
      <c r="H243" s="43" t="s">
        <v>573</v>
      </c>
      <c r="I243" s="43" t="s">
        <v>560</v>
      </c>
      <c r="J243" s="43" t="s">
        <v>526</v>
      </c>
      <c r="K243" s="43">
        <v>700120</v>
      </c>
      <c r="L243" s="43">
        <v>8</v>
      </c>
      <c r="M243" s="43" t="s">
        <v>526</v>
      </c>
      <c r="N243" s="51"/>
      <c r="O243" s="51"/>
      <c r="P243" s="43" t="str">
        <f>VLOOKUP(K243,Maestro!J:K,2,0)</f>
        <v>COMBUSTIBLES ALTERNOS</v>
      </c>
      <c r="Q243" s="43" t="str">
        <f>VLOOKUP(P243,Maestro!E:F,2,0)</f>
        <v>COMBUSTIBLES ALTERNOS</v>
      </c>
      <c r="R243" s="43">
        <f>VLOOKUP(P243,ORD!$A:$C,3,0)</f>
        <v>20</v>
      </c>
      <c r="S243" t="str">
        <f t="shared" si="4"/>
        <v>7355050103COMBUSTIBLES ALTERNOSCOMBUSTIBLES ALTERNOS</v>
      </c>
      <c r="T243" t="str">
        <f>IFERROR(VLOOKUP(S243,Maestro!$A:$H,8,0),"Producción")</f>
        <v>Combustibles Alternos</v>
      </c>
      <c r="U243" s="43" t="s">
        <v>182</v>
      </c>
    </row>
    <row r="244" spans="1:21" x14ac:dyDescent="0.3">
      <c r="A244" s="43">
        <v>7999999995</v>
      </c>
      <c r="B244" s="43" t="s">
        <v>566</v>
      </c>
      <c r="C244" s="52"/>
      <c r="D244" s="166">
        <f>-Datos!$O$272</f>
        <v>-10329.150676521722</v>
      </c>
      <c r="E244" s="43" t="s">
        <v>556</v>
      </c>
      <c r="F244" s="43" t="s">
        <v>557</v>
      </c>
      <c r="G244" s="43" t="s">
        <v>567</v>
      </c>
      <c r="H244" s="43" t="s">
        <v>568</v>
      </c>
      <c r="I244" s="43" t="s">
        <v>560</v>
      </c>
      <c r="J244" s="43" t="s">
        <v>455</v>
      </c>
      <c r="K244" s="43">
        <v>700002</v>
      </c>
      <c r="L244" s="43">
        <v>8</v>
      </c>
      <c r="M244" s="43" t="s">
        <v>452</v>
      </c>
      <c r="N244" s="51"/>
      <c r="O244" s="51"/>
      <c r="P244" s="43" t="str">
        <f>VLOOKUP(K244,Maestro!J:K,2,0)</f>
        <v>CARBON MOLIDO</v>
      </c>
      <c r="Q244" s="43" t="str">
        <f>VLOOKUP(P244,Maestro!E:F,2,0)</f>
        <v>Molienda de Carbón</v>
      </c>
      <c r="R244" s="43">
        <f>VLOOKUP(P244,ORD!$A:$C,3,0)</f>
        <v>4</v>
      </c>
      <c r="S244" t="str">
        <f t="shared" si="4"/>
        <v>7999999995CARBONMOLMolienda de Carbón</v>
      </c>
      <c r="T244" t="str">
        <f>IFERROR(VLOOKUP(S244,Maestro!$A:$H,8,0),"Producción")</f>
        <v>Producción</v>
      </c>
      <c r="U244" s="43" t="s">
        <v>182</v>
      </c>
    </row>
    <row r="245" spans="1:21" x14ac:dyDescent="0.3">
      <c r="A245" s="43">
        <v>7355250320</v>
      </c>
      <c r="B245" s="43" t="s">
        <v>490</v>
      </c>
      <c r="C245" s="49">
        <f>Datos!$O$116*D245</f>
        <v>39136935.026413955</v>
      </c>
      <c r="D245" s="166">
        <f>Datos!$O$272</f>
        <v>10329.150676521722</v>
      </c>
      <c r="E245" s="43"/>
      <c r="F245" s="43"/>
      <c r="G245" s="43"/>
      <c r="H245" s="43"/>
      <c r="I245" s="43" t="s">
        <v>560</v>
      </c>
      <c r="J245" s="40" t="s">
        <v>791</v>
      </c>
      <c r="K245" s="43">
        <v>700002</v>
      </c>
      <c r="L245" s="43">
        <v>8</v>
      </c>
      <c r="M245" s="43" t="s">
        <v>452</v>
      </c>
      <c r="N245" s="53"/>
      <c r="O245" s="53"/>
      <c r="P245" s="43" t="str">
        <f>VLOOKUP(K245,Maestro!J:K,2,0)</f>
        <v>CARBON MOLIDO</v>
      </c>
      <c r="Q245" s="43" t="str">
        <f>VLOOKUP(P245,Maestro!E:F,2,0)</f>
        <v>Molienda de Carbón</v>
      </c>
      <c r="R245" s="43">
        <f>VLOOKUP(P245,ORD!$A:$C,3,0)</f>
        <v>4</v>
      </c>
      <c r="S245" t="str">
        <f t="shared" si="4"/>
        <v>7355250320CUERPOS MOLEDORES Y LAMINASMolienda de Carbón</v>
      </c>
      <c r="T245" t="str">
        <f>IFERROR(VLOOKUP(S245,Maestro!$A:$H,8,0),"Producción")</f>
        <v>Cuerpos Moledores y Láminas</v>
      </c>
      <c r="U245" s="43" t="s">
        <v>182</v>
      </c>
    </row>
    <row r="246" spans="1:21" x14ac:dyDescent="0.3">
      <c r="A246" s="43">
        <v>7355050103</v>
      </c>
      <c r="B246" s="43" t="s">
        <v>450</v>
      </c>
      <c r="C246" s="50">
        <f>Datos!$P$10*Base!D246+Datos!$P$90*D246+Datos!$P$92*D246</f>
        <v>2555841066.4574065</v>
      </c>
      <c r="D246" s="50">
        <f>Datos!$P$463</f>
        <v>6677.9519975117319</v>
      </c>
      <c r="E246" s="43" t="s">
        <v>556</v>
      </c>
      <c r="F246" s="43" t="s">
        <v>557</v>
      </c>
      <c r="G246" s="43" t="s">
        <v>572</v>
      </c>
      <c r="H246" s="43" t="s">
        <v>573</v>
      </c>
      <c r="I246" s="43" t="s">
        <v>560</v>
      </c>
      <c r="J246" s="43" t="s">
        <v>451</v>
      </c>
      <c r="K246" s="43">
        <v>700002</v>
      </c>
      <c r="L246" s="43">
        <v>9</v>
      </c>
      <c r="M246" s="43" t="s">
        <v>574</v>
      </c>
      <c r="N246" s="51"/>
      <c r="O246" s="51"/>
      <c r="P246" s="43" t="str">
        <f>VLOOKUP(K246,Maestro!J:K,2,0)</f>
        <v>CARBON MOLIDO</v>
      </c>
      <c r="Q246" s="43" t="str">
        <f>VLOOKUP(P246,Maestro!E:F,2,0)</f>
        <v>Molienda de Carbón</v>
      </c>
      <c r="R246" s="43">
        <f>VLOOKUP(P246,ORD!$A:$C,3,0)</f>
        <v>4</v>
      </c>
      <c r="S246" t="str">
        <f t="shared" si="4"/>
        <v>7355050103CARBITUMIMolienda de Carbón</v>
      </c>
      <c r="T246" t="str">
        <f>IFERROR(VLOOKUP(S246,Maestro!$A:$H,8,0),"Producción")</f>
        <v>Carbón</v>
      </c>
      <c r="U246" s="43" t="s">
        <v>182</v>
      </c>
    </row>
    <row r="247" spans="1:21" x14ac:dyDescent="0.3">
      <c r="A247" s="43">
        <v>7355050103</v>
      </c>
      <c r="B247" s="43" t="s">
        <v>450</v>
      </c>
      <c r="C247" s="50">
        <f>Datos!$P$9*D247+Datos!$P$90*D247</f>
        <v>250914503.02310228</v>
      </c>
      <c r="D247" s="50">
        <f>Datos!$P$461</f>
        <v>1669.487999377933</v>
      </c>
      <c r="E247" s="43" t="s">
        <v>556</v>
      </c>
      <c r="F247" s="43" t="s">
        <v>557</v>
      </c>
      <c r="G247" s="43" t="s">
        <v>572</v>
      </c>
      <c r="H247" s="43" t="s">
        <v>573</v>
      </c>
      <c r="I247" s="43" t="s">
        <v>560</v>
      </c>
      <c r="J247" s="43" t="s">
        <v>523</v>
      </c>
      <c r="K247" s="43">
        <v>700002</v>
      </c>
      <c r="L247" s="43">
        <v>9</v>
      </c>
      <c r="M247" s="43" t="s">
        <v>575</v>
      </c>
      <c r="N247" s="51"/>
      <c r="O247" s="51"/>
      <c r="P247" s="43" t="str">
        <f>VLOOKUP(K247,Maestro!J:K,2,0)</f>
        <v>CARBON MOLIDO</v>
      </c>
      <c r="Q247" s="43" t="str">
        <f>VLOOKUP(P247,Maestro!E:F,2,0)</f>
        <v>Molienda de Carbón</v>
      </c>
      <c r="R247" s="43">
        <f>VLOOKUP(P247,ORD!$A:$C,3,0)</f>
        <v>4</v>
      </c>
      <c r="S247" t="str">
        <f t="shared" si="4"/>
        <v>7355050103CARMIXTOMolienda de Carbón</v>
      </c>
      <c r="T247" t="str">
        <f>IFERROR(VLOOKUP(S247,Maestro!$A:$H,8,0),"Producción")</f>
        <v>Carbón</v>
      </c>
      <c r="U247" s="43" t="s">
        <v>182</v>
      </c>
    </row>
    <row r="248" spans="1:21" x14ac:dyDescent="0.3">
      <c r="A248" s="43">
        <v>7355050103</v>
      </c>
      <c r="B248" s="43" t="s">
        <v>450</v>
      </c>
      <c r="C248" s="50"/>
      <c r="D248" s="56">
        <f>-Datos!$P$275</f>
        <v>-1344.9669808673436</v>
      </c>
      <c r="E248" s="43" t="s">
        <v>556</v>
      </c>
      <c r="F248" s="43" t="s">
        <v>557</v>
      </c>
      <c r="G248" s="43" t="s">
        <v>572</v>
      </c>
      <c r="H248" s="43" t="s">
        <v>573</v>
      </c>
      <c r="I248" s="43" t="s">
        <v>560</v>
      </c>
      <c r="J248" s="43" t="s">
        <v>526</v>
      </c>
      <c r="K248" s="43">
        <v>700120</v>
      </c>
      <c r="L248" s="43">
        <v>9</v>
      </c>
      <c r="M248" s="43" t="s">
        <v>526</v>
      </c>
      <c r="N248" s="51"/>
      <c r="O248" s="51"/>
      <c r="P248" s="43" t="str">
        <f>VLOOKUP(K248,Maestro!J:K,2,0)</f>
        <v>COMBUSTIBLES ALTERNOS</v>
      </c>
      <c r="Q248" s="43" t="str">
        <f>VLOOKUP(P248,Maestro!E:F,2,0)</f>
        <v>COMBUSTIBLES ALTERNOS</v>
      </c>
      <c r="R248" s="43">
        <f>VLOOKUP(P248,ORD!$A:$C,3,0)</f>
        <v>20</v>
      </c>
      <c r="S248" t="str">
        <f t="shared" si="4"/>
        <v>7355050103COMBUSTIBLES ALTERNOSCOMBUSTIBLES ALTERNOS</v>
      </c>
      <c r="T248" t="str">
        <f>IFERROR(VLOOKUP(S248,Maestro!$A:$H,8,0),"Producción")</f>
        <v>Combustibles Alternos</v>
      </c>
      <c r="U248" s="43" t="s">
        <v>182</v>
      </c>
    </row>
    <row r="249" spans="1:21" x14ac:dyDescent="0.3">
      <c r="A249" s="43">
        <v>7999999995</v>
      </c>
      <c r="B249" s="43" t="s">
        <v>566</v>
      </c>
      <c r="C249" s="52"/>
      <c r="D249" s="166">
        <f>-Datos!$P$272</f>
        <v>-7829.8987170825058</v>
      </c>
      <c r="E249" s="43" t="s">
        <v>556</v>
      </c>
      <c r="F249" s="43" t="s">
        <v>557</v>
      </c>
      <c r="G249" s="43" t="s">
        <v>567</v>
      </c>
      <c r="H249" s="43" t="s">
        <v>568</v>
      </c>
      <c r="I249" s="43" t="s">
        <v>560</v>
      </c>
      <c r="J249" s="43" t="s">
        <v>455</v>
      </c>
      <c r="K249" s="43">
        <v>700002</v>
      </c>
      <c r="L249" s="43">
        <v>9</v>
      </c>
      <c r="M249" s="43" t="s">
        <v>452</v>
      </c>
      <c r="N249" s="51"/>
      <c r="O249" s="51"/>
      <c r="P249" s="43" t="str">
        <f>VLOOKUP(K249,Maestro!J:K,2,0)</f>
        <v>CARBON MOLIDO</v>
      </c>
      <c r="Q249" s="43" t="str">
        <f>VLOOKUP(P249,Maestro!E:F,2,0)</f>
        <v>Molienda de Carbón</v>
      </c>
      <c r="R249" s="43">
        <f>VLOOKUP(P249,ORD!$A:$C,3,0)</f>
        <v>4</v>
      </c>
      <c r="S249" t="str">
        <f t="shared" si="4"/>
        <v>7999999995CARBONMOLMolienda de Carbón</v>
      </c>
      <c r="T249" t="str">
        <f>IFERROR(VLOOKUP(S249,Maestro!$A:$H,8,0),"Producción")</f>
        <v>Producción</v>
      </c>
      <c r="U249" s="43" t="s">
        <v>182</v>
      </c>
    </row>
    <row r="250" spans="1:21" x14ac:dyDescent="0.3">
      <c r="A250" s="43">
        <v>7355250320</v>
      </c>
      <c r="B250" s="43" t="s">
        <v>490</v>
      </c>
      <c r="C250" s="49">
        <f>Datos!$P$116*D250</f>
        <v>29667321.830283456</v>
      </c>
      <c r="D250" s="166">
        <f>Datos!$P$272</f>
        <v>7829.8987170825058</v>
      </c>
      <c r="E250" s="43"/>
      <c r="F250" s="43"/>
      <c r="G250" s="43"/>
      <c r="H250" s="43"/>
      <c r="I250" s="43" t="s">
        <v>560</v>
      </c>
      <c r="J250" s="40" t="s">
        <v>791</v>
      </c>
      <c r="K250" s="43">
        <v>700002</v>
      </c>
      <c r="L250" s="43">
        <v>9</v>
      </c>
      <c r="M250" s="43" t="s">
        <v>452</v>
      </c>
      <c r="N250" s="53"/>
      <c r="O250" s="53"/>
      <c r="P250" s="43" t="str">
        <f>VLOOKUP(K250,Maestro!J:K,2,0)</f>
        <v>CARBON MOLIDO</v>
      </c>
      <c r="Q250" s="43" t="str">
        <f>VLOOKUP(P250,Maestro!E:F,2,0)</f>
        <v>Molienda de Carbón</v>
      </c>
      <c r="R250" s="43">
        <f>VLOOKUP(P250,ORD!$A:$C,3,0)</f>
        <v>4</v>
      </c>
      <c r="S250" t="str">
        <f t="shared" si="4"/>
        <v>7355250320CUERPOS MOLEDORES Y LAMINASMolienda de Carbón</v>
      </c>
      <c r="T250" t="str">
        <f>IFERROR(VLOOKUP(S250,Maestro!$A:$H,8,0),"Producción")</f>
        <v>Cuerpos Moledores y Láminas</v>
      </c>
      <c r="U250" s="43" t="s">
        <v>182</v>
      </c>
    </row>
    <row r="251" spans="1:21" x14ac:dyDescent="0.3">
      <c r="A251" s="43">
        <v>7355050103</v>
      </c>
      <c r="B251" s="43" t="s">
        <v>450</v>
      </c>
      <c r="C251" s="50">
        <f>Datos!$Q$10*Base!D251+Datos!$Q$90*D251+Datos!$Q$92*D251</f>
        <v>1986111686.8768263</v>
      </c>
      <c r="D251" s="50">
        <f>Datos!$Q$463</f>
        <v>5187.6691318772337</v>
      </c>
      <c r="E251" s="43" t="s">
        <v>556</v>
      </c>
      <c r="F251" s="43" t="s">
        <v>557</v>
      </c>
      <c r="G251" s="43" t="s">
        <v>572</v>
      </c>
      <c r="H251" s="43" t="s">
        <v>573</v>
      </c>
      <c r="I251" s="43" t="s">
        <v>560</v>
      </c>
      <c r="J251" s="43" t="s">
        <v>451</v>
      </c>
      <c r="K251" s="43">
        <v>700002</v>
      </c>
      <c r="L251" s="43">
        <v>10</v>
      </c>
      <c r="M251" s="43" t="s">
        <v>574</v>
      </c>
      <c r="N251" s="51"/>
      <c r="O251" s="51"/>
      <c r="P251" s="43" t="str">
        <f>VLOOKUP(K251,Maestro!J:K,2,0)</f>
        <v>CARBON MOLIDO</v>
      </c>
      <c r="Q251" s="43" t="str">
        <f>VLOOKUP(P251,Maestro!E:F,2,0)</f>
        <v>Molienda de Carbón</v>
      </c>
      <c r="R251" s="43">
        <f>VLOOKUP(P251,ORD!$A:$C,3,0)</f>
        <v>4</v>
      </c>
      <c r="S251" t="str">
        <f t="shared" si="4"/>
        <v>7355050103CARBITUMIMolienda de Carbón</v>
      </c>
      <c r="T251" t="str">
        <f>IFERROR(VLOOKUP(S251,Maestro!$A:$H,8,0),"Producción")</f>
        <v>Carbón</v>
      </c>
      <c r="U251" s="43" t="s">
        <v>182</v>
      </c>
    </row>
    <row r="252" spans="1:21" x14ac:dyDescent="0.3">
      <c r="A252" s="43">
        <v>7355050103</v>
      </c>
      <c r="B252" s="43" t="s">
        <v>450</v>
      </c>
      <c r="C252" s="50">
        <f>Datos!$Q$9*D252+Datos!$Q$90*D252</f>
        <v>195080257.78149953</v>
      </c>
      <c r="D252" s="50">
        <f>Datos!$Q$461</f>
        <v>1296.9172829693082</v>
      </c>
      <c r="E252" s="43" t="s">
        <v>556</v>
      </c>
      <c r="F252" s="43" t="s">
        <v>557</v>
      </c>
      <c r="G252" s="43" t="s">
        <v>572</v>
      </c>
      <c r="H252" s="43" t="s">
        <v>573</v>
      </c>
      <c r="I252" s="43" t="s">
        <v>560</v>
      </c>
      <c r="J252" s="43" t="s">
        <v>523</v>
      </c>
      <c r="K252" s="43">
        <v>700002</v>
      </c>
      <c r="L252" s="43">
        <v>10</v>
      </c>
      <c r="M252" s="43" t="s">
        <v>575</v>
      </c>
      <c r="N252" s="51"/>
      <c r="O252" s="51"/>
      <c r="P252" s="43" t="str">
        <f>VLOOKUP(K252,Maestro!J:K,2,0)</f>
        <v>CARBON MOLIDO</v>
      </c>
      <c r="Q252" s="43" t="str">
        <f>VLOOKUP(P252,Maestro!E:F,2,0)</f>
        <v>Molienda de Carbón</v>
      </c>
      <c r="R252" s="43">
        <f>VLOOKUP(P252,ORD!$A:$C,3,0)</f>
        <v>4</v>
      </c>
      <c r="S252" t="str">
        <f t="shared" si="4"/>
        <v>7355050103CARMIXTOMolienda de Carbón</v>
      </c>
      <c r="T252" t="str">
        <f>IFERROR(VLOOKUP(S252,Maestro!$A:$H,8,0),"Producción")</f>
        <v>Carbón</v>
      </c>
      <c r="U252" s="43" t="s">
        <v>182</v>
      </c>
    </row>
    <row r="253" spans="1:21" x14ac:dyDescent="0.3">
      <c r="A253" s="43">
        <v>7355050103</v>
      </c>
      <c r="B253" s="43" t="s">
        <v>450</v>
      </c>
      <c r="C253" s="50"/>
      <c r="D253" s="56">
        <f>-Datos!$Q$275</f>
        <v>-1052.5828545918339</v>
      </c>
      <c r="E253" s="43" t="s">
        <v>556</v>
      </c>
      <c r="F253" s="43" t="s">
        <v>557</v>
      </c>
      <c r="G253" s="43" t="s">
        <v>572</v>
      </c>
      <c r="H253" s="43" t="s">
        <v>573</v>
      </c>
      <c r="I253" s="43" t="s">
        <v>560</v>
      </c>
      <c r="J253" s="43" t="s">
        <v>526</v>
      </c>
      <c r="K253" s="43">
        <v>700120</v>
      </c>
      <c r="L253" s="43">
        <v>10</v>
      </c>
      <c r="M253" s="43" t="s">
        <v>526</v>
      </c>
      <c r="N253" s="51"/>
      <c r="O253" s="51"/>
      <c r="P253" s="43" t="str">
        <f>VLOOKUP(K253,Maestro!J:K,2,0)</f>
        <v>COMBUSTIBLES ALTERNOS</v>
      </c>
      <c r="Q253" s="43" t="str">
        <f>VLOOKUP(P253,Maestro!E:F,2,0)</f>
        <v>COMBUSTIBLES ALTERNOS</v>
      </c>
      <c r="R253" s="43">
        <f>VLOOKUP(P253,ORD!$A:$C,3,0)</f>
        <v>20</v>
      </c>
      <c r="S253" t="str">
        <f t="shared" si="4"/>
        <v>7355050103COMBUSTIBLES ALTERNOSCOMBUSTIBLES ALTERNOS</v>
      </c>
      <c r="T253" t="str">
        <f>IFERROR(VLOOKUP(S253,Maestro!$A:$H,8,0),"Producción")</f>
        <v>Combustibles Alternos</v>
      </c>
      <c r="U253" s="43" t="s">
        <v>182</v>
      </c>
    </row>
    <row r="254" spans="1:21" x14ac:dyDescent="0.3">
      <c r="A254" s="43">
        <v>7999999995</v>
      </c>
      <c r="B254" s="43" t="s">
        <v>566</v>
      </c>
      <c r="C254" s="52"/>
      <c r="D254" s="166">
        <f>-Datos!$Q$272</f>
        <v>-6082.5420571260565</v>
      </c>
      <c r="E254" s="43" t="s">
        <v>556</v>
      </c>
      <c r="F254" s="43" t="s">
        <v>557</v>
      </c>
      <c r="G254" s="43" t="s">
        <v>567</v>
      </c>
      <c r="H254" s="43" t="s">
        <v>568</v>
      </c>
      <c r="I254" s="43" t="s">
        <v>560</v>
      </c>
      <c r="J254" s="43" t="s">
        <v>455</v>
      </c>
      <c r="K254" s="43">
        <v>700002</v>
      </c>
      <c r="L254" s="43">
        <v>10</v>
      </c>
      <c r="M254" s="43" t="s">
        <v>452</v>
      </c>
      <c r="N254" s="51"/>
      <c r="O254" s="51"/>
      <c r="P254" s="43" t="str">
        <f>VLOOKUP(K254,Maestro!J:K,2,0)</f>
        <v>CARBON MOLIDO</v>
      </c>
      <c r="Q254" s="43" t="str">
        <f>VLOOKUP(P254,Maestro!E:F,2,0)</f>
        <v>Molienda de Carbón</v>
      </c>
      <c r="R254" s="43">
        <f>VLOOKUP(P254,ORD!$A:$C,3,0)</f>
        <v>4</v>
      </c>
      <c r="S254" t="str">
        <f t="shared" si="4"/>
        <v>7999999995CARBONMOLMolienda de Carbón</v>
      </c>
      <c r="T254" t="str">
        <f>IFERROR(VLOOKUP(S254,Maestro!$A:$H,8,0),"Producción")</f>
        <v>Producción</v>
      </c>
      <c r="U254" s="43" t="s">
        <v>182</v>
      </c>
    </row>
    <row r="255" spans="1:21" x14ac:dyDescent="0.3">
      <c r="A255" s="43">
        <v>7355250320</v>
      </c>
      <c r="B255" s="43" t="s">
        <v>490</v>
      </c>
      <c r="C255" s="49">
        <f>Datos!$Q$116*D255</f>
        <v>23046624.135928988</v>
      </c>
      <c r="D255" s="166">
        <f>Datos!$Q$272</f>
        <v>6082.5420571260565</v>
      </c>
      <c r="E255" s="43"/>
      <c r="F255" s="43"/>
      <c r="G255" s="43"/>
      <c r="H255" s="43"/>
      <c r="I255" s="43" t="s">
        <v>560</v>
      </c>
      <c r="J255" s="40" t="s">
        <v>791</v>
      </c>
      <c r="K255" s="43">
        <v>700002</v>
      </c>
      <c r="L255" s="43">
        <v>10</v>
      </c>
      <c r="M255" s="43" t="s">
        <v>452</v>
      </c>
      <c r="N255" s="53"/>
      <c r="O255" s="53"/>
      <c r="P255" s="43" t="str">
        <f>VLOOKUP(K255,Maestro!J:K,2,0)</f>
        <v>CARBON MOLIDO</v>
      </c>
      <c r="Q255" s="43" t="str">
        <f>VLOOKUP(P255,Maestro!E:F,2,0)</f>
        <v>Molienda de Carbón</v>
      </c>
      <c r="R255" s="43">
        <f>VLOOKUP(P255,ORD!$A:$C,3,0)</f>
        <v>4</v>
      </c>
      <c r="S255" t="str">
        <f t="shared" si="4"/>
        <v>7355250320CUERPOS MOLEDORES Y LAMINASMolienda de Carbón</v>
      </c>
      <c r="T255" t="str">
        <f>IFERROR(VLOOKUP(S255,Maestro!$A:$H,8,0),"Producción")</f>
        <v>Cuerpos Moledores y Láminas</v>
      </c>
      <c r="U255" s="43" t="s">
        <v>182</v>
      </c>
    </row>
    <row r="256" spans="1:21" x14ac:dyDescent="0.3">
      <c r="A256" s="43">
        <v>7355050103</v>
      </c>
      <c r="B256" s="43" t="s">
        <v>450</v>
      </c>
      <c r="C256" s="50">
        <f>Datos!$R$10*Base!D256+Datos!$R$90*D256+Datos!$R$92*D256</f>
        <v>3259506837.9193497</v>
      </c>
      <c r="D256" s="50">
        <f>Datos!$R$463</f>
        <v>8518.8431480969284</v>
      </c>
      <c r="E256" s="43" t="s">
        <v>556</v>
      </c>
      <c r="F256" s="43" t="s">
        <v>557</v>
      </c>
      <c r="G256" s="43" t="s">
        <v>572</v>
      </c>
      <c r="H256" s="43" t="s">
        <v>573</v>
      </c>
      <c r="I256" s="43" t="s">
        <v>560</v>
      </c>
      <c r="J256" s="43" t="s">
        <v>451</v>
      </c>
      <c r="K256" s="43">
        <v>700002</v>
      </c>
      <c r="L256" s="43">
        <v>11</v>
      </c>
      <c r="M256" s="43" t="s">
        <v>574</v>
      </c>
      <c r="N256" s="51"/>
      <c r="O256" s="51"/>
      <c r="P256" s="43" t="str">
        <f>VLOOKUP(K256,Maestro!J:K,2,0)</f>
        <v>CARBON MOLIDO</v>
      </c>
      <c r="Q256" s="43" t="str">
        <f>VLOOKUP(P256,Maestro!E:F,2,0)</f>
        <v>Molienda de Carbón</v>
      </c>
      <c r="R256" s="43">
        <f>VLOOKUP(P256,ORD!$A:$C,3,0)</f>
        <v>4</v>
      </c>
      <c r="S256" t="str">
        <f t="shared" si="4"/>
        <v>7355050103CARBITUMIMolienda de Carbón</v>
      </c>
      <c r="T256" t="str">
        <f>IFERROR(VLOOKUP(S256,Maestro!$A:$H,8,0),"Producción")</f>
        <v>Carbón</v>
      </c>
      <c r="U256" s="43" t="s">
        <v>182</v>
      </c>
    </row>
    <row r="257" spans="1:21" x14ac:dyDescent="0.3">
      <c r="A257" s="43">
        <v>7355050103</v>
      </c>
      <c r="B257" s="43" t="s">
        <v>450</v>
      </c>
      <c r="C257" s="50">
        <f>Datos!$R$9*D257+Datos!$R$90*D257</f>
        <v>319859525.23695993</v>
      </c>
      <c r="D257" s="50">
        <f>Datos!$R$461</f>
        <v>2129.7107870242321</v>
      </c>
      <c r="E257" s="43" t="s">
        <v>556</v>
      </c>
      <c r="F257" s="43" t="s">
        <v>557</v>
      </c>
      <c r="G257" s="43" t="s">
        <v>572</v>
      </c>
      <c r="H257" s="43" t="s">
        <v>573</v>
      </c>
      <c r="I257" s="43" t="s">
        <v>560</v>
      </c>
      <c r="J257" s="43" t="s">
        <v>523</v>
      </c>
      <c r="K257" s="43">
        <v>700002</v>
      </c>
      <c r="L257" s="43">
        <v>11</v>
      </c>
      <c r="M257" s="43" t="s">
        <v>575</v>
      </c>
      <c r="N257" s="51"/>
      <c r="O257" s="51"/>
      <c r="P257" s="43" t="str">
        <f>VLOOKUP(K257,Maestro!J:K,2,0)</f>
        <v>CARBON MOLIDO</v>
      </c>
      <c r="Q257" s="43" t="str">
        <f>VLOOKUP(P257,Maestro!E:F,2,0)</f>
        <v>Molienda de Carbón</v>
      </c>
      <c r="R257" s="43">
        <f>VLOOKUP(P257,ORD!$A:$C,3,0)</f>
        <v>4</v>
      </c>
      <c r="S257" t="str">
        <f t="shared" si="4"/>
        <v>7355050103CARMIXTOMolienda de Carbón</v>
      </c>
      <c r="T257" t="str">
        <f>IFERROR(VLOOKUP(S257,Maestro!$A:$H,8,0),"Producción")</f>
        <v>Carbón</v>
      </c>
      <c r="U257" s="43" t="s">
        <v>182</v>
      </c>
    </row>
    <row r="258" spans="1:21" x14ac:dyDescent="0.3">
      <c r="A258" s="43">
        <v>7355050103</v>
      </c>
      <c r="B258" s="43" t="s">
        <v>450</v>
      </c>
      <c r="C258" s="50"/>
      <c r="D258" s="56">
        <f>-Datos!$R$275</f>
        <v>-1715.320207482989</v>
      </c>
      <c r="E258" s="43" t="s">
        <v>556</v>
      </c>
      <c r="F258" s="43" t="s">
        <v>557</v>
      </c>
      <c r="G258" s="43" t="s">
        <v>572</v>
      </c>
      <c r="H258" s="43" t="s">
        <v>573</v>
      </c>
      <c r="I258" s="43" t="s">
        <v>560</v>
      </c>
      <c r="J258" s="43" t="s">
        <v>526</v>
      </c>
      <c r="K258" s="43">
        <v>700120</v>
      </c>
      <c r="L258" s="43">
        <v>11</v>
      </c>
      <c r="M258" s="43" t="s">
        <v>526</v>
      </c>
      <c r="N258" s="51"/>
      <c r="O258" s="51"/>
      <c r="P258" s="43" t="str">
        <f>VLOOKUP(K258,Maestro!J:K,2,0)</f>
        <v>COMBUSTIBLES ALTERNOS</v>
      </c>
      <c r="Q258" s="43" t="str">
        <f>VLOOKUP(P258,Maestro!E:F,2,0)</f>
        <v>COMBUSTIBLES ALTERNOS</v>
      </c>
      <c r="R258" s="43">
        <f>VLOOKUP(P258,ORD!$A:$C,3,0)</f>
        <v>20</v>
      </c>
      <c r="S258" t="str">
        <f t="shared" si="4"/>
        <v>7355050103COMBUSTIBLES ALTERNOSCOMBUSTIBLES ALTERNOS</v>
      </c>
      <c r="T258" t="str">
        <f>IFERROR(VLOOKUP(S258,Maestro!$A:$H,8,0),"Producción")</f>
        <v>Combustibles Alternos</v>
      </c>
      <c r="U258" s="43" t="s">
        <v>182</v>
      </c>
    </row>
    <row r="259" spans="1:21" x14ac:dyDescent="0.3">
      <c r="A259" s="43">
        <v>7999999995</v>
      </c>
      <c r="B259" s="43" t="s">
        <v>566</v>
      </c>
      <c r="C259" s="52"/>
      <c r="D259" s="166">
        <f>-Datos!$R$272</f>
        <v>-9988.3435911436482</v>
      </c>
      <c r="E259" s="43" t="s">
        <v>556</v>
      </c>
      <c r="F259" s="43" t="s">
        <v>557</v>
      </c>
      <c r="G259" s="43" t="s">
        <v>567</v>
      </c>
      <c r="H259" s="43" t="s">
        <v>568</v>
      </c>
      <c r="I259" s="43" t="s">
        <v>560</v>
      </c>
      <c r="J259" s="43" t="s">
        <v>455</v>
      </c>
      <c r="K259" s="43">
        <v>700002</v>
      </c>
      <c r="L259" s="43">
        <v>11</v>
      </c>
      <c r="M259" s="43" t="s">
        <v>452</v>
      </c>
      <c r="N259" s="51"/>
      <c r="O259" s="51"/>
      <c r="P259" s="43" t="str">
        <f>VLOOKUP(K259,Maestro!J:K,2,0)</f>
        <v>CARBON MOLIDO</v>
      </c>
      <c r="Q259" s="43" t="str">
        <f>VLOOKUP(P259,Maestro!E:F,2,0)</f>
        <v>Molienda de Carbón</v>
      </c>
      <c r="R259" s="43">
        <f>VLOOKUP(P259,ORD!$A:$C,3,0)</f>
        <v>4</v>
      </c>
      <c r="S259" t="str">
        <f t="shared" ref="S259:S322" si="5">A259&amp;J259&amp;Q259</f>
        <v>7999999995CARBONMOLMolienda de Carbón</v>
      </c>
      <c r="T259" t="str">
        <f>IFERROR(VLOOKUP(S259,Maestro!$A:$H,8,0),"Producción")</f>
        <v>Producción</v>
      </c>
      <c r="U259" s="43" t="s">
        <v>182</v>
      </c>
    </row>
    <row r="260" spans="1:21" x14ac:dyDescent="0.3">
      <c r="A260" s="43">
        <v>7355250320</v>
      </c>
      <c r="B260" s="43" t="s">
        <v>490</v>
      </c>
      <c r="C260" s="49">
        <f>Datos!$R$116*D260</f>
        <v>37845624.136032522</v>
      </c>
      <c r="D260" s="166">
        <f>Datos!$R$272</f>
        <v>9988.3435911436482</v>
      </c>
      <c r="E260" s="43"/>
      <c r="F260" s="43"/>
      <c r="G260" s="43"/>
      <c r="H260" s="43"/>
      <c r="I260" s="43" t="s">
        <v>560</v>
      </c>
      <c r="J260" s="40" t="s">
        <v>791</v>
      </c>
      <c r="K260" s="43">
        <v>700002</v>
      </c>
      <c r="L260" s="43">
        <v>11</v>
      </c>
      <c r="M260" s="43" t="s">
        <v>452</v>
      </c>
      <c r="N260" s="53"/>
      <c r="O260" s="53"/>
      <c r="P260" s="43" t="str">
        <f>VLOOKUP(K260,Maestro!J:K,2,0)</f>
        <v>CARBON MOLIDO</v>
      </c>
      <c r="Q260" s="43" t="str">
        <f>VLOOKUP(P260,Maestro!E:F,2,0)</f>
        <v>Molienda de Carbón</v>
      </c>
      <c r="R260" s="43">
        <f>VLOOKUP(P260,ORD!$A:$C,3,0)</f>
        <v>4</v>
      </c>
      <c r="S260" t="str">
        <f t="shared" si="5"/>
        <v>7355250320CUERPOS MOLEDORES Y LAMINASMolienda de Carbón</v>
      </c>
      <c r="T260" t="str">
        <f>IFERROR(VLOOKUP(S260,Maestro!$A:$H,8,0),"Producción")</f>
        <v>Cuerpos Moledores y Láminas</v>
      </c>
      <c r="U260" s="43" t="s">
        <v>182</v>
      </c>
    </row>
    <row r="261" spans="1:21" x14ac:dyDescent="0.3">
      <c r="A261" s="43">
        <v>7355050103</v>
      </c>
      <c r="B261" s="43" t="s">
        <v>450</v>
      </c>
      <c r="C261" s="50">
        <f>Datos!$S$10*Base!D261+Datos!$S$90*D261+Datos!$S$92*D261</f>
        <v>2042494666.0119939</v>
      </c>
      <c r="D261" s="50">
        <f>Datos!$S$463</f>
        <v>5334.6627241084097</v>
      </c>
      <c r="E261" s="43" t="s">
        <v>556</v>
      </c>
      <c r="F261" s="43" t="s">
        <v>557</v>
      </c>
      <c r="G261" s="43" t="s">
        <v>572</v>
      </c>
      <c r="H261" s="43" t="s">
        <v>573</v>
      </c>
      <c r="I261" s="43" t="s">
        <v>560</v>
      </c>
      <c r="J261" s="43" t="s">
        <v>451</v>
      </c>
      <c r="K261" s="43">
        <v>700002</v>
      </c>
      <c r="L261" s="43">
        <v>12</v>
      </c>
      <c r="M261" s="43" t="s">
        <v>574</v>
      </c>
      <c r="N261" s="51"/>
      <c r="O261" s="51"/>
      <c r="P261" s="43" t="str">
        <f>VLOOKUP(K261,Maestro!J:K,2,0)</f>
        <v>CARBON MOLIDO</v>
      </c>
      <c r="Q261" s="43" t="str">
        <f>VLOOKUP(P261,Maestro!E:F,2,0)</f>
        <v>Molienda de Carbón</v>
      </c>
      <c r="R261" s="43">
        <f>VLOOKUP(P261,ORD!$A:$C,3,0)</f>
        <v>4</v>
      </c>
      <c r="S261" t="str">
        <f t="shared" si="5"/>
        <v>7355050103CARBITUMIMolienda de Carbón</v>
      </c>
      <c r="T261" t="str">
        <f>IFERROR(VLOOKUP(S261,Maestro!$A:$H,8,0),"Producción")</f>
        <v>Carbón</v>
      </c>
      <c r="U261" s="43" t="s">
        <v>182</v>
      </c>
    </row>
    <row r="262" spans="1:21" x14ac:dyDescent="0.3">
      <c r="A262" s="43">
        <v>7355050103</v>
      </c>
      <c r="B262" s="43" t="s">
        <v>450</v>
      </c>
      <c r="C262" s="50">
        <f>Datos!$S$9*D262+Datos!$S$90*D262</f>
        <v>200634425.63248023</v>
      </c>
      <c r="D262" s="50">
        <f>Datos!$S$461</f>
        <v>1333.6656810271024</v>
      </c>
      <c r="E262" s="43" t="s">
        <v>556</v>
      </c>
      <c r="F262" s="43" t="s">
        <v>557</v>
      </c>
      <c r="G262" s="43" t="s">
        <v>572</v>
      </c>
      <c r="H262" s="43" t="s">
        <v>573</v>
      </c>
      <c r="I262" s="43" t="s">
        <v>560</v>
      </c>
      <c r="J262" s="43" t="s">
        <v>523</v>
      </c>
      <c r="K262" s="43">
        <v>700002</v>
      </c>
      <c r="L262" s="43">
        <v>12</v>
      </c>
      <c r="M262" s="43" t="s">
        <v>575</v>
      </c>
      <c r="N262" s="51"/>
      <c r="O262" s="51"/>
      <c r="P262" s="43" t="str">
        <f>VLOOKUP(K262,Maestro!J:K,2,0)</f>
        <v>CARBON MOLIDO</v>
      </c>
      <c r="Q262" s="43" t="str">
        <f>VLOOKUP(P262,Maestro!E:F,2,0)</f>
        <v>Molienda de Carbón</v>
      </c>
      <c r="R262" s="43">
        <f>VLOOKUP(P262,ORD!$A:$C,3,0)</f>
        <v>4</v>
      </c>
      <c r="S262" t="str">
        <f t="shared" si="5"/>
        <v>7355050103CARMIXTOMolienda de Carbón</v>
      </c>
      <c r="T262" t="str">
        <f>IFERROR(VLOOKUP(S262,Maestro!$A:$H,8,0),"Producción")</f>
        <v>Carbón</v>
      </c>
      <c r="U262" s="43" t="s">
        <v>182</v>
      </c>
    </row>
    <row r="263" spans="1:21" x14ac:dyDescent="0.3">
      <c r="A263" s="43">
        <v>7355050103</v>
      </c>
      <c r="B263" s="43" t="s">
        <v>450</v>
      </c>
      <c r="C263" s="50"/>
      <c r="D263" s="56">
        <f>-Datos!$S$275</f>
        <v>-1082.1552446580988</v>
      </c>
      <c r="E263" s="43" t="s">
        <v>556</v>
      </c>
      <c r="F263" s="43" t="s">
        <v>557</v>
      </c>
      <c r="G263" s="43" t="s">
        <v>572</v>
      </c>
      <c r="H263" s="43" t="s">
        <v>573</v>
      </c>
      <c r="I263" s="43" t="s">
        <v>560</v>
      </c>
      <c r="J263" s="43" t="s">
        <v>526</v>
      </c>
      <c r="K263" s="43">
        <v>700120</v>
      </c>
      <c r="L263" s="43">
        <v>12</v>
      </c>
      <c r="M263" s="43" t="s">
        <v>526</v>
      </c>
      <c r="N263" s="51"/>
      <c r="O263" s="51"/>
      <c r="P263" s="43" t="str">
        <f>VLOOKUP(K263,Maestro!J:K,2,0)</f>
        <v>COMBUSTIBLES ALTERNOS</v>
      </c>
      <c r="Q263" s="43" t="str">
        <f>VLOOKUP(P263,Maestro!E:F,2,0)</f>
        <v>COMBUSTIBLES ALTERNOS</v>
      </c>
      <c r="R263" s="43">
        <f>VLOOKUP(P263,ORD!$A:$C,3,0)</f>
        <v>20</v>
      </c>
      <c r="S263" t="str">
        <f t="shared" si="5"/>
        <v>7355050103COMBUSTIBLES ALTERNOSCOMBUSTIBLES ALTERNOS</v>
      </c>
      <c r="T263" t="str">
        <f>IFERROR(VLOOKUP(S263,Maestro!$A:$H,8,0),"Producción")</f>
        <v>Combustibles Alternos</v>
      </c>
      <c r="U263" s="43" t="s">
        <v>182</v>
      </c>
    </row>
    <row r="264" spans="1:21" x14ac:dyDescent="0.3">
      <c r="A264" s="43">
        <v>7999999995</v>
      </c>
      <c r="B264" s="43" t="s">
        <v>566</v>
      </c>
      <c r="C264" s="52"/>
      <c r="D264" s="166">
        <f>-Datos!$S$272</f>
        <v>-6254.8920440171096</v>
      </c>
      <c r="E264" s="43" t="s">
        <v>556</v>
      </c>
      <c r="F264" s="43" t="s">
        <v>557</v>
      </c>
      <c r="G264" s="43" t="s">
        <v>567</v>
      </c>
      <c r="H264" s="43" t="s">
        <v>568</v>
      </c>
      <c r="I264" s="43" t="s">
        <v>560</v>
      </c>
      <c r="J264" s="43" t="s">
        <v>455</v>
      </c>
      <c r="K264" s="43">
        <v>700002</v>
      </c>
      <c r="L264" s="43">
        <v>12</v>
      </c>
      <c r="M264" s="43" t="s">
        <v>452</v>
      </c>
      <c r="N264" s="51"/>
      <c r="O264" s="51"/>
      <c r="P264" s="43" t="str">
        <f>VLOOKUP(K264,Maestro!J:K,2,0)</f>
        <v>CARBON MOLIDO</v>
      </c>
      <c r="Q264" s="43" t="str">
        <f>VLOOKUP(P264,Maestro!E:F,2,0)</f>
        <v>Molienda de Carbón</v>
      </c>
      <c r="R264" s="43">
        <f>VLOOKUP(P264,ORD!$A:$C,3,0)</f>
        <v>4</v>
      </c>
      <c r="S264" t="str">
        <f t="shared" si="5"/>
        <v>7999999995CARBONMOLMolienda de Carbón</v>
      </c>
      <c r="T264" t="str">
        <f>IFERROR(VLOOKUP(S264,Maestro!$A:$H,8,0),"Producción")</f>
        <v>Producción</v>
      </c>
      <c r="U264" s="43" t="s">
        <v>182</v>
      </c>
    </row>
    <row r="265" spans="1:21" x14ac:dyDescent="0.3">
      <c r="A265" s="43">
        <v>7355250320</v>
      </c>
      <c r="B265" s="43" t="s">
        <v>490</v>
      </c>
      <c r="C265" s="49">
        <f>Datos!$S$116*D265</f>
        <v>23699654.617330566</v>
      </c>
      <c r="D265" s="166">
        <f>Datos!$S$272</f>
        <v>6254.8920440171096</v>
      </c>
      <c r="E265" s="43"/>
      <c r="F265" s="43"/>
      <c r="G265" s="43"/>
      <c r="H265" s="43"/>
      <c r="I265" s="43" t="s">
        <v>560</v>
      </c>
      <c r="J265" s="40" t="s">
        <v>791</v>
      </c>
      <c r="K265" s="43">
        <v>700002</v>
      </c>
      <c r="L265" s="43">
        <v>12</v>
      </c>
      <c r="M265" s="43" t="s">
        <v>452</v>
      </c>
      <c r="N265" s="53"/>
      <c r="O265" s="53"/>
      <c r="P265" s="43" t="str">
        <f>VLOOKUP(K265,Maestro!J:K,2,0)</f>
        <v>CARBON MOLIDO</v>
      </c>
      <c r="Q265" s="43" t="str">
        <f>VLOOKUP(P265,Maestro!E:F,2,0)</f>
        <v>Molienda de Carbón</v>
      </c>
      <c r="R265" s="43">
        <f>VLOOKUP(P265,ORD!$A:$C,3,0)</f>
        <v>4</v>
      </c>
      <c r="S265" t="str">
        <f t="shared" si="5"/>
        <v>7355250320CUERPOS MOLEDORES Y LAMINASMolienda de Carbón</v>
      </c>
      <c r="T265" t="str">
        <f>IFERROR(VLOOKUP(S265,Maestro!$A:$H,8,0),"Producción")</f>
        <v>Cuerpos Moledores y Láminas</v>
      </c>
      <c r="U265" s="43" t="s">
        <v>182</v>
      </c>
    </row>
    <row r="266" spans="1:21" x14ac:dyDescent="0.3">
      <c r="A266" s="43">
        <v>7105330101</v>
      </c>
      <c r="B266" s="43" t="s">
        <v>443</v>
      </c>
      <c r="C266" s="52">
        <f>Datos!$H$77*D266</f>
        <v>0</v>
      </c>
      <c r="D266" s="56">
        <f>Datos!$H$248*Datos!$H$182*(1+Datos!$H$222)</f>
        <v>0</v>
      </c>
      <c r="E266" s="43" t="s">
        <v>556</v>
      </c>
      <c r="F266" s="43" t="s">
        <v>557</v>
      </c>
      <c r="G266" s="43" t="s">
        <v>563</v>
      </c>
      <c r="H266" s="43" t="s">
        <v>564</v>
      </c>
      <c r="I266" s="43" t="s">
        <v>560</v>
      </c>
      <c r="J266" s="43" t="s">
        <v>519</v>
      </c>
      <c r="K266" s="43">
        <v>700003</v>
      </c>
      <c r="L266" s="43">
        <v>1</v>
      </c>
      <c r="M266" s="43" t="s">
        <v>576</v>
      </c>
      <c r="N266" s="51"/>
      <c r="O266" s="51"/>
      <c r="P266" s="43" t="str">
        <f>VLOOKUP(K266,Maestro!J:K,2,0)</f>
        <v>CEMENTO UG</v>
      </c>
      <c r="Q266" s="43" t="str">
        <f>VLOOKUP(P266,Maestro!E:F,2,0)</f>
        <v>Cemento UG</v>
      </c>
      <c r="R266" s="43">
        <f>VLOOKUP(P266,ORD!$A:$C,3,0)</f>
        <v>6</v>
      </c>
      <c r="S266" t="str">
        <f t="shared" si="5"/>
        <v>7105330101SALMARCemento UG</v>
      </c>
      <c r="T266" t="str">
        <f>IFERROR(VLOOKUP(S266,Maestro!$A:$H,8,0),"Producción")</f>
        <v>Sal Marina</v>
      </c>
      <c r="U266" s="43" t="s">
        <v>182</v>
      </c>
    </row>
    <row r="267" spans="1:21" x14ac:dyDescent="0.3">
      <c r="A267" s="43">
        <v>7105330101</v>
      </c>
      <c r="B267" s="43" t="s">
        <v>443</v>
      </c>
      <c r="C267" s="50"/>
      <c r="D267" s="56">
        <f>Datos!$H$248*Datos!$H$180*(1+Datos!$H$210)</f>
        <v>24717.490209557713</v>
      </c>
      <c r="E267" s="43" t="s">
        <v>556</v>
      </c>
      <c r="F267" s="43" t="s">
        <v>557</v>
      </c>
      <c r="G267" s="43" t="s">
        <v>563</v>
      </c>
      <c r="H267" s="43" t="s">
        <v>564</v>
      </c>
      <c r="I267" s="43" t="s">
        <v>560</v>
      </c>
      <c r="J267" s="43" t="s">
        <v>444</v>
      </c>
      <c r="K267" s="43">
        <v>700003</v>
      </c>
      <c r="L267" s="43">
        <v>1</v>
      </c>
      <c r="M267" s="43" t="s">
        <v>565</v>
      </c>
      <c r="N267" s="51"/>
      <c r="O267" s="51"/>
      <c r="P267" s="43" t="str">
        <f>VLOOKUP(K267,Maestro!J:K,2,0)</f>
        <v>CEMENTO UG</v>
      </c>
      <c r="Q267" s="43" t="str">
        <f>VLOOKUP(P267,Maestro!E:F,2,0)</f>
        <v>Cemento UG</v>
      </c>
      <c r="R267" s="43">
        <f>VLOOKUP(P267,ORD!$A:$C,3,0)</f>
        <v>6</v>
      </c>
      <c r="S267" t="str">
        <f t="shared" si="5"/>
        <v>7105330101CALIZATRICemento UG</v>
      </c>
      <c r="T267" t="str">
        <f>IFERROR(VLOOKUP(S267,Maestro!$A:$H,8,0),"Producción")</f>
        <v>Caliza Triturada</v>
      </c>
      <c r="U267" s="43" t="s">
        <v>182</v>
      </c>
    </row>
    <row r="268" spans="1:21" x14ac:dyDescent="0.3">
      <c r="A268" s="43">
        <v>7105450101</v>
      </c>
      <c r="B268" s="43" t="s">
        <v>466</v>
      </c>
      <c r="C268" s="50">
        <f>Datos!$H$64*D268+Datos!$H$90*D268</f>
        <v>608305442.77179873</v>
      </c>
      <c r="D268" s="56">
        <f>Datos!$H$248*Datos!$H$181*(1+Datos!$H$221)</f>
        <v>2615.6985752470464</v>
      </c>
      <c r="E268" s="43" t="s">
        <v>556</v>
      </c>
      <c r="F268" s="43" t="s">
        <v>557</v>
      </c>
      <c r="G268" s="43" t="s">
        <v>577</v>
      </c>
      <c r="H268" s="43" t="s">
        <v>578</v>
      </c>
      <c r="I268" s="43" t="s">
        <v>560</v>
      </c>
      <c r="J268" s="43" t="s">
        <v>467</v>
      </c>
      <c r="K268" s="43">
        <v>700003</v>
      </c>
      <c r="L268" s="43">
        <v>1</v>
      </c>
      <c r="M268" s="43" t="s">
        <v>579</v>
      </c>
      <c r="N268" s="51"/>
      <c r="O268" s="51"/>
      <c r="P268" s="43" t="str">
        <f>VLOOKUP(K268,Maestro!J:K,2,0)</f>
        <v>CEMENTO UG</v>
      </c>
      <c r="Q268" s="43" t="str">
        <f>VLOOKUP(P268,Maestro!E:F,2,0)</f>
        <v>Cemento UG</v>
      </c>
      <c r="R268" s="43">
        <f>VLOOKUP(P268,ORD!$A:$C,3,0)</f>
        <v>6</v>
      </c>
      <c r="S268" t="str">
        <f t="shared" si="5"/>
        <v>7105450101YESO00001Cemento UG</v>
      </c>
      <c r="T268" t="str">
        <f>IFERROR(VLOOKUP(S268,Maestro!$A:$H,8,0),"Producción")</f>
        <v>Yeso</v>
      </c>
      <c r="U268" s="43" t="s">
        <v>182</v>
      </c>
    </row>
    <row r="269" spans="1:21" x14ac:dyDescent="0.3">
      <c r="A269" s="43">
        <v>7105400101</v>
      </c>
      <c r="B269" s="43" t="s">
        <v>535</v>
      </c>
      <c r="C269" s="50">
        <f>Datos!$H$76*D269</f>
        <v>140092544.93823633</v>
      </c>
      <c r="D269" s="56">
        <f>Datos!$H$248*Datos!$H$186</f>
        <v>31.865576280886078</v>
      </c>
      <c r="E269" s="43" t="s">
        <v>556</v>
      </c>
      <c r="F269" s="43" t="s">
        <v>557</v>
      </c>
      <c r="G269" s="43" t="s">
        <v>563</v>
      </c>
      <c r="H269" s="43" t="s">
        <v>564</v>
      </c>
      <c r="I269" s="43" t="s">
        <v>560</v>
      </c>
      <c r="J269" s="43" t="s">
        <v>536</v>
      </c>
      <c r="K269" s="43">
        <v>700003</v>
      </c>
      <c r="L269" s="43">
        <v>1</v>
      </c>
      <c r="M269" s="43" t="s">
        <v>580</v>
      </c>
      <c r="N269" s="51"/>
      <c r="O269" s="51"/>
      <c r="P269" s="43" t="str">
        <f>VLOOKUP(K269,Maestro!J:K,2,0)</f>
        <v>CEMENTO UG</v>
      </c>
      <c r="Q269" s="43" t="str">
        <f>VLOOKUP(P269,Maestro!E:F,2,0)</f>
        <v>Cemento UG</v>
      </c>
      <c r="R269" s="43">
        <f>VLOOKUP(P269,ORD!$A:$C,3,0)</f>
        <v>6</v>
      </c>
      <c r="S269" t="str">
        <f t="shared" si="5"/>
        <v>7105400101ADIMOLIENCemento UG</v>
      </c>
      <c r="T269" t="str">
        <f>IFERROR(VLOOKUP(S269,Maestro!$A:$H,8,0),"Producción")</f>
        <v>Aditivo Molienda</v>
      </c>
      <c r="U269" s="43" t="s">
        <v>182</v>
      </c>
    </row>
    <row r="270" spans="1:21" x14ac:dyDescent="0.3">
      <c r="A270" s="43">
        <v>7105400101</v>
      </c>
      <c r="B270" s="43" t="s">
        <v>535</v>
      </c>
      <c r="C270" s="50">
        <f>Datos!$H$93*D270+Datos!$H$90*D270</f>
        <v>200779165.63424346</v>
      </c>
      <c r="D270" s="56">
        <f>Datos!$H$248*Datos!$H$184*(1+Datos!$H$223)</f>
        <v>1911.9345768531648</v>
      </c>
      <c r="E270" s="43" t="s">
        <v>556</v>
      </c>
      <c r="F270" s="43" t="s">
        <v>557</v>
      </c>
      <c r="G270" s="43" t="s">
        <v>563</v>
      </c>
      <c r="H270" s="43" t="s">
        <v>564</v>
      </c>
      <c r="I270" s="43" t="s">
        <v>560</v>
      </c>
      <c r="J270" s="43" t="s">
        <v>538</v>
      </c>
      <c r="K270" s="43">
        <v>700003</v>
      </c>
      <c r="L270" s="43">
        <v>1</v>
      </c>
      <c r="M270" s="43" t="s">
        <v>538</v>
      </c>
      <c r="N270" s="51"/>
      <c r="O270" s="51"/>
      <c r="P270" s="43" t="str">
        <f>VLOOKUP(K270,Maestro!J:K,2,0)</f>
        <v>CEMENTO UG</v>
      </c>
      <c r="Q270" s="43" t="str">
        <f>VLOOKUP(P270,Maestro!E:F,2,0)</f>
        <v>Cemento UG</v>
      </c>
      <c r="R270" s="43">
        <f>VLOOKUP(P270,ORD!$A:$C,3,0)</f>
        <v>6</v>
      </c>
      <c r="S270" t="str">
        <f t="shared" si="5"/>
        <v>7105400101PUZOLANACemento UG</v>
      </c>
      <c r="T270" t="str">
        <f>IFERROR(VLOOKUP(S270,Maestro!$A:$H,8,0),"Producción")</f>
        <v>Puzolana</v>
      </c>
      <c r="U270" s="43" t="s">
        <v>182</v>
      </c>
    </row>
    <row r="271" spans="1:21" x14ac:dyDescent="0.3">
      <c r="A271" s="43">
        <v>7105400101</v>
      </c>
      <c r="B271" s="43" t="s">
        <v>535</v>
      </c>
      <c r="C271" s="50"/>
      <c r="D271" s="56">
        <f>Datos!$H$248*Datos!$H$183*(1+Datos!$H$218)</f>
        <v>1921.4942497374302</v>
      </c>
      <c r="E271" s="43" t="s">
        <v>556</v>
      </c>
      <c r="F271" s="43" t="s">
        <v>557</v>
      </c>
      <c r="G271" s="43" t="s">
        <v>563</v>
      </c>
      <c r="H271" s="43" t="s">
        <v>564</v>
      </c>
      <c r="I271" s="43" t="s">
        <v>560</v>
      </c>
      <c r="J271" s="43" t="s">
        <v>539</v>
      </c>
      <c r="K271" s="43">
        <v>700003</v>
      </c>
      <c r="L271" s="43">
        <v>1</v>
      </c>
      <c r="M271" s="43" t="s">
        <v>445</v>
      </c>
      <c r="N271" s="51"/>
      <c r="O271" s="51"/>
      <c r="P271" s="43" t="str">
        <f>VLOOKUP(K271,Maestro!J:K,2,0)</f>
        <v>CEMENTO UG</v>
      </c>
      <c r="Q271" s="43" t="str">
        <f>VLOOKUP(P271,Maestro!E:F,2,0)</f>
        <v>Cemento UG</v>
      </c>
      <c r="R271" s="43">
        <f>VLOOKUP(P271,ORD!$A:$C,3,0)</f>
        <v>6</v>
      </c>
      <c r="S271" t="str">
        <f t="shared" si="5"/>
        <v>7105400101CRUDOCemento UG</v>
      </c>
      <c r="T271" t="str">
        <f>IFERROR(VLOOKUP(S271,Maestro!$A:$H,8,0),"Producción")</f>
        <v>Finos Filtro</v>
      </c>
      <c r="U271" s="43" t="s">
        <v>182</v>
      </c>
    </row>
    <row r="272" spans="1:21" x14ac:dyDescent="0.3">
      <c r="A272" s="43">
        <v>7199990001</v>
      </c>
      <c r="B272" s="43" t="s">
        <v>438</v>
      </c>
      <c r="C272" s="50"/>
      <c r="D272" s="56">
        <f>Datos!$H$248*Datos!$H$179*(1+Datos!$H$219)</f>
        <v>33140.19933212152</v>
      </c>
      <c r="E272" s="43" t="s">
        <v>556</v>
      </c>
      <c r="F272" s="43" t="s">
        <v>557</v>
      </c>
      <c r="G272" s="43" t="s">
        <v>567</v>
      </c>
      <c r="H272" s="43" t="s">
        <v>568</v>
      </c>
      <c r="I272" s="43" t="s">
        <v>560</v>
      </c>
      <c r="J272" s="43" t="s">
        <v>463</v>
      </c>
      <c r="K272" s="43">
        <v>700003</v>
      </c>
      <c r="L272" s="43">
        <v>1</v>
      </c>
      <c r="M272" s="43" t="s">
        <v>62</v>
      </c>
      <c r="N272" s="51"/>
      <c r="O272" s="51"/>
      <c r="P272" s="43" t="str">
        <f>VLOOKUP(K272,Maestro!J:K,2,0)</f>
        <v>CEMENTO UG</v>
      </c>
      <c r="Q272" s="43" t="str">
        <f>VLOOKUP(P272,Maestro!E:F,2,0)</f>
        <v>Cemento UG</v>
      </c>
      <c r="R272" s="43">
        <f>VLOOKUP(P272,ORD!$A:$C,3,0)</f>
        <v>6</v>
      </c>
      <c r="S272" t="str">
        <f t="shared" si="5"/>
        <v>7199990001CLINKER001Cemento UG</v>
      </c>
      <c r="T272" t="str">
        <f>IFERROR(VLOOKUP(S272,Maestro!$A:$H,8,0),"Producción")</f>
        <v>Clinker</v>
      </c>
      <c r="U272" s="43" t="s">
        <v>182</v>
      </c>
    </row>
    <row r="273" spans="1:21" x14ac:dyDescent="0.3">
      <c r="A273" s="43">
        <v>7999999995</v>
      </c>
      <c r="B273" s="43" t="s">
        <v>566</v>
      </c>
      <c r="C273" s="50"/>
      <c r="D273" s="56">
        <f>-Datos!$H$248</f>
        <v>-63731.152561772156</v>
      </c>
      <c r="E273" s="43" t="s">
        <v>556</v>
      </c>
      <c r="F273" s="43" t="s">
        <v>557</v>
      </c>
      <c r="G273" s="43" t="s">
        <v>567</v>
      </c>
      <c r="H273" s="43" t="s">
        <v>568</v>
      </c>
      <c r="I273" s="43" t="s">
        <v>560</v>
      </c>
      <c r="J273" s="43" t="s">
        <v>476</v>
      </c>
      <c r="K273" s="43">
        <v>700003</v>
      </c>
      <c r="L273" s="43">
        <v>1</v>
      </c>
      <c r="M273" s="43" t="s">
        <v>464</v>
      </c>
      <c r="N273" s="51"/>
      <c r="O273" s="51"/>
      <c r="P273" s="43" t="str">
        <f>VLOOKUP(K273,Maestro!J:K,2,0)</f>
        <v>CEMENTO UG</v>
      </c>
      <c r="Q273" s="43" t="str">
        <f>VLOOKUP(P273,Maestro!E:F,2,0)</f>
        <v>Cemento UG</v>
      </c>
      <c r="R273" s="43">
        <f>VLOOKUP(P273,ORD!$A:$C,3,0)</f>
        <v>6</v>
      </c>
      <c r="S273" t="str">
        <f t="shared" si="5"/>
        <v>7999999995CEMENTOUG1Cemento UG</v>
      </c>
      <c r="T273" t="str">
        <f>IFERROR(VLOOKUP(S273,Maestro!$A:$H,8,0),"Producción")</f>
        <v>Producción</v>
      </c>
      <c r="U273" s="43" t="s">
        <v>182</v>
      </c>
    </row>
    <row r="274" spans="1:21" x14ac:dyDescent="0.3">
      <c r="A274" s="43">
        <v>7355250320</v>
      </c>
      <c r="B274" s="43" t="s">
        <v>490</v>
      </c>
      <c r="C274" s="52">
        <f>Datos!$H$120*D274+Datos!$H$122*D274</f>
        <v>98122838.722862527</v>
      </c>
      <c r="D274" s="56">
        <f>Datos!$H$248</f>
        <v>63731.152561772156</v>
      </c>
      <c r="E274" s="57"/>
      <c r="F274" s="58"/>
      <c r="G274" s="43"/>
      <c r="H274" s="43"/>
      <c r="I274" s="43" t="s">
        <v>560</v>
      </c>
      <c r="J274" s="43" t="s">
        <v>802</v>
      </c>
      <c r="K274" s="43">
        <v>700003</v>
      </c>
      <c r="L274" s="43">
        <v>1</v>
      </c>
      <c r="M274" s="43" t="s">
        <v>464</v>
      </c>
      <c r="N274" s="53"/>
      <c r="O274" s="53"/>
      <c r="P274" s="43" t="str">
        <f>VLOOKUP(K274,Maestro!J:K,2,0)</f>
        <v>CEMENTO UG</v>
      </c>
      <c r="Q274" s="43" t="str">
        <f>VLOOKUP(P274,Maestro!E:F,2,0)</f>
        <v>Cemento UG</v>
      </c>
      <c r="R274" s="43">
        <f>VLOOKUP(P274,ORD!$A:$C,3,0)</f>
        <v>6</v>
      </c>
      <c r="S274" t="str">
        <f t="shared" si="5"/>
        <v>7355250320PLACAS Y SEGMENTOSCemento UG</v>
      </c>
      <c r="T274" t="str">
        <f>IFERROR(VLOOKUP(S274,Maestro!$A:$H,8,0),"Producción")</f>
        <v>Placas y Segmentos</v>
      </c>
      <c r="U274" s="43" t="s">
        <v>182</v>
      </c>
    </row>
    <row r="275" spans="1:21" x14ac:dyDescent="0.3">
      <c r="A275" s="43">
        <v>7105330101</v>
      </c>
      <c r="B275" s="43" t="s">
        <v>443</v>
      </c>
      <c r="C275" s="52">
        <f>Datos!$I$77*D275</f>
        <v>0</v>
      </c>
      <c r="D275" s="56">
        <f>Datos!$I$248*Datos!$I$182*(1+Datos!$I$222)</f>
        <v>0</v>
      </c>
      <c r="E275" s="43" t="s">
        <v>556</v>
      </c>
      <c r="F275" s="43" t="s">
        <v>557</v>
      </c>
      <c r="G275" s="43" t="s">
        <v>563</v>
      </c>
      <c r="H275" s="43" t="s">
        <v>564</v>
      </c>
      <c r="I275" s="43" t="s">
        <v>560</v>
      </c>
      <c r="J275" s="43" t="s">
        <v>519</v>
      </c>
      <c r="K275" s="43">
        <v>700003</v>
      </c>
      <c r="L275" s="43">
        <v>2</v>
      </c>
      <c r="M275" s="43" t="s">
        <v>576</v>
      </c>
      <c r="N275" s="51"/>
      <c r="O275" s="51"/>
      <c r="P275" s="43" t="str">
        <f>VLOOKUP(K275,Maestro!J:K,2,0)</f>
        <v>CEMENTO UG</v>
      </c>
      <c r="Q275" s="43" t="str">
        <f>VLOOKUP(P275,Maestro!E:F,2,0)</f>
        <v>Cemento UG</v>
      </c>
      <c r="R275" s="43">
        <f>VLOOKUP(P275,ORD!$A:$C,3,0)</f>
        <v>6</v>
      </c>
      <c r="S275" t="str">
        <f t="shared" si="5"/>
        <v>7105330101SALMARCemento UG</v>
      </c>
      <c r="T275" t="str">
        <f>IFERROR(VLOOKUP(S275,Maestro!$A:$H,8,0),"Producción")</f>
        <v>Sal Marina</v>
      </c>
      <c r="U275" s="43" t="s">
        <v>182</v>
      </c>
    </row>
    <row r="276" spans="1:21" x14ac:dyDescent="0.3">
      <c r="A276" s="43">
        <v>7105330101</v>
      </c>
      <c r="B276" s="43" t="s">
        <v>443</v>
      </c>
      <c r="C276" s="50"/>
      <c r="D276" s="56">
        <f>Datos!$I$248*Datos!$I$180*(1+Datos!$I$210)</f>
        <v>25774.54595169457</v>
      </c>
      <c r="E276" s="43" t="s">
        <v>556</v>
      </c>
      <c r="F276" s="43" t="s">
        <v>557</v>
      </c>
      <c r="G276" s="43" t="s">
        <v>563</v>
      </c>
      <c r="H276" s="43" t="s">
        <v>564</v>
      </c>
      <c r="I276" s="43" t="s">
        <v>560</v>
      </c>
      <c r="J276" s="43" t="s">
        <v>444</v>
      </c>
      <c r="K276" s="43">
        <v>700003</v>
      </c>
      <c r="L276" s="43">
        <v>2</v>
      </c>
      <c r="M276" s="43" t="s">
        <v>565</v>
      </c>
      <c r="N276" s="51"/>
      <c r="O276" s="51"/>
      <c r="P276" s="43" t="str">
        <f>VLOOKUP(K276,Maestro!J:K,2,0)</f>
        <v>CEMENTO UG</v>
      </c>
      <c r="Q276" s="43" t="str">
        <f>VLOOKUP(P276,Maestro!E:F,2,0)</f>
        <v>Cemento UG</v>
      </c>
      <c r="R276" s="43">
        <f>VLOOKUP(P276,ORD!$A:$C,3,0)</f>
        <v>6</v>
      </c>
      <c r="S276" t="str">
        <f t="shared" si="5"/>
        <v>7105330101CALIZATRICemento UG</v>
      </c>
      <c r="T276" t="str">
        <f>IFERROR(VLOOKUP(S276,Maestro!$A:$H,8,0),"Producción")</f>
        <v>Caliza Triturada</v>
      </c>
      <c r="U276" s="43" t="s">
        <v>182</v>
      </c>
    </row>
    <row r="277" spans="1:21" x14ac:dyDescent="0.3">
      <c r="A277" s="43">
        <v>7105450101</v>
      </c>
      <c r="B277" s="43" t="s">
        <v>466</v>
      </c>
      <c r="C277" s="50">
        <f>Datos!$I$64*D277+Datos!$I$90*D277</f>
        <v>634242912.33843863</v>
      </c>
      <c r="D277" s="56">
        <f>Datos!$I$248*Datos!$I$181*(1+Datos!$I$221)</f>
        <v>2727.5602236273071</v>
      </c>
      <c r="E277" s="43" t="s">
        <v>556</v>
      </c>
      <c r="F277" s="43" t="s">
        <v>557</v>
      </c>
      <c r="G277" s="43" t="s">
        <v>577</v>
      </c>
      <c r="H277" s="43" t="s">
        <v>578</v>
      </c>
      <c r="I277" s="43" t="s">
        <v>560</v>
      </c>
      <c r="J277" s="43" t="s">
        <v>467</v>
      </c>
      <c r="K277" s="43">
        <v>700003</v>
      </c>
      <c r="L277" s="43">
        <v>2</v>
      </c>
      <c r="M277" s="43" t="s">
        <v>579</v>
      </c>
      <c r="N277" s="51"/>
      <c r="O277" s="51"/>
      <c r="P277" s="43" t="str">
        <f>VLOOKUP(K277,Maestro!J:K,2,0)</f>
        <v>CEMENTO UG</v>
      </c>
      <c r="Q277" s="43" t="str">
        <f>VLOOKUP(P277,Maestro!E:F,2,0)</f>
        <v>Cemento UG</v>
      </c>
      <c r="R277" s="43">
        <f>VLOOKUP(P277,ORD!$A:$C,3,0)</f>
        <v>6</v>
      </c>
      <c r="S277" t="str">
        <f t="shared" si="5"/>
        <v>7105450101YESO00001Cemento UG</v>
      </c>
      <c r="T277" t="str">
        <f>IFERROR(VLOOKUP(S277,Maestro!$A:$H,8,0),"Producción")</f>
        <v>Yeso</v>
      </c>
      <c r="U277" s="43" t="s">
        <v>182</v>
      </c>
    </row>
    <row r="278" spans="1:21" x14ac:dyDescent="0.3">
      <c r="A278" s="43">
        <v>7105400101</v>
      </c>
      <c r="B278" s="43" t="s">
        <v>535</v>
      </c>
      <c r="C278" s="50">
        <f>Datos!$I$76*D278</f>
        <v>146083672.1846534</v>
      </c>
      <c r="D278" s="56">
        <f>Datos!$I$248*Datos!$I$186</f>
        <v>33.228323473203602</v>
      </c>
      <c r="E278" s="43" t="s">
        <v>556</v>
      </c>
      <c r="F278" s="43" t="s">
        <v>557</v>
      </c>
      <c r="G278" s="43" t="s">
        <v>563</v>
      </c>
      <c r="H278" s="43" t="s">
        <v>564</v>
      </c>
      <c r="I278" s="43" t="s">
        <v>560</v>
      </c>
      <c r="J278" s="43" t="s">
        <v>536</v>
      </c>
      <c r="K278" s="43">
        <v>700003</v>
      </c>
      <c r="L278" s="43">
        <v>2</v>
      </c>
      <c r="M278" s="43" t="s">
        <v>580</v>
      </c>
      <c r="N278" s="51"/>
      <c r="O278" s="51"/>
      <c r="P278" s="43" t="str">
        <f>VLOOKUP(K278,Maestro!J:K,2,0)</f>
        <v>CEMENTO UG</v>
      </c>
      <c r="Q278" s="43" t="str">
        <f>VLOOKUP(P278,Maestro!E:F,2,0)</f>
        <v>Cemento UG</v>
      </c>
      <c r="R278" s="43">
        <f>VLOOKUP(P278,ORD!$A:$C,3,0)</f>
        <v>6</v>
      </c>
      <c r="S278" t="str">
        <f t="shared" si="5"/>
        <v>7105400101ADIMOLIENCemento UG</v>
      </c>
      <c r="T278" t="str">
        <f>IFERROR(VLOOKUP(S278,Maestro!$A:$H,8,0),"Producción")</f>
        <v>Aditivo Molienda</v>
      </c>
      <c r="U278" s="43" t="s">
        <v>182</v>
      </c>
    </row>
    <row r="279" spans="1:21" x14ac:dyDescent="0.3">
      <c r="A279" s="43">
        <v>7105400101</v>
      </c>
      <c r="B279" s="43" t="s">
        <v>535</v>
      </c>
      <c r="C279" s="50">
        <f>Datos!$I$93*D279+Datos!$I$90*D279</f>
        <v>209309292.72435129</v>
      </c>
      <c r="D279" s="56">
        <f>Datos!$I$248*Datos!$I$184*(1+Datos!$I$223)</f>
        <v>1993.6994083922159</v>
      </c>
      <c r="E279" s="43" t="s">
        <v>556</v>
      </c>
      <c r="F279" s="43" t="s">
        <v>557</v>
      </c>
      <c r="G279" s="43" t="s">
        <v>563</v>
      </c>
      <c r="H279" s="43" t="s">
        <v>564</v>
      </c>
      <c r="I279" s="43" t="s">
        <v>560</v>
      </c>
      <c r="J279" s="43" t="s">
        <v>538</v>
      </c>
      <c r="K279" s="43">
        <v>700003</v>
      </c>
      <c r="L279" s="43">
        <v>2</v>
      </c>
      <c r="M279" s="43" t="s">
        <v>538</v>
      </c>
      <c r="N279" s="51"/>
      <c r="O279" s="51"/>
      <c r="P279" s="43" t="str">
        <f>VLOOKUP(K279,Maestro!J:K,2,0)</f>
        <v>CEMENTO UG</v>
      </c>
      <c r="Q279" s="43" t="str">
        <f>VLOOKUP(P279,Maestro!E:F,2,0)</f>
        <v>Cemento UG</v>
      </c>
      <c r="R279" s="43">
        <f>VLOOKUP(P279,ORD!$A:$C,3,0)</f>
        <v>6</v>
      </c>
      <c r="S279" t="str">
        <f t="shared" si="5"/>
        <v>7105400101PUZOLANACemento UG</v>
      </c>
      <c r="T279" t="str">
        <f>IFERROR(VLOOKUP(S279,Maestro!$A:$H,8,0),"Producción")</f>
        <v>Puzolana</v>
      </c>
      <c r="U279" s="43" t="s">
        <v>182</v>
      </c>
    </row>
    <row r="280" spans="1:21" x14ac:dyDescent="0.3">
      <c r="A280" s="43">
        <v>7105400101</v>
      </c>
      <c r="B280" s="43" t="s">
        <v>535</v>
      </c>
      <c r="C280" s="50"/>
      <c r="D280" s="56">
        <f>Datos!$I$248*Datos!$I$183*(1+Datos!$I$218)</f>
        <v>2003.6679054341769</v>
      </c>
      <c r="E280" s="43" t="s">
        <v>556</v>
      </c>
      <c r="F280" s="43" t="s">
        <v>557</v>
      </c>
      <c r="G280" s="43" t="s">
        <v>563</v>
      </c>
      <c r="H280" s="43" t="s">
        <v>564</v>
      </c>
      <c r="I280" s="43" t="s">
        <v>560</v>
      </c>
      <c r="J280" s="43" t="s">
        <v>539</v>
      </c>
      <c r="K280" s="43">
        <v>700003</v>
      </c>
      <c r="L280" s="43">
        <v>2</v>
      </c>
      <c r="M280" s="43" t="s">
        <v>445</v>
      </c>
      <c r="N280" s="51"/>
      <c r="O280" s="51"/>
      <c r="P280" s="43" t="str">
        <f>VLOOKUP(K280,Maestro!J:K,2,0)</f>
        <v>CEMENTO UG</v>
      </c>
      <c r="Q280" s="43" t="str">
        <f>VLOOKUP(P280,Maestro!E:F,2,0)</f>
        <v>Cemento UG</v>
      </c>
      <c r="R280" s="43">
        <f>VLOOKUP(P280,ORD!$A:$C,3,0)</f>
        <v>6</v>
      </c>
      <c r="S280" t="str">
        <f t="shared" si="5"/>
        <v>7105400101CRUDOCemento UG</v>
      </c>
      <c r="T280" t="str">
        <f>IFERROR(VLOOKUP(S280,Maestro!$A:$H,8,0),"Producción")</f>
        <v>Finos Filtro</v>
      </c>
      <c r="U280" s="43" t="s">
        <v>182</v>
      </c>
    </row>
    <row r="281" spans="1:21" x14ac:dyDescent="0.3">
      <c r="A281" s="43">
        <v>7199990001</v>
      </c>
      <c r="B281" s="43" t="s">
        <v>438</v>
      </c>
      <c r="C281" s="50"/>
      <c r="D281" s="56">
        <f>Datos!$I$248*Datos!$I$179*(1+Datos!$I$219)</f>
        <v>34557.456412131745</v>
      </c>
      <c r="E281" s="43" t="s">
        <v>556</v>
      </c>
      <c r="F281" s="43" t="s">
        <v>557</v>
      </c>
      <c r="G281" s="43" t="s">
        <v>567</v>
      </c>
      <c r="H281" s="43" t="s">
        <v>568</v>
      </c>
      <c r="I281" s="43" t="s">
        <v>560</v>
      </c>
      <c r="J281" s="43" t="s">
        <v>463</v>
      </c>
      <c r="K281" s="43">
        <v>700003</v>
      </c>
      <c r="L281" s="43">
        <v>2</v>
      </c>
      <c r="M281" s="43" t="s">
        <v>62</v>
      </c>
      <c r="N281" s="51"/>
      <c r="O281" s="51"/>
      <c r="P281" s="43" t="str">
        <f>VLOOKUP(K281,Maestro!J:K,2,0)</f>
        <v>CEMENTO UG</v>
      </c>
      <c r="Q281" s="43" t="str">
        <f>VLOOKUP(P281,Maestro!E:F,2,0)</f>
        <v>Cemento UG</v>
      </c>
      <c r="R281" s="43">
        <f>VLOOKUP(P281,ORD!$A:$C,3,0)</f>
        <v>6</v>
      </c>
      <c r="S281" t="str">
        <f t="shared" si="5"/>
        <v>7199990001CLINKER001Cemento UG</v>
      </c>
      <c r="T281" t="str">
        <f>IFERROR(VLOOKUP(S281,Maestro!$A:$H,8,0),"Producción")</f>
        <v>Clinker</v>
      </c>
      <c r="U281" s="43" t="s">
        <v>182</v>
      </c>
    </row>
    <row r="282" spans="1:21" x14ac:dyDescent="0.3">
      <c r="A282" s="43">
        <v>7999999995</v>
      </c>
      <c r="B282" s="43" t="s">
        <v>566</v>
      </c>
      <c r="C282" s="52"/>
      <c r="D282" s="56">
        <f>-Datos!$I$248</f>
        <v>-66456.6469464072</v>
      </c>
      <c r="E282" s="43" t="s">
        <v>556</v>
      </c>
      <c r="F282" s="43" t="s">
        <v>557</v>
      </c>
      <c r="G282" s="43" t="s">
        <v>567</v>
      </c>
      <c r="H282" s="43" t="s">
        <v>568</v>
      </c>
      <c r="I282" s="43" t="s">
        <v>560</v>
      </c>
      <c r="J282" s="43" t="s">
        <v>476</v>
      </c>
      <c r="K282" s="43">
        <v>700003</v>
      </c>
      <c r="L282" s="43">
        <v>2</v>
      </c>
      <c r="M282" s="43" t="s">
        <v>464</v>
      </c>
      <c r="N282" s="51"/>
      <c r="O282" s="51"/>
      <c r="P282" s="43" t="str">
        <f>VLOOKUP(K282,Maestro!J:K,2,0)</f>
        <v>CEMENTO UG</v>
      </c>
      <c r="Q282" s="43" t="str">
        <f>VLOOKUP(P282,Maestro!E:F,2,0)</f>
        <v>Cemento UG</v>
      </c>
      <c r="R282" s="43">
        <f>VLOOKUP(P282,ORD!$A:$C,3,0)</f>
        <v>6</v>
      </c>
      <c r="S282" t="str">
        <f t="shared" si="5"/>
        <v>7999999995CEMENTOUG1Cemento UG</v>
      </c>
      <c r="T282" t="str">
        <f>IFERROR(VLOOKUP(S282,Maestro!$A:$H,8,0),"Producción")</f>
        <v>Producción</v>
      </c>
      <c r="U282" s="43" t="s">
        <v>182</v>
      </c>
    </row>
    <row r="283" spans="1:21" x14ac:dyDescent="0.3">
      <c r="A283" s="43">
        <v>7355250320</v>
      </c>
      <c r="B283" s="43" t="s">
        <v>490</v>
      </c>
      <c r="C283" s="52">
        <f>Datos!$I$120*D283+Datos!$I$122*D283</f>
        <v>102319110.64316711</v>
      </c>
      <c r="D283" s="56">
        <f>Datos!$I$248</f>
        <v>66456.6469464072</v>
      </c>
      <c r="E283" s="57"/>
      <c r="F283" s="58"/>
      <c r="G283" s="43"/>
      <c r="H283" s="43"/>
      <c r="I283" s="43" t="s">
        <v>560</v>
      </c>
      <c r="J283" s="43" t="s">
        <v>802</v>
      </c>
      <c r="K283" s="43">
        <v>700003</v>
      </c>
      <c r="L283" s="43">
        <v>2</v>
      </c>
      <c r="M283" s="43" t="s">
        <v>464</v>
      </c>
      <c r="N283" s="53"/>
      <c r="O283" s="53"/>
      <c r="P283" s="43" t="str">
        <f>VLOOKUP(K283,Maestro!J:K,2,0)</f>
        <v>CEMENTO UG</v>
      </c>
      <c r="Q283" s="43" t="str">
        <f>VLOOKUP(P283,Maestro!E:F,2,0)</f>
        <v>Cemento UG</v>
      </c>
      <c r="R283" s="43">
        <f>VLOOKUP(P283,ORD!$A:$C,3,0)</f>
        <v>6</v>
      </c>
      <c r="S283" t="str">
        <f t="shared" si="5"/>
        <v>7355250320PLACAS Y SEGMENTOSCemento UG</v>
      </c>
      <c r="T283" t="str">
        <f>IFERROR(VLOOKUP(S283,Maestro!$A:$H,8,0),"Producción")</f>
        <v>Placas y Segmentos</v>
      </c>
      <c r="U283" s="43" t="s">
        <v>182</v>
      </c>
    </row>
    <row r="284" spans="1:21" x14ac:dyDescent="0.3">
      <c r="A284" s="43">
        <v>7105330101</v>
      </c>
      <c r="B284" s="43" t="s">
        <v>443</v>
      </c>
      <c r="C284" s="52">
        <f>Datos!$J$77*D284</f>
        <v>0</v>
      </c>
      <c r="D284" s="56">
        <f>Datos!$J$248*Datos!$J$182*(1+Datos!$J$222)</f>
        <v>0</v>
      </c>
      <c r="E284" s="43" t="s">
        <v>556</v>
      </c>
      <c r="F284" s="43" t="s">
        <v>557</v>
      </c>
      <c r="G284" s="43" t="s">
        <v>563</v>
      </c>
      <c r="H284" s="43" t="s">
        <v>564</v>
      </c>
      <c r="I284" s="43" t="s">
        <v>560</v>
      </c>
      <c r="J284" s="43" t="s">
        <v>519</v>
      </c>
      <c r="K284" s="43">
        <v>700003</v>
      </c>
      <c r="L284" s="43">
        <v>3</v>
      </c>
      <c r="M284" s="43" t="s">
        <v>576</v>
      </c>
      <c r="N284" s="51"/>
      <c r="O284" s="51"/>
      <c r="P284" s="43" t="str">
        <f>VLOOKUP(K284,Maestro!J:K,2,0)</f>
        <v>CEMENTO UG</v>
      </c>
      <c r="Q284" s="43" t="str">
        <f>VLOOKUP(P284,Maestro!E:F,2,0)</f>
        <v>Cemento UG</v>
      </c>
      <c r="R284" s="43">
        <f>VLOOKUP(P284,ORD!$A:$C,3,0)</f>
        <v>6</v>
      </c>
      <c r="S284" t="str">
        <f t="shared" si="5"/>
        <v>7105330101SALMARCemento UG</v>
      </c>
      <c r="T284" t="str">
        <f>IFERROR(VLOOKUP(S284,Maestro!$A:$H,8,0),"Producción")</f>
        <v>Sal Marina</v>
      </c>
      <c r="U284" s="43" t="s">
        <v>182</v>
      </c>
    </row>
    <row r="285" spans="1:21" x14ac:dyDescent="0.3">
      <c r="A285" s="43">
        <v>7105330101</v>
      </c>
      <c r="B285" s="43" t="s">
        <v>443</v>
      </c>
      <c r="C285" s="50"/>
      <c r="D285" s="56">
        <f>Datos!$J$248*Datos!$J$180*(1+Datos!$J$210)</f>
        <v>27695.598711079485</v>
      </c>
      <c r="E285" s="43" t="s">
        <v>556</v>
      </c>
      <c r="F285" s="43" t="s">
        <v>557</v>
      </c>
      <c r="G285" s="43" t="s">
        <v>563</v>
      </c>
      <c r="H285" s="43" t="s">
        <v>564</v>
      </c>
      <c r="I285" s="43" t="s">
        <v>560</v>
      </c>
      <c r="J285" s="43" t="s">
        <v>444</v>
      </c>
      <c r="K285" s="43">
        <v>700003</v>
      </c>
      <c r="L285" s="43">
        <v>3</v>
      </c>
      <c r="M285" s="43" t="s">
        <v>565</v>
      </c>
      <c r="N285" s="51"/>
      <c r="O285" s="51"/>
      <c r="P285" s="43" t="str">
        <f>VLOOKUP(K285,Maestro!J:K,2,0)</f>
        <v>CEMENTO UG</v>
      </c>
      <c r="Q285" s="43" t="str">
        <f>VLOOKUP(P285,Maestro!E:F,2,0)</f>
        <v>Cemento UG</v>
      </c>
      <c r="R285" s="43">
        <f>VLOOKUP(P285,ORD!$A:$C,3,0)</f>
        <v>6</v>
      </c>
      <c r="S285" t="str">
        <f t="shared" si="5"/>
        <v>7105330101CALIZATRICemento UG</v>
      </c>
      <c r="T285" t="str">
        <f>IFERROR(VLOOKUP(S285,Maestro!$A:$H,8,0),"Producción")</f>
        <v>Caliza Triturada</v>
      </c>
      <c r="U285" s="43" t="s">
        <v>182</v>
      </c>
    </row>
    <row r="286" spans="1:21" x14ac:dyDescent="0.3">
      <c r="A286" s="43">
        <v>7105450101</v>
      </c>
      <c r="B286" s="43" t="s">
        <v>466</v>
      </c>
      <c r="C286" s="50">
        <f>Datos!$J$64*D286+Datos!$J$90*D286</f>
        <v>682016782.3969425</v>
      </c>
      <c r="D286" s="56">
        <f>Datos!$J$248*Datos!$J$181*(1+Datos!$J$221)</f>
        <v>2930.8533137871855</v>
      </c>
      <c r="E286" s="43" t="s">
        <v>556</v>
      </c>
      <c r="F286" s="43" t="s">
        <v>557</v>
      </c>
      <c r="G286" s="43" t="s">
        <v>577</v>
      </c>
      <c r="H286" s="43" t="s">
        <v>578</v>
      </c>
      <c r="I286" s="43" t="s">
        <v>560</v>
      </c>
      <c r="J286" s="43" t="s">
        <v>467</v>
      </c>
      <c r="K286" s="43">
        <v>700003</v>
      </c>
      <c r="L286" s="43">
        <v>3</v>
      </c>
      <c r="M286" s="43" t="s">
        <v>579</v>
      </c>
      <c r="N286" s="51"/>
      <c r="O286" s="51"/>
      <c r="P286" s="43" t="str">
        <f>VLOOKUP(K286,Maestro!J:K,2,0)</f>
        <v>CEMENTO UG</v>
      </c>
      <c r="Q286" s="43" t="str">
        <f>VLOOKUP(P286,Maestro!E:F,2,0)</f>
        <v>Cemento UG</v>
      </c>
      <c r="R286" s="43">
        <f>VLOOKUP(P286,ORD!$A:$C,3,0)</f>
        <v>6</v>
      </c>
      <c r="S286" t="str">
        <f t="shared" si="5"/>
        <v>7105450101YESO00001Cemento UG</v>
      </c>
      <c r="T286" t="str">
        <f>IFERROR(VLOOKUP(S286,Maestro!$A:$H,8,0),"Producción")</f>
        <v>Yeso</v>
      </c>
      <c r="U286" s="43" t="s">
        <v>182</v>
      </c>
    </row>
    <row r="287" spans="1:21" x14ac:dyDescent="0.3">
      <c r="A287" s="43">
        <v>7105400101</v>
      </c>
      <c r="B287" s="43" t="s">
        <v>535</v>
      </c>
      <c r="C287" s="50">
        <f>Datos!$J$76*D287</f>
        <v>156971718.16914374</v>
      </c>
      <c r="D287" s="56">
        <f>Datos!$J$248*Datos!$J$186</f>
        <v>35.704928206321533</v>
      </c>
      <c r="E287" s="43" t="s">
        <v>556</v>
      </c>
      <c r="F287" s="43" t="s">
        <v>557</v>
      </c>
      <c r="G287" s="43" t="s">
        <v>563</v>
      </c>
      <c r="H287" s="43" t="s">
        <v>564</v>
      </c>
      <c r="I287" s="43" t="s">
        <v>560</v>
      </c>
      <c r="J287" s="43" t="s">
        <v>536</v>
      </c>
      <c r="K287" s="43">
        <v>700003</v>
      </c>
      <c r="L287" s="43">
        <v>3</v>
      </c>
      <c r="M287" s="43" t="s">
        <v>580</v>
      </c>
      <c r="N287" s="51"/>
      <c r="O287" s="51"/>
      <c r="P287" s="43" t="str">
        <f>VLOOKUP(K287,Maestro!J:K,2,0)</f>
        <v>CEMENTO UG</v>
      </c>
      <c r="Q287" s="43" t="str">
        <f>VLOOKUP(P287,Maestro!E:F,2,0)</f>
        <v>Cemento UG</v>
      </c>
      <c r="R287" s="43">
        <f>VLOOKUP(P287,ORD!$A:$C,3,0)</f>
        <v>6</v>
      </c>
      <c r="S287" t="str">
        <f t="shared" si="5"/>
        <v>7105400101ADIMOLIENCemento UG</v>
      </c>
      <c r="T287" t="str">
        <f>IFERROR(VLOOKUP(S287,Maestro!$A:$H,8,0),"Producción")</f>
        <v>Aditivo Molienda</v>
      </c>
      <c r="U287" s="43" t="s">
        <v>182</v>
      </c>
    </row>
    <row r="288" spans="1:21" x14ac:dyDescent="0.3">
      <c r="A288" s="43">
        <v>7105400101</v>
      </c>
      <c r="B288" s="43" t="s">
        <v>535</v>
      </c>
      <c r="C288" s="50">
        <f>Datos!$J$93*D288+Datos!$J$90*D288</f>
        <v>225276577.0004091</v>
      </c>
      <c r="D288" s="56">
        <f>Datos!$J$248*Datos!$J$184*(1+Datos!$J$223)</f>
        <v>2142.2956923792917</v>
      </c>
      <c r="E288" s="43" t="s">
        <v>556</v>
      </c>
      <c r="F288" s="43" t="s">
        <v>557</v>
      </c>
      <c r="G288" s="43" t="s">
        <v>563</v>
      </c>
      <c r="H288" s="43" t="s">
        <v>564</v>
      </c>
      <c r="I288" s="43" t="s">
        <v>560</v>
      </c>
      <c r="J288" s="43" t="s">
        <v>538</v>
      </c>
      <c r="K288" s="43">
        <v>700003</v>
      </c>
      <c r="L288" s="43">
        <v>3</v>
      </c>
      <c r="M288" s="43" t="s">
        <v>538</v>
      </c>
      <c r="N288" s="51"/>
      <c r="O288" s="51"/>
      <c r="P288" s="43" t="str">
        <f>VLOOKUP(K288,Maestro!J:K,2,0)</f>
        <v>CEMENTO UG</v>
      </c>
      <c r="Q288" s="43" t="str">
        <f>VLOOKUP(P288,Maestro!E:F,2,0)</f>
        <v>Cemento UG</v>
      </c>
      <c r="R288" s="43">
        <f>VLOOKUP(P288,ORD!$A:$C,3,0)</f>
        <v>6</v>
      </c>
      <c r="S288" t="str">
        <f t="shared" si="5"/>
        <v>7105400101PUZOLANACemento UG</v>
      </c>
      <c r="T288" t="str">
        <f>IFERROR(VLOOKUP(S288,Maestro!$A:$H,8,0),"Producción")</f>
        <v>Puzolana</v>
      </c>
      <c r="U288" s="43" t="s">
        <v>182</v>
      </c>
    </row>
    <row r="289" spans="1:21" x14ac:dyDescent="0.3">
      <c r="A289" s="43">
        <v>7105400101</v>
      </c>
      <c r="B289" s="43" t="s">
        <v>535</v>
      </c>
      <c r="C289" s="50"/>
      <c r="D289" s="56">
        <f>Datos!$J$248*Datos!$J$183*(1+Datos!$J$218)</f>
        <v>2153.0071708411879</v>
      </c>
      <c r="E289" s="43" t="s">
        <v>556</v>
      </c>
      <c r="F289" s="43" t="s">
        <v>557</v>
      </c>
      <c r="G289" s="43" t="s">
        <v>563</v>
      </c>
      <c r="H289" s="43" t="s">
        <v>564</v>
      </c>
      <c r="I289" s="43" t="s">
        <v>560</v>
      </c>
      <c r="J289" s="43" t="s">
        <v>539</v>
      </c>
      <c r="K289" s="43">
        <v>700003</v>
      </c>
      <c r="L289" s="43">
        <v>3</v>
      </c>
      <c r="M289" s="43" t="s">
        <v>445</v>
      </c>
      <c r="N289" s="51"/>
      <c r="O289" s="51"/>
      <c r="P289" s="43" t="str">
        <f>VLOOKUP(K289,Maestro!J:K,2,0)</f>
        <v>CEMENTO UG</v>
      </c>
      <c r="Q289" s="43" t="str">
        <f>VLOOKUP(P289,Maestro!E:F,2,0)</f>
        <v>Cemento UG</v>
      </c>
      <c r="R289" s="43">
        <f>VLOOKUP(P289,ORD!$A:$C,3,0)</f>
        <v>6</v>
      </c>
      <c r="S289" t="str">
        <f t="shared" si="5"/>
        <v>7105400101CRUDOCemento UG</v>
      </c>
      <c r="T289" t="str">
        <f>IFERROR(VLOOKUP(S289,Maestro!$A:$H,8,0),"Producción")</f>
        <v>Finos Filtro</v>
      </c>
      <c r="U289" s="43" t="s">
        <v>182</v>
      </c>
    </row>
    <row r="290" spans="1:21" x14ac:dyDescent="0.3">
      <c r="A290" s="43">
        <v>7199990001</v>
      </c>
      <c r="B290" s="43" t="s">
        <v>438</v>
      </c>
      <c r="C290" s="50"/>
      <c r="D290" s="56">
        <f>Datos!$J$248*Datos!$J$179*(1+Datos!$J$219)</f>
        <v>37133.12533457439</v>
      </c>
      <c r="E290" s="43" t="s">
        <v>556</v>
      </c>
      <c r="F290" s="43" t="s">
        <v>557</v>
      </c>
      <c r="G290" s="43" t="s">
        <v>567</v>
      </c>
      <c r="H290" s="43" t="s">
        <v>568</v>
      </c>
      <c r="I290" s="43" t="s">
        <v>560</v>
      </c>
      <c r="J290" s="43" t="s">
        <v>463</v>
      </c>
      <c r="K290" s="43">
        <v>700003</v>
      </c>
      <c r="L290" s="43">
        <v>3</v>
      </c>
      <c r="M290" s="43" t="s">
        <v>62</v>
      </c>
      <c r="N290" s="51"/>
      <c r="O290" s="51"/>
      <c r="P290" s="43" t="str">
        <f>VLOOKUP(K290,Maestro!J:K,2,0)</f>
        <v>CEMENTO UG</v>
      </c>
      <c r="Q290" s="43" t="str">
        <f>VLOOKUP(P290,Maestro!E:F,2,0)</f>
        <v>Cemento UG</v>
      </c>
      <c r="R290" s="43">
        <f>VLOOKUP(P290,ORD!$A:$C,3,0)</f>
        <v>6</v>
      </c>
      <c r="S290" t="str">
        <f t="shared" si="5"/>
        <v>7199990001CLINKER001Cemento UG</v>
      </c>
      <c r="T290" t="str">
        <f>IFERROR(VLOOKUP(S290,Maestro!$A:$H,8,0),"Producción")</f>
        <v>Clinker</v>
      </c>
      <c r="U290" s="43" t="s">
        <v>182</v>
      </c>
    </row>
    <row r="291" spans="1:21" x14ac:dyDescent="0.3">
      <c r="A291" s="43">
        <v>7999999995</v>
      </c>
      <c r="B291" s="43" t="s">
        <v>566</v>
      </c>
      <c r="C291" s="52"/>
      <c r="D291" s="56">
        <f>-Datos!$J$248</f>
        <v>-71409.856412643057</v>
      </c>
      <c r="E291" s="43" t="s">
        <v>556</v>
      </c>
      <c r="F291" s="43" t="s">
        <v>557</v>
      </c>
      <c r="G291" s="43" t="s">
        <v>567</v>
      </c>
      <c r="H291" s="43" t="s">
        <v>568</v>
      </c>
      <c r="I291" s="43" t="s">
        <v>560</v>
      </c>
      <c r="J291" s="43" t="s">
        <v>476</v>
      </c>
      <c r="K291" s="43">
        <v>700003</v>
      </c>
      <c r="L291" s="43">
        <v>3</v>
      </c>
      <c r="M291" s="43" t="s">
        <v>464</v>
      </c>
      <c r="N291" s="51"/>
      <c r="O291" s="51"/>
      <c r="P291" s="43" t="str">
        <f>VLOOKUP(K291,Maestro!J:K,2,0)</f>
        <v>CEMENTO UG</v>
      </c>
      <c r="Q291" s="43" t="str">
        <f>VLOOKUP(P291,Maestro!E:F,2,0)</f>
        <v>Cemento UG</v>
      </c>
      <c r="R291" s="43">
        <f>VLOOKUP(P291,ORD!$A:$C,3,0)</f>
        <v>6</v>
      </c>
      <c r="S291" t="str">
        <f t="shared" si="5"/>
        <v>7999999995CEMENTOUG1Cemento UG</v>
      </c>
      <c r="T291" t="str">
        <f>IFERROR(VLOOKUP(S291,Maestro!$A:$H,8,0),"Producción")</f>
        <v>Producción</v>
      </c>
      <c r="U291" s="43" t="s">
        <v>182</v>
      </c>
    </row>
    <row r="292" spans="1:21" x14ac:dyDescent="0.3">
      <c r="A292" s="43">
        <v>7355250320</v>
      </c>
      <c r="B292" s="43" t="s">
        <v>490</v>
      </c>
      <c r="C292" s="52">
        <f>Datos!$J$120*D292+Datos!$J$122*D292</f>
        <v>109945255.06515813</v>
      </c>
      <c r="D292" s="56">
        <f>Datos!$J$248</f>
        <v>71409.856412643057</v>
      </c>
      <c r="E292" s="57"/>
      <c r="F292" s="58"/>
      <c r="G292" s="43"/>
      <c r="H292" s="43"/>
      <c r="I292" s="43" t="s">
        <v>560</v>
      </c>
      <c r="J292" s="43" t="s">
        <v>802</v>
      </c>
      <c r="K292" s="43">
        <v>700003</v>
      </c>
      <c r="L292" s="43">
        <v>3</v>
      </c>
      <c r="M292" s="43" t="s">
        <v>464</v>
      </c>
      <c r="N292" s="53"/>
      <c r="O292" s="53"/>
      <c r="P292" s="43" t="str">
        <f>VLOOKUP(K292,Maestro!J:K,2,0)</f>
        <v>CEMENTO UG</v>
      </c>
      <c r="Q292" s="43" t="str">
        <f>VLOOKUP(P292,Maestro!E:F,2,0)</f>
        <v>Cemento UG</v>
      </c>
      <c r="R292" s="43">
        <f>VLOOKUP(P292,ORD!$A:$C,3,0)</f>
        <v>6</v>
      </c>
      <c r="S292" t="str">
        <f t="shared" si="5"/>
        <v>7355250320PLACAS Y SEGMENTOSCemento UG</v>
      </c>
      <c r="T292" t="str">
        <f>IFERROR(VLOOKUP(S292,Maestro!$A:$H,8,0),"Producción")</f>
        <v>Placas y Segmentos</v>
      </c>
      <c r="U292" s="43" t="s">
        <v>182</v>
      </c>
    </row>
    <row r="293" spans="1:21" x14ac:dyDescent="0.3">
      <c r="A293" s="43">
        <v>7105330101</v>
      </c>
      <c r="B293" s="43" t="s">
        <v>443</v>
      </c>
      <c r="C293" s="52">
        <f>Datos!$K$77*D293</f>
        <v>0</v>
      </c>
      <c r="D293" s="56">
        <f>Datos!$K$248*Datos!$K$182*(1+Datos!$K$222)</f>
        <v>0</v>
      </c>
      <c r="E293" s="43" t="s">
        <v>556</v>
      </c>
      <c r="F293" s="43" t="s">
        <v>557</v>
      </c>
      <c r="G293" s="43" t="s">
        <v>563</v>
      </c>
      <c r="H293" s="43" t="s">
        <v>564</v>
      </c>
      <c r="I293" s="43" t="s">
        <v>560</v>
      </c>
      <c r="J293" s="43" t="s">
        <v>519</v>
      </c>
      <c r="K293" s="43">
        <v>700003</v>
      </c>
      <c r="L293" s="43">
        <v>4</v>
      </c>
      <c r="M293" s="43" t="s">
        <v>576</v>
      </c>
      <c r="N293" s="51"/>
      <c r="O293" s="51"/>
      <c r="P293" s="43" t="str">
        <f>VLOOKUP(K293,Maestro!J:K,2,0)</f>
        <v>CEMENTO UG</v>
      </c>
      <c r="Q293" s="43" t="str">
        <f>VLOOKUP(P293,Maestro!E:F,2,0)</f>
        <v>Cemento UG</v>
      </c>
      <c r="R293" s="43">
        <f>VLOOKUP(P293,ORD!$A:$C,3,0)</f>
        <v>6</v>
      </c>
      <c r="S293" t="str">
        <f t="shared" si="5"/>
        <v>7105330101SALMARCemento UG</v>
      </c>
      <c r="T293" t="str">
        <f>IFERROR(VLOOKUP(S293,Maestro!$A:$H,8,0),"Producción")</f>
        <v>Sal Marina</v>
      </c>
      <c r="U293" s="43" t="s">
        <v>182</v>
      </c>
    </row>
    <row r="294" spans="1:21" x14ac:dyDescent="0.3">
      <c r="A294" s="43">
        <v>7105330101</v>
      </c>
      <c r="B294" s="43" t="s">
        <v>443</v>
      </c>
      <c r="C294" s="50"/>
      <c r="D294" s="56">
        <f>Datos!$K$248*Datos!$K$180*(1+Datos!$K$210)</f>
        <v>26350.170291339822</v>
      </c>
      <c r="E294" s="43" t="s">
        <v>556</v>
      </c>
      <c r="F294" s="43" t="s">
        <v>557</v>
      </c>
      <c r="G294" s="43" t="s">
        <v>563</v>
      </c>
      <c r="H294" s="43" t="s">
        <v>564</v>
      </c>
      <c r="I294" s="43" t="s">
        <v>560</v>
      </c>
      <c r="J294" s="43" t="s">
        <v>444</v>
      </c>
      <c r="K294" s="43">
        <v>700003</v>
      </c>
      <c r="L294" s="43">
        <v>4</v>
      </c>
      <c r="M294" s="43" t="s">
        <v>565</v>
      </c>
      <c r="N294" s="51"/>
      <c r="O294" s="51"/>
      <c r="P294" s="43" t="str">
        <f>VLOOKUP(K294,Maestro!J:K,2,0)</f>
        <v>CEMENTO UG</v>
      </c>
      <c r="Q294" s="43" t="str">
        <f>VLOOKUP(P294,Maestro!E:F,2,0)</f>
        <v>Cemento UG</v>
      </c>
      <c r="R294" s="43">
        <f>VLOOKUP(P294,ORD!$A:$C,3,0)</f>
        <v>6</v>
      </c>
      <c r="S294" t="str">
        <f t="shared" si="5"/>
        <v>7105330101CALIZATRICemento UG</v>
      </c>
      <c r="T294" t="str">
        <f>IFERROR(VLOOKUP(S294,Maestro!$A:$H,8,0),"Producción")</f>
        <v>Caliza Triturada</v>
      </c>
      <c r="U294" s="43" t="s">
        <v>182</v>
      </c>
    </row>
    <row r="295" spans="1:21" x14ac:dyDescent="0.3">
      <c r="A295" s="43">
        <v>7105450101</v>
      </c>
      <c r="B295" s="43" t="s">
        <v>466</v>
      </c>
      <c r="C295" s="50">
        <f>Datos!$K$64*D295+Datos!$K$90*D295</f>
        <v>648905142.72133601</v>
      </c>
      <c r="D295" s="56">
        <f>Datos!$K$248*Datos!$K$181*(1+Datos!$K$221)</f>
        <v>2788.4749747740639</v>
      </c>
      <c r="E295" s="43" t="s">
        <v>556</v>
      </c>
      <c r="F295" s="43" t="s">
        <v>557</v>
      </c>
      <c r="G295" s="43" t="s">
        <v>577</v>
      </c>
      <c r="H295" s="43" t="s">
        <v>578</v>
      </c>
      <c r="I295" s="43" t="s">
        <v>560</v>
      </c>
      <c r="J295" s="43" t="s">
        <v>467</v>
      </c>
      <c r="K295" s="43">
        <v>700003</v>
      </c>
      <c r="L295" s="43">
        <v>4</v>
      </c>
      <c r="M295" s="43" t="s">
        <v>579</v>
      </c>
      <c r="N295" s="51"/>
      <c r="O295" s="51"/>
      <c r="P295" s="43" t="str">
        <f>VLOOKUP(K295,Maestro!J:K,2,0)</f>
        <v>CEMENTO UG</v>
      </c>
      <c r="Q295" s="43" t="str">
        <f>VLOOKUP(P295,Maestro!E:F,2,0)</f>
        <v>Cemento UG</v>
      </c>
      <c r="R295" s="43">
        <f>VLOOKUP(P295,ORD!$A:$C,3,0)</f>
        <v>6</v>
      </c>
      <c r="S295" t="str">
        <f t="shared" si="5"/>
        <v>7105450101YESO00001Cemento UG</v>
      </c>
      <c r="T295" t="str">
        <f>IFERROR(VLOOKUP(S295,Maestro!$A:$H,8,0),"Producción")</f>
        <v>Yeso</v>
      </c>
      <c r="U295" s="43" t="s">
        <v>182</v>
      </c>
    </row>
    <row r="296" spans="1:21" x14ac:dyDescent="0.3">
      <c r="A296" s="43">
        <v>7105400101</v>
      </c>
      <c r="B296" s="43" t="s">
        <v>535</v>
      </c>
      <c r="C296" s="50">
        <f>Datos!$K$76*D296</f>
        <v>149346166.79820898</v>
      </c>
      <c r="D296" s="56">
        <f>Datos!$K$248*Datos!$K$186</f>
        <v>33.970413432523493</v>
      </c>
      <c r="E296" s="43" t="s">
        <v>556</v>
      </c>
      <c r="F296" s="43" t="s">
        <v>557</v>
      </c>
      <c r="G296" s="43" t="s">
        <v>563</v>
      </c>
      <c r="H296" s="43" t="s">
        <v>564</v>
      </c>
      <c r="I296" s="43" t="s">
        <v>560</v>
      </c>
      <c r="J296" s="43" t="s">
        <v>536</v>
      </c>
      <c r="K296" s="43">
        <v>700003</v>
      </c>
      <c r="L296" s="43">
        <v>4</v>
      </c>
      <c r="M296" s="43" t="s">
        <v>580</v>
      </c>
      <c r="N296" s="51"/>
      <c r="O296" s="51"/>
      <c r="P296" s="43" t="str">
        <f>VLOOKUP(K296,Maestro!J:K,2,0)</f>
        <v>CEMENTO UG</v>
      </c>
      <c r="Q296" s="43" t="str">
        <f>VLOOKUP(P296,Maestro!E:F,2,0)</f>
        <v>Cemento UG</v>
      </c>
      <c r="R296" s="43">
        <f>VLOOKUP(P296,ORD!$A:$C,3,0)</f>
        <v>6</v>
      </c>
      <c r="S296" t="str">
        <f t="shared" si="5"/>
        <v>7105400101ADIMOLIENCemento UG</v>
      </c>
      <c r="T296" t="str">
        <f>IFERROR(VLOOKUP(S296,Maestro!$A:$H,8,0),"Producción")</f>
        <v>Aditivo Molienda</v>
      </c>
      <c r="U296" s="43" t="s">
        <v>182</v>
      </c>
    </row>
    <row r="297" spans="1:21" x14ac:dyDescent="0.3">
      <c r="A297" s="43">
        <v>7105400101</v>
      </c>
      <c r="B297" s="43" t="s">
        <v>535</v>
      </c>
      <c r="C297" s="50">
        <f>Datos!$K$93*D297+Datos!$K$90*D297</f>
        <v>214347563.03607169</v>
      </c>
      <c r="D297" s="56">
        <f>Datos!$K$248*Datos!$K$184*(1+Datos!$K$223)</f>
        <v>2038.2248059514095</v>
      </c>
      <c r="E297" s="43" t="s">
        <v>556</v>
      </c>
      <c r="F297" s="43" t="s">
        <v>557</v>
      </c>
      <c r="G297" s="43" t="s">
        <v>563</v>
      </c>
      <c r="H297" s="43" t="s">
        <v>564</v>
      </c>
      <c r="I297" s="43" t="s">
        <v>560</v>
      </c>
      <c r="J297" s="43" t="s">
        <v>538</v>
      </c>
      <c r="K297" s="43">
        <v>700003</v>
      </c>
      <c r="L297" s="43">
        <v>4</v>
      </c>
      <c r="M297" s="43" t="s">
        <v>538</v>
      </c>
      <c r="N297" s="51"/>
      <c r="O297" s="51"/>
      <c r="P297" s="43" t="str">
        <f>VLOOKUP(K297,Maestro!J:K,2,0)</f>
        <v>CEMENTO UG</v>
      </c>
      <c r="Q297" s="43" t="str">
        <f>VLOOKUP(P297,Maestro!E:F,2,0)</f>
        <v>Cemento UG</v>
      </c>
      <c r="R297" s="43">
        <f>VLOOKUP(P297,ORD!$A:$C,3,0)</f>
        <v>6</v>
      </c>
      <c r="S297" t="str">
        <f t="shared" si="5"/>
        <v>7105400101PUZOLANACemento UG</v>
      </c>
      <c r="T297" t="str">
        <f>IFERROR(VLOOKUP(S297,Maestro!$A:$H,8,0),"Producción")</f>
        <v>Puzolana</v>
      </c>
      <c r="U297" s="43" t="s">
        <v>182</v>
      </c>
    </row>
    <row r="298" spans="1:21" x14ac:dyDescent="0.3">
      <c r="A298" s="43">
        <v>7105400101</v>
      </c>
      <c r="B298" s="43" t="s">
        <v>535</v>
      </c>
      <c r="C298" s="50"/>
      <c r="D298" s="56">
        <f>Datos!$K$248*Datos!$K$183*(1+Datos!$K$218)</f>
        <v>2048.4159299811663</v>
      </c>
      <c r="E298" s="43" t="s">
        <v>556</v>
      </c>
      <c r="F298" s="43" t="s">
        <v>557</v>
      </c>
      <c r="G298" s="43" t="s">
        <v>563</v>
      </c>
      <c r="H298" s="43" t="s">
        <v>564</v>
      </c>
      <c r="I298" s="43" t="s">
        <v>560</v>
      </c>
      <c r="J298" s="43" t="s">
        <v>539</v>
      </c>
      <c r="K298" s="43">
        <v>700003</v>
      </c>
      <c r="L298" s="43">
        <v>4</v>
      </c>
      <c r="M298" s="43" t="s">
        <v>445</v>
      </c>
      <c r="N298" s="51"/>
      <c r="O298" s="51"/>
      <c r="P298" s="43" t="str">
        <f>VLOOKUP(K298,Maestro!J:K,2,0)</f>
        <v>CEMENTO UG</v>
      </c>
      <c r="Q298" s="43" t="str">
        <f>VLOOKUP(P298,Maestro!E:F,2,0)</f>
        <v>Cemento UG</v>
      </c>
      <c r="R298" s="43">
        <f>VLOOKUP(P298,ORD!$A:$C,3,0)</f>
        <v>6</v>
      </c>
      <c r="S298" t="str">
        <f t="shared" si="5"/>
        <v>7105400101CRUDOCemento UG</v>
      </c>
      <c r="T298" t="str">
        <f>IFERROR(VLOOKUP(S298,Maestro!$A:$H,8,0),"Producción")</f>
        <v>Finos Filtro</v>
      </c>
      <c r="U298" s="43" t="s">
        <v>182</v>
      </c>
    </row>
    <row r="299" spans="1:21" x14ac:dyDescent="0.3">
      <c r="A299" s="43">
        <v>7199990001</v>
      </c>
      <c r="B299" s="43" t="s">
        <v>438</v>
      </c>
      <c r="C299" s="50"/>
      <c r="D299" s="56">
        <f>Datos!$K$248*Datos!$K$179*(1+Datos!$K$219)</f>
        <v>35329.229969824431</v>
      </c>
      <c r="E299" s="43" t="s">
        <v>556</v>
      </c>
      <c r="F299" s="43" t="s">
        <v>557</v>
      </c>
      <c r="G299" s="43" t="s">
        <v>567</v>
      </c>
      <c r="H299" s="43" t="s">
        <v>568</v>
      </c>
      <c r="I299" s="43" t="s">
        <v>560</v>
      </c>
      <c r="J299" s="43" t="s">
        <v>463</v>
      </c>
      <c r="K299" s="43">
        <v>700003</v>
      </c>
      <c r="L299" s="43">
        <v>4</v>
      </c>
      <c r="M299" s="43" t="s">
        <v>62</v>
      </c>
      <c r="N299" s="51"/>
      <c r="O299" s="51"/>
      <c r="P299" s="43" t="str">
        <f>VLOOKUP(K299,Maestro!J:K,2,0)</f>
        <v>CEMENTO UG</v>
      </c>
      <c r="Q299" s="43" t="str">
        <f>VLOOKUP(P299,Maestro!E:F,2,0)</f>
        <v>Cemento UG</v>
      </c>
      <c r="R299" s="43">
        <f>VLOOKUP(P299,ORD!$A:$C,3,0)</f>
        <v>6</v>
      </c>
      <c r="S299" t="str">
        <f t="shared" si="5"/>
        <v>7199990001CLINKER001Cemento UG</v>
      </c>
      <c r="T299" t="str">
        <f>IFERROR(VLOOKUP(S299,Maestro!$A:$H,8,0),"Producción")</f>
        <v>Clinker</v>
      </c>
      <c r="U299" s="43" t="s">
        <v>182</v>
      </c>
    </row>
    <row r="300" spans="1:21" x14ac:dyDescent="0.3">
      <c r="A300" s="43">
        <v>7999999995</v>
      </c>
      <c r="B300" s="43" t="s">
        <v>566</v>
      </c>
      <c r="C300" s="52"/>
      <c r="D300" s="56">
        <f>-Datos!$K$248</f>
        <v>-67940.826865046984</v>
      </c>
      <c r="E300" s="43" t="s">
        <v>556</v>
      </c>
      <c r="F300" s="43" t="s">
        <v>557</v>
      </c>
      <c r="G300" s="43" t="s">
        <v>567</v>
      </c>
      <c r="H300" s="43" t="s">
        <v>568</v>
      </c>
      <c r="I300" s="43" t="s">
        <v>560</v>
      </c>
      <c r="J300" s="43" t="s">
        <v>476</v>
      </c>
      <c r="K300" s="43">
        <v>700003</v>
      </c>
      <c r="L300" s="43">
        <v>4</v>
      </c>
      <c r="M300" s="43" t="s">
        <v>464</v>
      </c>
      <c r="N300" s="51"/>
      <c r="O300" s="51"/>
      <c r="P300" s="43" t="str">
        <f>VLOOKUP(K300,Maestro!J:K,2,0)</f>
        <v>CEMENTO UG</v>
      </c>
      <c r="Q300" s="43" t="str">
        <f>VLOOKUP(P300,Maestro!E:F,2,0)</f>
        <v>Cemento UG</v>
      </c>
      <c r="R300" s="43">
        <f>VLOOKUP(P300,ORD!$A:$C,3,0)</f>
        <v>6</v>
      </c>
      <c r="S300" t="str">
        <f t="shared" si="5"/>
        <v>7999999995CEMENTOUG1Cemento UG</v>
      </c>
      <c r="T300" t="str">
        <f>IFERROR(VLOOKUP(S300,Maestro!$A:$H,8,0),"Producción")</f>
        <v>Producción</v>
      </c>
      <c r="U300" s="43" t="s">
        <v>182</v>
      </c>
    </row>
    <row r="301" spans="1:21" x14ac:dyDescent="0.3">
      <c r="A301" s="43">
        <v>7355250320</v>
      </c>
      <c r="B301" s="43" t="s">
        <v>490</v>
      </c>
      <c r="C301" s="52">
        <f>Datos!$K$120*D301+Datos!$K$122*D301</f>
        <v>104604208.91831987</v>
      </c>
      <c r="D301" s="56">
        <f>Datos!$K$248</f>
        <v>67940.826865046984</v>
      </c>
      <c r="E301" s="57"/>
      <c r="F301" s="58"/>
      <c r="G301" s="43"/>
      <c r="H301" s="43"/>
      <c r="I301" s="43" t="s">
        <v>560</v>
      </c>
      <c r="J301" s="43" t="s">
        <v>802</v>
      </c>
      <c r="K301" s="43">
        <v>700003</v>
      </c>
      <c r="L301" s="43">
        <v>4</v>
      </c>
      <c r="M301" s="43" t="s">
        <v>464</v>
      </c>
      <c r="N301" s="53"/>
      <c r="O301" s="53"/>
      <c r="P301" s="43" t="str">
        <f>VLOOKUP(K301,Maestro!J:K,2,0)</f>
        <v>CEMENTO UG</v>
      </c>
      <c r="Q301" s="43" t="str">
        <f>VLOOKUP(P301,Maestro!E:F,2,0)</f>
        <v>Cemento UG</v>
      </c>
      <c r="R301" s="43">
        <f>VLOOKUP(P301,ORD!$A:$C,3,0)</f>
        <v>6</v>
      </c>
      <c r="S301" t="str">
        <f t="shared" si="5"/>
        <v>7355250320PLACAS Y SEGMENTOSCemento UG</v>
      </c>
      <c r="T301" t="str">
        <f>IFERROR(VLOOKUP(S301,Maestro!$A:$H,8,0),"Producción")</f>
        <v>Placas y Segmentos</v>
      </c>
      <c r="U301" s="43" t="s">
        <v>182</v>
      </c>
    </row>
    <row r="302" spans="1:21" x14ac:dyDescent="0.3">
      <c r="A302" s="43">
        <v>7105330101</v>
      </c>
      <c r="B302" s="43" t="s">
        <v>443</v>
      </c>
      <c r="C302" s="52">
        <f>Datos!$L$77*D302</f>
        <v>0</v>
      </c>
      <c r="D302" s="56">
        <f>Datos!$L$248*Datos!$L$182*(1+Datos!$L$222)</f>
        <v>0</v>
      </c>
      <c r="E302" s="43" t="s">
        <v>556</v>
      </c>
      <c r="F302" s="43" t="s">
        <v>557</v>
      </c>
      <c r="G302" s="43" t="s">
        <v>563</v>
      </c>
      <c r="H302" s="43" t="s">
        <v>564</v>
      </c>
      <c r="I302" s="43" t="s">
        <v>560</v>
      </c>
      <c r="J302" s="43" t="s">
        <v>519</v>
      </c>
      <c r="K302" s="43">
        <v>700003</v>
      </c>
      <c r="L302" s="43">
        <v>5</v>
      </c>
      <c r="M302" s="43" t="s">
        <v>576</v>
      </c>
      <c r="N302" s="51"/>
      <c r="O302" s="51"/>
      <c r="P302" s="43" t="str">
        <f>VLOOKUP(K302,Maestro!J:K,2,0)</f>
        <v>CEMENTO UG</v>
      </c>
      <c r="Q302" s="43" t="str">
        <f>VLOOKUP(P302,Maestro!E:F,2,0)</f>
        <v>Cemento UG</v>
      </c>
      <c r="R302" s="43">
        <f>VLOOKUP(P302,ORD!$A:$C,3,0)</f>
        <v>6</v>
      </c>
      <c r="S302" t="str">
        <f t="shared" si="5"/>
        <v>7105330101SALMARCemento UG</v>
      </c>
      <c r="T302" t="str">
        <f>IFERROR(VLOOKUP(S302,Maestro!$A:$H,8,0),"Producción")</f>
        <v>Sal Marina</v>
      </c>
      <c r="U302" s="43" t="s">
        <v>182</v>
      </c>
    </row>
    <row r="303" spans="1:21" x14ac:dyDescent="0.3">
      <c r="A303" s="43">
        <v>7105330101</v>
      </c>
      <c r="B303" s="43" t="s">
        <v>443</v>
      </c>
      <c r="C303" s="50"/>
      <c r="D303" s="56">
        <f>Datos!$L$248*Datos!$L$180*(1+Datos!$L$210)</f>
        <v>24765.395872450375</v>
      </c>
      <c r="E303" s="43" t="s">
        <v>556</v>
      </c>
      <c r="F303" s="43" t="s">
        <v>557</v>
      </c>
      <c r="G303" s="43" t="s">
        <v>563</v>
      </c>
      <c r="H303" s="43" t="s">
        <v>564</v>
      </c>
      <c r="I303" s="43" t="s">
        <v>560</v>
      </c>
      <c r="J303" s="43" t="s">
        <v>444</v>
      </c>
      <c r="K303" s="43">
        <v>700003</v>
      </c>
      <c r="L303" s="43">
        <v>5</v>
      </c>
      <c r="M303" s="43" t="s">
        <v>565</v>
      </c>
      <c r="N303" s="51"/>
      <c r="O303" s="51"/>
      <c r="P303" s="43" t="str">
        <f>VLOOKUP(K303,Maestro!J:K,2,0)</f>
        <v>CEMENTO UG</v>
      </c>
      <c r="Q303" s="43" t="str">
        <f>VLOOKUP(P303,Maestro!E:F,2,0)</f>
        <v>Cemento UG</v>
      </c>
      <c r="R303" s="43">
        <f>VLOOKUP(P303,ORD!$A:$C,3,0)</f>
        <v>6</v>
      </c>
      <c r="S303" t="str">
        <f t="shared" si="5"/>
        <v>7105330101CALIZATRICemento UG</v>
      </c>
      <c r="T303" t="str">
        <f>IFERROR(VLOOKUP(S303,Maestro!$A:$H,8,0),"Producción")</f>
        <v>Caliza Triturada</v>
      </c>
      <c r="U303" s="43" t="s">
        <v>182</v>
      </c>
    </row>
    <row r="304" spans="1:21" x14ac:dyDescent="0.3">
      <c r="A304" s="43">
        <v>7105450101</v>
      </c>
      <c r="B304" s="43" t="s">
        <v>466</v>
      </c>
      <c r="C304" s="50">
        <f>Datos!$L$64*D304+Datos!$L$90*D304</f>
        <v>609289345.04238451</v>
      </c>
      <c r="D304" s="56">
        <f>Datos!$L$248*Datos!$L$181*(1+Datos!$L$221)</f>
        <v>2620.7681342157052</v>
      </c>
      <c r="E304" s="43" t="s">
        <v>556</v>
      </c>
      <c r="F304" s="43" t="s">
        <v>557</v>
      </c>
      <c r="G304" s="43" t="s">
        <v>577</v>
      </c>
      <c r="H304" s="43" t="s">
        <v>578</v>
      </c>
      <c r="I304" s="43" t="s">
        <v>560</v>
      </c>
      <c r="J304" s="43" t="s">
        <v>467</v>
      </c>
      <c r="K304" s="43">
        <v>700003</v>
      </c>
      <c r="L304" s="43">
        <v>5</v>
      </c>
      <c r="M304" s="43" t="s">
        <v>579</v>
      </c>
      <c r="N304" s="51"/>
      <c r="O304" s="51"/>
      <c r="P304" s="43" t="str">
        <f>VLOOKUP(K304,Maestro!J:K,2,0)</f>
        <v>CEMENTO UG</v>
      </c>
      <c r="Q304" s="43" t="str">
        <f>VLOOKUP(P304,Maestro!E:F,2,0)</f>
        <v>Cemento UG</v>
      </c>
      <c r="R304" s="43">
        <f>VLOOKUP(P304,ORD!$A:$C,3,0)</f>
        <v>6</v>
      </c>
      <c r="S304" t="str">
        <f t="shared" si="5"/>
        <v>7105450101YESO00001Cemento UG</v>
      </c>
      <c r="T304" t="str">
        <f>IFERROR(VLOOKUP(S304,Maestro!$A:$H,8,0),"Producción")</f>
        <v>Yeso</v>
      </c>
      <c r="U304" s="43" t="s">
        <v>182</v>
      </c>
    </row>
    <row r="305" spans="1:21" x14ac:dyDescent="0.3">
      <c r="A305" s="43">
        <v>7105400101</v>
      </c>
      <c r="B305" s="43" t="s">
        <v>535</v>
      </c>
      <c r="C305" s="50">
        <f>Datos!$L$76*D305</f>
        <v>140364062.23933312</v>
      </c>
      <c r="D305" s="56">
        <f>Datos!$L$248*Datos!$L$186</f>
        <v>31.927335850415602</v>
      </c>
      <c r="E305" s="43" t="s">
        <v>556</v>
      </c>
      <c r="F305" s="43" t="s">
        <v>557</v>
      </c>
      <c r="G305" s="43" t="s">
        <v>563</v>
      </c>
      <c r="H305" s="43" t="s">
        <v>564</v>
      </c>
      <c r="I305" s="43" t="s">
        <v>560</v>
      </c>
      <c r="J305" s="43" t="s">
        <v>536</v>
      </c>
      <c r="K305" s="43">
        <v>700003</v>
      </c>
      <c r="L305" s="43">
        <v>5</v>
      </c>
      <c r="M305" s="43" t="s">
        <v>580</v>
      </c>
      <c r="N305" s="51"/>
      <c r="O305" s="51"/>
      <c r="P305" s="43" t="str">
        <f>VLOOKUP(K305,Maestro!J:K,2,0)</f>
        <v>CEMENTO UG</v>
      </c>
      <c r="Q305" s="43" t="str">
        <f>VLOOKUP(P305,Maestro!E:F,2,0)</f>
        <v>Cemento UG</v>
      </c>
      <c r="R305" s="43">
        <f>VLOOKUP(P305,ORD!$A:$C,3,0)</f>
        <v>6</v>
      </c>
      <c r="S305" t="str">
        <f t="shared" si="5"/>
        <v>7105400101ADIMOLIENCemento UG</v>
      </c>
      <c r="T305" t="str">
        <f>IFERROR(VLOOKUP(S305,Maestro!$A:$H,8,0),"Producción")</f>
        <v>Aditivo Molienda</v>
      </c>
      <c r="U305" s="43" t="s">
        <v>182</v>
      </c>
    </row>
    <row r="306" spans="1:21" x14ac:dyDescent="0.3">
      <c r="A306" s="43">
        <v>7105400101</v>
      </c>
      <c r="B306" s="43" t="s">
        <v>535</v>
      </c>
      <c r="C306" s="50">
        <f>Datos!$L$93*D306+Datos!$L$90*D306</f>
        <v>201025714.55240157</v>
      </c>
      <c r="D306" s="56">
        <f>Datos!$L$248*Datos!$L$184*(1+Datos!$L$223)</f>
        <v>1915.6401510249361</v>
      </c>
      <c r="E306" s="43" t="s">
        <v>556</v>
      </c>
      <c r="F306" s="43" t="s">
        <v>557</v>
      </c>
      <c r="G306" s="43" t="s">
        <v>563</v>
      </c>
      <c r="H306" s="43" t="s">
        <v>564</v>
      </c>
      <c r="I306" s="43" t="s">
        <v>560</v>
      </c>
      <c r="J306" s="43" t="s">
        <v>538</v>
      </c>
      <c r="K306" s="43">
        <v>700003</v>
      </c>
      <c r="L306" s="43">
        <v>5</v>
      </c>
      <c r="M306" s="43" t="s">
        <v>538</v>
      </c>
      <c r="N306" s="51"/>
      <c r="O306" s="51"/>
      <c r="P306" s="43" t="str">
        <f>VLOOKUP(K306,Maestro!J:K,2,0)</f>
        <v>CEMENTO UG</v>
      </c>
      <c r="Q306" s="43" t="str">
        <f>VLOOKUP(P306,Maestro!E:F,2,0)</f>
        <v>Cemento UG</v>
      </c>
      <c r="R306" s="43">
        <f>VLOOKUP(P306,ORD!$A:$C,3,0)</f>
        <v>6</v>
      </c>
      <c r="S306" t="str">
        <f t="shared" si="5"/>
        <v>7105400101PUZOLANACemento UG</v>
      </c>
      <c r="T306" t="str">
        <f>IFERROR(VLOOKUP(S306,Maestro!$A:$H,8,0),"Producción")</f>
        <v>Puzolana</v>
      </c>
      <c r="U306" s="43" t="s">
        <v>182</v>
      </c>
    </row>
    <row r="307" spans="1:21" x14ac:dyDescent="0.3">
      <c r="A307" s="43">
        <v>7105400101</v>
      </c>
      <c r="B307" s="43" t="s">
        <v>535</v>
      </c>
      <c r="C307" s="50"/>
      <c r="D307" s="56">
        <f>Datos!$L$248*Datos!$L$183*(1+Datos!$L$218)</f>
        <v>1925.2183517800606</v>
      </c>
      <c r="E307" s="43" t="s">
        <v>556</v>
      </c>
      <c r="F307" s="43" t="s">
        <v>557</v>
      </c>
      <c r="G307" s="43" t="s">
        <v>563</v>
      </c>
      <c r="H307" s="43" t="s">
        <v>564</v>
      </c>
      <c r="I307" s="43" t="s">
        <v>560</v>
      </c>
      <c r="J307" s="43" t="s">
        <v>539</v>
      </c>
      <c r="K307" s="43">
        <v>700003</v>
      </c>
      <c r="L307" s="43">
        <v>5</v>
      </c>
      <c r="M307" s="43" t="s">
        <v>445</v>
      </c>
      <c r="N307" s="51"/>
      <c r="O307" s="51"/>
      <c r="P307" s="43" t="str">
        <f>VLOOKUP(K307,Maestro!J:K,2,0)</f>
        <v>CEMENTO UG</v>
      </c>
      <c r="Q307" s="43" t="str">
        <f>VLOOKUP(P307,Maestro!E:F,2,0)</f>
        <v>Cemento UG</v>
      </c>
      <c r="R307" s="43">
        <f>VLOOKUP(P307,ORD!$A:$C,3,0)</f>
        <v>6</v>
      </c>
      <c r="S307" t="str">
        <f t="shared" si="5"/>
        <v>7105400101CRUDOCemento UG</v>
      </c>
      <c r="T307" t="str">
        <f>IFERROR(VLOOKUP(S307,Maestro!$A:$H,8,0),"Producción")</f>
        <v>Finos Filtro</v>
      </c>
      <c r="U307" s="43" t="s">
        <v>182</v>
      </c>
    </row>
    <row r="308" spans="1:21" x14ac:dyDescent="0.3">
      <c r="A308" s="43">
        <v>7199990001</v>
      </c>
      <c r="B308" s="43" t="s">
        <v>438</v>
      </c>
      <c r="C308" s="50"/>
      <c r="D308" s="56">
        <f>Datos!$L$248*Datos!$L$179*(1+Datos!$L$219)</f>
        <v>33204.429284432226</v>
      </c>
      <c r="E308" s="43" t="s">
        <v>556</v>
      </c>
      <c r="F308" s="43" t="s">
        <v>557</v>
      </c>
      <c r="G308" s="43" t="s">
        <v>567</v>
      </c>
      <c r="H308" s="43" t="s">
        <v>568</v>
      </c>
      <c r="I308" s="43" t="s">
        <v>560</v>
      </c>
      <c r="J308" s="43" t="s">
        <v>463</v>
      </c>
      <c r="K308" s="43">
        <v>700003</v>
      </c>
      <c r="L308" s="43">
        <v>5</v>
      </c>
      <c r="M308" s="43" t="s">
        <v>62</v>
      </c>
      <c r="N308" s="51"/>
      <c r="O308" s="51"/>
      <c r="P308" s="43" t="str">
        <f>VLOOKUP(K308,Maestro!J:K,2,0)</f>
        <v>CEMENTO UG</v>
      </c>
      <c r="Q308" s="43" t="str">
        <f>VLOOKUP(P308,Maestro!E:F,2,0)</f>
        <v>Cemento UG</v>
      </c>
      <c r="R308" s="43">
        <f>VLOOKUP(P308,ORD!$A:$C,3,0)</f>
        <v>6</v>
      </c>
      <c r="S308" t="str">
        <f t="shared" si="5"/>
        <v>7199990001CLINKER001Cemento UG</v>
      </c>
      <c r="T308" t="str">
        <f>IFERROR(VLOOKUP(S308,Maestro!$A:$H,8,0),"Producción")</f>
        <v>Clinker</v>
      </c>
      <c r="U308" s="43" t="s">
        <v>182</v>
      </c>
    </row>
    <row r="309" spans="1:21" x14ac:dyDescent="0.3">
      <c r="A309" s="43">
        <v>7999999995</v>
      </c>
      <c r="B309" s="43" t="s">
        <v>566</v>
      </c>
      <c r="C309" s="52"/>
      <c r="D309" s="56">
        <f>-Datos!$L$248</f>
        <v>-63854.671700831204</v>
      </c>
      <c r="E309" s="43" t="s">
        <v>556</v>
      </c>
      <c r="F309" s="43" t="s">
        <v>557</v>
      </c>
      <c r="G309" s="43" t="s">
        <v>567</v>
      </c>
      <c r="H309" s="43" t="s">
        <v>568</v>
      </c>
      <c r="I309" s="43" t="s">
        <v>560</v>
      </c>
      <c r="J309" s="43" t="s">
        <v>476</v>
      </c>
      <c r="K309" s="43">
        <v>700003</v>
      </c>
      <c r="L309" s="43">
        <v>5</v>
      </c>
      <c r="M309" s="43" t="s">
        <v>464</v>
      </c>
      <c r="N309" s="51"/>
      <c r="O309" s="51"/>
      <c r="P309" s="43" t="str">
        <f>VLOOKUP(K309,Maestro!J:K,2,0)</f>
        <v>CEMENTO UG</v>
      </c>
      <c r="Q309" s="43" t="str">
        <f>VLOOKUP(P309,Maestro!E:F,2,0)</f>
        <v>Cemento UG</v>
      </c>
      <c r="R309" s="43">
        <f>VLOOKUP(P309,ORD!$A:$C,3,0)</f>
        <v>6</v>
      </c>
      <c r="S309" t="str">
        <f t="shared" si="5"/>
        <v>7999999995CEMENTOUG1Cemento UG</v>
      </c>
      <c r="T309" t="str">
        <f>IFERROR(VLOOKUP(S309,Maestro!$A:$H,8,0),"Producción")</f>
        <v>Producción</v>
      </c>
      <c r="U309" s="43" t="s">
        <v>182</v>
      </c>
    </row>
    <row r="310" spans="1:21" x14ac:dyDescent="0.3">
      <c r="A310" s="43">
        <v>7355250320</v>
      </c>
      <c r="B310" s="43" t="s">
        <v>490</v>
      </c>
      <c r="C310" s="52">
        <f>Datos!$L$120*D310+Datos!$L$122*D310</f>
        <v>98313013.356050447</v>
      </c>
      <c r="D310" s="56">
        <f>Datos!$L$248</f>
        <v>63854.671700831204</v>
      </c>
      <c r="E310" s="57"/>
      <c r="F310" s="58"/>
      <c r="G310" s="43"/>
      <c r="H310" s="43"/>
      <c r="I310" s="43" t="s">
        <v>560</v>
      </c>
      <c r="J310" s="43" t="s">
        <v>802</v>
      </c>
      <c r="K310" s="43">
        <v>700003</v>
      </c>
      <c r="L310" s="43">
        <v>5</v>
      </c>
      <c r="M310" s="43" t="s">
        <v>464</v>
      </c>
      <c r="N310" s="53"/>
      <c r="O310" s="53"/>
      <c r="P310" s="43" t="str">
        <f>VLOOKUP(K310,Maestro!J:K,2,0)</f>
        <v>CEMENTO UG</v>
      </c>
      <c r="Q310" s="43" t="str">
        <f>VLOOKUP(P310,Maestro!E:F,2,0)</f>
        <v>Cemento UG</v>
      </c>
      <c r="R310" s="43">
        <f>VLOOKUP(P310,ORD!$A:$C,3,0)</f>
        <v>6</v>
      </c>
      <c r="S310" t="str">
        <f t="shared" si="5"/>
        <v>7355250320PLACAS Y SEGMENTOSCemento UG</v>
      </c>
      <c r="T310" t="str">
        <f>IFERROR(VLOOKUP(S310,Maestro!$A:$H,8,0),"Producción")</f>
        <v>Placas y Segmentos</v>
      </c>
      <c r="U310" s="43" t="s">
        <v>182</v>
      </c>
    </row>
    <row r="311" spans="1:21" x14ac:dyDescent="0.3">
      <c r="A311" s="43">
        <v>7105330101</v>
      </c>
      <c r="B311" s="43" t="s">
        <v>443</v>
      </c>
      <c r="C311" s="52">
        <f>Datos!$M$77*D311</f>
        <v>0</v>
      </c>
      <c r="D311" s="56">
        <f>Datos!$M$248*Datos!$M$182*(1+Datos!$M$222)</f>
        <v>0</v>
      </c>
      <c r="E311" s="43" t="s">
        <v>556</v>
      </c>
      <c r="F311" s="43" t="s">
        <v>557</v>
      </c>
      <c r="G311" s="43" t="s">
        <v>563</v>
      </c>
      <c r="H311" s="43" t="s">
        <v>564</v>
      </c>
      <c r="I311" s="43" t="s">
        <v>560</v>
      </c>
      <c r="J311" s="43" t="s">
        <v>519</v>
      </c>
      <c r="K311" s="43">
        <v>700003</v>
      </c>
      <c r="L311" s="43">
        <v>6</v>
      </c>
      <c r="M311" s="43" t="s">
        <v>576</v>
      </c>
      <c r="N311" s="51"/>
      <c r="O311" s="51"/>
      <c r="P311" s="43" t="str">
        <f>VLOOKUP(K311,Maestro!J:K,2,0)</f>
        <v>CEMENTO UG</v>
      </c>
      <c r="Q311" s="43" t="str">
        <f>VLOOKUP(P311,Maestro!E:F,2,0)</f>
        <v>Cemento UG</v>
      </c>
      <c r="R311" s="43">
        <f>VLOOKUP(P311,ORD!$A:$C,3,0)</f>
        <v>6</v>
      </c>
      <c r="S311" t="str">
        <f t="shared" si="5"/>
        <v>7105330101SALMARCemento UG</v>
      </c>
      <c r="T311" t="str">
        <f>IFERROR(VLOOKUP(S311,Maestro!$A:$H,8,0),"Producción")</f>
        <v>Sal Marina</v>
      </c>
      <c r="U311" s="43" t="s">
        <v>182</v>
      </c>
    </row>
    <row r="312" spans="1:21" x14ac:dyDescent="0.3">
      <c r="A312" s="43">
        <v>7105330101</v>
      </c>
      <c r="B312" s="43" t="s">
        <v>443</v>
      </c>
      <c r="C312" s="50"/>
      <c r="D312" s="56">
        <f>Datos!$M$248*Datos!$M$180*(1+Datos!$M$210)</f>
        <v>24671.6419424546</v>
      </c>
      <c r="E312" s="43" t="s">
        <v>556</v>
      </c>
      <c r="F312" s="43" t="s">
        <v>557</v>
      </c>
      <c r="G312" s="43" t="s">
        <v>563</v>
      </c>
      <c r="H312" s="43" t="s">
        <v>564</v>
      </c>
      <c r="I312" s="43" t="s">
        <v>560</v>
      </c>
      <c r="J312" s="43" t="s">
        <v>444</v>
      </c>
      <c r="K312" s="43">
        <v>700003</v>
      </c>
      <c r="L312" s="43">
        <v>6</v>
      </c>
      <c r="M312" s="43" t="s">
        <v>565</v>
      </c>
      <c r="N312" s="51"/>
      <c r="O312" s="51"/>
      <c r="P312" s="43" t="str">
        <f>VLOOKUP(K312,Maestro!J:K,2,0)</f>
        <v>CEMENTO UG</v>
      </c>
      <c r="Q312" s="43" t="str">
        <f>VLOOKUP(P312,Maestro!E:F,2,0)</f>
        <v>Cemento UG</v>
      </c>
      <c r="R312" s="43">
        <f>VLOOKUP(P312,ORD!$A:$C,3,0)</f>
        <v>6</v>
      </c>
      <c r="S312" t="str">
        <f t="shared" si="5"/>
        <v>7105330101CALIZATRICemento UG</v>
      </c>
      <c r="T312" t="str">
        <f>IFERROR(VLOOKUP(S312,Maestro!$A:$H,8,0),"Producción")</f>
        <v>Caliza Triturada</v>
      </c>
      <c r="U312" s="43" t="s">
        <v>182</v>
      </c>
    </row>
    <row r="313" spans="1:21" x14ac:dyDescent="0.3">
      <c r="A313" s="43">
        <v>7105450101</v>
      </c>
      <c r="B313" s="43" t="s">
        <v>466</v>
      </c>
      <c r="C313" s="50">
        <f>Datos!$M$64*D313+Datos!$M$90*D313</f>
        <v>608281731.42484939</v>
      </c>
      <c r="D313" s="56">
        <f>Datos!$M$248*Datos!$M$181*(1+Datos!$M$221)</f>
        <v>2610.8467377051911</v>
      </c>
      <c r="E313" s="43" t="s">
        <v>556</v>
      </c>
      <c r="F313" s="43" t="s">
        <v>557</v>
      </c>
      <c r="G313" s="43" t="s">
        <v>577</v>
      </c>
      <c r="H313" s="43" t="s">
        <v>578</v>
      </c>
      <c r="I313" s="43" t="s">
        <v>560</v>
      </c>
      <c r="J313" s="43" t="s">
        <v>467</v>
      </c>
      <c r="K313" s="43">
        <v>700003</v>
      </c>
      <c r="L313" s="43">
        <v>6</v>
      </c>
      <c r="M313" s="43" t="s">
        <v>579</v>
      </c>
      <c r="N313" s="51"/>
      <c r="O313" s="51"/>
      <c r="P313" s="43" t="str">
        <f>VLOOKUP(K313,Maestro!J:K,2,0)</f>
        <v>CEMENTO UG</v>
      </c>
      <c r="Q313" s="43" t="str">
        <f>VLOOKUP(P313,Maestro!E:F,2,0)</f>
        <v>Cemento UG</v>
      </c>
      <c r="R313" s="43">
        <f>VLOOKUP(P313,ORD!$A:$C,3,0)</f>
        <v>6</v>
      </c>
      <c r="S313" t="str">
        <f t="shared" si="5"/>
        <v>7105450101YESO00001Cemento UG</v>
      </c>
      <c r="T313" t="str">
        <f>IFERROR(VLOOKUP(S313,Maestro!$A:$H,8,0),"Producción")</f>
        <v>Yeso</v>
      </c>
      <c r="U313" s="43" t="s">
        <v>182</v>
      </c>
    </row>
    <row r="314" spans="1:21" x14ac:dyDescent="0.3">
      <c r="A314" s="43">
        <v>7105400101</v>
      </c>
      <c r="B314" s="43" t="s">
        <v>535</v>
      </c>
      <c r="C314" s="50">
        <f>Datos!$M$76*D314</f>
        <v>139832688.44127694</v>
      </c>
      <c r="D314" s="56">
        <f>Datos!$M$248*Datos!$M$186</f>
        <v>31.806469088354216</v>
      </c>
      <c r="E314" s="43" t="s">
        <v>556</v>
      </c>
      <c r="F314" s="43" t="s">
        <v>557</v>
      </c>
      <c r="G314" s="43" t="s">
        <v>563</v>
      </c>
      <c r="H314" s="43" t="s">
        <v>564</v>
      </c>
      <c r="I314" s="43" t="s">
        <v>560</v>
      </c>
      <c r="J314" s="43" t="s">
        <v>536</v>
      </c>
      <c r="K314" s="43">
        <v>700003</v>
      </c>
      <c r="L314" s="43">
        <v>6</v>
      </c>
      <c r="M314" s="43" t="s">
        <v>580</v>
      </c>
      <c r="N314" s="51"/>
      <c r="O314" s="51"/>
      <c r="P314" s="43" t="str">
        <f>VLOOKUP(K314,Maestro!J:K,2,0)</f>
        <v>CEMENTO UG</v>
      </c>
      <c r="Q314" s="43" t="str">
        <f>VLOOKUP(P314,Maestro!E:F,2,0)</f>
        <v>Cemento UG</v>
      </c>
      <c r="R314" s="43">
        <f>VLOOKUP(P314,ORD!$A:$C,3,0)</f>
        <v>6</v>
      </c>
      <c r="S314" t="str">
        <f t="shared" si="5"/>
        <v>7105400101ADIMOLIENCemento UG</v>
      </c>
      <c r="T314" t="str">
        <f>IFERROR(VLOOKUP(S314,Maestro!$A:$H,8,0),"Producción")</f>
        <v>Aditivo Molienda</v>
      </c>
      <c r="U314" s="43" t="s">
        <v>182</v>
      </c>
    </row>
    <row r="315" spans="1:21" x14ac:dyDescent="0.3">
      <c r="A315" s="43">
        <v>7105400101</v>
      </c>
      <c r="B315" s="43" t="s">
        <v>535</v>
      </c>
      <c r="C315" s="50">
        <f>Datos!$M$93*D315+Datos!$M$90*D315</f>
        <v>201214166.51265907</v>
      </c>
      <c r="D315" s="56">
        <f>Datos!$M$248*Datos!$M$184*(1+Datos!$M$223)</f>
        <v>1908.3881453012532</v>
      </c>
      <c r="E315" s="43" t="s">
        <v>556</v>
      </c>
      <c r="F315" s="43" t="s">
        <v>557</v>
      </c>
      <c r="G315" s="43" t="s">
        <v>563</v>
      </c>
      <c r="H315" s="43" t="s">
        <v>564</v>
      </c>
      <c r="I315" s="43" t="s">
        <v>560</v>
      </c>
      <c r="J315" s="43" t="s">
        <v>538</v>
      </c>
      <c r="K315" s="43">
        <v>700003</v>
      </c>
      <c r="L315" s="43">
        <v>6</v>
      </c>
      <c r="M315" s="43" t="s">
        <v>538</v>
      </c>
      <c r="N315" s="51"/>
      <c r="O315" s="51"/>
      <c r="P315" s="43" t="str">
        <f>VLOOKUP(K315,Maestro!J:K,2,0)</f>
        <v>CEMENTO UG</v>
      </c>
      <c r="Q315" s="43" t="str">
        <f>VLOOKUP(P315,Maestro!E:F,2,0)</f>
        <v>Cemento UG</v>
      </c>
      <c r="R315" s="43">
        <f>VLOOKUP(P315,ORD!$A:$C,3,0)</f>
        <v>6</v>
      </c>
      <c r="S315" t="str">
        <f t="shared" si="5"/>
        <v>7105400101PUZOLANACemento UG</v>
      </c>
      <c r="T315" t="str">
        <f>IFERROR(VLOOKUP(S315,Maestro!$A:$H,8,0),"Producción")</f>
        <v>Puzolana</v>
      </c>
      <c r="U315" s="43" t="s">
        <v>182</v>
      </c>
    </row>
    <row r="316" spans="1:21" x14ac:dyDescent="0.3">
      <c r="A316" s="43">
        <v>7105400101</v>
      </c>
      <c r="B316" s="43" t="s">
        <v>535</v>
      </c>
      <c r="C316" s="50"/>
      <c r="D316" s="56">
        <f>Datos!$M$248*Datos!$M$183*(1+Datos!$M$218)</f>
        <v>1917.930086027759</v>
      </c>
      <c r="E316" s="43" t="s">
        <v>556</v>
      </c>
      <c r="F316" s="43" t="s">
        <v>557</v>
      </c>
      <c r="G316" s="43" t="s">
        <v>563</v>
      </c>
      <c r="H316" s="43" t="s">
        <v>564</v>
      </c>
      <c r="I316" s="43" t="s">
        <v>560</v>
      </c>
      <c r="J316" s="43" t="s">
        <v>539</v>
      </c>
      <c r="K316" s="43">
        <v>700003</v>
      </c>
      <c r="L316" s="43">
        <v>6</v>
      </c>
      <c r="M316" s="43" t="s">
        <v>445</v>
      </c>
      <c r="N316" s="51"/>
      <c r="O316" s="51"/>
      <c r="P316" s="43" t="str">
        <f>VLOOKUP(K316,Maestro!J:K,2,0)</f>
        <v>CEMENTO UG</v>
      </c>
      <c r="Q316" s="43" t="str">
        <f>VLOOKUP(P316,Maestro!E:F,2,0)</f>
        <v>Cemento UG</v>
      </c>
      <c r="R316" s="43">
        <f>VLOOKUP(P316,ORD!$A:$C,3,0)</f>
        <v>6</v>
      </c>
      <c r="S316" t="str">
        <f t="shared" si="5"/>
        <v>7105400101CRUDOCemento UG</v>
      </c>
      <c r="T316" t="str">
        <f>IFERROR(VLOOKUP(S316,Maestro!$A:$H,8,0),"Producción")</f>
        <v>Finos Filtro</v>
      </c>
      <c r="U316" s="43" t="s">
        <v>182</v>
      </c>
    </row>
    <row r="317" spans="1:21" x14ac:dyDescent="0.3">
      <c r="A317" s="43">
        <v>7199990001</v>
      </c>
      <c r="B317" s="43" t="s">
        <v>438</v>
      </c>
      <c r="C317" s="50"/>
      <c r="D317" s="56">
        <f>Datos!$M$248*Datos!$M$179*(1+Datos!$M$219)</f>
        <v>33078.72785188839</v>
      </c>
      <c r="E317" s="43" t="s">
        <v>556</v>
      </c>
      <c r="F317" s="43" t="s">
        <v>557</v>
      </c>
      <c r="G317" s="43" t="s">
        <v>567</v>
      </c>
      <c r="H317" s="43" t="s">
        <v>568</v>
      </c>
      <c r="I317" s="43" t="s">
        <v>560</v>
      </c>
      <c r="J317" s="43" t="s">
        <v>463</v>
      </c>
      <c r="K317" s="43">
        <v>700003</v>
      </c>
      <c r="L317" s="43">
        <v>6</v>
      </c>
      <c r="M317" s="43" t="s">
        <v>62</v>
      </c>
      <c r="N317" s="51"/>
      <c r="O317" s="51"/>
      <c r="P317" s="43" t="str">
        <f>VLOOKUP(K317,Maestro!J:K,2,0)</f>
        <v>CEMENTO UG</v>
      </c>
      <c r="Q317" s="43" t="str">
        <f>VLOOKUP(P317,Maestro!E:F,2,0)</f>
        <v>Cemento UG</v>
      </c>
      <c r="R317" s="43">
        <f>VLOOKUP(P317,ORD!$A:$C,3,0)</f>
        <v>6</v>
      </c>
      <c r="S317" t="str">
        <f t="shared" si="5"/>
        <v>7199990001CLINKER001Cemento UG</v>
      </c>
      <c r="T317" t="str">
        <f>IFERROR(VLOOKUP(S317,Maestro!$A:$H,8,0),"Producción")</f>
        <v>Clinker</v>
      </c>
      <c r="U317" s="43" t="s">
        <v>182</v>
      </c>
    </row>
    <row r="318" spans="1:21" x14ac:dyDescent="0.3">
      <c r="A318" s="43">
        <v>7999999995</v>
      </c>
      <c r="B318" s="43" t="s">
        <v>566</v>
      </c>
      <c r="C318" s="52"/>
      <c r="D318" s="56">
        <f>-Datos!$M$248</f>
        <v>-63612.938176708434</v>
      </c>
      <c r="E318" s="43" t="s">
        <v>556</v>
      </c>
      <c r="F318" s="43" t="s">
        <v>557</v>
      </c>
      <c r="G318" s="43" t="s">
        <v>567</v>
      </c>
      <c r="H318" s="43" t="s">
        <v>568</v>
      </c>
      <c r="I318" s="43" t="s">
        <v>560</v>
      </c>
      <c r="J318" s="43" t="s">
        <v>476</v>
      </c>
      <c r="K318" s="43">
        <v>700003</v>
      </c>
      <c r="L318" s="43">
        <v>6</v>
      </c>
      <c r="M318" s="43" t="s">
        <v>464</v>
      </c>
      <c r="N318" s="51"/>
      <c r="O318" s="51"/>
      <c r="P318" s="43" t="str">
        <f>VLOOKUP(K318,Maestro!J:K,2,0)</f>
        <v>CEMENTO UG</v>
      </c>
      <c r="Q318" s="43" t="str">
        <f>VLOOKUP(P318,Maestro!E:F,2,0)</f>
        <v>Cemento UG</v>
      </c>
      <c r="R318" s="43">
        <f>VLOOKUP(P318,ORD!$A:$C,3,0)</f>
        <v>6</v>
      </c>
      <c r="S318" t="str">
        <f t="shared" si="5"/>
        <v>7999999995CEMENTOUG1Cemento UG</v>
      </c>
      <c r="T318" t="str">
        <f>IFERROR(VLOOKUP(S318,Maestro!$A:$H,8,0),"Producción")</f>
        <v>Producción</v>
      </c>
      <c r="U318" s="43" t="s">
        <v>182</v>
      </c>
    </row>
    <row r="319" spans="1:21" x14ac:dyDescent="0.3">
      <c r="A319" s="43">
        <v>7355250320</v>
      </c>
      <c r="B319" s="43" t="s">
        <v>490</v>
      </c>
      <c r="C319" s="52">
        <f>Datos!$M$120*D319+Datos!$M$122*D319</f>
        <v>97940831.485050738</v>
      </c>
      <c r="D319" s="56">
        <f>Datos!$M$248</f>
        <v>63612.938176708434</v>
      </c>
      <c r="E319" s="57"/>
      <c r="F319" s="58"/>
      <c r="G319" s="43"/>
      <c r="H319" s="43"/>
      <c r="I319" s="43" t="s">
        <v>560</v>
      </c>
      <c r="J319" s="43" t="s">
        <v>802</v>
      </c>
      <c r="K319" s="43">
        <v>700003</v>
      </c>
      <c r="L319" s="43">
        <v>6</v>
      </c>
      <c r="M319" s="43" t="s">
        <v>464</v>
      </c>
      <c r="N319" s="53"/>
      <c r="O319" s="53"/>
      <c r="P319" s="43" t="str">
        <f>VLOOKUP(K319,Maestro!J:K,2,0)</f>
        <v>CEMENTO UG</v>
      </c>
      <c r="Q319" s="43" t="str">
        <f>VLOOKUP(P319,Maestro!E:F,2,0)</f>
        <v>Cemento UG</v>
      </c>
      <c r="R319" s="43">
        <f>VLOOKUP(P319,ORD!$A:$C,3,0)</f>
        <v>6</v>
      </c>
      <c r="S319" t="str">
        <f t="shared" si="5"/>
        <v>7355250320PLACAS Y SEGMENTOSCemento UG</v>
      </c>
      <c r="T319" t="str">
        <f>IFERROR(VLOOKUP(S319,Maestro!$A:$H,8,0),"Producción")</f>
        <v>Placas y Segmentos</v>
      </c>
      <c r="U319" s="43" t="s">
        <v>182</v>
      </c>
    </row>
    <row r="320" spans="1:21" x14ac:dyDescent="0.3">
      <c r="A320" s="43">
        <v>7105330101</v>
      </c>
      <c r="B320" s="43" t="s">
        <v>443</v>
      </c>
      <c r="C320" s="52">
        <f>Datos!$N$77*D320</f>
        <v>0</v>
      </c>
      <c r="D320" s="56">
        <f>Datos!$N$248*Datos!$N$182*(1+Datos!$N$222)</f>
        <v>0</v>
      </c>
      <c r="E320" s="43" t="s">
        <v>556</v>
      </c>
      <c r="F320" s="43" t="s">
        <v>557</v>
      </c>
      <c r="G320" s="43" t="s">
        <v>563</v>
      </c>
      <c r="H320" s="43" t="s">
        <v>564</v>
      </c>
      <c r="I320" s="43" t="s">
        <v>560</v>
      </c>
      <c r="J320" s="43" t="s">
        <v>519</v>
      </c>
      <c r="K320" s="43">
        <v>700003</v>
      </c>
      <c r="L320" s="43">
        <v>7</v>
      </c>
      <c r="M320" s="43" t="s">
        <v>576</v>
      </c>
      <c r="N320" s="51"/>
      <c r="O320" s="51"/>
      <c r="P320" s="43" t="str">
        <f>VLOOKUP(K320,Maestro!J:K,2,0)</f>
        <v>CEMENTO UG</v>
      </c>
      <c r="Q320" s="43" t="str">
        <f>VLOOKUP(P320,Maestro!E:F,2,0)</f>
        <v>Cemento UG</v>
      </c>
      <c r="R320" s="43">
        <f>VLOOKUP(P320,ORD!$A:$C,3,0)</f>
        <v>6</v>
      </c>
      <c r="S320" t="str">
        <f t="shared" si="5"/>
        <v>7105330101SALMARCemento UG</v>
      </c>
      <c r="T320" t="str">
        <f>IFERROR(VLOOKUP(S320,Maestro!$A:$H,8,0),"Producción")</f>
        <v>Sal Marina</v>
      </c>
      <c r="U320" s="43" t="s">
        <v>182</v>
      </c>
    </row>
    <row r="321" spans="1:21" x14ac:dyDescent="0.3">
      <c r="A321" s="43">
        <v>7105330101</v>
      </c>
      <c r="B321" s="43" t="s">
        <v>443</v>
      </c>
      <c r="C321" s="50"/>
      <c r="D321" s="56">
        <f>Datos!$N$248*Datos!$N$180*(1+Datos!$N$210)</f>
        <v>29060.007545841749</v>
      </c>
      <c r="E321" s="43" t="s">
        <v>556</v>
      </c>
      <c r="F321" s="43" t="s">
        <v>557</v>
      </c>
      <c r="G321" s="43" t="s">
        <v>563</v>
      </c>
      <c r="H321" s="43" t="s">
        <v>564</v>
      </c>
      <c r="I321" s="43" t="s">
        <v>560</v>
      </c>
      <c r="J321" s="43" t="s">
        <v>444</v>
      </c>
      <c r="K321" s="43">
        <v>700003</v>
      </c>
      <c r="L321" s="43">
        <v>7</v>
      </c>
      <c r="M321" s="43" t="s">
        <v>565</v>
      </c>
      <c r="N321" s="51"/>
      <c r="O321" s="51"/>
      <c r="P321" s="43" t="str">
        <f>VLOOKUP(K321,Maestro!J:K,2,0)</f>
        <v>CEMENTO UG</v>
      </c>
      <c r="Q321" s="43" t="str">
        <f>VLOOKUP(P321,Maestro!E:F,2,0)</f>
        <v>Cemento UG</v>
      </c>
      <c r="R321" s="43">
        <f>VLOOKUP(P321,ORD!$A:$C,3,0)</f>
        <v>6</v>
      </c>
      <c r="S321" t="str">
        <f t="shared" si="5"/>
        <v>7105330101CALIZATRICemento UG</v>
      </c>
      <c r="T321" t="str">
        <f>IFERROR(VLOOKUP(S321,Maestro!$A:$H,8,0),"Producción")</f>
        <v>Caliza Triturada</v>
      </c>
      <c r="U321" s="43" t="s">
        <v>182</v>
      </c>
    </row>
    <row r="322" spans="1:21" x14ac:dyDescent="0.3">
      <c r="A322" s="43">
        <v>7105450101</v>
      </c>
      <c r="B322" s="43" t="s">
        <v>466</v>
      </c>
      <c r="C322" s="50">
        <f>Datos!$N$64*D322+Datos!$N$90*D322</f>
        <v>715120005.88416958</v>
      </c>
      <c r="D322" s="56">
        <f>Datos!$N$248*Datos!$N$181*(1+Datos!$N$221)</f>
        <v>3075.2402323167266</v>
      </c>
      <c r="E322" s="43" t="s">
        <v>556</v>
      </c>
      <c r="F322" s="43" t="s">
        <v>557</v>
      </c>
      <c r="G322" s="43" t="s">
        <v>577</v>
      </c>
      <c r="H322" s="43" t="s">
        <v>578</v>
      </c>
      <c r="I322" s="43" t="s">
        <v>560</v>
      </c>
      <c r="J322" s="43" t="s">
        <v>467</v>
      </c>
      <c r="K322" s="43">
        <v>700003</v>
      </c>
      <c r="L322" s="43">
        <v>7</v>
      </c>
      <c r="M322" s="43" t="s">
        <v>579</v>
      </c>
      <c r="N322" s="51"/>
      <c r="O322" s="51"/>
      <c r="P322" s="43" t="str">
        <f>VLOOKUP(K322,Maestro!J:K,2,0)</f>
        <v>CEMENTO UG</v>
      </c>
      <c r="Q322" s="43" t="str">
        <f>VLOOKUP(P322,Maestro!E:F,2,0)</f>
        <v>Cemento UG</v>
      </c>
      <c r="R322" s="43">
        <f>VLOOKUP(P322,ORD!$A:$C,3,0)</f>
        <v>6</v>
      </c>
      <c r="S322" t="str">
        <f t="shared" si="5"/>
        <v>7105450101YESO00001Cemento UG</v>
      </c>
      <c r="T322" t="str">
        <f>IFERROR(VLOOKUP(S322,Maestro!$A:$H,8,0),"Producción")</f>
        <v>Yeso</v>
      </c>
      <c r="U322" s="43" t="s">
        <v>182</v>
      </c>
    </row>
    <row r="323" spans="1:21" x14ac:dyDescent="0.3">
      <c r="A323" s="43">
        <v>7105400101</v>
      </c>
      <c r="B323" s="43" t="s">
        <v>535</v>
      </c>
      <c r="C323" s="50">
        <f>Datos!$N$76*D323</f>
        <v>164704845.77949262</v>
      </c>
      <c r="D323" s="56">
        <f>Datos!$N$248*Datos!$N$186</f>
        <v>37.463912368298459</v>
      </c>
      <c r="E323" s="43" t="s">
        <v>556</v>
      </c>
      <c r="F323" s="43" t="s">
        <v>557</v>
      </c>
      <c r="G323" s="43" t="s">
        <v>563</v>
      </c>
      <c r="H323" s="43" t="s">
        <v>564</v>
      </c>
      <c r="I323" s="43" t="s">
        <v>560</v>
      </c>
      <c r="J323" s="43" t="s">
        <v>536</v>
      </c>
      <c r="K323" s="43">
        <v>700003</v>
      </c>
      <c r="L323" s="43">
        <v>7</v>
      </c>
      <c r="M323" s="43" t="s">
        <v>580</v>
      </c>
      <c r="N323" s="51"/>
      <c r="O323" s="51"/>
      <c r="P323" s="43" t="str">
        <f>VLOOKUP(K323,Maestro!J:K,2,0)</f>
        <v>CEMENTO UG</v>
      </c>
      <c r="Q323" s="43" t="str">
        <f>VLOOKUP(P323,Maestro!E:F,2,0)</f>
        <v>Cemento UG</v>
      </c>
      <c r="R323" s="43">
        <f>VLOOKUP(P323,ORD!$A:$C,3,0)</f>
        <v>6</v>
      </c>
      <c r="S323" t="str">
        <f t="shared" ref="S323:S386" si="6">A323&amp;J323&amp;Q323</f>
        <v>7105400101ADIMOLIENCemento UG</v>
      </c>
      <c r="T323" t="str">
        <f>IFERROR(VLOOKUP(S323,Maestro!$A:$H,8,0),"Producción")</f>
        <v>Aditivo Molienda</v>
      </c>
      <c r="U323" s="43" t="s">
        <v>182</v>
      </c>
    </row>
    <row r="324" spans="1:21" x14ac:dyDescent="0.3">
      <c r="A324" s="43">
        <v>7105400101</v>
      </c>
      <c r="B324" s="43" t="s">
        <v>535</v>
      </c>
      <c r="C324" s="50">
        <f>Datos!$N$93*D324+Datos!$N$90*D324</f>
        <v>236012181.0636327</v>
      </c>
      <c r="D324" s="56">
        <f>Datos!$N$248*Datos!$N$184*(1+Datos!$N$223)</f>
        <v>2247.8347420979076</v>
      </c>
      <c r="E324" s="43" t="s">
        <v>556</v>
      </c>
      <c r="F324" s="43" t="s">
        <v>557</v>
      </c>
      <c r="G324" s="43" t="s">
        <v>563</v>
      </c>
      <c r="H324" s="43" t="s">
        <v>564</v>
      </c>
      <c r="I324" s="43" t="s">
        <v>560</v>
      </c>
      <c r="J324" s="43" t="s">
        <v>538</v>
      </c>
      <c r="K324" s="43">
        <v>700003</v>
      </c>
      <c r="L324" s="43">
        <v>7</v>
      </c>
      <c r="M324" s="43" t="s">
        <v>538</v>
      </c>
      <c r="N324" s="51"/>
      <c r="O324" s="51"/>
      <c r="P324" s="43" t="str">
        <f>VLOOKUP(K324,Maestro!J:K,2,0)</f>
        <v>CEMENTO UG</v>
      </c>
      <c r="Q324" s="43" t="str">
        <f>VLOOKUP(P324,Maestro!E:F,2,0)</f>
        <v>Cemento UG</v>
      </c>
      <c r="R324" s="43">
        <f>VLOOKUP(P324,ORD!$A:$C,3,0)</f>
        <v>6</v>
      </c>
      <c r="S324" t="str">
        <f t="shared" si="6"/>
        <v>7105400101PUZOLANACemento UG</v>
      </c>
      <c r="T324" t="str">
        <f>IFERROR(VLOOKUP(S324,Maestro!$A:$H,8,0),"Producción")</f>
        <v>Puzolana</v>
      </c>
      <c r="U324" s="43" t="s">
        <v>182</v>
      </c>
    </row>
    <row r="325" spans="1:21" x14ac:dyDescent="0.3">
      <c r="A325" s="43">
        <v>7105400101</v>
      </c>
      <c r="B325" s="43" t="s">
        <v>535</v>
      </c>
      <c r="C325" s="50"/>
      <c r="D325" s="56">
        <f>Datos!$N$248*Datos!$N$183*(1+Datos!$N$218)</f>
        <v>2259.073915808397</v>
      </c>
      <c r="E325" s="43" t="s">
        <v>556</v>
      </c>
      <c r="F325" s="43" t="s">
        <v>557</v>
      </c>
      <c r="G325" s="43" t="s">
        <v>563</v>
      </c>
      <c r="H325" s="43" t="s">
        <v>564</v>
      </c>
      <c r="I325" s="43" t="s">
        <v>560</v>
      </c>
      <c r="J325" s="43" t="s">
        <v>539</v>
      </c>
      <c r="K325" s="43">
        <v>700003</v>
      </c>
      <c r="L325" s="43">
        <v>7</v>
      </c>
      <c r="M325" s="43" t="s">
        <v>445</v>
      </c>
      <c r="N325" s="51"/>
      <c r="O325" s="51"/>
      <c r="P325" s="43" t="str">
        <f>VLOOKUP(K325,Maestro!J:K,2,0)</f>
        <v>CEMENTO UG</v>
      </c>
      <c r="Q325" s="43" t="str">
        <f>VLOOKUP(P325,Maestro!E:F,2,0)</f>
        <v>Cemento UG</v>
      </c>
      <c r="R325" s="43">
        <f>VLOOKUP(P325,ORD!$A:$C,3,0)</f>
        <v>6</v>
      </c>
      <c r="S325" t="str">
        <f t="shared" si="6"/>
        <v>7105400101CRUDOCemento UG</v>
      </c>
      <c r="T325" t="str">
        <f>IFERROR(VLOOKUP(S325,Maestro!$A:$H,8,0),"Producción")</f>
        <v>Finos Filtro</v>
      </c>
      <c r="U325" s="43" t="s">
        <v>182</v>
      </c>
    </row>
    <row r="326" spans="1:21" x14ac:dyDescent="0.3">
      <c r="A326" s="43">
        <v>7199990001</v>
      </c>
      <c r="B326" s="43" t="s">
        <v>438</v>
      </c>
      <c r="C326" s="50"/>
      <c r="D326" s="56">
        <f>Datos!$N$248*Datos!$N$179*(1+Datos!$N$219)</f>
        <v>38962.468863030394</v>
      </c>
      <c r="E326" s="43" t="s">
        <v>556</v>
      </c>
      <c r="F326" s="43" t="s">
        <v>557</v>
      </c>
      <c r="G326" s="43" t="s">
        <v>567</v>
      </c>
      <c r="H326" s="43" t="s">
        <v>568</v>
      </c>
      <c r="I326" s="43" t="s">
        <v>560</v>
      </c>
      <c r="J326" s="43" t="s">
        <v>463</v>
      </c>
      <c r="K326" s="43">
        <v>700003</v>
      </c>
      <c r="L326" s="43">
        <v>7</v>
      </c>
      <c r="M326" s="43" t="s">
        <v>62</v>
      </c>
      <c r="N326" s="51"/>
      <c r="O326" s="51"/>
      <c r="P326" s="43" t="str">
        <f>VLOOKUP(K326,Maestro!J:K,2,0)</f>
        <v>CEMENTO UG</v>
      </c>
      <c r="Q326" s="43" t="str">
        <f>VLOOKUP(P326,Maestro!E:F,2,0)</f>
        <v>Cemento UG</v>
      </c>
      <c r="R326" s="43">
        <f>VLOOKUP(P326,ORD!$A:$C,3,0)</f>
        <v>6</v>
      </c>
      <c r="S326" t="str">
        <f t="shared" si="6"/>
        <v>7199990001CLINKER001Cemento UG</v>
      </c>
      <c r="T326" t="str">
        <f>IFERROR(VLOOKUP(S326,Maestro!$A:$H,8,0),"Producción")</f>
        <v>Clinker</v>
      </c>
      <c r="U326" s="43" t="s">
        <v>182</v>
      </c>
    </row>
    <row r="327" spans="1:21" x14ac:dyDescent="0.3">
      <c r="A327" s="43">
        <v>7999999995</v>
      </c>
      <c r="B327" s="43" t="s">
        <v>566</v>
      </c>
      <c r="C327" s="52"/>
      <c r="D327" s="56">
        <f>-Datos!$N$248</f>
        <v>-74927.824736596915</v>
      </c>
      <c r="E327" s="43" t="s">
        <v>556</v>
      </c>
      <c r="F327" s="43" t="s">
        <v>557</v>
      </c>
      <c r="G327" s="43" t="s">
        <v>567</v>
      </c>
      <c r="H327" s="43" t="s">
        <v>568</v>
      </c>
      <c r="I327" s="43" t="s">
        <v>560</v>
      </c>
      <c r="J327" s="43" t="s">
        <v>476</v>
      </c>
      <c r="K327" s="43">
        <v>700003</v>
      </c>
      <c r="L327" s="43">
        <v>7</v>
      </c>
      <c r="M327" s="43" t="s">
        <v>464</v>
      </c>
      <c r="N327" s="51"/>
      <c r="O327" s="51"/>
      <c r="P327" s="43" t="str">
        <f>VLOOKUP(K327,Maestro!J:K,2,0)</f>
        <v>CEMENTO UG</v>
      </c>
      <c r="Q327" s="43" t="str">
        <f>VLOOKUP(P327,Maestro!E:F,2,0)</f>
        <v>Cemento UG</v>
      </c>
      <c r="R327" s="43">
        <f>VLOOKUP(P327,ORD!$A:$C,3,0)</f>
        <v>6</v>
      </c>
      <c r="S327" t="str">
        <f t="shared" si="6"/>
        <v>7999999995CEMENTOUG1Cemento UG</v>
      </c>
      <c r="T327" t="str">
        <f>IFERROR(VLOOKUP(S327,Maestro!$A:$H,8,0),"Producción")</f>
        <v>Producción</v>
      </c>
      <c r="U327" s="43" t="s">
        <v>182</v>
      </c>
    </row>
    <row r="328" spans="1:21" x14ac:dyDescent="0.3">
      <c r="A328" s="43">
        <v>7355250320</v>
      </c>
      <c r="B328" s="43" t="s">
        <v>490</v>
      </c>
      <c r="C328" s="52">
        <f>Datos!$N$120*D328+Datos!$N$122*D328</f>
        <v>115361649.16141868</v>
      </c>
      <c r="D328" s="56">
        <f>Datos!$N$248</f>
        <v>74927.824736596915</v>
      </c>
      <c r="E328" s="57"/>
      <c r="F328" s="58"/>
      <c r="G328" s="43"/>
      <c r="H328" s="43"/>
      <c r="I328" s="43" t="s">
        <v>560</v>
      </c>
      <c r="J328" s="43" t="s">
        <v>802</v>
      </c>
      <c r="K328" s="43">
        <v>700003</v>
      </c>
      <c r="L328" s="43">
        <v>7</v>
      </c>
      <c r="M328" s="43" t="s">
        <v>464</v>
      </c>
      <c r="N328" s="53"/>
      <c r="O328" s="53"/>
      <c r="P328" s="43" t="str">
        <f>VLOOKUP(K328,Maestro!J:K,2,0)</f>
        <v>CEMENTO UG</v>
      </c>
      <c r="Q328" s="43" t="str">
        <f>VLOOKUP(P328,Maestro!E:F,2,0)</f>
        <v>Cemento UG</v>
      </c>
      <c r="R328" s="43">
        <f>VLOOKUP(P328,ORD!$A:$C,3,0)</f>
        <v>6</v>
      </c>
      <c r="S328" t="str">
        <f t="shared" si="6"/>
        <v>7355250320PLACAS Y SEGMENTOSCemento UG</v>
      </c>
      <c r="T328" t="str">
        <f>IFERROR(VLOOKUP(S328,Maestro!$A:$H,8,0),"Producción")</f>
        <v>Placas y Segmentos</v>
      </c>
      <c r="U328" s="43" t="s">
        <v>182</v>
      </c>
    </row>
    <row r="329" spans="1:21" x14ac:dyDescent="0.3">
      <c r="A329" s="43">
        <v>7105330101</v>
      </c>
      <c r="B329" s="43" t="s">
        <v>443</v>
      </c>
      <c r="C329" s="52">
        <f>Datos!$O$77*D329</f>
        <v>0</v>
      </c>
      <c r="D329" s="56">
        <f>Datos!$O$248*Datos!$O$182*(1+Datos!$O$222)</f>
        <v>0</v>
      </c>
      <c r="E329" s="43" t="s">
        <v>556</v>
      </c>
      <c r="F329" s="43" t="s">
        <v>557</v>
      </c>
      <c r="G329" s="43" t="s">
        <v>563</v>
      </c>
      <c r="H329" s="43" t="s">
        <v>564</v>
      </c>
      <c r="I329" s="43" t="s">
        <v>560</v>
      </c>
      <c r="J329" s="43" t="s">
        <v>519</v>
      </c>
      <c r="K329" s="43">
        <v>700003</v>
      </c>
      <c r="L329" s="43">
        <v>8</v>
      </c>
      <c r="M329" s="43" t="s">
        <v>576</v>
      </c>
      <c r="N329" s="51"/>
      <c r="O329" s="51"/>
      <c r="P329" s="43" t="str">
        <f>VLOOKUP(K329,Maestro!J:K,2,0)</f>
        <v>CEMENTO UG</v>
      </c>
      <c r="Q329" s="43" t="str">
        <f>VLOOKUP(P329,Maestro!E:F,2,0)</f>
        <v>Cemento UG</v>
      </c>
      <c r="R329" s="43">
        <f>VLOOKUP(P329,ORD!$A:$C,3,0)</f>
        <v>6</v>
      </c>
      <c r="S329" t="str">
        <f t="shared" si="6"/>
        <v>7105330101SALMARCemento UG</v>
      </c>
      <c r="T329" t="str">
        <f>IFERROR(VLOOKUP(S329,Maestro!$A:$H,8,0),"Producción")</f>
        <v>Sal Marina</v>
      </c>
      <c r="U329" s="43" t="s">
        <v>182</v>
      </c>
    </row>
    <row r="330" spans="1:21" x14ac:dyDescent="0.3">
      <c r="A330" s="43">
        <v>7105330101</v>
      </c>
      <c r="B330" s="43" t="s">
        <v>443</v>
      </c>
      <c r="C330" s="50"/>
      <c r="D330" s="56">
        <f>Datos!$O$248*Datos!$O$180*(1+Datos!$O$210)</f>
        <v>26475.918561666575</v>
      </c>
      <c r="E330" s="43" t="s">
        <v>556</v>
      </c>
      <c r="F330" s="43" t="s">
        <v>557</v>
      </c>
      <c r="G330" s="43" t="s">
        <v>563</v>
      </c>
      <c r="H330" s="43" t="s">
        <v>564</v>
      </c>
      <c r="I330" s="43" t="s">
        <v>560</v>
      </c>
      <c r="J330" s="43" t="s">
        <v>444</v>
      </c>
      <c r="K330" s="43">
        <v>700003</v>
      </c>
      <c r="L330" s="43">
        <v>8</v>
      </c>
      <c r="M330" s="43" t="s">
        <v>565</v>
      </c>
      <c r="N330" s="51"/>
      <c r="O330" s="51"/>
      <c r="P330" s="43" t="str">
        <f>VLOOKUP(K330,Maestro!J:K,2,0)</f>
        <v>CEMENTO UG</v>
      </c>
      <c r="Q330" s="43" t="str">
        <f>VLOOKUP(P330,Maestro!E:F,2,0)</f>
        <v>Cemento UG</v>
      </c>
      <c r="R330" s="43">
        <f>VLOOKUP(P330,ORD!$A:$C,3,0)</f>
        <v>6</v>
      </c>
      <c r="S330" t="str">
        <f t="shared" si="6"/>
        <v>7105330101CALIZATRICemento UG</v>
      </c>
      <c r="T330" t="str">
        <f>IFERROR(VLOOKUP(S330,Maestro!$A:$H,8,0),"Producción")</f>
        <v>Caliza Triturada</v>
      </c>
      <c r="U330" s="43" t="s">
        <v>182</v>
      </c>
    </row>
    <row r="331" spans="1:21" x14ac:dyDescent="0.3">
      <c r="A331" s="43">
        <v>7105450101</v>
      </c>
      <c r="B331" s="43" t="s">
        <v>466</v>
      </c>
      <c r="C331" s="50">
        <f>Datos!$O$64*D331+Datos!$O$90*D331</f>
        <v>651332278.22826338</v>
      </c>
      <c r="D331" s="56">
        <f>Datos!$O$248*Datos!$O$181*(1+Datos!$O$221)</f>
        <v>2801.782133743071</v>
      </c>
      <c r="E331" s="43" t="s">
        <v>556</v>
      </c>
      <c r="F331" s="43" t="s">
        <v>557</v>
      </c>
      <c r="G331" s="43" t="s">
        <v>577</v>
      </c>
      <c r="H331" s="43" t="s">
        <v>578</v>
      </c>
      <c r="I331" s="43" t="s">
        <v>560</v>
      </c>
      <c r="J331" s="43" t="s">
        <v>467</v>
      </c>
      <c r="K331" s="43">
        <v>700003</v>
      </c>
      <c r="L331" s="43">
        <v>8</v>
      </c>
      <c r="M331" s="43" t="s">
        <v>579</v>
      </c>
      <c r="N331" s="51"/>
      <c r="O331" s="51"/>
      <c r="P331" s="43" t="str">
        <f>VLOOKUP(K331,Maestro!J:K,2,0)</f>
        <v>CEMENTO UG</v>
      </c>
      <c r="Q331" s="43" t="str">
        <f>VLOOKUP(P331,Maestro!E:F,2,0)</f>
        <v>Cemento UG</v>
      </c>
      <c r="R331" s="43">
        <f>VLOOKUP(P331,ORD!$A:$C,3,0)</f>
        <v>6</v>
      </c>
      <c r="S331" t="str">
        <f t="shared" si="6"/>
        <v>7105450101YESO00001Cemento UG</v>
      </c>
      <c r="T331" t="str">
        <f>IFERROR(VLOOKUP(S331,Maestro!$A:$H,8,0),"Producción")</f>
        <v>Yeso</v>
      </c>
      <c r="U331" s="43" t="s">
        <v>182</v>
      </c>
    </row>
    <row r="332" spans="1:21" x14ac:dyDescent="0.3">
      <c r="A332" s="43">
        <v>7105400101</v>
      </c>
      <c r="B332" s="43" t="s">
        <v>535</v>
      </c>
      <c r="C332" s="50">
        <f>Datos!$O$76*D332</f>
        <v>150058876.5054771</v>
      </c>
      <c r="D332" s="56">
        <f>Datos!$O$248*Datos!$O$186</f>
        <v>34.13252702360068</v>
      </c>
      <c r="E332" s="43" t="s">
        <v>556</v>
      </c>
      <c r="F332" s="43" t="s">
        <v>557</v>
      </c>
      <c r="G332" s="43" t="s">
        <v>563</v>
      </c>
      <c r="H332" s="43" t="s">
        <v>564</v>
      </c>
      <c r="I332" s="43" t="s">
        <v>560</v>
      </c>
      <c r="J332" s="43" t="s">
        <v>536</v>
      </c>
      <c r="K332" s="43">
        <v>700003</v>
      </c>
      <c r="L332" s="43">
        <v>8</v>
      </c>
      <c r="M332" s="43" t="s">
        <v>580</v>
      </c>
      <c r="N332" s="51"/>
      <c r="O332" s="51"/>
      <c r="P332" s="43" t="str">
        <f>VLOOKUP(K332,Maestro!J:K,2,0)</f>
        <v>CEMENTO UG</v>
      </c>
      <c r="Q332" s="43" t="str">
        <f>VLOOKUP(P332,Maestro!E:F,2,0)</f>
        <v>Cemento UG</v>
      </c>
      <c r="R332" s="43">
        <f>VLOOKUP(P332,ORD!$A:$C,3,0)</f>
        <v>6</v>
      </c>
      <c r="S332" t="str">
        <f t="shared" si="6"/>
        <v>7105400101ADIMOLIENCemento UG</v>
      </c>
      <c r="T332" t="str">
        <f>IFERROR(VLOOKUP(S332,Maestro!$A:$H,8,0),"Producción")</f>
        <v>Aditivo Molienda</v>
      </c>
      <c r="U332" s="43" t="s">
        <v>182</v>
      </c>
    </row>
    <row r="333" spans="1:21" x14ac:dyDescent="0.3">
      <c r="A333" s="43">
        <v>7105400101</v>
      </c>
      <c r="B333" s="43" t="s">
        <v>535</v>
      </c>
      <c r="C333" s="50">
        <f>Datos!$O$93*D333+Datos!$O$90*D333</f>
        <v>214881053.3236742</v>
      </c>
      <c r="D333" s="56">
        <f>Datos!$O$248*Datos!$O$184*(1+Datos!$O$223)</f>
        <v>2047.9516214160406</v>
      </c>
      <c r="E333" s="43" t="s">
        <v>556</v>
      </c>
      <c r="F333" s="43" t="s">
        <v>557</v>
      </c>
      <c r="G333" s="43" t="s">
        <v>563</v>
      </c>
      <c r="H333" s="43" t="s">
        <v>564</v>
      </c>
      <c r="I333" s="43" t="s">
        <v>560</v>
      </c>
      <c r="J333" s="43" t="s">
        <v>538</v>
      </c>
      <c r="K333" s="43">
        <v>700003</v>
      </c>
      <c r="L333" s="43">
        <v>8</v>
      </c>
      <c r="M333" s="43" t="s">
        <v>538</v>
      </c>
      <c r="N333" s="51"/>
      <c r="O333" s="51"/>
      <c r="P333" s="43" t="str">
        <f>VLOOKUP(K333,Maestro!J:K,2,0)</f>
        <v>CEMENTO UG</v>
      </c>
      <c r="Q333" s="43" t="str">
        <f>VLOOKUP(P333,Maestro!E:F,2,0)</f>
        <v>Cemento UG</v>
      </c>
      <c r="R333" s="43">
        <f>VLOOKUP(P333,ORD!$A:$C,3,0)</f>
        <v>6</v>
      </c>
      <c r="S333" t="str">
        <f t="shared" si="6"/>
        <v>7105400101PUZOLANACemento UG</v>
      </c>
      <c r="T333" t="str">
        <f>IFERROR(VLOOKUP(S333,Maestro!$A:$H,8,0),"Producción")</f>
        <v>Puzolana</v>
      </c>
      <c r="U333" s="43" t="s">
        <v>182</v>
      </c>
    </row>
    <row r="334" spans="1:21" x14ac:dyDescent="0.3">
      <c r="A334" s="43">
        <v>7105400101</v>
      </c>
      <c r="B334" s="43" t="s">
        <v>535</v>
      </c>
      <c r="C334" s="50"/>
      <c r="D334" s="56">
        <f>Datos!$O$248*Datos!$O$183*(1+Datos!$O$218)</f>
        <v>2058.1913795231208</v>
      </c>
      <c r="E334" s="43" t="s">
        <v>556</v>
      </c>
      <c r="F334" s="43" t="s">
        <v>557</v>
      </c>
      <c r="G334" s="43" t="s">
        <v>563</v>
      </c>
      <c r="H334" s="43" t="s">
        <v>564</v>
      </c>
      <c r="I334" s="43" t="s">
        <v>560</v>
      </c>
      <c r="J334" s="43" t="s">
        <v>539</v>
      </c>
      <c r="K334" s="43">
        <v>700003</v>
      </c>
      <c r="L334" s="43">
        <v>8</v>
      </c>
      <c r="M334" s="43" t="s">
        <v>445</v>
      </c>
      <c r="N334" s="51"/>
      <c r="O334" s="51"/>
      <c r="P334" s="43" t="str">
        <f>VLOOKUP(K334,Maestro!J:K,2,0)</f>
        <v>CEMENTO UG</v>
      </c>
      <c r="Q334" s="43" t="str">
        <f>VLOOKUP(P334,Maestro!E:F,2,0)</f>
        <v>Cemento UG</v>
      </c>
      <c r="R334" s="43">
        <f>VLOOKUP(P334,ORD!$A:$C,3,0)</f>
        <v>6</v>
      </c>
      <c r="S334" t="str">
        <f t="shared" si="6"/>
        <v>7105400101CRUDOCemento UG</v>
      </c>
      <c r="T334" t="str">
        <f>IFERROR(VLOOKUP(S334,Maestro!$A:$H,8,0),"Producción")</f>
        <v>Finos Filtro</v>
      </c>
      <c r="U334" s="43" t="s">
        <v>182</v>
      </c>
    </row>
    <row r="335" spans="1:21" x14ac:dyDescent="0.3">
      <c r="A335" s="43">
        <v>7199990001</v>
      </c>
      <c r="B335" s="43" t="s">
        <v>438</v>
      </c>
      <c r="C335" s="50"/>
      <c r="D335" s="56">
        <f>Datos!$O$248*Datos!$O$179*(1+Datos!$O$219)</f>
        <v>35497.828104544707</v>
      </c>
      <c r="E335" s="43" t="s">
        <v>556</v>
      </c>
      <c r="F335" s="43" t="s">
        <v>557</v>
      </c>
      <c r="G335" s="43" t="s">
        <v>567</v>
      </c>
      <c r="H335" s="43" t="s">
        <v>568</v>
      </c>
      <c r="I335" s="43" t="s">
        <v>560</v>
      </c>
      <c r="J335" s="43" t="s">
        <v>463</v>
      </c>
      <c r="K335" s="43">
        <v>700003</v>
      </c>
      <c r="L335" s="43">
        <v>8</v>
      </c>
      <c r="M335" s="43" t="s">
        <v>62</v>
      </c>
      <c r="N335" s="51"/>
      <c r="O335" s="51"/>
      <c r="P335" s="43" t="str">
        <f>VLOOKUP(K335,Maestro!J:K,2,0)</f>
        <v>CEMENTO UG</v>
      </c>
      <c r="Q335" s="43" t="str">
        <f>VLOOKUP(P335,Maestro!E:F,2,0)</f>
        <v>Cemento UG</v>
      </c>
      <c r="R335" s="43">
        <f>VLOOKUP(P335,ORD!$A:$C,3,0)</f>
        <v>6</v>
      </c>
      <c r="S335" t="str">
        <f t="shared" si="6"/>
        <v>7199990001CLINKER001Cemento UG</v>
      </c>
      <c r="T335" t="str">
        <f>IFERROR(VLOOKUP(S335,Maestro!$A:$H,8,0),"Producción")</f>
        <v>Clinker</v>
      </c>
      <c r="U335" s="43" t="s">
        <v>182</v>
      </c>
    </row>
    <row r="336" spans="1:21" x14ac:dyDescent="0.3">
      <c r="A336" s="43">
        <v>7999999995</v>
      </c>
      <c r="B336" s="43" t="s">
        <v>566</v>
      </c>
      <c r="C336" s="52"/>
      <c r="D336" s="56">
        <f>-Datos!$O$248</f>
        <v>-68265.054047201353</v>
      </c>
      <c r="E336" s="43" t="s">
        <v>556</v>
      </c>
      <c r="F336" s="43" t="s">
        <v>557</v>
      </c>
      <c r="G336" s="43" t="s">
        <v>567</v>
      </c>
      <c r="H336" s="43" t="s">
        <v>568</v>
      </c>
      <c r="I336" s="43" t="s">
        <v>560</v>
      </c>
      <c r="J336" s="43" t="s">
        <v>476</v>
      </c>
      <c r="K336" s="43">
        <v>700003</v>
      </c>
      <c r="L336" s="43">
        <v>8</v>
      </c>
      <c r="M336" s="43" t="s">
        <v>464</v>
      </c>
      <c r="N336" s="51"/>
      <c r="O336" s="51"/>
      <c r="P336" s="43" t="str">
        <f>VLOOKUP(K336,Maestro!J:K,2,0)</f>
        <v>CEMENTO UG</v>
      </c>
      <c r="Q336" s="43" t="str">
        <f>VLOOKUP(P336,Maestro!E:F,2,0)</f>
        <v>Cemento UG</v>
      </c>
      <c r="R336" s="43">
        <f>VLOOKUP(P336,ORD!$A:$C,3,0)</f>
        <v>6</v>
      </c>
      <c r="S336" t="str">
        <f t="shared" si="6"/>
        <v>7999999995CEMENTOUG1Cemento UG</v>
      </c>
      <c r="T336" t="str">
        <f>IFERROR(VLOOKUP(S336,Maestro!$A:$H,8,0),"Producción")</f>
        <v>Producción</v>
      </c>
      <c r="U336" s="43" t="s">
        <v>182</v>
      </c>
    </row>
    <row r="337" spans="1:21" x14ac:dyDescent="0.3">
      <c r="A337" s="43">
        <v>7355250320</v>
      </c>
      <c r="B337" s="43" t="s">
        <v>490</v>
      </c>
      <c r="C337" s="52">
        <f>Datos!$O$120*D337+Datos!$O$122*D337</f>
        <v>105103401.07514247</v>
      </c>
      <c r="D337" s="56">
        <f>Datos!$O$248</f>
        <v>68265.054047201353</v>
      </c>
      <c r="E337" s="57"/>
      <c r="F337" s="58"/>
      <c r="G337" s="43"/>
      <c r="H337" s="43"/>
      <c r="I337" s="43" t="s">
        <v>560</v>
      </c>
      <c r="J337" s="43" t="s">
        <v>802</v>
      </c>
      <c r="K337" s="43">
        <v>700003</v>
      </c>
      <c r="L337" s="43">
        <v>8</v>
      </c>
      <c r="M337" s="43" t="s">
        <v>464</v>
      </c>
      <c r="N337" s="53"/>
      <c r="O337" s="53"/>
      <c r="P337" s="43" t="str">
        <f>VLOOKUP(K337,Maestro!J:K,2,0)</f>
        <v>CEMENTO UG</v>
      </c>
      <c r="Q337" s="43" t="str">
        <f>VLOOKUP(P337,Maestro!E:F,2,0)</f>
        <v>Cemento UG</v>
      </c>
      <c r="R337" s="43">
        <f>VLOOKUP(P337,ORD!$A:$C,3,0)</f>
        <v>6</v>
      </c>
      <c r="S337" t="str">
        <f t="shared" si="6"/>
        <v>7355250320PLACAS Y SEGMENTOSCemento UG</v>
      </c>
      <c r="T337" t="str">
        <f>IFERROR(VLOOKUP(S337,Maestro!$A:$H,8,0),"Producción")</f>
        <v>Placas y Segmentos</v>
      </c>
      <c r="U337" s="43" t="s">
        <v>182</v>
      </c>
    </row>
    <row r="338" spans="1:21" x14ac:dyDescent="0.3">
      <c r="A338" s="43">
        <v>7105330101</v>
      </c>
      <c r="B338" s="43" t="s">
        <v>443</v>
      </c>
      <c r="C338" s="52">
        <f>Datos!$P$77*D338</f>
        <v>0</v>
      </c>
      <c r="D338" s="56">
        <f>Datos!$P$248*Datos!$P$182*(1+Datos!$P$222)</f>
        <v>0</v>
      </c>
      <c r="E338" s="43" t="s">
        <v>556</v>
      </c>
      <c r="F338" s="43" t="s">
        <v>557</v>
      </c>
      <c r="G338" s="43" t="s">
        <v>563</v>
      </c>
      <c r="H338" s="43" t="s">
        <v>564</v>
      </c>
      <c r="I338" s="43" t="s">
        <v>560</v>
      </c>
      <c r="J338" s="43" t="s">
        <v>519</v>
      </c>
      <c r="K338" s="43">
        <v>700003</v>
      </c>
      <c r="L338" s="43">
        <v>9</v>
      </c>
      <c r="M338" s="43" t="s">
        <v>576</v>
      </c>
      <c r="N338" s="51"/>
      <c r="O338" s="51"/>
      <c r="P338" s="43" t="str">
        <f>VLOOKUP(K338,Maestro!J:K,2,0)</f>
        <v>CEMENTO UG</v>
      </c>
      <c r="Q338" s="43" t="str">
        <f>VLOOKUP(P338,Maestro!E:F,2,0)</f>
        <v>Cemento UG</v>
      </c>
      <c r="R338" s="43">
        <f>VLOOKUP(P338,ORD!$A:$C,3,0)</f>
        <v>6</v>
      </c>
      <c r="S338" t="str">
        <f t="shared" si="6"/>
        <v>7105330101SALMARCemento UG</v>
      </c>
      <c r="T338" t="str">
        <f>IFERROR(VLOOKUP(S338,Maestro!$A:$H,8,0),"Producción")</f>
        <v>Sal Marina</v>
      </c>
      <c r="U338" s="43" t="s">
        <v>182</v>
      </c>
    </row>
    <row r="339" spans="1:21" x14ac:dyDescent="0.3">
      <c r="A339" s="43">
        <v>7105330101</v>
      </c>
      <c r="B339" s="43" t="s">
        <v>443</v>
      </c>
      <c r="C339" s="50"/>
      <c r="D339" s="56">
        <f>Datos!$P$248*Datos!$P$180*(1+Datos!$P$210)</f>
        <v>28044.512785310151</v>
      </c>
      <c r="E339" s="43" t="s">
        <v>556</v>
      </c>
      <c r="F339" s="43" t="s">
        <v>557</v>
      </c>
      <c r="G339" s="43" t="s">
        <v>563</v>
      </c>
      <c r="H339" s="43" t="s">
        <v>564</v>
      </c>
      <c r="I339" s="43" t="s">
        <v>560</v>
      </c>
      <c r="J339" s="43" t="s">
        <v>444</v>
      </c>
      <c r="K339" s="43">
        <v>700003</v>
      </c>
      <c r="L339" s="43">
        <v>9</v>
      </c>
      <c r="M339" s="43" t="s">
        <v>565</v>
      </c>
      <c r="N339" s="51"/>
      <c r="O339" s="51"/>
      <c r="P339" s="43" t="str">
        <f>VLOOKUP(K339,Maestro!J:K,2,0)</f>
        <v>CEMENTO UG</v>
      </c>
      <c r="Q339" s="43" t="str">
        <f>VLOOKUP(P339,Maestro!E:F,2,0)</f>
        <v>Cemento UG</v>
      </c>
      <c r="R339" s="43">
        <f>VLOOKUP(P339,ORD!$A:$C,3,0)</f>
        <v>6</v>
      </c>
      <c r="S339" t="str">
        <f t="shared" si="6"/>
        <v>7105330101CALIZATRICemento UG</v>
      </c>
      <c r="T339" t="str">
        <f>IFERROR(VLOOKUP(S339,Maestro!$A:$H,8,0),"Producción")</f>
        <v>Caliza Triturada</v>
      </c>
      <c r="U339" s="43" t="s">
        <v>182</v>
      </c>
    </row>
    <row r="340" spans="1:21" x14ac:dyDescent="0.3">
      <c r="A340" s="43">
        <v>7105450101</v>
      </c>
      <c r="B340" s="43" t="s">
        <v>466</v>
      </c>
      <c r="C340" s="50">
        <f>Datos!$P$64*D340+Datos!$P$90*D340</f>
        <v>690283121.67521596</v>
      </c>
      <c r="D340" s="56">
        <f>Datos!$P$248*Datos!$P$181*(1+Datos!$P$221)</f>
        <v>2967.7767246639055</v>
      </c>
      <c r="E340" s="43" t="s">
        <v>556</v>
      </c>
      <c r="F340" s="43" t="s">
        <v>557</v>
      </c>
      <c r="G340" s="43" t="s">
        <v>577</v>
      </c>
      <c r="H340" s="43" t="s">
        <v>578</v>
      </c>
      <c r="I340" s="43" t="s">
        <v>560</v>
      </c>
      <c r="J340" s="43" t="s">
        <v>467</v>
      </c>
      <c r="K340" s="43">
        <v>700003</v>
      </c>
      <c r="L340" s="43">
        <v>9</v>
      </c>
      <c r="M340" s="43" t="s">
        <v>579</v>
      </c>
      <c r="N340" s="51"/>
      <c r="O340" s="51"/>
      <c r="P340" s="43" t="str">
        <f>VLOOKUP(K340,Maestro!J:K,2,0)</f>
        <v>CEMENTO UG</v>
      </c>
      <c r="Q340" s="43" t="str">
        <f>VLOOKUP(P340,Maestro!E:F,2,0)</f>
        <v>Cemento UG</v>
      </c>
      <c r="R340" s="43">
        <f>VLOOKUP(P340,ORD!$A:$C,3,0)</f>
        <v>6</v>
      </c>
      <c r="S340" t="str">
        <f t="shared" si="6"/>
        <v>7105450101YESO00001Cemento UG</v>
      </c>
      <c r="T340" t="str">
        <f>IFERROR(VLOOKUP(S340,Maestro!$A:$H,8,0),"Producción")</f>
        <v>Yeso</v>
      </c>
      <c r="U340" s="43" t="s">
        <v>182</v>
      </c>
    </row>
    <row r="341" spans="1:21" x14ac:dyDescent="0.3">
      <c r="A341" s="43">
        <v>7105400101</v>
      </c>
      <c r="B341" s="43" t="s">
        <v>535</v>
      </c>
      <c r="C341" s="50">
        <f>Datos!$P$76*D341</f>
        <v>158949275.76942316</v>
      </c>
      <c r="D341" s="56">
        <f>Datos!$P$248*Datos!$P$186</f>
        <v>36.154745236837556</v>
      </c>
      <c r="E341" s="43" t="s">
        <v>556</v>
      </c>
      <c r="F341" s="43" t="s">
        <v>557</v>
      </c>
      <c r="G341" s="43" t="s">
        <v>563</v>
      </c>
      <c r="H341" s="43" t="s">
        <v>564</v>
      </c>
      <c r="I341" s="43" t="s">
        <v>560</v>
      </c>
      <c r="J341" s="43" t="s">
        <v>536</v>
      </c>
      <c r="K341" s="43">
        <v>700003</v>
      </c>
      <c r="L341" s="43">
        <v>9</v>
      </c>
      <c r="M341" s="43" t="s">
        <v>580</v>
      </c>
      <c r="N341" s="51"/>
      <c r="O341" s="51"/>
      <c r="P341" s="43" t="str">
        <f>VLOOKUP(K341,Maestro!J:K,2,0)</f>
        <v>CEMENTO UG</v>
      </c>
      <c r="Q341" s="43" t="str">
        <f>VLOOKUP(P341,Maestro!E:F,2,0)</f>
        <v>Cemento UG</v>
      </c>
      <c r="R341" s="43">
        <f>VLOOKUP(P341,ORD!$A:$C,3,0)</f>
        <v>6</v>
      </c>
      <c r="S341" t="str">
        <f t="shared" si="6"/>
        <v>7105400101ADIMOLIENCemento UG</v>
      </c>
      <c r="T341" t="str">
        <f>IFERROR(VLOOKUP(S341,Maestro!$A:$H,8,0),"Producción")</f>
        <v>Aditivo Molienda</v>
      </c>
      <c r="U341" s="43" t="s">
        <v>182</v>
      </c>
    </row>
    <row r="342" spans="1:21" x14ac:dyDescent="0.3">
      <c r="A342" s="43">
        <v>7105400101</v>
      </c>
      <c r="B342" s="43" t="s">
        <v>535</v>
      </c>
      <c r="C342" s="50">
        <f>Datos!$P$93*D342+Datos!$P$90*D342</f>
        <v>227876487.67353612</v>
      </c>
      <c r="D342" s="56">
        <f>Datos!$P$248*Datos!$P$184*(1+Datos!$P$223)</f>
        <v>2169.2847142102532</v>
      </c>
      <c r="E342" s="43" t="s">
        <v>556</v>
      </c>
      <c r="F342" s="43" t="s">
        <v>557</v>
      </c>
      <c r="G342" s="43" t="s">
        <v>563</v>
      </c>
      <c r="H342" s="43" t="s">
        <v>564</v>
      </c>
      <c r="I342" s="43" t="s">
        <v>560</v>
      </c>
      <c r="J342" s="43" t="s">
        <v>538</v>
      </c>
      <c r="K342" s="43">
        <v>700003</v>
      </c>
      <c r="L342" s="43">
        <v>9</v>
      </c>
      <c r="M342" s="43" t="s">
        <v>538</v>
      </c>
      <c r="N342" s="51"/>
      <c r="O342" s="51"/>
      <c r="P342" s="43" t="str">
        <f>VLOOKUP(K342,Maestro!J:K,2,0)</f>
        <v>CEMENTO UG</v>
      </c>
      <c r="Q342" s="43" t="str">
        <f>VLOOKUP(P342,Maestro!E:F,2,0)</f>
        <v>Cemento UG</v>
      </c>
      <c r="R342" s="43">
        <f>VLOOKUP(P342,ORD!$A:$C,3,0)</f>
        <v>6</v>
      </c>
      <c r="S342" t="str">
        <f t="shared" si="6"/>
        <v>7105400101PUZOLANACemento UG</v>
      </c>
      <c r="T342" t="str">
        <f>IFERROR(VLOOKUP(S342,Maestro!$A:$H,8,0),"Producción")</f>
        <v>Puzolana</v>
      </c>
      <c r="U342" s="43" t="s">
        <v>182</v>
      </c>
    </row>
    <row r="343" spans="1:21" x14ac:dyDescent="0.3">
      <c r="A343" s="43">
        <v>7105400101</v>
      </c>
      <c r="B343" s="43" t="s">
        <v>535</v>
      </c>
      <c r="C343" s="50"/>
      <c r="D343" s="56">
        <f>Datos!$P$248*Datos!$P$183*(1+Datos!$P$218)</f>
        <v>2180.1311377813045</v>
      </c>
      <c r="E343" s="43" t="s">
        <v>556</v>
      </c>
      <c r="F343" s="43" t="s">
        <v>557</v>
      </c>
      <c r="G343" s="43" t="s">
        <v>563</v>
      </c>
      <c r="H343" s="43" t="s">
        <v>564</v>
      </c>
      <c r="I343" s="43" t="s">
        <v>560</v>
      </c>
      <c r="J343" s="43" t="s">
        <v>539</v>
      </c>
      <c r="K343" s="43">
        <v>700003</v>
      </c>
      <c r="L343" s="43">
        <v>9</v>
      </c>
      <c r="M343" s="43" t="s">
        <v>445</v>
      </c>
      <c r="N343" s="51"/>
      <c r="O343" s="51"/>
      <c r="P343" s="43" t="str">
        <f>VLOOKUP(K343,Maestro!J:K,2,0)</f>
        <v>CEMENTO UG</v>
      </c>
      <c r="Q343" s="43" t="str">
        <f>VLOOKUP(P343,Maestro!E:F,2,0)</f>
        <v>Cemento UG</v>
      </c>
      <c r="R343" s="43">
        <f>VLOOKUP(P343,ORD!$A:$C,3,0)</f>
        <v>6</v>
      </c>
      <c r="S343" t="str">
        <f t="shared" si="6"/>
        <v>7105400101CRUDOCemento UG</v>
      </c>
      <c r="T343" t="str">
        <f>IFERROR(VLOOKUP(S343,Maestro!$A:$H,8,0),"Producción")</f>
        <v>Finos Filtro</v>
      </c>
      <c r="U343" s="43" t="s">
        <v>182</v>
      </c>
    </row>
    <row r="344" spans="1:21" x14ac:dyDescent="0.3">
      <c r="A344" s="43">
        <v>7199990001</v>
      </c>
      <c r="B344" s="43" t="s">
        <v>438</v>
      </c>
      <c r="C344" s="50"/>
      <c r="D344" s="56">
        <f>Datos!$P$248*Datos!$P$179*(1+Datos!$P$219)</f>
        <v>37600.935046311053</v>
      </c>
      <c r="E344" s="43" t="s">
        <v>556</v>
      </c>
      <c r="F344" s="43" t="s">
        <v>557</v>
      </c>
      <c r="G344" s="43" t="s">
        <v>567</v>
      </c>
      <c r="H344" s="43" t="s">
        <v>568</v>
      </c>
      <c r="I344" s="43" t="s">
        <v>560</v>
      </c>
      <c r="J344" s="43" t="s">
        <v>463</v>
      </c>
      <c r="K344" s="43">
        <v>700003</v>
      </c>
      <c r="L344" s="43">
        <v>9</v>
      </c>
      <c r="M344" s="43" t="s">
        <v>62</v>
      </c>
      <c r="N344" s="51"/>
      <c r="O344" s="51"/>
      <c r="P344" s="43" t="str">
        <f>VLOOKUP(K344,Maestro!J:K,2,0)</f>
        <v>CEMENTO UG</v>
      </c>
      <c r="Q344" s="43" t="str">
        <f>VLOOKUP(P344,Maestro!E:F,2,0)</f>
        <v>Cemento UG</v>
      </c>
      <c r="R344" s="43">
        <f>VLOOKUP(P344,ORD!$A:$C,3,0)</f>
        <v>6</v>
      </c>
      <c r="S344" t="str">
        <f t="shared" si="6"/>
        <v>7199990001CLINKER001Cemento UG</v>
      </c>
      <c r="T344" t="str">
        <f>IFERROR(VLOOKUP(S344,Maestro!$A:$H,8,0),"Producción")</f>
        <v>Clinker</v>
      </c>
      <c r="U344" s="43" t="s">
        <v>182</v>
      </c>
    </row>
    <row r="345" spans="1:21" x14ac:dyDescent="0.3">
      <c r="A345" s="43">
        <v>7999999995</v>
      </c>
      <c r="B345" s="43" t="s">
        <v>566</v>
      </c>
      <c r="C345" s="52"/>
      <c r="D345" s="56">
        <f>-Datos!$P$248</f>
        <v>-72309.490473675105</v>
      </c>
      <c r="E345" s="43" t="s">
        <v>556</v>
      </c>
      <c r="F345" s="43" t="s">
        <v>557</v>
      </c>
      <c r="G345" s="43" t="s">
        <v>567</v>
      </c>
      <c r="H345" s="43" t="s">
        <v>568</v>
      </c>
      <c r="I345" s="43" t="s">
        <v>560</v>
      </c>
      <c r="J345" s="43" t="s">
        <v>476</v>
      </c>
      <c r="K345" s="43">
        <v>700003</v>
      </c>
      <c r="L345" s="43">
        <v>9</v>
      </c>
      <c r="M345" s="43" t="s">
        <v>464</v>
      </c>
      <c r="N345" s="51"/>
      <c r="O345" s="51"/>
      <c r="P345" s="43" t="str">
        <f>VLOOKUP(K345,Maestro!J:K,2,0)</f>
        <v>CEMENTO UG</v>
      </c>
      <c r="Q345" s="43" t="str">
        <f>VLOOKUP(P345,Maestro!E:F,2,0)</f>
        <v>Cemento UG</v>
      </c>
      <c r="R345" s="43">
        <f>VLOOKUP(P345,ORD!$A:$C,3,0)</f>
        <v>6</v>
      </c>
      <c r="S345" t="str">
        <f t="shared" si="6"/>
        <v>7999999995CEMENTOUG1Cemento UG</v>
      </c>
      <c r="T345" t="str">
        <f>IFERROR(VLOOKUP(S345,Maestro!$A:$H,8,0),"Producción")</f>
        <v>Producción</v>
      </c>
      <c r="U345" s="43" t="s">
        <v>182</v>
      </c>
    </row>
    <row r="346" spans="1:21" x14ac:dyDescent="0.3">
      <c r="A346" s="43">
        <v>7355250320</v>
      </c>
      <c r="B346" s="43" t="s">
        <v>490</v>
      </c>
      <c r="C346" s="52">
        <f>Datos!$P$120*D346+Datos!$P$122*D346</f>
        <v>111330364.92637837</v>
      </c>
      <c r="D346" s="56">
        <f>Datos!$P$248</f>
        <v>72309.490473675105</v>
      </c>
      <c r="E346" s="57"/>
      <c r="F346" s="58"/>
      <c r="G346" s="43"/>
      <c r="H346" s="43"/>
      <c r="I346" s="43" t="s">
        <v>560</v>
      </c>
      <c r="J346" s="43" t="s">
        <v>802</v>
      </c>
      <c r="K346" s="43">
        <v>700003</v>
      </c>
      <c r="L346" s="43">
        <v>9</v>
      </c>
      <c r="M346" s="43" t="s">
        <v>464</v>
      </c>
      <c r="N346" s="53"/>
      <c r="O346" s="53"/>
      <c r="P346" s="43" t="str">
        <f>VLOOKUP(K346,Maestro!J:K,2,0)</f>
        <v>CEMENTO UG</v>
      </c>
      <c r="Q346" s="43" t="str">
        <f>VLOOKUP(P346,Maestro!E:F,2,0)</f>
        <v>Cemento UG</v>
      </c>
      <c r="R346" s="43">
        <f>VLOOKUP(P346,ORD!$A:$C,3,0)</f>
        <v>6</v>
      </c>
      <c r="S346" t="str">
        <f t="shared" si="6"/>
        <v>7355250320PLACAS Y SEGMENTOSCemento UG</v>
      </c>
      <c r="T346" t="str">
        <f>IFERROR(VLOOKUP(S346,Maestro!$A:$H,8,0),"Producción")</f>
        <v>Placas y Segmentos</v>
      </c>
      <c r="U346" s="43" t="s">
        <v>182</v>
      </c>
    </row>
    <row r="347" spans="1:21" x14ac:dyDescent="0.3">
      <c r="A347" s="43">
        <v>7105330101</v>
      </c>
      <c r="B347" s="43" t="s">
        <v>443</v>
      </c>
      <c r="C347" s="52">
        <f>Datos!$Q$77*D347</f>
        <v>0</v>
      </c>
      <c r="D347" s="56">
        <f>Datos!$Q$248*Datos!$Q$182*(1+Datos!$Q$222)</f>
        <v>0</v>
      </c>
      <c r="E347" s="43" t="s">
        <v>556</v>
      </c>
      <c r="F347" s="43" t="s">
        <v>557</v>
      </c>
      <c r="G347" s="43" t="s">
        <v>563</v>
      </c>
      <c r="H347" s="43" t="s">
        <v>564</v>
      </c>
      <c r="I347" s="43" t="s">
        <v>560</v>
      </c>
      <c r="J347" s="43" t="s">
        <v>519</v>
      </c>
      <c r="K347" s="43">
        <v>700003</v>
      </c>
      <c r="L347" s="43">
        <v>10</v>
      </c>
      <c r="M347" s="43" t="s">
        <v>576</v>
      </c>
      <c r="N347" s="51"/>
      <c r="O347" s="51"/>
      <c r="P347" s="43" t="str">
        <f>VLOOKUP(K347,Maestro!J:K,2,0)</f>
        <v>CEMENTO UG</v>
      </c>
      <c r="Q347" s="43" t="str">
        <f>VLOOKUP(P347,Maestro!E:F,2,0)</f>
        <v>Cemento UG</v>
      </c>
      <c r="R347" s="43">
        <f>VLOOKUP(P347,ORD!$A:$C,3,0)</f>
        <v>6</v>
      </c>
      <c r="S347" t="str">
        <f t="shared" si="6"/>
        <v>7105330101SALMARCemento UG</v>
      </c>
      <c r="T347" t="str">
        <f>IFERROR(VLOOKUP(S347,Maestro!$A:$H,8,0),"Producción")</f>
        <v>Sal Marina</v>
      </c>
      <c r="U347" s="43" t="s">
        <v>182</v>
      </c>
    </row>
    <row r="348" spans="1:21" x14ac:dyDescent="0.3">
      <c r="A348" s="43">
        <v>7105330101</v>
      </c>
      <c r="B348" s="43" t="s">
        <v>443</v>
      </c>
      <c r="C348" s="50"/>
      <c r="D348" s="56">
        <f>Datos!$Q$248*Datos!$Q$180*(1+Datos!$Q$210)</f>
        <v>28479.529765303982</v>
      </c>
      <c r="E348" s="43" t="s">
        <v>556</v>
      </c>
      <c r="F348" s="43" t="s">
        <v>557</v>
      </c>
      <c r="G348" s="43" t="s">
        <v>563</v>
      </c>
      <c r="H348" s="43" t="s">
        <v>564</v>
      </c>
      <c r="I348" s="43" t="s">
        <v>560</v>
      </c>
      <c r="J348" s="43" t="s">
        <v>444</v>
      </c>
      <c r="K348" s="43">
        <v>700003</v>
      </c>
      <c r="L348" s="43">
        <v>10</v>
      </c>
      <c r="M348" s="43" t="s">
        <v>565</v>
      </c>
      <c r="N348" s="51"/>
      <c r="O348" s="51"/>
      <c r="P348" s="43" t="str">
        <f>VLOOKUP(K348,Maestro!J:K,2,0)</f>
        <v>CEMENTO UG</v>
      </c>
      <c r="Q348" s="43" t="str">
        <f>VLOOKUP(P348,Maestro!E:F,2,0)</f>
        <v>Cemento UG</v>
      </c>
      <c r="R348" s="43">
        <f>VLOOKUP(P348,ORD!$A:$C,3,0)</f>
        <v>6</v>
      </c>
      <c r="S348" t="str">
        <f t="shared" si="6"/>
        <v>7105330101CALIZATRICemento UG</v>
      </c>
      <c r="T348" t="str">
        <f>IFERROR(VLOOKUP(S348,Maestro!$A:$H,8,0),"Producción")</f>
        <v>Caliza Triturada</v>
      </c>
      <c r="U348" s="43" t="s">
        <v>182</v>
      </c>
    </row>
    <row r="349" spans="1:21" x14ac:dyDescent="0.3">
      <c r="A349" s="43">
        <v>7105450101</v>
      </c>
      <c r="B349" s="43" t="s">
        <v>466</v>
      </c>
      <c r="C349" s="50">
        <f>Datos!$Q$64*D349+Datos!$Q$90*D349</f>
        <v>701364704.39929402</v>
      </c>
      <c r="D349" s="56">
        <f>Datos!$Q$248*Datos!$Q$181*(1+Datos!$Q$221)</f>
        <v>3013.8118716440849</v>
      </c>
      <c r="E349" s="43" t="s">
        <v>556</v>
      </c>
      <c r="F349" s="43" t="s">
        <v>557</v>
      </c>
      <c r="G349" s="43" t="s">
        <v>577</v>
      </c>
      <c r="H349" s="43" t="s">
        <v>578</v>
      </c>
      <c r="I349" s="43" t="s">
        <v>560</v>
      </c>
      <c r="J349" s="43" t="s">
        <v>467</v>
      </c>
      <c r="K349" s="43">
        <v>700003</v>
      </c>
      <c r="L349" s="43">
        <v>10</v>
      </c>
      <c r="M349" s="43" t="s">
        <v>579</v>
      </c>
      <c r="N349" s="51"/>
      <c r="O349" s="51"/>
      <c r="P349" s="43" t="str">
        <f>VLOOKUP(K349,Maestro!J:K,2,0)</f>
        <v>CEMENTO UG</v>
      </c>
      <c r="Q349" s="43" t="str">
        <f>VLOOKUP(P349,Maestro!E:F,2,0)</f>
        <v>Cemento UG</v>
      </c>
      <c r="R349" s="43">
        <f>VLOOKUP(P349,ORD!$A:$C,3,0)</f>
        <v>6</v>
      </c>
      <c r="S349" t="str">
        <f t="shared" si="6"/>
        <v>7105450101YESO00001Cemento UG</v>
      </c>
      <c r="T349" t="str">
        <f>IFERROR(VLOOKUP(S349,Maestro!$A:$H,8,0),"Producción")</f>
        <v>Yeso</v>
      </c>
      <c r="U349" s="43" t="s">
        <v>182</v>
      </c>
    </row>
    <row r="350" spans="1:21" x14ac:dyDescent="0.3">
      <c r="A350" s="43">
        <v>7105400101</v>
      </c>
      <c r="B350" s="43" t="s">
        <v>535</v>
      </c>
      <c r="C350" s="50">
        <f>Datos!$Q$76*D350</f>
        <v>161414843.07832071</v>
      </c>
      <c r="D350" s="56">
        <f>Datos!$Q$248*Datos!$Q$186</f>
        <v>36.715565394626623</v>
      </c>
      <c r="E350" s="43" t="s">
        <v>556</v>
      </c>
      <c r="F350" s="43" t="s">
        <v>557</v>
      </c>
      <c r="G350" s="43" t="s">
        <v>563</v>
      </c>
      <c r="H350" s="43" t="s">
        <v>564</v>
      </c>
      <c r="I350" s="43" t="s">
        <v>560</v>
      </c>
      <c r="J350" s="43" t="s">
        <v>536</v>
      </c>
      <c r="K350" s="43">
        <v>700003</v>
      </c>
      <c r="L350" s="43">
        <v>10</v>
      </c>
      <c r="M350" s="43" t="s">
        <v>580</v>
      </c>
      <c r="N350" s="51"/>
      <c r="O350" s="51"/>
      <c r="P350" s="43" t="str">
        <f>VLOOKUP(K350,Maestro!J:K,2,0)</f>
        <v>CEMENTO UG</v>
      </c>
      <c r="Q350" s="43" t="str">
        <f>VLOOKUP(P350,Maestro!E:F,2,0)</f>
        <v>Cemento UG</v>
      </c>
      <c r="R350" s="43">
        <f>VLOOKUP(P350,ORD!$A:$C,3,0)</f>
        <v>6</v>
      </c>
      <c r="S350" t="str">
        <f t="shared" si="6"/>
        <v>7105400101ADIMOLIENCemento UG</v>
      </c>
      <c r="T350" t="str">
        <f>IFERROR(VLOOKUP(S350,Maestro!$A:$H,8,0),"Producción")</f>
        <v>Aditivo Molienda</v>
      </c>
      <c r="U350" s="43" t="s">
        <v>182</v>
      </c>
    </row>
    <row r="351" spans="1:21" x14ac:dyDescent="0.3">
      <c r="A351" s="43">
        <v>7105400101</v>
      </c>
      <c r="B351" s="43" t="s">
        <v>535</v>
      </c>
      <c r="C351" s="50">
        <f>Datos!$Q$93*D351+Datos!$Q$90*D351</f>
        <v>231684710.22917163</v>
      </c>
      <c r="D351" s="56">
        <f>Datos!$Q$248*Datos!$Q$184*(1+Datos!$Q$223)</f>
        <v>2202.9339236775977</v>
      </c>
      <c r="E351" s="43" t="s">
        <v>556</v>
      </c>
      <c r="F351" s="43" t="s">
        <v>557</v>
      </c>
      <c r="G351" s="43" t="s">
        <v>563</v>
      </c>
      <c r="H351" s="43" t="s">
        <v>564</v>
      </c>
      <c r="I351" s="43" t="s">
        <v>560</v>
      </c>
      <c r="J351" s="43" t="s">
        <v>538</v>
      </c>
      <c r="K351" s="43">
        <v>700003</v>
      </c>
      <c r="L351" s="43">
        <v>10</v>
      </c>
      <c r="M351" s="43" t="s">
        <v>538</v>
      </c>
      <c r="N351" s="51"/>
      <c r="O351" s="51"/>
      <c r="P351" s="43" t="str">
        <f>VLOOKUP(K351,Maestro!J:K,2,0)</f>
        <v>CEMENTO UG</v>
      </c>
      <c r="Q351" s="43" t="str">
        <f>VLOOKUP(P351,Maestro!E:F,2,0)</f>
        <v>Cemento UG</v>
      </c>
      <c r="R351" s="43">
        <f>VLOOKUP(P351,ORD!$A:$C,3,0)</f>
        <v>6</v>
      </c>
      <c r="S351" t="str">
        <f t="shared" si="6"/>
        <v>7105400101PUZOLANACemento UG</v>
      </c>
      <c r="T351" t="str">
        <f>IFERROR(VLOOKUP(S351,Maestro!$A:$H,8,0),"Producción")</f>
        <v>Puzolana</v>
      </c>
      <c r="U351" s="43" t="s">
        <v>182</v>
      </c>
    </row>
    <row r="352" spans="1:21" x14ac:dyDescent="0.3">
      <c r="A352" s="43">
        <v>7105400101</v>
      </c>
      <c r="B352" s="43" t="s">
        <v>535</v>
      </c>
      <c r="C352" s="50"/>
      <c r="D352" s="56">
        <f>Datos!$Q$248*Datos!$Q$183*(1+Datos!$Q$218)</f>
        <v>2213.9485932959851</v>
      </c>
      <c r="E352" s="43" t="s">
        <v>556</v>
      </c>
      <c r="F352" s="43" t="s">
        <v>557</v>
      </c>
      <c r="G352" s="43" t="s">
        <v>563</v>
      </c>
      <c r="H352" s="43" t="s">
        <v>564</v>
      </c>
      <c r="I352" s="43" t="s">
        <v>560</v>
      </c>
      <c r="J352" s="43" t="s">
        <v>539</v>
      </c>
      <c r="K352" s="43">
        <v>700003</v>
      </c>
      <c r="L352" s="43">
        <v>10</v>
      </c>
      <c r="M352" s="43" t="s">
        <v>445</v>
      </c>
      <c r="N352" s="51"/>
      <c r="O352" s="51"/>
      <c r="P352" s="43" t="str">
        <f>VLOOKUP(K352,Maestro!J:K,2,0)</f>
        <v>CEMENTO UG</v>
      </c>
      <c r="Q352" s="43" t="str">
        <f>VLOOKUP(P352,Maestro!E:F,2,0)</f>
        <v>Cemento UG</v>
      </c>
      <c r="R352" s="43">
        <f>VLOOKUP(P352,ORD!$A:$C,3,0)</f>
        <v>6</v>
      </c>
      <c r="S352" t="str">
        <f t="shared" si="6"/>
        <v>7105400101CRUDOCemento UG</v>
      </c>
      <c r="T352" t="str">
        <f>IFERROR(VLOOKUP(S352,Maestro!$A:$H,8,0),"Producción")</f>
        <v>Finos Filtro</v>
      </c>
      <c r="U352" s="43" t="s">
        <v>182</v>
      </c>
    </row>
    <row r="353" spans="1:21" x14ac:dyDescent="0.3">
      <c r="A353" s="43">
        <v>7199990001</v>
      </c>
      <c r="B353" s="43" t="s">
        <v>438</v>
      </c>
      <c r="C353" s="50"/>
      <c r="D353" s="56">
        <f>Datos!$Q$248*Datos!$Q$179*(1+Datos!$Q$219)</f>
        <v>38184.188010411694</v>
      </c>
      <c r="E353" s="43" t="s">
        <v>556</v>
      </c>
      <c r="F353" s="43" t="s">
        <v>557</v>
      </c>
      <c r="G353" s="43" t="s">
        <v>567</v>
      </c>
      <c r="H353" s="43" t="s">
        <v>568</v>
      </c>
      <c r="I353" s="43" t="s">
        <v>560</v>
      </c>
      <c r="J353" s="43" t="s">
        <v>463</v>
      </c>
      <c r="K353" s="43">
        <v>700003</v>
      </c>
      <c r="L353" s="43">
        <v>10</v>
      </c>
      <c r="M353" s="43" t="s">
        <v>62</v>
      </c>
      <c r="N353" s="51"/>
      <c r="O353" s="51"/>
      <c r="P353" s="43" t="str">
        <f>VLOOKUP(K353,Maestro!J:K,2,0)</f>
        <v>CEMENTO UG</v>
      </c>
      <c r="Q353" s="43" t="str">
        <f>VLOOKUP(P353,Maestro!E:F,2,0)</f>
        <v>Cemento UG</v>
      </c>
      <c r="R353" s="43">
        <f>VLOOKUP(P353,ORD!$A:$C,3,0)</f>
        <v>6</v>
      </c>
      <c r="S353" t="str">
        <f t="shared" si="6"/>
        <v>7199990001CLINKER001Cemento UG</v>
      </c>
      <c r="T353" t="str">
        <f>IFERROR(VLOOKUP(S353,Maestro!$A:$H,8,0),"Producción")</f>
        <v>Clinker</v>
      </c>
      <c r="U353" s="43" t="s">
        <v>182</v>
      </c>
    </row>
    <row r="354" spans="1:21" x14ac:dyDescent="0.3">
      <c r="A354" s="43">
        <v>7999999995</v>
      </c>
      <c r="B354" s="43" t="s">
        <v>566</v>
      </c>
      <c r="C354" s="52"/>
      <c r="D354" s="56">
        <f>-Datos!$Q$248</f>
        <v>-73431.13078925325</v>
      </c>
      <c r="E354" s="43" t="s">
        <v>556</v>
      </c>
      <c r="F354" s="43" t="s">
        <v>557</v>
      </c>
      <c r="G354" s="43" t="s">
        <v>567</v>
      </c>
      <c r="H354" s="43" t="s">
        <v>568</v>
      </c>
      <c r="I354" s="43" t="s">
        <v>560</v>
      </c>
      <c r="J354" s="43" t="s">
        <v>476</v>
      </c>
      <c r="K354" s="43">
        <v>700003</v>
      </c>
      <c r="L354" s="43">
        <v>10</v>
      </c>
      <c r="M354" s="43" t="s">
        <v>464</v>
      </c>
      <c r="N354" s="51"/>
      <c r="O354" s="51"/>
      <c r="P354" s="43" t="str">
        <f>VLOOKUP(K354,Maestro!J:K,2,0)</f>
        <v>CEMENTO UG</v>
      </c>
      <c r="Q354" s="43" t="str">
        <f>VLOOKUP(P354,Maestro!E:F,2,0)</f>
        <v>Cemento UG</v>
      </c>
      <c r="R354" s="43">
        <f>VLOOKUP(P354,ORD!$A:$C,3,0)</f>
        <v>6</v>
      </c>
      <c r="S354" t="str">
        <f t="shared" si="6"/>
        <v>7999999995CEMENTOUG1Cemento UG</v>
      </c>
      <c r="T354" t="str">
        <f>IFERROR(VLOOKUP(S354,Maestro!$A:$H,8,0),"Producción")</f>
        <v>Producción</v>
      </c>
      <c r="U354" s="43" t="s">
        <v>182</v>
      </c>
    </row>
    <row r="355" spans="1:21" x14ac:dyDescent="0.3">
      <c r="A355" s="43">
        <v>7355250320</v>
      </c>
      <c r="B355" s="43" t="s">
        <v>490</v>
      </c>
      <c r="C355" s="52">
        <f>Datos!$Q$120*D355+Datos!$Q$122*D355</f>
        <v>113057283.82501052</v>
      </c>
      <c r="D355" s="56">
        <f>Datos!$Q$248</f>
        <v>73431.13078925325</v>
      </c>
      <c r="E355" s="57"/>
      <c r="F355" s="58"/>
      <c r="G355" s="43"/>
      <c r="H355" s="43"/>
      <c r="I355" s="43" t="s">
        <v>560</v>
      </c>
      <c r="J355" s="43" t="s">
        <v>802</v>
      </c>
      <c r="K355" s="43">
        <v>700003</v>
      </c>
      <c r="L355" s="43">
        <v>10</v>
      </c>
      <c r="M355" s="43" t="s">
        <v>464</v>
      </c>
      <c r="N355" s="53"/>
      <c r="O355" s="53"/>
      <c r="P355" s="43" t="str">
        <f>VLOOKUP(K355,Maestro!J:K,2,0)</f>
        <v>CEMENTO UG</v>
      </c>
      <c r="Q355" s="43" t="str">
        <f>VLOOKUP(P355,Maestro!E:F,2,0)</f>
        <v>Cemento UG</v>
      </c>
      <c r="R355" s="43">
        <f>VLOOKUP(P355,ORD!$A:$C,3,0)</f>
        <v>6</v>
      </c>
      <c r="S355" t="str">
        <f t="shared" si="6"/>
        <v>7355250320PLACAS Y SEGMENTOSCemento UG</v>
      </c>
      <c r="T355" t="str">
        <f>IFERROR(VLOOKUP(S355,Maestro!$A:$H,8,0),"Producción")</f>
        <v>Placas y Segmentos</v>
      </c>
      <c r="U355" s="43" t="s">
        <v>182</v>
      </c>
    </row>
    <row r="356" spans="1:21" x14ac:dyDescent="0.3">
      <c r="A356" s="43">
        <v>7105330101</v>
      </c>
      <c r="B356" s="43" t="s">
        <v>443</v>
      </c>
      <c r="C356" s="52">
        <f>Datos!$R$77*D356</f>
        <v>0</v>
      </c>
      <c r="D356" s="56">
        <f>Datos!$R$248*Datos!$R$182*(1+Datos!$R$222)</f>
        <v>0</v>
      </c>
      <c r="E356" s="43" t="s">
        <v>556</v>
      </c>
      <c r="F356" s="43" t="s">
        <v>557</v>
      </c>
      <c r="G356" s="43" t="s">
        <v>563</v>
      </c>
      <c r="H356" s="43" t="s">
        <v>564</v>
      </c>
      <c r="I356" s="43" t="s">
        <v>560</v>
      </c>
      <c r="J356" s="43" t="s">
        <v>519</v>
      </c>
      <c r="K356" s="43">
        <v>700003</v>
      </c>
      <c r="L356" s="43">
        <v>11</v>
      </c>
      <c r="M356" s="43" t="s">
        <v>576</v>
      </c>
      <c r="N356" s="51"/>
      <c r="O356" s="51"/>
      <c r="P356" s="43" t="str">
        <f>VLOOKUP(K356,Maestro!J:K,2,0)</f>
        <v>CEMENTO UG</v>
      </c>
      <c r="Q356" s="43" t="str">
        <f>VLOOKUP(P356,Maestro!E:F,2,0)</f>
        <v>Cemento UG</v>
      </c>
      <c r="R356" s="43">
        <f>VLOOKUP(P356,ORD!$A:$C,3,0)</f>
        <v>6</v>
      </c>
      <c r="S356" t="str">
        <f t="shared" si="6"/>
        <v>7105330101SALMARCemento UG</v>
      </c>
      <c r="T356" t="str">
        <f>IFERROR(VLOOKUP(S356,Maestro!$A:$H,8,0),"Producción")</f>
        <v>Sal Marina</v>
      </c>
      <c r="U356" s="43" t="s">
        <v>182</v>
      </c>
    </row>
    <row r="357" spans="1:21" x14ac:dyDescent="0.3">
      <c r="A357" s="43">
        <v>7105330101</v>
      </c>
      <c r="B357" s="43" t="s">
        <v>443</v>
      </c>
      <c r="C357" s="50"/>
      <c r="D357" s="56">
        <f>Datos!$R$248*Datos!$R$180*(1+Datos!$R$210)</f>
        <v>26645.845337421357</v>
      </c>
      <c r="E357" s="43" t="s">
        <v>556</v>
      </c>
      <c r="F357" s="43" t="s">
        <v>557</v>
      </c>
      <c r="G357" s="43" t="s">
        <v>563</v>
      </c>
      <c r="H357" s="43" t="s">
        <v>564</v>
      </c>
      <c r="I357" s="43" t="s">
        <v>560</v>
      </c>
      <c r="J357" s="43" t="s">
        <v>444</v>
      </c>
      <c r="K357" s="43">
        <v>700003</v>
      </c>
      <c r="L357" s="43">
        <v>11</v>
      </c>
      <c r="M357" s="43" t="s">
        <v>565</v>
      </c>
      <c r="N357" s="51"/>
      <c r="O357" s="51"/>
      <c r="P357" s="43" t="str">
        <f>VLOOKUP(K357,Maestro!J:K,2,0)</f>
        <v>CEMENTO UG</v>
      </c>
      <c r="Q357" s="43" t="str">
        <f>VLOOKUP(P357,Maestro!E:F,2,0)</f>
        <v>Cemento UG</v>
      </c>
      <c r="R357" s="43">
        <f>VLOOKUP(P357,ORD!$A:$C,3,0)</f>
        <v>6</v>
      </c>
      <c r="S357" t="str">
        <f t="shared" si="6"/>
        <v>7105330101CALIZATRICemento UG</v>
      </c>
      <c r="T357" t="str">
        <f>IFERROR(VLOOKUP(S357,Maestro!$A:$H,8,0),"Producción")</f>
        <v>Caliza Triturada</v>
      </c>
      <c r="U357" s="43" t="s">
        <v>182</v>
      </c>
    </row>
    <row r="358" spans="1:21" x14ac:dyDescent="0.3">
      <c r="A358" s="43">
        <v>7105450101</v>
      </c>
      <c r="B358" s="43" t="s">
        <v>466</v>
      </c>
      <c r="C358" s="50">
        <f>Datos!$R$64*D358+Datos!$R$90*D358</f>
        <v>655560189.89765978</v>
      </c>
      <c r="D358" s="56">
        <f>Datos!$R$248*Datos!$R$181*(1+Datos!$R$221)</f>
        <v>2819.7644297395409</v>
      </c>
      <c r="E358" s="43" t="s">
        <v>556</v>
      </c>
      <c r="F358" s="43" t="s">
        <v>557</v>
      </c>
      <c r="G358" s="43" t="s">
        <v>577</v>
      </c>
      <c r="H358" s="43" t="s">
        <v>578</v>
      </c>
      <c r="I358" s="43" t="s">
        <v>560</v>
      </c>
      <c r="J358" s="43" t="s">
        <v>467</v>
      </c>
      <c r="K358" s="43">
        <v>700003</v>
      </c>
      <c r="L358" s="43">
        <v>11</v>
      </c>
      <c r="M358" s="43" t="s">
        <v>579</v>
      </c>
      <c r="N358" s="51"/>
      <c r="O358" s="51"/>
      <c r="P358" s="43" t="str">
        <f>VLOOKUP(K358,Maestro!J:K,2,0)</f>
        <v>CEMENTO UG</v>
      </c>
      <c r="Q358" s="43" t="str">
        <f>VLOOKUP(P358,Maestro!E:F,2,0)</f>
        <v>Cemento UG</v>
      </c>
      <c r="R358" s="43">
        <f>VLOOKUP(P358,ORD!$A:$C,3,0)</f>
        <v>6</v>
      </c>
      <c r="S358" t="str">
        <f t="shared" si="6"/>
        <v>7105450101YESO00001Cemento UG</v>
      </c>
      <c r="T358" t="str">
        <f>IFERROR(VLOOKUP(S358,Maestro!$A:$H,8,0),"Producción")</f>
        <v>Yeso</v>
      </c>
      <c r="U358" s="43" t="s">
        <v>182</v>
      </c>
    </row>
    <row r="359" spans="1:21" x14ac:dyDescent="0.3">
      <c r="A359" s="43">
        <v>7105400101</v>
      </c>
      <c r="B359" s="43" t="s">
        <v>535</v>
      </c>
      <c r="C359" s="50">
        <f>Datos!$R$76*D359</f>
        <v>151021978.91865945</v>
      </c>
      <c r="D359" s="56">
        <f>Datos!$R$248*Datos!$R$186</f>
        <v>34.351595164786197</v>
      </c>
      <c r="E359" s="43" t="s">
        <v>556</v>
      </c>
      <c r="F359" s="43" t="s">
        <v>557</v>
      </c>
      <c r="G359" s="43" t="s">
        <v>563</v>
      </c>
      <c r="H359" s="43" t="s">
        <v>564</v>
      </c>
      <c r="I359" s="43" t="s">
        <v>560</v>
      </c>
      <c r="J359" s="43" t="s">
        <v>536</v>
      </c>
      <c r="K359" s="43">
        <v>700003</v>
      </c>
      <c r="L359" s="43">
        <v>11</v>
      </c>
      <c r="M359" s="43" t="s">
        <v>580</v>
      </c>
      <c r="N359" s="51"/>
      <c r="O359" s="51"/>
      <c r="P359" s="43" t="str">
        <f>VLOOKUP(K359,Maestro!J:K,2,0)</f>
        <v>CEMENTO UG</v>
      </c>
      <c r="Q359" s="43" t="str">
        <f>VLOOKUP(P359,Maestro!E:F,2,0)</f>
        <v>Cemento UG</v>
      </c>
      <c r="R359" s="43">
        <f>VLOOKUP(P359,ORD!$A:$C,3,0)</f>
        <v>6</v>
      </c>
      <c r="S359" t="str">
        <f t="shared" si="6"/>
        <v>7105400101ADIMOLIENCemento UG</v>
      </c>
      <c r="T359" t="str">
        <f>IFERROR(VLOOKUP(S359,Maestro!$A:$H,8,0),"Producción")</f>
        <v>Aditivo Molienda</v>
      </c>
      <c r="U359" s="43" t="s">
        <v>182</v>
      </c>
    </row>
    <row r="360" spans="1:21" x14ac:dyDescent="0.3">
      <c r="A360" s="43">
        <v>7105400101</v>
      </c>
      <c r="B360" s="43" t="s">
        <v>535</v>
      </c>
      <c r="C360" s="50">
        <f>Datos!$R$93*D360+Datos!$R$90*D360</f>
        <v>216294954.89960277</v>
      </c>
      <c r="D360" s="56">
        <f>Datos!$R$248*Datos!$R$184*(1+Datos!$R$223)</f>
        <v>2061.0957098871718</v>
      </c>
      <c r="E360" s="43" t="s">
        <v>556</v>
      </c>
      <c r="F360" s="43" t="s">
        <v>557</v>
      </c>
      <c r="G360" s="43" t="s">
        <v>563</v>
      </c>
      <c r="H360" s="43" t="s">
        <v>564</v>
      </c>
      <c r="I360" s="43" t="s">
        <v>560</v>
      </c>
      <c r="J360" s="43" t="s">
        <v>538</v>
      </c>
      <c r="K360" s="43">
        <v>700003</v>
      </c>
      <c r="L360" s="43">
        <v>11</v>
      </c>
      <c r="M360" s="43" t="s">
        <v>538</v>
      </c>
      <c r="N360" s="51"/>
      <c r="O360" s="51"/>
      <c r="P360" s="43" t="str">
        <f>VLOOKUP(K360,Maestro!J:K,2,0)</f>
        <v>CEMENTO UG</v>
      </c>
      <c r="Q360" s="43" t="str">
        <f>VLOOKUP(P360,Maestro!E:F,2,0)</f>
        <v>Cemento UG</v>
      </c>
      <c r="R360" s="43">
        <f>VLOOKUP(P360,ORD!$A:$C,3,0)</f>
        <v>6</v>
      </c>
      <c r="S360" t="str">
        <f t="shared" si="6"/>
        <v>7105400101PUZOLANACemento UG</v>
      </c>
      <c r="T360" t="str">
        <f>IFERROR(VLOOKUP(S360,Maestro!$A:$H,8,0),"Producción")</f>
        <v>Puzolana</v>
      </c>
      <c r="U360" s="43" t="s">
        <v>182</v>
      </c>
    </row>
    <row r="361" spans="1:21" x14ac:dyDescent="0.3">
      <c r="A361" s="43">
        <v>7105400101</v>
      </c>
      <c r="B361" s="43" t="s">
        <v>535</v>
      </c>
      <c r="C361" s="50"/>
      <c r="D361" s="56">
        <f>Datos!$R$248*Datos!$R$183*(1+Datos!$R$218)</f>
        <v>2071.4011884366073</v>
      </c>
      <c r="E361" s="43" t="s">
        <v>556</v>
      </c>
      <c r="F361" s="43" t="s">
        <v>557</v>
      </c>
      <c r="G361" s="43" t="s">
        <v>563</v>
      </c>
      <c r="H361" s="43" t="s">
        <v>564</v>
      </c>
      <c r="I361" s="43" t="s">
        <v>560</v>
      </c>
      <c r="J361" s="43" t="s">
        <v>539</v>
      </c>
      <c r="K361" s="43">
        <v>700003</v>
      </c>
      <c r="L361" s="43">
        <v>11</v>
      </c>
      <c r="M361" s="43" t="s">
        <v>445</v>
      </c>
      <c r="N361" s="51"/>
      <c r="O361" s="51"/>
      <c r="P361" s="43" t="str">
        <f>VLOOKUP(K361,Maestro!J:K,2,0)</f>
        <v>CEMENTO UG</v>
      </c>
      <c r="Q361" s="43" t="str">
        <f>VLOOKUP(P361,Maestro!E:F,2,0)</f>
        <v>Cemento UG</v>
      </c>
      <c r="R361" s="43">
        <f>VLOOKUP(P361,ORD!$A:$C,3,0)</f>
        <v>6</v>
      </c>
      <c r="S361" t="str">
        <f t="shared" si="6"/>
        <v>7105400101CRUDOCemento UG</v>
      </c>
      <c r="T361" t="str">
        <f>IFERROR(VLOOKUP(S361,Maestro!$A:$H,8,0),"Producción")</f>
        <v>Finos Filtro</v>
      </c>
      <c r="U361" s="43" t="s">
        <v>182</v>
      </c>
    </row>
    <row r="362" spans="1:21" x14ac:dyDescent="0.3">
      <c r="A362" s="43">
        <v>7199990001</v>
      </c>
      <c r="B362" s="43" t="s">
        <v>438</v>
      </c>
      <c r="C362" s="50"/>
      <c r="D362" s="56">
        <f>Datos!$R$248*Datos!$R$179*(1+Datos!$R$219)</f>
        <v>35725.658971377641</v>
      </c>
      <c r="E362" s="43" t="s">
        <v>556</v>
      </c>
      <c r="F362" s="43" t="s">
        <v>557</v>
      </c>
      <c r="G362" s="43" t="s">
        <v>567</v>
      </c>
      <c r="H362" s="43" t="s">
        <v>568</v>
      </c>
      <c r="I362" s="43" t="s">
        <v>560</v>
      </c>
      <c r="J362" s="43" t="s">
        <v>463</v>
      </c>
      <c r="K362" s="43">
        <v>700003</v>
      </c>
      <c r="L362" s="43">
        <v>11</v>
      </c>
      <c r="M362" s="43" t="s">
        <v>62</v>
      </c>
      <c r="N362" s="51"/>
      <c r="O362" s="51"/>
      <c r="P362" s="43" t="str">
        <f>VLOOKUP(K362,Maestro!J:K,2,0)</f>
        <v>CEMENTO UG</v>
      </c>
      <c r="Q362" s="43" t="str">
        <f>VLOOKUP(P362,Maestro!E:F,2,0)</f>
        <v>Cemento UG</v>
      </c>
      <c r="R362" s="43">
        <f>VLOOKUP(P362,ORD!$A:$C,3,0)</f>
        <v>6</v>
      </c>
      <c r="S362" t="str">
        <f t="shared" si="6"/>
        <v>7199990001CLINKER001Cemento UG</v>
      </c>
      <c r="T362" t="str">
        <f>IFERROR(VLOOKUP(S362,Maestro!$A:$H,8,0),"Producción")</f>
        <v>Clinker</v>
      </c>
      <c r="U362" s="43" t="s">
        <v>182</v>
      </c>
    </row>
    <row r="363" spans="1:21" x14ac:dyDescent="0.3">
      <c r="A363" s="43">
        <v>7999999995</v>
      </c>
      <c r="B363" s="43" t="s">
        <v>566</v>
      </c>
      <c r="C363" s="52"/>
      <c r="D363" s="56">
        <f>-Datos!$R$248</f>
        <v>-68703.19032957239</v>
      </c>
      <c r="E363" s="43" t="s">
        <v>556</v>
      </c>
      <c r="F363" s="43" t="s">
        <v>557</v>
      </c>
      <c r="G363" s="43" t="s">
        <v>567</v>
      </c>
      <c r="H363" s="43" t="s">
        <v>568</v>
      </c>
      <c r="I363" s="43" t="s">
        <v>560</v>
      </c>
      <c r="J363" s="43" t="s">
        <v>476</v>
      </c>
      <c r="K363" s="43">
        <v>700003</v>
      </c>
      <c r="L363" s="43">
        <v>11</v>
      </c>
      <c r="M363" s="43" t="s">
        <v>464</v>
      </c>
      <c r="N363" s="51"/>
      <c r="O363" s="51"/>
      <c r="P363" s="43" t="str">
        <f>VLOOKUP(K363,Maestro!J:K,2,0)</f>
        <v>CEMENTO UG</v>
      </c>
      <c r="Q363" s="43" t="str">
        <f>VLOOKUP(P363,Maestro!E:F,2,0)</f>
        <v>Cemento UG</v>
      </c>
      <c r="R363" s="43">
        <f>VLOOKUP(P363,ORD!$A:$C,3,0)</f>
        <v>6</v>
      </c>
      <c r="S363" t="str">
        <f t="shared" si="6"/>
        <v>7999999995CEMENTOUG1Cemento UG</v>
      </c>
      <c r="T363" t="str">
        <f>IFERROR(VLOOKUP(S363,Maestro!$A:$H,8,0),"Producción")</f>
        <v>Producción</v>
      </c>
      <c r="U363" s="43" t="s">
        <v>182</v>
      </c>
    </row>
    <row r="364" spans="1:21" x14ac:dyDescent="0.3">
      <c r="A364" s="43">
        <v>7355250320</v>
      </c>
      <c r="B364" s="43" t="s">
        <v>490</v>
      </c>
      <c r="C364" s="52">
        <f>Datos!$R$120*D364+Datos!$R$122*D364</f>
        <v>105777971.89405333</v>
      </c>
      <c r="D364" s="56">
        <f>Datos!$R$248</f>
        <v>68703.19032957239</v>
      </c>
      <c r="E364" s="57"/>
      <c r="F364" s="58"/>
      <c r="G364" s="43"/>
      <c r="H364" s="43"/>
      <c r="I364" s="43" t="s">
        <v>560</v>
      </c>
      <c r="J364" s="43" t="s">
        <v>802</v>
      </c>
      <c r="K364" s="43">
        <v>700003</v>
      </c>
      <c r="L364" s="43">
        <v>11</v>
      </c>
      <c r="M364" s="43" t="s">
        <v>464</v>
      </c>
      <c r="N364" s="53"/>
      <c r="O364" s="53"/>
      <c r="P364" s="43" t="str">
        <f>VLOOKUP(K364,Maestro!J:K,2,0)</f>
        <v>CEMENTO UG</v>
      </c>
      <c r="Q364" s="43" t="str">
        <f>VLOOKUP(P364,Maestro!E:F,2,0)</f>
        <v>Cemento UG</v>
      </c>
      <c r="R364" s="43">
        <f>VLOOKUP(P364,ORD!$A:$C,3,0)</f>
        <v>6</v>
      </c>
      <c r="S364" t="str">
        <f t="shared" si="6"/>
        <v>7355250320PLACAS Y SEGMENTOSCemento UG</v>
      </c>
      <c r="T364" t="str">
        <f>IFERROR(VLOOKUP(S364,Maestro!$A:$H,8,0),"Producción")</f>
        <v>Placas y Segmentos</v>
      </c>
      <c r="U364" s="43" t="s">
        <v>182</v>
      </c>
    </row>
    <row r="365" spans="1:21" x14ac:dyDescent="0.3">
      <c r="A365" s="43">
        <v>7105330101</v>
      </c>
      <c r="B365" s="43" t="s">
        <v>443</v>
      </c>
      <c r="C365" s="52">
        <f>Datos!$S$77*D365</f>
        <v>0</v>
      </c>
      <c r="D365" s="56">
        <f>Datos!$S$248*Datos!$S$182*(1+Datos!$S$222)</f>
        <v>0</v>
      </c>
      <c r="E365" s="43" t="s">
        <v>556</v>
      </c>
      <c r="F365" s="43" t="s">
        <v>557</v>
      </c>
      <c r="G365" s="43" t="s">
        <v>563</v>
      </c>
      <c r="H365" s="43" t="s">
        <v>564</v>
      </c>
      <c r="I365" s="43" t="s">
        <v>560</v>
      </c>
      <c r="J365" s="43" t="s">
        <v>519</v>
      </c>
      <c r="K365" s="43">
        <v>700003</v>
      </c>
      <c r="L365" s="43">
        <v>12</v>
      </c>
      <c r="M365" s="43" t="s">
        <v>576</v>
      </c>
      <c r="N365" s="51"/>
      <c r="O365" s="51"/>
      <c r="P365" s="43" t="str">
        <f>VLOOKUP(K365,Maestro!J:K,2,0)</f>
        <v>CEMENTO UG</v>
      </c>
      <c r="Q365" s="43" t="str">
        <f>VLOOKUP(P365,Maestro!E:F,2,0)</f>
        <v>Cemento UG</v>
      </c>
      <c r="R365" s="43">
        <f>VLOOKUP(P365,ORD!$A:$C,3,0)</f>
        <v>6</v>
      </c>
      <c r="S365" t="str">
        <f t="shared" si="6"/>
        <v>7105330101SALMARCemento UG</v>
      </c>
      <c r="T365" t="str">
        <f>IFERROR(VLOOKUP(S365,Maestro!$A:$H,8,0),"Producción")</f>
        <v>Sal Marina</v>
      </c>
      <c r="U365" s="43" t="s">
        <v>182</v>
      </c>
    </row>
    <row r="366" spans="1:21" x14ac:dyDescent="0.3">
      <c r="A366" s="43">
        <v>7105330101</v>
      </c>
      <c r="B366" s="43" t="s">
        <v>443</v>
      </c>
      <c r="C366" s="50"/>
      <c r="D366" s="56">
        <f>Datos!$S$248*Datos!$S$180*(1+Datos!$S$210)</f>
        <v>27447.146315187347</v>
      </c>
      <c r="E366" s="43" t="s">
        <v>556</v>
      </c>
      <c r="F366" s="43" t="s">
        <v>557</v>
      </c>
      <c r="G366" s="43" t="s">
        <v>563</v>
      </c>
      <c r="H366" s="43" t="s">
        <v>564</v>
      </c>
      <c r="I366" s="43" t="s">
        <v>560</v>
      </c>
      <c r="J366" s="43" t="s">
        <v>444</v>
      </c>
      <c r="K366" s="43">
        <v>700003</v>
      </c>
      <c r="L366" s="43">
        <v>12</v>
      </c>
      <c r="M366" s="43" t="s">
        <v>565</v>
      </c>
      <c r="N366" s="51"/>
      <c r="O366" s="51"/>
      <c r="P366" s="43" t="str">
        <f>VLOOKUP(K366,Maestro!J:K,2,0)</f>
        <v>CEMENTO UG</v>
      </c>
      <c r="Q366" s="43" t="str">
        <f>VLOOKUP(P366,Maestro!E:F,2,0)</f>
        <v>Cemento UG</v>
      </c>
      <c r="R366" s="43">
        <f>VLOOKUP(P366,ORD!$A:$C,3,0)</f>
        <v>6</v>
      </c>
      <c r="S366" t="str">
        <f t="shared" si="6"/>
        <v>7105330101CALIZATRICemento UG</v>
      </c>
      <c r="T366" t="str">
        <f>IFERROR(VLOOKUP(S366,Maestro!$A:$H,8,0),"Producción")</f>
        <v>Caliza Triturada</v>
      </c>
      <c r="U366" s="43" t="s">
        <v>182</v>
      </c>
    </row>
    <row r="367" spans="1:21" x14ac:dyDescent="0.3">
      <c r="A367" s="43">
        <v>7105450101</v>
      </c>
      <c r="B367" s="43" t="s">
        <v>466</v>
      </c>
      <c r="C367" s="50">
        <f>Datos!$S$64*D367+Datos!$S$90*D367</f>
        <v>675998004.27100492</v>
      </c>
      <c r="D367" s="56">
        <f>Datos!$S$248*Datos!$S$181*(1+Datos!$S$221)</f>
        <v>2904.5611387952245</v>
      </c>
      <c r="E367" s="43" t="s">
        <v>556</v>
      </c>
      <c r="F367" s="43" t="s">
        <v>557</v>
      </c>
      <c r="G367" s="43" t="s">
        <v>577</v>
      </c>
      <c r="H367" s="43" t="s">
        <v>578</v>
      </c>
      <c r="I367" s="43" t="s">
        <v>560</v>
      </c>
      <c r="J367" s="43" t="s">
        <v>467</v>
      </c>
      <c r="K367" s="43">
        <v>700003</v>
      </c>
      <c r="L367" s="43">
        <v>12</v>
      </c>
      <c r="M367" s="43" t="s">
        <v>579</v>
      </c>
      <c r="N367" s="51"/>
      <c r="O367" s="51"/>
      <c r="P367" s="43" t="str">
        <f>VLOOKUP(K367,Maestro!J:K,2,0)</f>
        <v>CEMENTO UG</v>
      </c>
      <c r="Q367" s="43" t="str">
        <f>VLOOKUP(P367,Maestro!E:F,2,0)</f>
        <v>Cemento UG</v>
      </c>
      <c r="R367" s="43">
        <f>VLOOKUP(P367,ORD!$A:$C,3,0)</f>
        <v>6</v>
      </c>
      <c r="S367" t="str">
        <f t="shared" si="6"/>
        <v>7105450101YESO00001Cemento UG</v>
      </c>
      <c r="T367" t="str">
        <f>IFERROR(VLOOKUP(S367,Maestro!$A:$H,8,0),"Producción")</f>
        <v>Yeso</v>
      </c>
      <c r="U367" s="43" t="s">
        <v>182</v>
      </c>
    </row>
    <row r="368" spans="1:21" x14ac:dyDescent="0.3">
      <c r="A368" s="43">
        <v>7105400101</v>
      </c>
      <c r="B368" s="43" t="s">
        <v>535</v>
      </c>
      <c r="C368" s="50">
        <f>Datos!$S$76*D368</f>
        <v>155563552.20482293</v>
      </c>
      <c r="D368" s="56">
        <f>Datos!$S$248*Datos!$S$186</f>
        <v>35.384625509472137</v>
      </c>
      <c r="E368" s="43" t="s">
        <v>556</v>
      </c>
      <c r="F368" s="43" t="s">
        <v>557</v>
      </c>
      <c r="G368" s="43" t="s">
        <v>563</v>
      </c>
      <c r="H368" s="43" t="s">
        <v>564</v>
      </c>
      <c r="I368" s="43" t="s">
        <v>560</v>
      </c>
      <c r="J368" s="43" t="s">
        <v>536</v>
      </c>
      <c r="K368" s="43">
        <v>700003</v>
      </c>
      <c r="L368" s="43">
        <v>12</v>
      </c>
      <c r="M368" s="43" t="s">
        <v>580</v>
      </c>
      <c r="N368" s="51"/>
      <c r="O368" s="51"/>
      <c r="P368" s="43" t="str">
        <f>VLOOKUP(K368,Maestro!J:K,2,0)</f>
        <v>CEMENTO UG</v>
      </c>
      <c r="Q368" s="43" t="str">
        <f>VLOOKUP(P368,Maestro!E:F,2,0)</f>
        <v>Cemento UG</v>
      </c>
      <c r="R368" s="43">
        <f>VLOOKUP(P368,ORD!$A:$C,3,0)</f>
        <v>6</v>
      </c>
      <c r="S368" t="str">
        <f t="shared" si="6"/>
        <v>7105400101ADIMOLIENCemento UG</v>
      </c>
      <c r="T368" t="str">
        <f>IFERROR(VLOOKUP(S368,Maestro!$A:$H,8,0),"Producción")</f>
        <v>Aditivo Molienda</v>
      </c>
      <c r="U368" s="43" t="s">
        <v>182</v>
      </c>
    </row>
    <row r="369" spans="1:21" x14ac:dyDescent="0.3">
      <c r="A369" s="43">
        <v>7105400101</v>
      </c>
      <c r="B369" s="43" t="s">
        <v>535</v>
      </c>
      <c r="C369" s="50">
        <f>Datos!$S$93*D369+Datos!$S$90*D369</f>
        <v>223328371.42904526</v>
      </c>
      <c r="D369" s="56">
        <f>Datos!$S$248*Datos!$S$184*(1+Datos!$S$223)</f>
        <v>2123.0775305683278</v>
      </c>
      <c r="E369" s="43" t="s">
        <v>556</v>
      </c>
      <c r="F369" s="43" t="s">
        <v>557</v>
      </c>
      <c r="G369" s="43" t="s">
        <v>563</v>
      </c>
      <c r="H369" s="43" t="s">
        <v>564</v>
      </c>
      <c r="I369" s="43" t="s">
        <v>560</v>
      </c>
      <c r="J369" s="43" t="s">
        <v>538</v>
      </c>
      <c r="K369" s="43">
        <v>700003</v>
      </c>
      <c r="L369" s="43">
        <v>12</v>
      </c>
      <c r="M369" s="43" t="s">
        <v>538</v>
      </c>
      <c r="N369" s="51"/>
      <c r="O369" s="51"/>
      <c r="P369" s="43" t="str">
        <f>VLOOKUP(K369,Maestro!J:K,2,0)</f>
        <v>CEMENTO UG</v>
      </c>
      <c r="Q369" s="43" t="str">
        <f>VLOOKUP(P369,Maestro!E:F,2,0)</f>
        <v>Cemento UG</v>
      </c>
      <c r="R369" s="43">
        <f>VLOOKUP(P369,ORD!$A:$C,3,0)</f>
        <v>6</v>
      </c>
      <c r="S369" t="str">
        <f t="shared" si="6"/>
        <v>7105400101PUZOLANACemento UG</v>
      </c>
      <c r="T369" t="str">
        <f>IFERROR(VLOOKUP(S369,Maestro!$A:$H,8,0),"Producción")</f>
        <v>Puzolana</v>
      </c>
      <c r="U369" s="43" t="s">
        <v>182</v>
      </c>
    </row>
    <row r="370" spans="1:21" x14ac:dyDescent="0.3">
      <c r="A370" s="43">
        <v>7105400101</v>
      </c>
      <c r="B370" s="43" t="s">
        <v>535</v>
      </c>
      <c r="C370" s="50"/>
      <c r="D370" s="56">
        <f>Datos!$S$248*Datos!$S$183*(1+Datos!$S$218)</f>
        <v>2133.6929182211693</v>
      </c>
      <c r="E370" s="43" t="s">
        <v>556</v>
      </c>
      <c r="F370" s="43" t="s">
        <v>557</v>
      </c>
      <c r="G370" s="43" t="s">
        <v>563</v>
      </c>
      <c r="H370" s="43" t="s">
        <v>564</v>
      </c>
      <c r="I370" s="43" t="s">
        <v>560</v>
      </c>
      <c r="J370" s="43" t="s">
        <v>539</v>
      </c>
      <c r="K370" s="43">
        <v>700003</v>
      </c>
      <c r="L370" s="43">
        <v>12</v>
      </c>
      <c r="M370" s="43" t="s">
        <v>445</v>
      </c>
      <c r="N370" s="51"/>
      <c r="O370" s="51"/>
      <c r="P370" s="43" t="str">
        <f>VLOOKUP(K370,Maestro!J:K,2,0)</f>
        <v>CEMENTO UG</v>
      </c>
      <c r="Q370" s="43" t="str">
        <f>VLOOKUP(P370,Maestro!E:F,2,0)</f>
        <v>Cemento UG</v>
      </c>
      <c r="R370" s="43">
        <f>VLOOKUP(P370,ORD!$A:$C,3,0)</f>
        <v>6</v>
      </c>
      <c r="S370" t="str">
        <f t="shared" si="6"/>
        <v>7105400101CRUDOCemento UG</v>
      </c>
      <c r="T370" t="str">
        <f>IFERROR(VLOOKUP(S370,Maestro!$A:$H,8,0),"Producción")</f>
        <v>Finos Filtro</v>
      </c>
      <c r="U370" s="43" t="s">
        <v>182</v>
      </c>
    </row>
    <row r="371" spans="1:21" x14ac:dyDescent="0.3">
      <c r="A371" s="43">
        <v>7199990001</v>
      </c>
      <c r="B371" s="43" t="s">
        <v>438</v>
      </c>
      <c r="C371" s="50"/>
      <c r="D371" s="56">
        <f>Datos!$S$248*Datos!$S$179*(1+Datos!$S$219)</f>
        <v>36800.010529851024</v>
      </c>
      <c r="E371" s="43" t="s">
        <v>556</v>
      </c>
      <c r="F371" s="43" t="s">
        <v>557</v>
      </c>
      <c r="G371" s="43" t="s">
        <v>567</v>
      </c>
      <c r="H371" s="43" t="s">
        <v>568</v>
      </c>
      <c r="I371" s="43" t="s">
        <v>560</v>
      </c>
      <c r="J371" s="43" t="s">
        <v>463</v>
      </c>
      <c r="K371" s="43">
        <v>700003</v>
      </c>
      <c r="L371" s="43">
        <v>12</v>
      </c>
      <c r="M371" s="43" t="s">
        <v>62</v>
      </c>
      <c r="N371" s="51"/>
      <c r="O371" s="51"/>
      <c r="P371" s="43" t="str">
        <f>VLOOKUP(K371,Maestro!J:K,2,0)</f>
        <v>CEMENTO UG</v>
      </c>
      <c r="Q371" s="43" t="str">
        <f>VLOOKUP(P371,Maestro!E:F,2,0)</f>
        <v>Cemento UG</v>
      </c>
      <c r="R371" s="43">
        <f>VLOOKUP(P371,ORD!$A:$C,3,0)</f>
        <v>6</v>
      </c>
      <c r="S371" t="str">
        <f t="shared" si="6"/>
        <v>7199990001CLINKER001Cemento UG</v>
      </c>
      <c r="T371" t="str">
        <f>IFERROR(VLOOKUP(S371,Maestro!$A:$H,8,0),"Producción")</f>
        <v>Clinker</v>
      </c>
      <c r="U371" s="43" t="s">
        <v>182</v>
      </c>
    </row>
    <row r="372" spans="1:21" x14ac:dyDescent="0.3">
      <c r="A372" s="43">
        <v>7999999995</v>
      </c>
      <c r="B372" s="43" t="s">
        <v>566</v>
      </c>
      <c r="C372" s="52"/>
      <c r="D372" s="56">
        <f>-Datos!$S$248</f>
        <v>-70769.251018944269</v>
      </c>
      <c r="E372" s="43" t="s">
        <v>556</v>
      </c>
      <c r="F372" s="43" t="s">
        <v>557</v>
      </c>
      <c r="G372" s="43" t="s">
        <v>567</v>
      </c>
      <c r="H372" s="43" t="s">
        <v>568</v>
      </c>
      <c r="I372" s="43" t="s">
        <v>560</v>
      </c>
      <c r="J372" s="43" t="s">
        <v>476</v>
      </c>
      <c r="K372" s="43">
        <v>700003</v>
      </c>
      <c r="L372" s="43">
        <v>12</v>
      </c>
      <c r="M372" s="43" t="s">
        <v>464</v>
      </c>
      <c r="N372" s="51"/>
      <c r="O372" s="51"/>
      <c r="P372" s="43" t="str">
        <f>VLOOKUP(K372,Maestro!J:K,2,0)</f>
        <v>CEMENTO UG</v>
      </c>
      <c r="Q372" s="43" t="str">
        <f>VLOOKUP(P372,Maestro!E:F,2,0)</f>
        <v>Cemento UG</v>
      </c>
      <c r="R372" s="43">
        <f>VLOOKUP(P372,ORD!$A:$C,3,0)</f>
        <v>6</v>
      </c>
      <c r="S372" t="str">
        <f t="shared" si="6"/>
        <v>7999999995CEMENTOUG1Cemento UG</v>
      </c>
      <c r="T372" t="str">
        <f>IFERROR(VLOOKUP(S372,Maestro!$A:$H,8,0),"Producción")</f>
        <v>Producción</v>
      </c>
      <c r="U372" s="43" t="s">
        <v>182</v>
      </c>
    </row>
    <row r="373" spans="1:21" x14ac:dyDescent="0.3">
      <c r="A373" s="43">
        <v>7355250320</v>
      </c>
      <c r="B373" s="43" t="s">
        <v>490</v>
      </c>
      <c r="C373" s="52">
        <f>Datos!$S$120*D373+Datos!$S$122*D373</f>
        <v>108958955.31685252</v>
      </c>
      <c r="D373" s="56">
        <f>Datos!$S$248</f>
        <v>70769.251018944269</v>
      </c>
      <c r="E373" s="57"/>
      <c r="F373" s="58"/>
      <c r="G373" s="43"/>
      <c r="H373" s="43"/>
      <c r="I373" s="43" t="s">
        <v>560</v>
      </c>
      <c r="J373" s="43" t="s">
        <v>802</v>
      </c>
      <c r="K373" s="43">
        <v>700003</v>
      </c>
      <c r="L373" s="43">
        <v>12</v>
      </c>
      <c r="M373" s="43" t="s">
        <v>464</v>
      </c>
      <c r="N373" s="53"/>
      <c r="O373" s="53"/>
      <c r="P373" s="43" t="str">
        <f>VLOOKUP(K373,Maestro!J:K,2,0)</f>
        <v>CEMENTO UG</v>
      </c>
      <c r="Q373" s="43" t="str">
        <f>VLOOKUP(P373,Maestro!E:F,2,0)</f>
        <v>Cemento UG</v>
      </c>
      <c r="R373" s="43">
        <f>VLOOKUP(P373,ORD!$A:$C,3,0)</f>
        <v>6</v>
      </c>
      <c r="S373" t="str">
        <f t="shared" si="6"/>
        <v>7355250320PLACAS Y SEGMENTOSCemento UG</v>
      </c>
      <c r="T373" t="str">
        <f>IFERROR(VLOOKUP(S373,Maestro!$A:$H,8,0),"Producción")</f>
        <v>Placas y Segmentos</v>
      </c>
      <c r="U373" s="43" t="s">
        <v>182</v>
      </c>
    </row>
    <row r="374" spans="1:21" x14ac:dyDescent="0.3">
      <c r="A374" s="43">
        <v>7199990001</v>
      </c>
      <c r="B374" s="43" t="s">
        <v>438</v>
      </c>
      <c r="C374" s="50"/>
      <c r="D374" s="56">
        <f>Datos!$H$234</f>
        <v>2560.8522959791653</v>
      </c>
      <c r="E374" s="43" t="s">
        <v>556</v>
      </c>
      <c r="F374" s="43" t="s">
        <v>557</v>
      </c>
      <c r="G374" s="43" t="s">
        <v>567</v>
      </c>
      <c r="H374" s="43" t="s">
        <v>568</v>
      </c>
      <c r="I374" s="43" t="s">
        <v>560</v>
      </c>
      <c r="J374" s="43" t="s">
        <v>476</v>
      </c>
      <c r="K374" s="43">
        <v>700004</v>
      </c>
      <c r="L374" s="43">
        <v>1</v>
      </c>
      <c r="M374" s="43" t="s">
        <v>464</v>
      </c>
      <c r="N374" s="51"/>
      <c r="O374" s="51"/>
      <c r="P374" s="43" t="str">
        <f>VLOOKUP(K374,Maestro!J:K,2,0)</f>
        <v>CEMENTO UG 42,5 KG</v>
      </c>
      <c r="Q374" s="43" t="str">
        <f>VLOOKUP(P374,Maestro!E:F,2,0)</f>
        <v>CEMENTO UG 42,5 KG</v>
      </c>
      <c r="R374" s="43">
        <f>VLOOKUP(P374,ORD!$A:$C,3,0)</f>
        <v>9</v>
      </c>
      <c r="S374" t="str">
        <f t="shared" si="6"/>
        <v>7199990001CEMENTOUG1CEMENTO UG 42,5 KG</v>
      </c>
      <c r="T374" t="str">
        <f>IFERROR(VLOOKUP(S374,Maestro!$A:$H,8,0),"Producción")</f>
        <v>Cemento UG</v>
      </c>
      <c r="U374" s="43" t="s">
        <v>182</v>
      </c>
    </row>
    <row r="375" spans="1:21" x14ac:dyDescent="0.3">
      <c r="A375" s="43">
        <v>7360050302</v>
      </c>
      <c r="B375" s="43" t="s">
        <v>474</v>
      </c>
      <c r="C375" s="50">
        <f>Datos!$H$72*D375</f>
        <v>57465525.521772474</v>
      </c>
      <c r="D375" s="50">
        <f>Datos!$H$476</f>
        <v>61460.455103499975</v>
      </c>
      <c r="E375" s="43" t="s">
        <v>581</v>
      </c>
      <c r="F375" s="43" t="s">
        <v>557</v>
      </c>
      <c r="G375" s="43" t="s">
        <v>582</v>
      </c>
      <c r="H375" s="43" t="s">
        <v>583</v>
      </c>
      <c r="I375" s="43" t="s">
        <v>560</v>
      </c>
      <c r="J375" s="43" t="s">
        <v>484</v>
      </c>
      <c r="K375" s="43">
        <v>700004</v>
      </c>
      <c r="L375" s="43">
        <v>1</v>
      </c>
      <c r="M375" s="43" t="s">
        <v>584</v>
      </c>
      <c r="N375" s="51"/>
      <c r="O375" s="51"/>
      <c r="P375" s="43" t="str">
        <f>VLOOKUP(K375,Maestro!J:K,2,0)</f>
        <v>CEMENTO UG 42,5 KG</v>
      </c>
      <c r="Q375" s="43" t="str">
        <f>VLOOKUP(P375,Maestro!E:F,2,0)</f>
        <v>CEMENTO UG 42,5 KG</v>
      </c>
      <c r="R375" s="43">
        <f>VLOOKUP(P375,ORD!$A:$C,3,0)</f>
        <v>9</v>
      </c>
      <c r="S375" t="str">
        <f t="shared" si="6"/>
        <v>736005030222000000006CEMENTO UG 42,5 KG</v>
      </c>
      <c r="T375" t="str">
        <f>IFERROR(VLOOKUP(S375,Maestro!$A:$H,8,0),"Producción")</f>
        <v>Sacos</v>
      </c>
      <c r="U375" s="43" t="s">
        <v>182</v>
      </c>
    </row>
    <row r="376" spans="1:21" x14ac:dyDescent="0.3">
      <c r="A376" s="43">
        <v>7999999995</v>
      </c>
      <c r="B376" s="43" t="s">
        <v>566</v>
      </c>
      <c r="C376" s="50"/>
      <c r="D376" s="56">
        <f>-Datos!$H$234*Datos!$H$204</f>
        <v>-60255.348140686248</v>
      </c>
      <c r="E376" s="43" t="s">
        <v>581</v>
      </c>
      <c r="F376" s="43" t="s">
        <v>557</v>
      </c>
      <c r="G376" s="43" t="s">
        <v>585</v>
      </c>
      <c r="H376" s="43" t="s">
        <v>586</v>
      </c>
      <c r="I376" s="43" t="s">
        <v>560</v>
      </c>
      <c r="J376" s="43" t="s">
        <v>514</v>
      </c>
      <c r="K376" s="43">
        <v>700004</v>
      </c>
      <c r="L376" s="43">
        <v>1</v>
      </c>
      <c r="M376" s="43" t="s">
        <v>515</v>
      </c>
      <c r="N376" s="51"/>
      <c r="O376" s="51"/>
      <c r="P376" s="43" t="str">
        <f>VLOOKUP(K376,Maestro!J:K,2,0)</f>
        <v>CEMENTO UG 42,5 KG</v>
      </c>
      <c r="Q376" s="43" t="str">
        <f>VLOOKUP(P376,Maestro!E:F,2,0)</f>
        <v>CEMENTO UG 42,5 KG</v>
      </c>
      <c r="R376" s="43">
        <f>VLOOKUP(P376,ORD!$A:$C,3,0)</f>
        <v>9</v>
      </c>
      <c r="S376" t="str">
        <f t="shared" si="6"/>
        <v>7999999995CEMCUGB42CEMENTO UG 42,5 KG</v>
      </c>
      <c r="T376" t="str">
        <f>IFERROR(VLOOKUP(S376,Maestro!$A:$H,8,0),"Producción")</f>
        <v>Producción</v>
      </c>
      <c r="U376" s="43" t="s">
        <v>182</v>
      </c>
    </row>
    <row r="377" spans="1:21" x14ac:dyDescent="0.3">
      <c r="A377" s="43">
        <v>7199990001</v>
      </c>
      <c r="B377" s="43" t="s">
        <v>438</v>
      </c>
      <c r="C377" s="50"/>
      <c r="D377" s="56">
        <f>Datos!$I$234</f>
        <v>2658.0105240064186</v>
      </c>
      <c r="E377" s="43" t="s">
        <v>556</v>
      </c>
      <c r="F377" s="43" t="s">
        <v>557</v>
      </c>
      <c r="G377" s="43" t="s">
        <v>567</v>
      </c>
      <c r="H377" s="43" t="s">
        <v>568</v>
      </c>
      <c r="I377" s="43" t="s">
        <v>560</v>
      </c>
      <c r="J377" s="43" t="s">
        <v>476</v>
      </c>
      <c r="K377" s="43">
        <v>700004</v>
      </c>
      <c r="L377" s="43">
        <v>2</v>
      </c>
      <c r="M377" s="43" t="s">
        <v>464</v>
      </c>
      <c r="N377" s="51"/>
      <c r="O377" s="51"/>
      <c r="P377" s="43" t="str">
        <f>VLOOKUP(K377,Maestro!J:K,2,0)</f>
        <v>CEMENTO UG 42,5 KG</v>
      </c>
      <c r="Q377" s="43" t="str">
        <f>VLOOKUP(P377,Maestro!E:F,2,0)</f>
        <v>CEMENTO UG 42,5 KG</v>
      </c>
      <c r="R377" s="43">
        <f>VLOOKUP(P377,ORD!$A:$C,3,0)</f>
        <v>9</v>
      </c>
      <c r="S377" t="str">
        <f t="shared" si="6"/>
        <v>7199990001CEMENTOUG1CEMENTO UG 42,5 KG</v>
      </c>
      <c r="T377" t="str">
        <f>IFERROR(VLOOKUP(S377,Maestro!$A:$H,8,0),"Producción")</f>
        <v>Cemento UG</v>
      </c>
      <c r="U377" s="43" t="s">
        <v>182</v>
      </c>
    </row>
    <row r="378" spans="1:21" x14ac:dyDescent="0.3">
      <c r="A378" s="43">
        <v>7360050302</v>
      </c>
      <c r="B378" s="43" t="s">
        <v>474</v>
      </c>
      <c r="C378" s="50">
        <f>Datos!$I$72*D378</f>
        <v>59645756.158704035</v>
      </c>
      <c r="D378" s="50">
        <f>Datos!$I$476</f>
        <v>63792.252576154046</v>
      </c>
      <c r="E378" s="43" t="s">
        <v>581</v>
      </c>
      <c r="F378" s="43" t="s">
        <v>557</v>
      </c>
      <c r="G378" s="43" t="s">
        <v>582</v>
      </c>
      <c r="H378" s="43" t="s">
        <v>583</v>
      </c>
      <c r="I378" s="43" t="s">
        <v>560</v>
      </c>
      <c r="J378" s="43" t="s">
        <v>484</v>
      </c>
      <c r="K378" s="43">
        <v>700004</v>
      </c>
      <c r="L378" s="43">
        <v>2</v>
      </c>
      <c r="M378" s="43" t="s">
        <v>584</v>
      </c>
      <c r="N378" s="51"/>
      <c r="O378" s="51"/>
      <c r="P378" s="43" t="str">
        <f>VLOOKUP(K378,Maestro!J:K,2,0)</f>
        <v>CEMENTO UG 42,5 KG</v>
      </c>
      <c r="Q378" s="43" t="str">
        <f>VLOOKUP(P378,Maestro!E:F,2,0)</f>
        <v>CEMENTO UG 42,5 KG</v>
      </c>
      <c r="R378" s="43">
        <f>VLOOKUP(P378,ORD!$A:$C,3,0)</f>
        <v>9</v>
      </c>
      <c r="S378" t="str">
        <f t="shared" si="6"/>
        <v>736005030222000000006CEMENTO UG 42,5 KG</v>
      </c>
      <c r="T378" t="str">
        <f>IFERROR(VLOOKUP(S378,Maestro!$A:$H,8,0),"Producción")</f>
        <v>Sacos</v>
      </c>
      <c r="U378" s="43" t="s">
        <v>182</v>
      </c>
    </row>
    <row r="379" spans="1:21" x14ac:dyDescent="0.3">
      <c r="A379" s="43">
        <v>7999999995</v>
      </c>
      <c r="B379" s="43" t="s">
        <v>566</v>
      </c>
      <c r="C379" s="50"/>
      <c r="D379" s="56">
        <f>-Datos!$I$234*Datos!$I$204</f>
        <v>-62541.424094268674</v>
      </c>
      <c r="E379" s="43" t="s">
        <v>581</v>
      </c>
      <c r="F379" s="43" t="s">
        <v>557</v>
      </c>
      <c r="G379" s="43" t="s">
        <v>585</v>
      </c>
      <c r="H379" s="43" t="s">
        <v>586</v>
      </c>
      <c r="I379" s="43" t="s">
        <v>560</v>
      </c>
      <c r="J379" s="43" t="s">
        <v>514</v>
      </c>
      <c r="K379" s="43">
        <v>700004</v>
      </c>
      <c r="L379" s="43">
        <v>2</v>
      </c>
      <c r="M379" s="43" t="s">
        <v>515</v>
      </c>
      <c r="N379" s="51"/>
      <c r="O379" s="51"/>
      <c r="P379" s="43" t="str">
        <f>VLOOKUP(K379,Maestro!J:K,2,0)</f>
        <v>CEMENTO UG 42,5 KG</v>
      </c>
      <c r="Q379" s="43" t="str">
        <f>VLOOKUP(P379,Maestro!E:F,2,0)</f>
        <v>CEMENTO UG 42,5 KG</v>
      </c>
      <c r="R379" s="43">
        <f>VLOOKUP(P379,ORD!$A:$C,3,0)</f>
        <v>9</v>
      </c>
      <c r="S379" t="str">
        <f t="shared" si="6"/>
        <v>7999999995CEMCUGB42CEMENTO UG 42,5 KG</v>
      </c>
      <c r="T379" t="str">
        <f>IFERROR(VLOOKUP(S379,Maestro!$A:$H,8,0),"Producción")</f>
        <v>Producción</v>
      </c>
      <c r="U379" s="43" t="s">
        <v>182</v>
      </c>
    </row>
    <row r="380" spans="1:21" x14ac:dyDescent="0.3">
      <c r="A380" s="43">
        <v>7199990001</v>
      </c>
      <c r="B380" s="43" t="s">
        <v>438</v>
      </c>
      <c r="C380" s="50"/>
      <c r="D380" s="56">
        <f>Datos!$J$234</f>
        <v>2862.1895753213021</v>
      </c>
      <c r="E380" s="43" t="s">
        <v>556</v>
      </c>
      <c r="F380" s="43" t="s">
        <v>557</v>
      </c>
      <c r="G380" s="43" t="s">
        <v>567</v>
      </c>
      <c r="H380" s="43" t="s">
        <v>568</v>
      </c>
      <c r="I380" s="43" t="s">
        <v>560</v>
      </c>
      <c r="J380" s="43" t="s">
        <v>476</v>
      </c>
      <c r="K380" s="43">
        <v>700004</v>
      </c>
      <c r="L380" s="43">
        <v>3</v>
      </c>
      <c r="M380" s="43" t="s">
        <v>464</v>
      </c>
      <c r="N380" s="51"/>
      <c r="O380" s="51"/>
      <c r="P380" s="43" t="str">
        <f>VLOOKUP(K380,Maestro!J:K,2,0)</f>
        <v>CEMENTO UG 42,5 KG</v>
      </c>
      <c r="Q380" s="43" t="str">
        <f>VLOOKUP(P380,Maestro!E:F,2,0)</f>
        <v>CEMENTO UG 42,5 KG</v>
      </c>
      <c r="R380" s="43">
        <f>VLOOKUP(P380,ORD!$A:$C,3,0)</f>
        <v>9</v>
      </c>
      <c r="S380" t="str">
        <f t="shared" si="6"/>
        <v>7199990001CEMENTOUG1CEMENTO UG 42,5 KG</v>
      </c>
      <c r="T380" t="str">
        <f>IFERROR(VLOOKUP(S380,Maestro!$A:$H,8,0),"Producción")</f>
        <v>Cemento UG</v>
      </c>
      <c r="U380" s="43" t="s">
        <v>182</v>
      </c>
    </row>
    <row r="381" spans="1:21" x14ac:dyDescent="0.3">
      <c r="A381" s="43">
        <v>7360050302</v>
      </c>
      <c r="B381" s="43" t="s">
        <v>474</v>
      </c>
      <c r="C381" s="50">
        <f>Datos!$J$72*D381</f>
        <v>66700465.863287628</v>
      </c>
      <c r="D381" s="50">
        <f>Datos!$J$476</f>
        <v>68692.549807711257</v>
      </c>
      <c r="E381" s="43" t="s">
        <v>581</v>
      </c>
      <c r="F381" s="43" t="s">
        <v>557</v>
      </c>
      <c r="G381" s="43" t="s">
        <v>582</v>
      </c>
      <c r="H381" s="43" t="s">
        <v>583</v>
      </c>
      <c r="I381" s="43" t="s">
        <v>560</v>
      </c>
      <c r="J381" s="43" t="s">
        <v>484</v>
      </c>
      <c r="K381" s="43">
        <v>700004</v>
      </c>
      <c r="L381" s="43">
        <v>3</v>
      </c>
      <c r="M381" s="43" t="s">
        <v>584</v>
      </c>
      <c r="N381" s="51"/>
      <c r="O381" s="51"/>
      <c r="P381" s="43" t="str">
        <f>VLOOKUP(K381,Maestro!J:K,2,0)</f>
        <v>CEMENTO UG 42,5 KG</v>
      </c>
      <c r="Q381" s="43" t="str">
        <f>VLOOKUP(P381,Maestro!E:F,2,0)</f>
        <v>CEMENTO UG 42,5 KG</v>
      </c>
      <c r="R381" s="43">
        <f>VLOOKUP(P381,ORD!$A:$C,3,0)</f>
        <v>9</v>
      </c>
      <c r="S381" t="str">
        <f t="shared" si="6"/>
        <v>736005030222000000006CEMENTO UG 42,5 KG</v>
      </c>
      <c r="T381" t="str">
        <f>IFERROR(VLOOKUP(S381,Maestro!$A:$H,8,0),"Producción")</f>
        <v>Sacos</v>
      </c>
      <c r="U381" s="43" t="s">
        <v>182</v>
      </c>
    </row>
    <row r="382" spans="1:21" x14ac:dyDescent="0.3">
      <c r="A382" s="43">
        <v>7999999995</v>
      </c>
      <c r="B382" s="43" t="s">
        <v>566</v>
      </c>
      <c r="C382" s="50"/>
      <c r="D382" s="56">
        <f>-Datos!$J$234*Datos!$J$204</f>
        <v>-67345.637066383584</v>
      </c>
      <c r="E382" s="43" t="s">
        <v>581</v>
      </c>
      <c r="F382" s="43" t="s">
        <v>557</v>
      </c>
      <c r="G382" s="43" t="s">
        <v>585</v>
      </c>
      <c r="H382" s="43" t="s">
        <v>586</v>
      </c>
      <c r="I382" s="43" t="s">
        <v>560</v>
      </c>
      <c r="J382" s="43" t="s">
        <v>514</v>
      </c>
      <c r="K382" s="43">
        <v>700004</v>
      </c>
      <c r="L382" s="43">
        <v>3</v>
      </c>
      <c r="M382" s="43" t="s">
        <v>515</v>
      </c>
      <c r="N382" s="51"/>
      <c r="O382" s="51"/>
      <c r="P382" s="43" t="str">
        <f>VLOOKUP(K382,Maestro!J:K,2,0)</f>
        <v>CEMENTO UG 42,5 KG</v>
      </c>
      <c r="Q382" s="43" t="str">
        <f>VLOOKUP(P382,Maestro!E:F,2,0)</f>
        <v>CEMENTO UG 42,5 KG</v>
      </c>
      <c r="R382" s="43">
        <f>VLOOKUP(P382,ORD!$A:$C,3,0)</f>
        <v>9</v>
      </c>
      <c r="S382" t="str">
        <f t="shared" si="6"/>
        <v>7999999995CEMCUGB42CEMENTO UG 42,5 KG</v>
      </c>
      <c r="T382" t="str">
        <f>IFERROR(VLOOKUP(S382,Maestro!$A:$H,8,0),"Producción")</f>
        <v>Producción</v>
      </c>
      <c r="U382" s="43" t="s">
        <v>182</v>
      </c>
    </row>
    <row r="383" spans="1:21" x14ac:dyDescent="0.3">
      <c r="A383" s="43">
        <v>7199990001</v>
      </c>
      <c r="B383" s="43" t="s">
        <v>438</v>
      </c>
      <c r="C383" s="50"/>
      <c r="D383" s="56">
        <f>Datos!$K$234</f>
        <v>2725.0547797079867</v>
      </c>
      <c r="E383" s="43" t="s">
        <v>556</v>
      </c>
      <c r="F383" s="43" t="s">
        <v>557</v>
      </c>
      <c r="G383" s="43" t="s">
        <v>567</v>
      </c>
      <c r="H383" s="43" t="s">
        <v>568</v>
      </c>
      <c r="I383" s="43" t="s">
        <v>560</v>
      </c>
      <c r="J383" s="43" t="s">
        <v>476</v>
      </c>
      <c r="K383" s="43">
        <v>700004</v>
      </c>
      <c r="L383" s="43">
        <v>4</v>
      </c>
      <c r="M383" s="43" t="s">
        <v>464</v>
      </c>
      <c r="N383" s="51"/>
      <c r="O383" s="51"/>
      <c r="P383" s="43" t="str">
        <f>VLOOKUP(K383,Maestro!J:K,2,0)</f>
        <v>CEMENTO UG 42,5 KG</v>
      </c>
      <c r="Q383" s="43" t="str">
        <f>VLOOKUP(P383,Maestro!E:F,2,0)</f>
        <v>CEMENTO UG 42,5 KG</v>
      </c>
      <c r="R383" s="43">
        <f>VLOOKUP(P383,ORD!$A:$C,3,0)</f>
        <v>9</v>
      </c>
      <c r="S383" t="str">
        <f t="shared" si="6"/>
        <v>7199990001CEMENTOUG1CEMENTO UG 42,5 KG</v>
      </c>
      <c r="T383" t="str">
        <f>IFERROR(VLOOKUP(S383,Maestro!$A:$H,8,0),"Producción")</f>
        <v>Cemento UG</v>
      </c>
      <c r="U383" s="43" t="s">
        <v>182</v>
      </c>
    </row>
    <row r="384" spans="1:21" x14ac:dyDescent="0.3">
      <c r="A384" s="43">
        <v>7360050302</v>
      </c>
      <c r="B384" s="43" t="s">
        <v>474</v>
      </c>
      <c r="C384" s="50">
        <f>Datos!$K$72*D384</f>
        <v>63504676.586314924</v>
      </c>
      <c r="D384" s="50">
        <f>Datos!$K$476</f>
        <v>65401.314712991683</v>
      </c>
      <c r="E384" s="43" t="s">
        <v>581</v>
      </c>
      <c r="F384" s="43" t="s">
        <v>557</v>
      </c>
      <c r="G384" s="43" t="s">
        <v>582</v>
      </c>
      <c r="H384" s="43" t="s">
        <v>583</v>
      </c>
      <c r="I384" s="43" t="s">
        <v>560</v>
      </c>
      <c r="J384" s="43" t="s">
        <v>484</v>
      </c>
      <c r="K384" s="43">
        <v>700004</v>
      </c>
      <c r="L384" s="43">
        <v>4</v>
      </c>
      <c r="M384" s="43" t="s">
        <v>584</v>
      </c>
      <c r="N384" s="51"/>
      <c r="O384" s="51"/>
      <c r="P384" s="43" t="str">
        <f>VLOOKUP(K384,Maestro!J:K,2,0)</f>
        <v>CEMENTO UG 42,5 KG</v>
      </c>
      <c r="Q384" s="43" t="str">
        <f>VLOOKUP(P384,Maestro!E:F,2,0)</f>
        <v>CEMENTO UG 42,5 KG</v>
      </c>
      <c r="R384" s="43">
        <f>VLOOKUP(P384,ORD!$A:$C,3,0)</f>
        <v>9</v>
      </c>
      <c r="S384" t="str">
        <f t="shared" si="6"/>
        <v>736005030222000000006CEMENTO UG 42,5 KG</v>
      </c>
      <c r="T384" t="str">
        <f>IFERROR(VLOOKUP(S384,Maestro!$A:$H,8,0),"Producción")</f>
        <v>Sacos</v>
      </c>
      <c r="U384" s="43" t="s">
        <v>182</v>
      </c>
    </row>
    <row r="385" spans="1:21" x14ac:dyDescent="0.3">
      <c r="A385" s="43">
        <v>7999999995</v>
      </c>
      <c r="B385" s="43" t="s">
        <v>566</v>
      </c>
      <c r="C385" s="50"/>
      <c r="D385" s="56">
        <f>-Datos!$K$234*Datos!$K$204</f>
        <v>-64118.935993129104</v>
      </c>
      <c r="E385" s="43" t="s">
        <v>581</v>
      </c>
      <c r="F385" s="43" t="s">
        <v>557</v>
      </c>
      <c r="G385" s="43" t="s">
        <v>585</v>
      </c>
      <c r="H385" s="43" t="s">
        <v>586</v>
      </c>
      <c r="I385" s="43" t="s">
        <v>560</v>
      </c>
      <c r="J385" s="43" t="s">
        <v>514</v>
      </c>
      <c r="K385" s="43">
        <v>700004</v>
      </c>
      <c r="L385" s="43">
        <v>4</v>
      </c>
      <c r="M385" s="43" t="s">
        <v>515</v>
      </c>
      <c r="N385" s="51"/>
      <c r="O385" s="51"/>
      <c r="P385" s="43" t="str">
        <f>VLOOKUP(K385,Maestro!J:K,2,0)</f>
        <v>CEMENTO UG 42,5 KG</v>
      </c>
      <c r="Q385" s="43" t="str">
        <f>VLOOKUP(P385,Maestro!E:F,2,0)</f>
        <v>CEMENTO UG 42,5 KG</v>
      </c>
      <c r="R385" s="43">
        <f>VLOOKUP(P385,ORD!$A:$C,3,0)</f>
        <v>9</v>
      </c>
      <c r="S385" t="str">
        <f t="shared" si="6"/>
        <v>7999999995CEMCUGB42CEMENTO UG 42,5 KG</v>
      </c>
      <c r="T385" t="str">
        <f>IFERROR(VLOOKUP(S385,Maestro!$A:$H,8,0),"Producción")</f>
        <v>Producción</v>
      </c>
      <c r="U385" s="43" t="s">
        <v>182</v>
      </c>
    </row>
    <row r="386" spans="1:21" x14ac:dyDescent="0.3">
      <c r="A386" s="43">
        <v>7199990001</v>
      </c>
      <c r="B386" s="43" t="s">
        <v>438</v>
      </c>
      <c r="C386" s="50"/>
      <c r="D386" s="56">
        <f>Datos!$L$234</f>
        <v>2551.8438151051146</v>
      </c>
      <c r="E386" s="43" t="s">
        <v>556</v>
      </c>
      <c r="F386" s="43" t="s">
        <v>557</v>
      </c>
      <c r="G386" s="43" t="s">
        <v>567</v>
      </c>
      <c r="H386" s="43" t="s">
        <v>568</v>
      </c>
      <c r="I386" s="43" t="s">
        <v>560</v>
      </c>
      <c r="J386" s="43" t="s">
        <v>476</v>
      </c>
      <c r="K386" s="43">
        <v>700004</v>
      </c>
      <c r="L386" s="43">
        <v>5</v>
      </c>
      <c r="M386" s="43" t="s">
        <v>464</v>
      </c>
      <c r="N386" s="51"/>
      <c r="O386" s="51"/>
      <c r="P386" s="43" t="str">
        <f>VLOOKUP(K386,Maestro!J:K,2,0)</f>
        <v>CEMENTO UG 42,5 KG</v>
      </c>
      <c r="Q386" s="43" t="str">
        <f>VLOOKUP(P386,Maestro!E:F,2,0)</f>
        <v>CEMENTO UG 42,5 KG</v>
      </c>
      <c r="R386" s="43">
        <f>VLOOKUP(P386,ORD!$A:$C,3,0)</f>
        <v>9</v>
      </c>
      <c r="S386" t="str">
        <f t="shared" si="6"/>
        <v>7199990001CEMENTOUG1CEMENTO UG 42,5 KG</v>
      </c>
      <c r="T386" t="str">
        <f>IFERROR(VLOOKUP(S386,Maestro!$A:$H,8,0),"Producción")</f>
        <v>Cemento UG</v>
      </c>
      <c r="U386" s="43" t="s">
        <v>182</v>
      </c>
    </row>
    <row r="387" spans="1:21" x14ac:dyDescent="0.3">
      <c r="A387" s="43">
        <v>7360050302</v>
      </c>
      <c r="B387" s="43" t="s">
        <v>474</v>
      </c>
      <c r="C387" s="50">
        <f>Datos!$L$72*D387</f>
        <v>59468168.267209597</v>
      </c>
      <c r="D387" s="50">
        <f>Datos!$L$476</f>
        <v>61244.251562522753</v>
      </c>
      <c r="E387" s="43" t="s">
        <v>581</v>
      </c>
      <c r="F387" s="43" t="s">
        <v>557</v>
      </c>
      <c r="G387" s="43" t="s">
        <v>582</v>
      </c>
      <c r="H387" s="43" t="s">
        <v>583</v>
      </c>
      <c r="I387" s="43" t="s">
        <v>560</v>
      </c>
      <c r="J387" s="43" t="s">
        <v>484</v>
      </c>
      <c r="K387" s="43">
        <v>700004</v>
      </c>
      <c r="L387" s="43">
        <v>5</v>
      </c>
      <c r="M387" s="43" t="s">
        <v>584</v>
      </c>
      <c r="N387" s="51"/>
      <c r="O387" s="51"/>
      <c r="P387" s="43" t="str">
        <f>VLOOKUP(K387,Maestro!J:K,2,0)</f>
        <v>CEMENTO UG 42,5 KG</v>
      </c>
      <c r="Q387" s="43" t="str">
        <f>VLOOKUP(P387,Maestro!E:F,2,0)</f>
        <v>CEMENTO UG 42,5 KG</v>
      </c>
      <c r="R387" s="43">
        <f>VLOOKUP(P387,ORD!$A:$C,3,0)</f>
        <v>9</v>
      </c>
      <c r="S387" t="str">
        <f t="shared" ref="S387:S438" si="7">A387&amp;J387&amp;Q387</f>
        <v>736005030222000000006CEMENTO UG 42,5 KG</v>
      </c>
      <c r="T387" t="str">
        <f>IFERROR(VLOOKUP(S387,Maestro!$A:$H,8,0),"Producción")</f>
        <v>Sacos</v>
      </c>
      <c r="U387" s="43" t="s">
        <v>182</v>
      </c>
    </row>
    <row r="388" spans="1:21" x14ac:dyDescent="0.3">
      <c r="A388" s="43">
        <v>7999999995</v>
      </c>
      <c r="B388" s="43" t="s">
        <v>566</v>
      </c>
      <c r="C388" s="50"/>
      <c r="D388" s="56">
        <f>-Datos!$L$234*Datos!$L$204</f>
        <v>-60043.383884826231</v>
      </c>
      <c r="E388" s="43" t="s">
        <v>581</v>
      </c>
      <c r="F388" s="43" t="s">
        <v>557</v>
      </c>
      <c r="G388" s="43" t="s">
        <v>585</v>
      </c>
      <c r="H388" s="43" t="s">
        <v>586</v>
      </c>
      <c r="I388" s="43" t="s">
        <v>560</v>
      </c>
      <c r="J388" s="43" t="s">
        <v>514</v>
      </c>
      <c r="K388" s="43">
        <v>700004</v>
      </c>
      <c r="L388" s="43">
        <v>5</v>
      </c>
      <c r="M388" s="43" t="s">
        <v>515</v>
      </c>
      <c r="N388" s="51"/>
      <c r="O388" s="51"/>
      <c r="P388" s="43" t="str">
        <f>VLOOKUP(K388,Maestro!J:K,2,0)</f>
        <v>CEMENTO UG 42,5 KG</v>
      </c>
      <c r="Q388" s="43" t="str">
        <f>VLOOKUP(P388,Maestro!E:F,2,0)</f>
        <v>CEMENTO UG 42,5 KG</v>
      </c>
      <c r="R388" s="43">
        <f>VLOOKUP(P388,ORD!$A:$C,3,0)</f>
        <v>9</v>
      </c>
      <c r="S388" t="str">
        <f t="shared" si="7"/>
        <v>7999999995CEMCUGB42CEMENTO UG 42,5 KG</v>
      </c>
      <c r="T388" t="str">
        <f>IFERROR(VLOOKUP(S388,Maestro!$A:$H,8,0),"Producción")</f>
        <v>Producción</v>
      </c>
      <c r="U388" s="43" t="s">
        <v>182</v>
      </c>
    </row>
    <row r="389" spans="1:21" x14ac:dyDescent="0.3">
      <c r="A389" s="43">
        <v>7199990001</v>
      </c>
      <c r="B389" s="43" t="s">
        <v>438</v>
      </c>
      <c r="C389" s="50"/>
      <c r="D389" s="56">
        <f>Datos!$M$234</f>
        <v>2544.6281933975642</v>
      </c>
      <c r="E389" s="43" t="s">
        <v>556</v>
      </c>
      <c r="F389" s="43" t="s">
        <v>557</v>
      </c>
      <c r="G389" s="43" t="s">
        <v>567</v>
      </c>
      <c r="H389" s="43" t="s">
        <v>568</v>
      </c>
      <c r="I389" s="43" t="s">
        <v>560</v>
      </c>
      <c r="J389" s="43" t="s">
        <v>476</v>
      </c>
      <c r="K389" s="43">
        <v>700004</v>
      </c>
      <c r="L389" s="43">
        <v>6</v>
      </c>
      <c r="M389" s="43" t="s">
        <v>464</v>
      </c>
      <c r="N389" s="51"/>
      <c r="O389" s="51"/>
      <c r="P389" s="43" t="str">
        <f>VLOOKUP(K389,Maestro!J:K,2,0)</f>
        <v>CEMENTO UG 42,5 KG</v>
      </c>
      <c r="Q389" s="43" t="str">
        <f>VLOOKUP(P389,Maestro!E:F,2,0)</f>
        <v>CEMENTO UG 42,5 KG</v>
      </c>
      <c r="R389" s="43">
        <f>VLOOKUP(P389,ORD!$A:$C,3,0)</f>
        <v>9</v>
      </c>
      <c r="S389" t="str">
        <f t="shared" si="7"/>
        <v>7199990001CEMENTOUG1CEMENTO UG 42,5 KG</v>
      </c>
      <c r="T389" t="str">
        <f>IFERROR(VLOOKUP(S389,Maestro!$A:$H,8,0),"Producción")</f>
        <v>Cemento UG</v>
      </c>
      <c r="U389" s="43" t="s">
        <v>182</v>
      </c>
    </row>
    <row r="390" spans="1:21" x14ac:dyDescent="0.3">
      <c r="A390" s="43">
        <v>7360050302</v>
      </c>
      <c r="B390" s="43" t="s">
        <v>474</v>
      </c>
      <c r="C390" s="50">
        <f>Datos!$M$72*D390</f>
        <v>59300015.418936841</v>
      </c>
      <c r="D390" s="50">
        <f>Datos!$M$476</f>
        <v>61071.076641541549</v>
      </c>
      <c r="E390" s="43" t="s">
        <v>581</v>
      </c>
      <c r="F390" s="43" t="s">
        <v>557</v>
      </c>
      <c r="G390" s="43" t="s">
        <v>582</v>
      </c>
      <c r="H390" s="43" t="s">
        <v>583</v>
      </c>
      <c r="I390" s="43" t="s">
        <v>560</v>
      </c>
      <c r="J390" s="43" t="s">
        <v>484</v>
      </c>
      <c r="K390" s="43">
        <v>700004</v>
      </c>
      <c r="L390" s="43">
        <v>6</v>
      </c>
      <c r="M390" s="43" t="s">
        <v>584</v>
      </c>
      <c r="N390" s="51"/>
      <c r="O390" s="51"/>
      <c r="P390" s="43" t="str">
        <f>VLOOKUP(K390,Maestro!J:K,2,0)</f>
        <v>CEMENTO UG 42,5 KG</v>
      </c>
      <c r="Q390" s="43" t="str">
        <f>VLOOKUP(P390,Maestro!E:F,2,0)</f>
        <v>CEMENTO UG 42,5 KG</v>
      </c>
      <c r="R390" s="43">
        <f>VLOOKUP(P390,ORD!$A:$C,3,0)</f>
        <v>9</v>
      </c>
      <c r="S390" t="str">
        <f t="shared" si="7"/>
        <v>736005030222000000006CEMENTO UG 42,5 KG</v>
      </c>
      <c r="T390" t="str">
        <f>IFERROR(VLOOKUP(S390,Maestro!$A:$H,8,0),"Producción")</f>
        <v>Sacos</v>
      </c>
      <c r="U390" s="43" t="s">
        <v>182</v>
      </c>
    </row>
    <row r="391" spans="1:21" x14ac:dyDescent="0.3">
      <c r="A391" s="43">
        <v>7999999995</v>
      </c>
      <c r="B391" s="43" t="s">
        <v>566</v>
      </c>
      <c r="C391" s="50"/>
      <c r="D391" s="56">
        <f>-Datos!$M$234*Datos!$M$204</f>
        <v>-59873.60455053093</v>
      </c>
      <c r="E391" s="43" t="s">
        <v>581</v>
      </c>
      <c r="F391" s="43" t="s">
        <v>557</v>
      </c>
      <c r="G391" s="43" t="s">
        <v>585</v>
      </c>
      <c r="H391" s="43" t="s">
        <v>586</v>
      </c>
      <c r="I391" s="43" t="s">
        <v>560</v>
      </c>
      <c r="J391" s="43" t="s">
        <v>514</v>
      </c>
      <c r="K391" s="43">
        <v>700004</v>
      </c>
      <c r="L391" s="43">
        <v>6</v>
      </c>
      <c r="M391" s="43" t="s">
        <v>515</v>
      </c>
      <c r="N391" s="51"/>
      <c r="O391" s="51"/>
      <c r="P391" s="43" t="str">
        <f>VLOOKUP(K391,Maestro!J:K,2,0)</f>
        <v>CEMENTO UG 42,5 KG</v>
      </c>
      <c r="Q391" s="43" t="str">
        <f>VLOOKUP(P391,Maestro!E:F,2,0)</f>
        <v>CEMENTO UG 42,5 KG</v>
      </c>
      <c r="R391" s="43">
        <f>VLOOKUP(P391,ORD!$A:$C,3,0)</f>
        <v>9</v>
      </c>
      <c r="S391" t="str">
        <f t="shared" si="7"/>
        <v>7999999995CEMCUGB42CEMENTO UG 42,5 KG</v>
      </c>
      <c r="T391" t="str">
        <f>IFERROR(VLOOKUP(S391,Maestro!$A:$H,8,0),"Producción")</f>
        <v>Producción</v>
      </c>
      <c r="U391" s="43" t="s">
        <v>182</v>
      </c>
    </row>
    <row r="392" spans="1:21" x14ac:dyDescent="0.3">
      <c r="A392" s="43">
        <v>7199990001</v>
      </c>
      <c r="B392" s="43" t="s">
        <v>438</v>
      </c>
      <c r="C392" s="50"/>
      <c r="D392" s="56">
        <f>Datos!$N$234</f>
        <v>2999.9410261466555</v>
      </c>
      <c r="E392" s="43" t="s">
        <v>556</v>
      </c>
      <c r="F392" s="43" t="s">
        <v>557</v>
      </c>
      <c r="G392" s="43" t="s">
        <v>567</v>
      </c>
      <c r="H392" s="43" t="s">
        <v>568</v>
      </c>
      <c r="I392" s="43" t="s">
        <v>560</v>
      </c>
      <c r="J392" s="43" t="s">
        <v>476</v>
      </c>
      <c r="K392" s="43">
        <v>700004</v>
      </c>
      <c r="L392" s="43">
        <v>7</v>
      </c>
      <c r="M392" s="43" t="s">
        <v>464</v>
      </c>
      <c r="N392" s="51"/>
      <c r="O392" s="51"/>
      <c r="P392" s="43" t="str">
        <f>VLOOKUP(K392,Maestro!J:K,2,0)</f>
        <v>CEMENTO UG 42,5 KG</v>
      </c>
      <c r="Q392" s="43" t="str">
        <f>VLOOKUP(P392,Maestro!E:F,2,0)</f>
        <v>CEMENTO UG 42,5 KG</v>
      </c>
      <c r="R392" s="43">
        <f>VLOOKUP(P392,ORD!$A:$C,3,0)</f>
        <v>9</v>
      </c>
      <c r="S392" t="str">
        <f t="shared" si="7"/>
        <v>7199990001CEMENTOUG1CEMENTO UG 42,5 KG</v>
      </c>
      <c r="T392" t="str">
        <f>IFERROR(VLOOKUP(S392,Maestro!$A:$H,8,0),"Producción")</f>
        <v>Cemento UG</v>
      </c>
      <c r="U392" s="43" t="s">
        <v>182</v>
      </c>
    </row>
    <row r="393" spans="1:21" x14ac:dyDescent="0.3">
      <c r="A393" s="43">
        <v>7360050302</v>
      </c>
      <c r="B393" s="43" t="s">
        <v>474</v>
      </c>
      <c r="C393" s="50">
        <f>Datos!$N$72*D393</f>
        <v>69910625.673321664</v>
      </c>
      <c r="D393" s="50">
        <f>Datos!$N$476</f>
        <v>71998.58462751974</v>
      </c>
      <c r="E393" s="43" t="s">
        <v>581</v>
      </c>
      <c r="F393" s="43" t="s">
        <v>557</v>
      </c>
      <c r="G393" s="43" t="s">
        <v>582</v>
      </c>
      <c r="H393" s="43" t="s">
        <v>583</v>
      </c>
      <c r="I393" s="43" t="s">
        <v>560</v>
      </c>
      <c r="J393" s="43" t="s">
        <v>484</v>
      </c>
      <c r="K393" s="43">
        <v>700004</v>
      </c>
      <c r="L393" s="43">
        <v>7</v>
      </c>
      <c r="M393" s="43" t="s">
        <v>584</v>
      </c>
      <c r="N393" s="51"/>
      <c r="O393" s="51"/>
      <c r="P393" s="43" t="str">
        <f>VLOOKUP(K393,Maestro!J:K,2,0)</f>
        <v>CEMENTO UG 42,5 KG</v>
      </c>
      <c r="Q393" s="43" t="str">
        <f>VLOOKUP(P393,Maestro!E:F,2,0)</f>
        <v>CEMENTO UG 42,5 KG</v>
      </c>
      <c r="R393" s="43">
        <f>VLOOKUP(P393,ORD!$A:$C,3,0)</f>
        <v>9</v>
      </c>
      <c r="S393" t="str">
        <f t="shared" si="7"/>
        <v>736005030222000000006CEMENTO UG 42,5 KG</v>
      </c>
      <c r="T393" t="str">
        <f>IFERROR(VLOOKUP(S393,Maestro!$A:$H,8,0),"Producción")</f>
        <v>Sacos</v>
      </c>
      <c r="U393" s="43" t="s">
        <v>182</v>
      </c>
    </row>
    <row r="394" spans="1:21" x14ac:dyDescent="0.3">
      <c r="A394" s="43">
        <v>7999999995</v>
      </c>
      <c r="B394" s="43" t="s">
        <v>566</v>
      </c>
      <c r="C394" s="50"/>
      <c r="D394" s="56">
        <f>-Datos!$N$234*Datos!$N$204</f>
        <v>-70586.84767403896</v>
      </c>
      <c r="E394" s="43" t="s">
        <v>581</v>
      </c>
      <c r="F394" s="43" t="s">
        <v>557</v>
      </c>
      <c r="G394" s="43" t="s">
        <v>585</v>
      </c>
      <c r="H394" s="43" t="s">
        <v>586</v>
      </c>
      <c r="I394" s="43" t="s">
        <v>560</v>
      </c>
      <c r="J394" s="43" t="s">
        <v>514</v>
      </c>
      <c r="K394" s="43">
        <v>700004</v>
      </c>
      <c r="L394" s="43">
        <v>7</v>
      </c>
      <c r="M394" s="43" t="s">
        <v>515</v>
      </c>
      <c r="N394" s="51"/>
      <c r="O394" s="51"/>
      <c r="P394" s="43" t="str">
        <f>VLOOKUP(K394,Maestro!J:K,2,0)</f>
        <v>CEMENTO UG 42,5 KG</v>
      </c>
      <c r="Q394" s="43" t="str">
        <f>VLOOKUP(P394,Maestro!E:F,2,0)</f>
        <v>CEMENTO UG 42,5 KG</v>
      </c>
      <c r="R394" s="43">
        <f>VLOOKUP(P394,ORD!$A:$C,3,0)</f>
        <v>9</v>
      </c>
      <c r="S394" t="str">
        <f t="shared" si="7"/>
        <v>7999999995CEMCUGB42CEMENTO UG 42,5 KG</v>
      </c>
      <c r="T394" t="str">
        <f>IFERROR(VLOOKUP(S394,Maestro!$A:$H,8,0),"Producción")</f>
        <v>Producción</v>
      </c>
      <c r="U394" s="43" t="s">
        <v>182</v>
      </c>
    </row>
    <row r="395" spans="1:21" x14ac:dyDescent="0.3">
      <c r="A395" s="43">
        <v>7199990001</v>
      </c>
      <c r="B395" s="43" t="s">
        <v>438</v>
      </c>
      <c r="C395" s="50"/>
      <c r="D395" s="56">
        <f>Datos!$O$234</f>
        <v>2729.8954788504893</v>
      </c>
      <c r="E395" s="43" t="s">
        <v>556</v>
      </c>
      <c r="F395" s="43" t="s">
        <v>557</v>
      </c>
      <c r="G395" s="43" t="s">
        <v>567</v>
      </c>
      <c r="H395" s="43" t="s">
        <v>568</v>
      </c>
      <c r="I395" s="43" t="s">
        <v>560</v>
      </c>
      <c r="J395" s="43" t="s">
        <v>476</v>
      </c>
      <c r="K395" s="43">
        <v>700004</v>
      </c>
      <c r="L395" s="43">
        <v>8</v>
      </c>
      <c r="M395" s="43" t="s">
        <v>464</v>
      </c>
      <c r="N395" s="51"/>
      <c r="O395" s="51"/>
      <c r="P395" s="43" t="str">
        <f>VLOOKUP(K395,Maestro!J:K,2,0)</f>
        <v>CEMENTO UG 42,5 KG</v>
      </c>
      <c r="Q395" s="43" t="str">
        <f>VLOOKUP(P395,Maestro!E:F,2,0)</f>
        <v>CEMENTO UG 42,5 KG</v>
      </c>
      <c r="R395" s="43">
        <f>VLOOKUP(P395,ORD!$A:$C,3,0)</f>
        <v>9</v>
      </c>
      <c r="S395" t="str">
        <f t="shared" si="7"/>
        <v>7199990001CEMENTOUG1CEMENTO UG 42,5 KG</v>
      </c>
      <c r="T395" t="str">
        <f>IFERROR(VLOOKUP(S395,Maestro!$A:$H,8,0),"Producción")</f>
        <v>Cemento UG</v>
      </c>
      <c r="U395" s="43" t="s">
        <v>182</v>
      </c>
    </row>
    <row r="396" spans="1:21" x14ac:dyDescent="0.3">
      <c r="A396" s="43">
        <v>7360050302</v>
      </c>
      <c r="B396" s="43" t="s">
        <v>474</v>
      </c>
      <c r="C396" s="50">
        <f>Datos!$O$72*D396</f>
        <v>63617484.239131808</v>
      </c>
      <c r="D396" s="50">
        <f>Datos!$O$476</f>
        <v>65517.491492411747</v>
      </c>
      <c r="E396" s="43" t="s">
        <v>581</v>
      </c>
      <c r="F396" s="43" t="s">
        <v>557</v>
      </c>
      <c r="G396" s="43" t="s">
        <v>582</v>
      </c>
      <c r="H396" s="43" t="s">
        <v>583</v>
      </c>
      <c r="I396" s="43" t="s">
        <v>560</v>
      </c>
      <c r="J396" s="43" t="s">
        <v>484</v>
      </c>
      <c r="K396" s="43">
        <v>700004</v>
      </c>
      <c r="L396" s="43">
        <v>8</v>
      </c>
      <c r="M396" s="43" t="s">
        <v>584</v>
      </c>
      <c r="N396" s="51"/>
      <c r="O396" s="51"/>
      <c r="P396" s="43" t="str">
        <f>VLOOKUP(K396,Maestro!J:K,2,0)</f>
        <v>CEMENTO UG 42,5 KG</v>
      </c>
      <c r="Q396" s="43" t="str">
        <f>VLOOKUP(P396,Maestro!E:F,2,0)</f>
        <v>CEMENTO UG 42,5 KG</v>
      </c>
      <c r="R396" s="43">
        <f>VLOOKUP(P396,ORD!$A:$C,3,0)</f>
        <v>9</v>
      </c>
      <c r="S396" t="str">
        <f t="shared" si="7"/>
        <v>736005030222000000006CEMENTO UG 42,5 KG</v>
      </c>
      <c r="T396" t="str">
        <f>IFERROR(VLOOKUP(S396,Maestro!$A:$H,8,0),"Producción")</f>
        <v>Sacos</v>
      </c>
      <c r="U396" s="43" t="s">
        <v>182</v>
      </c>
    </row>
    <row r="397" spans="1:21" x14ac:dyDescent="0.3">
      <c r="A397" s="43">
        <v>7999999995</v>
      </c>
      <c r="B397" s="43" t="s">
        <v>566</v>
      </c>
      <c r="C397" s="50"/>
      <c r="D397" s="56">
        <f>-Datos!$O$234*Datos!$O$204</f>
        <v>-64232.834796482108</v>
      </c>
      <c r="E397" s="43" t="s">
        <v>581</v>
      </c>
      <c r="F397" s="43" t="s">
        <v>557</v>
      </c>
      <c r="G397" s="43" t="s">
        <v>585</v>
      </c>
      <c r="H397" s="43" t="s">
        <v>586</v>
      </c>
      <c r="I397" s="43" t="s">
        <v>560</v>
      </c>
      <c r="J397" s="43" t="s">
        <v>514</v>
      </c>
      <c r="K397" s="43">
        <v>700004</v>
      </c>
      <c r="L397" s="43">
        <v>8</v>
      </c>
      <c r="M397" s="43" t="s">
        <v>515</v>
      </c>
      <c r="N397" s="51"/>
      <c r="O397" s="51"/>
      <c r="P397" s="43" t="str">
        <f>VLOOKUP(K397,Maestro!J:K,2,0)</f>
        <v>CEMENTO UG 42,5 KG</v>
      </c>
      <c r="Q397" s="43" t="str">
        <f>VLOOKUP(P397,Maestro!E:F,2,0)</f>
        <v>CEMENTO UG 42,5 KG</v>
      </c>
      <c r="R397" s="43">
        <f>VLOOKUP(P397,ORD!$A:$C,3,0)</f>
        <v>9</v>
      </c>
      <c r="S397" t="str">
        <f t="shared" si="7"/>
        <v>7999999995CEMCUGB42CEMENTO UG 42,5 KG</v>
      </c>
      <c r="T397" t="str">
        <f>IFERROR(VLOOKUP(S397,Maestro!$A:$H,8,0),"Producción")</f>
        <v>Producción</v>
      </c>
      <c r="U397" s="43" t="s">
        <v>182</v>
      </c>
    </row>
    <row r="398" spans="1:21" x14ac:dyDescent="0.3">
      <c r="A398" s="43">
        <v>7199990001</v>
      </c>
      <c r="B398" s="43" t="s">
        <v>438</v>
      </c>
      <c r="C398" s="50"/>
      <c r="D398" s="56">
        <f>Datos!$P$234</f>
        <v>2891.7355634410037</v>
      </c>
      <c r="E398" s="43" t="s">
        <v>556</v>
      </c>
      <c r="F398" s="43" t="s">
        <v>557</v>
      </c>
      <c r="G398" s="43" t="s">
        <v>567</v>
      </c>
      <c r="H398" s="43" t="s">
        <v>568</v>
      </c>
      <c r="I398" s="43" t="s">
        <v>560</v>
      </c>
      <c r="J398" s="43" t="s">
        <v>476</v>
      </c>
      <c r="K398" s="43">
        <v>700004</v>
      </c>
      <c r="L398" s="43">
        <v>9</v>
      </c>
      <c r="M398" s="43" t="s">
        <v>464</v>
      </c>
      <c r="N398" s="51"/>
      <c r="O398" s="51"/>
      <c r="P398" s="43" t="str">
        <f>VLOOKUP(K398,Maestro!J:K,2,0)</f>
        <v>CEMENTO UG 42,5 KG</v>
      </c>
      <c r="Q398" s="43" t="str">
        <f>VLOOKUP(P398,Maestro!E:F,2,0)</f>
        <v>CEMENTO UG 42,5 KG</v>
      </c>
      <c r="R398" s="43">
        <f>VLOOKUP(P398,ORD!$A:$C,3,0)</f>
        <v>9</v>
      </c>
      <c r="S398" t="str">
        <f t="shared" si="7"/>
        <v>7199990001CEMENTOUG1CEMENTO UG 42,5 KG</v>
      </c>
      <c r="T398" t="str">
        <f>IFERROR(VLOOKUP(S398,Maestro!$A:$H,8,0),"Producción")</f>
        <v>Cemento UG</v>
      </c>
      <c r="U398" s="43" t="s">
        <v>182</v>
      </c>
    </row>
    <row r="399" spans="1:21" x14ac:dyDescent="0.3">
      <c r="A399" s="43">
        <v>7360050302</v>
      </c>
      <c r="B399" s="43" t="s">
        <v>474</v>
      </c>
      <c r="C399" s="50">
        <f>Datos!$P$72*D399</f>
        <v>69609858.483151838</v>
      </c>
      <c r="D399" s="50">
        <f>Datos!$P$476</f>
        <v>69401.653522584093</v>
      </c>
      <c r="E399" s="43" t="s">
        <v>581</v>
      </c>
      <c r="F399" s="43" t="s">
        <v>557</v>
      </c>
      <c r="G399" s="43" t="s">
        <v>582</v>
      </c>
      <c r="H399" s="43" t="s">
        <v>583</v>
      </c>
      <c r="I399" s="43" t="s">
        <v>560</v>
      </c>
      <c r="J399" s="43" t="s">
        <v>484</v>
      </c>
      <c r="K399" s="43">
        <v>700004</v>
      </c>
      <c r="L399" s="43">
        <v>9</v>
      </c>
      <c r="M399" s="43" t="s">
        <v>584</v>
      </c>
      <c r="N399" s="51"/>
      <c r="O399" s="51"/>
      <c r="P399" s="43" t="str">
        <f>VLOOKUP(K399,Maestro!J:K,2,0)</f>
        <v>CEMENTO UG 42,5 KG</v>
      </c>
      <c r="Q399" s="43" t="str">
        <f>VLOOKUP(P399,Maestro!E:F,2,0)</f>
        <v>CEMENTO UG 42,5 KG</v>
      </c>
      <c r="R399" s="43">
        <f>VLOOKUP(P399,ORD!$A:$C,3,0)</f>
        <v>9</v>
      </c>
      <c r="S399" t="str">
        <f t="shared" si="7"/>
        <v>736005030222000000006CEMENTO UG 42,5 KG</v>
      </c>
      <c r="T399" t="str">
        <f>IFERROR(VLOOKUP(S399,Maestro!$A:$H,8,0),"Producción")</f>
        <v>Sacos</v>
      </c>
      <c r="U399" s="43" t="s">
        <v>182</v>
      </c>
    </row>
    <row r="400" spans="1:21" x14ac:dyDescent="0.3">
      <c r="A400" s="43">
        <v>7999999995</v>
      </c>
      <c r="B400" s="43" t="s">
        <v>566</v>
      </c>
      <c r="C400" s="50"/>
      <c r="D400" s="56">
        <f>-Datos!$P$234*Datos!$P$204</f>
        <v>-68040.836786847154</v>
      </c>
      <c r="E400" s="43" t="s">
        <v>581</v>
      </c>
      <c r="F400" s="43" t="s">
        <v>557</v>
      </c>
      <c r="G400" s="43" t="s">
        <v>585</v>
      </c>
      <c r="H400" s="43" t="s">
        <v>586</v>
      </c>
      <c r="I400" s="43" t="s">
        <v>560</v>
      </c>
      <c r="J400" s="43" t="s">
        <v>514</v>
      </c>
      <c r="K400" s="43">
        <v>700004</v>
      </c>
      <c r="L400" s="43">
        <v>9</v>
      </c>
      <c r="M400" s="43" t="s">
        <v>515</v>
      </c>
      <c r="N400" s="51"/>
      <c r="O400" s="51"/>
      <c r="P400" s="43" t="str">
        <f>VLOOKUP(K400,Maestro!J:K,2,0)</f>
        <v>CEMENTO UG 42,5 KG</v>
      </c>
      <c r="Q400" s="43" t="str">
        <f>VLOOKUP(P400,Maestro!E:F,2,0)</f>
        <v>CEMENTO UG 42,5 KG</v>
      </c>
      <c r="R400" s="43">
        <f>VLOOKUP(P400,ORD!$A:$C,3,0)</f>
        <v>9</v>
      </c>
      <c r="S400" t="str">
        <f t="shared" si="7"/>
        <v>7999999995CEMCUGB42CEMENTO UG 42,5 KG</v>
      </c>
      <c r="T400" t="str">
        <f>IFERROR(VLOOKUP(S400,Maestro!$A:$H,8,0),"Producción")</f>
        <v>Producción</v>
      </c>
      <c r="U400" s="43" t="s">
        <v>182</v>
      </c>
    </row>
    <row r="401" spans="1:21" x14ac:dyDescent="0.3">
      <c r="A401" s="43">
        <v>7199990001</v>
      </c>
      <c r="B401" s="43" t="s">
        <v>438</v>
      </c>
      <c r="C401" s="50"/>
      <c r="D401" s="56">
        <f>Datos!$Q$234</f>
        <v>2938.2027138787703</v>
      </c>
      <c r="E401" s="43" t="s">
        <v>556</v>
      </c>
      <c r="F401" s="43" t="s">
        <v>557</v>
      </c>
      <c r="G401" s="43" t="s">
        <v>567</v>
      </c>
      <c r="H401" s="43" t="s">
        <v>568</v>
      </c>
      <c r="I401" s="43" t="s">
        <v>560</v>
      </c>
      <c r="J401" s="43" t="s">
        <v>476</v>
      </c>
      <c r="K401" s="43">
        <v>700004</v>
      </c>
      <c r="L401" s="43">
        <v>10</v>
      </c>
      <c r="M401" s="43" t="s">
        <v>464</v>
      </c>
      <c r="N401" s="51"/>
      <c r="O401" s="51"/>
      <c r="P401" s="43" t="str">
        <f>VLOOKUP(K401,Maestro!J:K,2,0)</f>
        <v>CEMENTO UG 42,5 KG</v>
      </c>
      <c r="Q401" s="43" t="str">
        <f>VLOOKUP(P401,Maestro!E:F,2,0)</f>
        <v>CEMENTO UG 42,5 KG</v>
      </c>
      <c r="R401" s="43">
        <f>VLOOKUP(P401,ORD!$A:$C,3,0)</f>
        <v>9</v>
      </c>
      <c r="S401" t="str">
        <f t="shared" si="7"/>
        <v>7199990001CEMENTOUG1CEMENTO UG 42,5 KG</v>
      </c>
      <c r="T401" t="str">
        <f>IFERROR(VLOOKUP(S401,Maestro!$A:$H,8,0),"Producción")</f>
        <v>Cemento UG</v>
      </c>
      <c r="U401" s="43" t="s">
        <v>182</v>
      </c>
    </row>
    <row r="402" spans="1:21" x14ac:dyDescent="0.3">
      <c r="A402" s="43">
        <v>7360050302</v>
      </c>
      <c r="B402" s="43" t="s">
        <v>474</v>
      </c>
      <c r="C402" s="50">
        <f>Datos!$Q$72*D402</f>
        <v>70728415.728489757</v>
      </c>
      <c r="D402" s="50">
        <f>Datos!$Q$476</f>
        <v>70516.865133090483</v>
      </c>
      <c r="E402" s="43" t="s">
        <v>581</v>
      </c>
      <c r="F402" s="43" t="s">
        <v>557</v>
      </c>
      <c r="G402" s="43" t="s">
        <v>582</v>
      </c>
      <c r="H402" s="43" t="s">
        <v>583</v>
      </c>
      <c r="I402" s="43" t="s">
        <v>560</v>
      </c>
      <c r="J402" s="43" t="s">
        <v>484</v>
      </c>
      <c r="K402" s="43">
        <v>700004</v>
      </c>
      <c r="L402" s="43">
        <v>10</v>
      </c>
      <c r="M402" s="43" t="s">
        <v>584</v>
      </c>
      <c r="N402" s="51"/>
      <c r="O402" s="51"/>
      <c r="P402" s="43" t="str">
        <f>VLOOKUP(K402,Maestro!J:K,2,0)</f>
        <v>CEMENTO UG 42,5 KG</v>
      </c>
      <c r="Q402" s="43" t="str">
        <f>VLOOKUP(P402,Maestro!E:F,2,0)</f>
        <v>CEMENTO UG 42,5 KG</v>
      </c>
      <c r="R402" s="43">
        <f>VLOOKUP(P402,ORD!$A:$C,3,0)</f>
        <v>9</v>
      </c>
      <c r="S402" t="str">
        <f t="shared" si="7"/>
        <v>736005030222000000006CEMENTO UG 42,5 KG</v>
      </c>
      <c r="T402" t="str">
        <f>IFERROR(VLOOKUP(S402,Maestro!$A:$H,8,0),"Producción")</f>
        <v>Sacos</v>
      </c>
      <c r="U402" s="43" t="s">
        <v>182</v>
      </c>
    </row>
    <row r="403" spans="1:21" x14ac:dyDescent="0.3">
      <c r="A403" s="43">
        <v>7999999995</v>
      </c>
      <c r="B403" s="43" t="s">
        <v>566</v>
      </c>
      <c r="C403" s="50"/>
      <c r="D403" s="56">
        <f>-Datos!$Q$234*Datos!$Q$204</f>
        <v>-69134.181503029889</v>
      </c>
      <c r="E403" s="43" t="s">
        <v>581</v>
      </c>
      <c r="F403" s="43" t="s">
        <v>557</v>
      </c>
      <c r="G403" s="43" t="s">
        <v>585</v>
      </c>
      <c r="H403" s="43" t="s">
        <v>586</v>
      </c>
      <c r="I403" s="43" t="s">
        <v>560</v>
      </c>
      <c r="J403" s="43" t="s">
        <v>514</v>
      </c>
      <c r="K403" s="43">
        <v>700004</v>
      </c>
      <c r="L403" s="43">
        <v>10</v>
      </c>
      <c r="M403" s="43" t="s">
        <v>515</v>
      </c>
      <c r="N403" s="51"/>
      <c r="O403" s="51"/>
      <c r="P403" s="43" t="str">
        <f>VLOOKUP(K403,Maestro!J:K,2,0)</f>
        <v>CEMENTO UG 42,5 KG</v>
      </c>
      <c r="Q403" s="43" t="str">
        <f>VLOOKUP(P403,Maestro!E:F,2,0)</f>
        <v>CEMENTO UG 42,5 KG</v>
      </c>
      <c r="R403" s="43">
        <f>VLOOKUP(P403,ORD!$A:$C,3,0)</f>
        <v>9</v>
      </c>
      <c r="S403" t="str">
        <f t="shared" si="7"/>
        <v>7999999995CEMCUGB42CEMENTO UG 42,5 KG</v>
      </c>
      <c r="T403" t="str">
        <f>IFERROR(VLOOKUP(S403,Maestro!$A:$H,8,0),"Producción")</f>
        <v>Producción</v>
      </c>
      <c r="U403" s="43" t="s">
        <v>182</v>
      </c>
    </row>
    <row r="404" spans="1:21" x14ac:dyDescent="0.3">
      <c r="A404" s="43">
        <v>7199990001</v>
      </c>
      <c r="B404" s="43" t="s">
        <v>438</v>
      </c>
      <c r="C404" s="50"/>
      <c r="D404" s="56">
        <f>Datos!$R$234</f>
        <v>2753.9586748532015</v>
      </c>
      <c r="E404" s="43" t="s">
        <v>556</v>
      </c>
      <c r="F404" s="43" t="s">
        <v>557</v>
      </c>
      <c r="G404" s="43" t="s">
        <v>567</v>
      </c>
      <c r="H404" s="43" t="s">
        <v>568</v>
      </c>
      <c r="I404" s="43" t="s">
        <v>560</v>
      </c>
      <c r="J404" s="43" t="s">
        <v>476</v>
      </c>
      <c r="K404" s="43">
        <v>700004</v>
      </c>
      <c r="L404" s="43">
        <v>11</v>
      </c>
      <c r="M404" s="43" t="s">
        <v>464</v>
      </c>
      <c r="N404" s="51"/>
      <c r="O404" s="51"/>
      <c r="P404" s="43" t="str">
        <f>VLOOKUP(K404,Maestro!J:K,2,0)</f>
        <v>CEMENTO UG 42,5 KG</v>
      </c>
      <c r="Q404" s="43" t="str">
        <f>VLOOKUP(P404,Maestro!E:F,2,0)</f>
        <v>CEMENTO UG 42,5 KG</v>
      </c>
      <c r="R404" s="43">
        <f>VLOOKUP(P404,ORD!$A:$C,3,0)</f>
        <v>9</v>
      </c>
      <c r="S404" t="str">
        <f t="shared" si="7"/>
        <v>7199990001CEMENTOUG1CEMENTO UG 42,5 KG</v>
      </c>
      <c r="T404" t="str">
        <f>IFERROR(VLOOKUP(S404,Maestro!$A:$H,8,0),"Producción")</f>
        <v>Cemento UG</v>
      </c>
      <c r="U404" s="43" t="s">
        <v>182</v>
      </c>
    </row>
    <row r="405" spans="1:21" x14ac:dyDescent="0.3">
      <c r="A405" s="43">
        <v>7360050302</v>
      </c>
      <c r="B405" s="43" t="s">
        <v>474</v>
      </c>
      <c r="C405" s="50">
        <f>Datos!$R$72*D405</f>
        <v>66293293.221066266</v>
      </c>
      <c r="D405" s="50">
        <f>Datos!$R$476</f>
        <v>66095.008196476832</v>
      </c>
      <c r="E405" s="43" t="s">
        <v>581</v>
      </c>
      <c r="F405" s="43" t="s">
        <v>557</v>
      </c>
      <c r="G405" s="43" t="s">
        <v>582</v>
      </c>
      <c r="H405" s="43" t="s">
        <v>583</v>
      </c>
      <c r="I405" s="43" t="s">
        <v>560</v>
      </c>
      <c r="J405" s="43" t="s">
        <v>484</v>
      </c>
      <c r="K405" s="43">
        <v>700004</v>
      </c>
      <c r="L405" s="43">
        <v>11</v>
      </c>
      <c r="M405" s="43" t="s">
        <v>584</v>
      </c>
      <c r="N405" s="51"/>
      <c r="O405" s="51"/>
      <c r="P405" s="43" t="str">
        <f>VLOOKUP(K405,Maestro!J:K,2,0)</f>
        <v>CEMENTO UG 42,5 KG</v>
      </c>
      <c r="Q405" s="43" t="str">
        <f>VLOOKUP(P405,Maestro!E:F,2,0)</f>
        <v>CEMENTO UG 42,5 KG</v>
      </c>
      <c r="R405" s="43">
        <f>VLOOKUP(P405,ORD!$A:$C,3,0)</f>
        <v>9</v>
      </c>
      <c r="S405" t="str">
        <f t="shared" si="7"/>
        <v>736005030222000000006CEMENTO UG 42,5 KG</v>
      </c>
      <c r="T405" t="str">
        <f>IFERROR(VLOOKUP(S405,Maestro!$A:$H,8,0),"Producción")</f>
        <v>Sacos</v>
      </c>
      <c r="U405" s="43" t="s">
        <v>182</v>
      </c>
    </row>
    <row r="406" spans="1:21" x14ac:dyDescent="0.3">
      <c r="A406" s="43">
        <v>7999999995</v>
      </c>
      <c r="B406" s="43" t="s">
        <v>566</v>
      </c>
      <c r="C406" s="50"/>
      <c r="D406" s="56">
        <f>-Datos!$R$234*Datos!$R$204</f>
        <v>-64799.027643604742</v>
      </c>
      <c r="E406" s="43" t="s">
        <v>581</v>
      </c>
      <c r="F406" s="43" t="s">
        <v>557</v>
      </c>
      <c r="G406" s="43" t="s">
        <v>585</v>
      </c>
      <c r="H406" s="43" t="s">
        <v>586</v>
      </c>
      <c r="I406" s="43" t="s">
        <v>560</v>
      </c>
      <c r="J406" s="43" t="s">
        <v>514</v>
      </c>
      <c r="K406" s="43">
        <v>700004</v>
      </c>
      <c r="L406" s="43">
        <v>11</v>
      </c>
      <c r="M406" s="43" t="s">
        <v>515</v>
      </c>
      <c r="N406" s="51"/>
      <c r="O406" s="51"/>
      <c r="P406" s="43" t="str">
        <f>VLOOKUP(K406,Maestro!J:K,2,0)</f>
        <v>CEMENTO UG 42,5 KG</v>
      </c>
      <c r="Q406" s="43" t="str">
        <f>VLOOKUP(P406,Maestro!E:F,2,0)</f>
        <v>CEMENTO UG 42,5 KG</v>
      </c>
      <c r="R406" s="43">
        <f>VLOOKUP(P406,ORD!$A:$C,3,0)</f>
        <v>9</v>
      </c>
      <c r="S406" t="str">
        <f t="shared" si="7"/>
        <v>7999999995CEMCUGB42CEMENTO UG 42,5 KG</v>
      </c>
      <c r="T406" t="str">
        <f>IFERROR(VLOOKUP(S406,Maestro!$A:$H,8,0),"Producción")</f>
        <v>Producción</v>
      </c>
      <c r="U406" s="43" t="s">
        <v>182</v>
      </c>
    </row>
    <row r="407" spans="1:21" x14ac:dyDescent="0.3">
      <c r="A407" s="43">
        <v>7199990001</v>
      </c>
      <c r="B407" s="43" t="s">
        <v>438</v>
      </c>
      <c r="C407" s="50"/>
      <c r="D407" s="56">
        <f>Datos!$S$234</f>
        <v>2850.3275597760935</v>
      </c>
      <c r="E407" s="43" t="s">
        <v>556</v>
      </c>
      <c r="F407" s="43" t="s">
        <v>557</v>
      </c>
      <c r="G407" s="43" t="s">
        <v>567</v>
      </c>
      <c r="H407" s="43" t="s">
        <v>568</v>
      </c>
      <c r="I407" s="43" t="s">
        <v>560</v>
      </c>
      <c r="J407" s="43" t="s">
        <v>476</v>
      </c>
      <c r="K407" s="43">
        <v>700004</v>
      </c>
      <c r="L407" s="43">
        <v>12</v>
      </c>
      <c r="M407" s="43" t="s">
        <v>464</v>
      </c>
      <c r="N407" s="51"/>
      <c r="O407" s="51"/>
      <c r="P407" s="43" t="str">
        <f>VLOOKUP(K407,Maestro!J:K,2,0)</f>
        <v>CEMENTO UG 42,5 KG</v>
      </c>
      <c r="Q407" s="43" t="str">
        <f>VLOOKUP(P407,Maestro!E:F,2,0)</f>
        <v>CEMENTO UG 42,5 KG</v>
      </c>
      <c r="R407" s="43">
        <f>VLOOKUP(P407,ORD!$A:$C,3,0)</f>
        <v>9</v>
      </c>
      <c r="S407" t="str">
        <f t="shared" si="7"/>
        <v>7199990001CEMENTOUG1CEMENTO UG 42,5 KG</v>
      </c>
      <c r="T407" t="str">
        <f>IFERROR(VLOOKUP(S407,Maestro!$A:$H,8,0),"Producción")</f>
        <v>Cemento UG</v>
      </c>
      <c r="U407" s="43" t="s">
        <v>182</v>
      </c>
    </row>
    <row r="408" spans="1:21" x14ac:dyDescent="0.3">
      <c r="A408" s="43">
        <v>7360050302</v>
      </c>
      <c r="B408" s="43" t="s">
        <v>474</v>
      </c>
      <c r="C408" s="50">
        <f>Datos!$S$72*D408</f>
        <v>68613085.018930122</v>
      </c>
      <c r="D408" s="50">
        <f>Datos!$S$476</f>
        <v>68407.861434626248</v>
      </c>
      <c r="E408" s="43" t="s">
        <v>581</v>
      </c>
      <c r="F408" s="43" t="s">
        <v>557</v>
      </c>
      <c r="G408" s="43" t="s">
        <v>582</v>
      </c>
      <c r="H408" s="43" t="s">
        <v>583</v>
      </c>
      <c r="I408" s="43" t="s">
        <v>560</v>
      </c>
      <c r="J408" s="43" t="s">
        <v>484</v>
      </c>
      <c r="K408" s="43">
        <v>700004</v>
      </c>
      <c r="L408" s="43">
        <v>12</v>
      </c>
      <c r="M408" s="43" t="s">
        <v>584</v>
      </c>
      <c r="N408" s="51"/>
      <c r="O408" s="51"/>
      <c r="P408" s="43" t="str">
        <f>VLOOKUP(K408,Maestro!J:K,2,0)</f>
        <v>CEMENTO UG 42,5 KG</v>
      </c>
      <c r="Q408" s="43" t="str">
        <f>VLOOKUP(P408,Maestro!E:F,2,0)</f>
        <v>CEMENTO UG 42,5 KG</v>
      </c>
      <c r="R408" s="43">
        <f>VLOOKUP(P408,ORD!$A:$C,3,0)</f>
        <v>9</v>
      </c>
      <c r="S408" t="str">
        <f t="shared" si="7"/>
        <v>736005030222000000006CEMENTO UG 42,5 KG</v>
      </c>
      <c r="T408" t="str">
        <f>IFERROR(VLOOKUP(S408,Maestro!$A:$H,8,0),"Producción")</f>
        <v>Sacos</v>
      </c>
      <c r="U408" s="43" t="s">
        <v>182</v>
      </c>
    </row>
    <row r="409" spans="1:21" x14ac:dyDescent="0.3">
      <c r="A409" s="43">
        <v>7999999995</v>
      </c>
      <c r="B409" s="43" t="s">
        <v>566</v>
      </c>
      <c r="C409" s="50"/>
      <c r="D409" s="56">
        <f>-Datos!$S$234*Datos!$S$204</f>
        <v>-67066.530818261032</v>
      </c>
      <c r="E409" s="43" t="s">
        <v>581</v>
      </c>
      <c r="F409" s="43" t="s">
        <v>557</v>
      </c>
      <c r="G409" s="43" t="s">
        <v>585</v>
      </c>
      <c r="H409" s="43" t="s">
        <v>586</v>
      </c>
      <c r="I409" s="43" t="s">
        <v>560</v>
      </c>
      <c r="J409" s="43" t="s">
        <v>514</v>
      </c>
      <c r="K409" s="43">
        <v>700004</v>
      </c>
      <c r="L409" s="43">
        <v>12</v>
      </c>
      <c r="M409" s="43" t="s">
        <v>515</v>
      </c>
      <c r="N409" s="51"/>
      <c r="O409" s="51"/>
      <c r="P409" s="43" t="str">
        <f>VLOOKUP(K409,Maestro!J:K,2,0)</f>
        <v>CEMENTO UG 42,5 KG</v>
      </c>
      <c r="Q409" s="43" t="str">
        <f>VLOOKUP(P409,Maestro!E:F,2,0)</f>
        <v>CEMENTO UG 42,5 KG</v>
      </c>
      <c r="R409" s="43">
        <f>VLOOKUP(P409,ORD!$A:$C,3,0)</f>
        <v>9</v>
      </c>
      <c r="S409" t="str">
        <f t="shared" si="7"/>
        <v>7999999995CEMCUGB42CEMENTO UG 42,5 KG</v>
      </c>
      <c r="T409" t="str">
        <f>IFERROR(VLOOKUP(S409,Maestro!$A:$H,8,0),"Producción")</f>
        <v>Producción</v>
      </c>
      <c r="U409" s="43" t="s">
        <v>182</v>
      </c>
    </row>
    <row r="410" spans="1:21" x14ac:dyDescent="0.3">
      <c r="A410" s="43">
        <v>7199990001</v>
      </c>
      <c r="B410" s="43" t="s">
        <v>438</v>
      </c>
      <c r="C410" s="50">
        <f>Datos!$H$3*D410</f>
        <v>1205717663.6882377</v>
      </c>
      <c r="D410" s="17">
        <f>Datos!H266*Datos!H165</f>
        <v>86257.425742574254</v>
      </c>
      <c r="E410" s="43" t="s">
        <v>556</v>
      </c>
      <c r="F410" s="43" t="s">
        <v>557</v>
      </c>
      <c r="G410" s="43" t="s">
        <v>567</v>
      </c>
      <c r="H410" s="43" t="s">
        <v>568</v>
      </c>
      <c r="I410" s="43" t="s">
        <v>587</v>
      </c>
      <c r="J410" s="43" t="s">
        <v>439</v>
      </c>
      <c r="K410" s="43">
        <v>700007</v>
      </c>
      <c r="L410" s="43">
        <v>1</v>
      </c>
      <c r="M410" s="43" t="s">
        <v>588</v>
      </c>
      <c r="N410" s="51"/>
      <c r="O410" s="51"/>
      <c r="P410" s="43" t="str">
        <f>VLOOKUP(K410,Maestro!J:K,2,0)</f>
        <v>MEZCLA PREHOMO</v>
      </c>
      <c r="Q410" s="43" t="str">
        <f>VLOOKUP(P410,Maestro!E:F,2,0)</f>
        <v>Trituración</v>
      </c>
      <c r="R410" s="43">
        <f>VLOOKUP(P410,ORD!$A:$C,3,0)</f>
        <v>1</v>
      </c>
      <c r="S410" t="str">
        <f t="shared" si="7"/>
        <v>7199990001CALTLVTRITTrituración</v>
      </c>
      <c r="T410" t="str">
        <f>IFERROR(VLOOKUP(S410,Maestro!$A:$H,8,0),"Producción")</f>
        <v>Caliza</v>
      </c>
      <c r="U410" s="43" t="s">
        <v>182</v>
      </c>
    </row>
    <row r="411" spans="1:21" x14ac:dyDescent="0.3">
      <c r="A411" s="43">
        <v>7199990001</v>
      </c>
      <c r="B411" s="43" t="s">
        <v>438</v>
      </c>
      <c r="C411" s="50">
        <f>D411*Datos!$H$5</f>
        <v>240535379.39809898</v>
      </c>
      <c r="D411" s="49">
        <f>Datos!$H$266*Datos!$H$166</f>
        <v>22642.574257425738</v>
      </c>
      <c r="E411" s="43" t="s">
        <v>556</v>
      </c>
      <c r="F411" s="43" t="s">
        <v>557</v>
      </c>
      <c r="G411" s="43" t="s">
        <v>567</v>
      </c>
      <c r="H411" s="43" t="s">
        <v>568</v>
      </c>
      <c r="I411" s="43" t="s">
        <v>587</v>
      </c>
      <c r="J411" s="43" t="s">
        <v>442</v>
      </c>
      <c r="K411" s="43">
        <v>700007</v>
      </c>
      <c r="L411" s="43">
        <v>1</v>
      </c>
      <c r="M411" s="43" t="s">
        <v>589</v>
      </c>
      <c r="N411" s="51"/>
      <c r="O411" s="51"/>
      <c r="P411" s="43" t="str">
        <f>VLOOKUP(K411,Maestro!J:K,2,0)</f>
        <v>MEZCLA PREHOMO</v>
      </c>
      <c r="Q411" s="43" t="str">
        <f>VLOOKUP(P411,Maestro!E:F,2,0)</f>
        <v>Trituración</v>
      </c>
      <c r="R411" s="43">
        <f>VLOOKUP(P411,ORD!$A:$C,3,0)</f>
        <v>1</v>
      </c>
      <c r="S411" t="str">
        <f t="shared" si="7"/>
        <v>7199990001ARCTLVTRITTrituración</v>
      </c>
      <c r="T411" t="str">
        <f>IFERROR(VLOOKUP(S411,Maestro!$A:$H,8,0),"Producción")</f>
        <v>Arcilla</v>
      </c>
      <c r="U411" s="43" t="s">
        <v>182</v>
      </c>
    </row>
    <row r="412" spans="1:21" x14ac:dyDescent="0.3">
      <c r="A412" s="43">
        <v>7999999995</v>
      </c>
      <c r="B412" s="43" t="s">
        <v>566</v>
      </c>
      <c r="C412" s="50"/>
      <c r="D412" s="17">
        <f>-Datos!H266</f>
        <v>-108900</v>
      </c>
      <c r="E412" s="43" t="s">
        <v>556</v>
      </c>
      <c r="F412" s="43" t="s">
        <v>557</v>
      </c>
      <c r="G412" s="43" t="s">
        <v>590</v>
      </c>
      <c r="H412" s="43" t="s">
        <v>591</v>
      </c>
      <c r="I412" s="43" t="s">
        <v>587</v>
      </c>
      <c r="J412" s="43" t="s">
        <v>447</v>
      </c>
      <c r="K412" s="43">
        <v>700007</v>
      </c>
      <c r="L412" s="43">
        <v>1</v>
      </c>
      <c r="M412" s="43" t="s">
        <v>440</v>
      </c>
      <c r="N412" s="51"/>
      <c r="O412" s="51"/>
      <c r="P412" s="43" t="str">
        <f>VLOOKUP(K412,Maestro!J:K,2,0)</f>
        <v>MEZCLA PREHOMO</v>
      </c>
      <c r="Q412" s="43" t="str">
        <f>VLOOKUP(P412,Maestro!E:F,2,0)</f>
        <v>Trituración</v>
      </c>
      <c r="R412" s="43">
        <f>VLOOKUP(P412,ORD!$A:$C,3,0)</f>
        <v>1</v>
      </c>
      <c r="S412" t="str">
        <f t="shared" si="7"/>
        <v>7999999995MEZCPREHOTrituración</v>
      </c>
      <c r="T412" t="str">
        <f>IFERROR(VLOOKUP(S412,Maestro!$A:$H,8,0),"Producción")</f>
        <v>Producción</v>
      </c>
      <c r="U412" s="43" t="s">
        <v>182</v>
      </c>
    </row>
    <row r="413" spans="1:21" x14ac:dyDescent="0.3">
      <c r="A413" s="40">
        <v>7355250320</v>
      </c>
      <c r="B413" s="40" t="s">
        <v>490</v>
      </c>
      <c r="C413" s="52">
        <f>Datos!$H$124*D413</f>
        <v>98392450.158224955</v>
      </c>
      <c r="D413" s="49">
        <f>Datos!$H$266</f>
        <v>108900</v>
      </c>
      <c r="E413" s="58"/>
      <c r="F413" s="43"/>
      <c r="G413" s="43"/>
      <c r="H413" s="43"/>
      <c r="I413" s="43" t="s">
        <v>587</v>
      </c>
      <c r="J413" s="43" t="s">
        <v>785</v>
      </c>
      <c r="K413" s="43">
        <v>700007</v>
      </c>
      <c r="L413" s="43">
        <v>1</v>
      </c>
      <c r="M413" s="43" t="s">
        <v>440</v>
      </c>
      <c r="N413" s="51"/>
      <c r="O413" s="51"/>
      <c r="P413" s="43" t="str">
        <f>VLOOKUP(K413,Maestro!J:K,2,0)</f>
        <v>MEZCLA PREHOMO</v>
      </c>
      <c r="Q413" s="43" t="str">
        <f>VLOOKUP(P413,Maestro!E:F,2,0)</f>
        <v>Trituración</v>
      </c>
      <c r="R413" s="43">
        <f>VLOOKUP(P413,ORD!$A:$C,3,0)</f>
        <v>1</v>
      </c>
      <c r="S413" t="str">
        <f t="shared" si="7"/>
        <v>7355250320BARRAS Y PLACASTrituración</v>
      </c>
      <c r="T413" t="str">
        <f>IFERROR(VLOOKUP(S413,Maestro!$A:$H,8,0),"Producción")</f>
        <v>Barras y Placas</v>
      </c>
      <c r="U413" s="43" t="s">
        <v>182</v>
      </c>
    </row>
    <row r="414" spans="1:21" x14ac:dyDescent="0.3">
      <c r="A414" s="43">
        <v>7199990001</v>
      </c>
      <c r="B414" s="43" t="s">
        <v>438</v>
      </c>
      <c r="C414" s="50">
        <f>Datos!$I$3*D414</f>
        <v>1223986113.1380594</v>
      </c>
      <c r="D414" s="17">
        <f>Datos!I266*Datos!I165</f>
        <v>87564.356435643567</v>
      </c>
      <c r="E414" s="43" t="s">
        <v>556</v>
      </c>
      <c r="F414" s="43" t="s">
        <v>557</v>
      </c>
      <c r="G414" s="43" t="s">
        <v>567</v>
      </c>
      <c r="H414" s="43" t="s">
        <v>568</v>
      </c>
      <c r="I414" s="43" t="s">
        <v>587</v>
      </c>
      <c r="J414" s="43" t="s">
        <v>439</v>
      </c>
      <c r="K414" s="43">
        <v>700007</v>
      </c>
      <c r="L414" s="43">
        <v>2</v>
      </c>
      <c r="M414" s="43" t="s">
        <v>588</v>
      </c>
      <c r="N414" s="51"/>
      <c r="O414" s="51"/>
      <c r="P414" s="43" t="str">
        <f>VLOOKUP(K414,Maestro!J:K,2,0)</f>
        <v>MEZCLA PREHOMO</v>
      </c>
      <c r="Q414" s="43" t="str">
        <f>VLOOKUP(P414,Maestro!E:F,2,0)</f>
        <v>Trituración</v>
      </c>
      <c r="R414" s="43">
        <f>VLOOKUP(P414,ORD!$A:$C,3,0)</f>
        <v>1</v>
      </c>
      <c r="S414" t="str">
        <f t="shared" si="7"/>
        <v>7199990001CALTLVTRITTrituración</v>
      </c>
      <c r="T414" t="str">
        <f>IFERROR(VLOOKUP(S414,Maestro!$A:$H,8,0),"Producción")</f>
        <v>Caliza</v>
      </c>
      <c r="U414" s="43" t="s">
        <v>182</v>
      </c>
    </row>
    <row r="415" spans="1:21" x14ac:dyDescent="0.3">
      <c r="A415" s="43">
        <v>7199990001</v>
      </c>
      <c r="B415" s="43" t="s">
        <v>438</v>
      </c>
      <c r="C415" s="50">
        <f>D415*Datos!$I$5</f>
        <v>244179854.84352472</v>
      </c>
      <c r="D415" s="49">
        <f>Datos!$I$266*Datos!$I$166</f>
        <v>22985.643564356433</v>
      </c>
      <c r="E415" s="43" t="s">
        <v>556</v>
      </c>
      <c r="F415" s="43" t="s">
        <v>557</v>
      </c>
      <c r="G415" s="43" t="s">
        <v>567</v>
      </c>
      <c r="H415" s="43" t="s">
        <v>568</v>
      </c>
      <c r="I415" s="43" t="s">
        <v>587</v>
      </c>
      <c r="J415" s="43" t="s">
        <v>442</v>
      </c>
      <c r="K415" s="43">
        <v>700007</v>
      </c>
      <c r="L415" s="43">
        <v>2</v>
      </c>
      <c r="M415" s="43" t="s">
        <v>589</v>
      </c>
      <c r="N415" s="51"/>
      <c r="O415" s="51"/>
      <c r="P415" s="43" t="str">
        <f>VLOOKUP(K415,Maestro!J:K,2,0)</f>
        <v>MEZCLA PREHOMO</v>
      </c>
      <c r="Q415" s="43" t="str">
        <f>VLOOKUP(P415,Maestro!E:F,2,0)</f>
        <v>Trituración</v>
      </c>
      <c r="R415" s="43">
        <f>VLOOKUP(P415,ORD!$A:$C,3,0)</f>
        <v>1</v>
      </c>
      <c r="S415" t="str">
        <f t="shared" si="7"/>
        <v>7199990001ARCTLVTRITTrituración</v>
      </c>
      <c r="T415" t="str">
        <f>IFERROR(VLOOKUP(S415,Maestro!$A:$H,8,0),"Producción")</f>
        <v>Arcilla</v>
      </c>
      <c r="U415" s="43" t="s">
        <v>182</v>
      </c>
    </row>
    <row r="416" spans="1:21" x14ac:dyDescent="0.3">
      <c r="A416" s="43">
        <v>7999999995</v>
      </c>
      <c r="B416" s="43" t="s">
        <v>566</v>
      </c>
      <c r="C416" s="50"/>
      <c r="D416" s="17">
        <f>-Datos!I266</f>
        <v>-110550</v>
      </c>
      <c r="E416" s="43" t="s">
        <v>556</v>
      </c>
      <c r="F416" s="43" t="s">
        <v>557</v>
      </c>
      <c r="G416" s="43" t="s">
        <v>590</v>
      </c>
      <c r="H416" s="43" t="s">
        <v>591</v>
      </c>
      <c r="I416" s="43" t="s">
        <v>587</v>
      </c>
      <c r="J416" s="43" t="s">
        <v>447</v>
      </c>
      <c r="K416" s="43">
        <v>700007</v>
      </c>
      <c r="L416" s="43">
        <v>2</v>
      </c>
      <c r="M416" s="43" t="s">
        <v>440</v>
      </c>
      <c r="N416" s="51"/>
      <c r="O416" s="51"/>
      <c r="P416" s="43" t="str">
        <f>VLOOKUP(K416,Maestro!J:K,2,0)</f>
        <v>MEZCLA PREHOMO</v>
      </c>
      <c r="Q416" s="43" t="str">
        <f>VLOOKUP(P416,Maestro!E:F,2,0)</f>
        <v>Trituración</v>
      </c>
      <c r="R416" s="43">
        <f>VLOOKUP(P416,ORD!$A:$C,3,0)</f>
        <v>1</v>
      </c>
      <c r="S416" t="str">
        <f t="shared" si="7"/>
        <v>7999999995MEZCPREHOTrituración</v>
      </c>
      <c r="T416" t="str">
        <f>IFERROR(VLOOKUP(S416,Maestro!$A:$H,8,0),"Producción")</f>
        <v>Producción</v>
      </c>
      <c r="U416" s="43" t="s">
        <v>182</v>
      </c>
    </row>
    <row r="417" spans="1:21" x14ac:dyDescent="0.3">
      <c r="A417" s="40">
        <v>7355250320</v>
      </c>
      <c r="B417" s="40" t="s">
        <v>490</v>
      </c>
      <c r="C417" s="52">
        <f>Datos!$I$124*D417</f>
        <v>99883244.857592002</v>
      </c>
      <c r="D417" s="49">
        <f>Datos!$I$266</f>
        <v>110550</v>
      </c>
      <c r="E417" s="43"/>
      <c r="F417" s="43"/>
      <c r="G417" s="43"/>
      <c r="H417" s="43"/>
      <c r="I417" s="43" t="s">
        <v>587</v>
      </c>
      <c r="J417" s="43" t="s">
        <v>785</v>
      </c>
      <c r="K417" s="43">
        <v>700007</v>
      </c>
      <c r="L417" s="43">
        <v>2</v>
      </c>
      <c r="M417" s="43" t="s">
        <v>440</v>
      </c>
      <c r="N417" s="51"/>
      <c r="O417" s="51"/>
      <c r="P417" s="43" t="str">
        <f>VLOOKUP(K417,Maestro!J:K,2,0)</f>
        <v>MEZCLA PREHOMO</v>
      </c>
      <c r="Q417" s="43" t="str">
        <f>VLOOKUP(P417,Maestro!E:F,2,0)</f>
        <v>Trituración</v>
      </c>
      <c r="R417" s="43">
        <f>VLOOKUP(P417,ORD!$A:$C,3,0)</f>
        <v>1</v>
      </c>
      <c r="S417" t="str">
        <f t="shared" si="7"/>
        <v>7355250320BARRAS Y PLACASTrituración</v>
      </c>
      <c r="T417" t="str">
        <f>IFERROR(VLOOKUP(S417,Maestro!$A:$H,8,0),"Producción")</f>
        <v>Barras y Placas</v>
      </c>
      <c r="U417" s="43" t="s">
        <v>182</v>
      </c>
    </row>
    <row r="418" spans="1:21" x14ac:dyDescent="0.3">
      <c r="A418" s="43">
        <v>7199990001</v>
      </c>
      <c r="B418" s="43" t="s">
        <v>438</v>
      </c>
      <c r="C418" s="50">
        <f>Datos!$J$3*D418</f>
        <v>913422472.49108922</v>
      </c>
      <c r="D418" s="17">
        <f>Datos!J266*Datos!J165</f>
        <v>65346.534653465351</v>
      </c>
      <c r="E418" s="43" t="s">
        <v>556</v>
      </c>
      <c r="F418" s="43" t="s">
        <v>557</v>
      </c>
      <c r="G418" s="43" t="s">
        <v>567</v>
      </c>
      <c r="H418" s="43" t="s">
        <v>568</v>
      </c>
      <c r="I418" s="43" t="s">
        <v>587</v>
      </c>
      <c r="J418" s="43" t="s">
        <v>439</v>
      </c>
      <c r="K418" s="43">
        <v>700007</v>
      </c>
      <c r="L418" s="43">
        <v>3</v>
      </c>
      <c r="M418" s="43" t="s">
        <v>588</v>
      </c>
      <c r="N418" s="51"/>
      <c r="O418" s="51"/>
      <c r="P418" s="43" t="str">
        <f>VLOOKUP(K418,Maestro!J:K,2,0)</f>
        <v>MEZCLA PREHOMO</v>
      </c>
      <c r="Q418" s="43" t="str">
        <f>VLOOKUP(P418,Maestro!E:F,2,0)</f>
        <v>Trituración</v>
      </c>
      <c r="R418" s="43">
        <f>VLOOKUP(P418,ORD!$A:$C,3,0)</f>
        <v>1</v>
      </c>
      <c r="S418" t="str">
        <f t="shared" si="7"/>
        <v>7199990001CALTLVTRITTrituración</v>
      </c>
      <c r="T418" t="str">
        <f>IFERROR(VLOOKUP(S418,Maestro!$A:$H,8,0),"Producción")</f>
        <v>Caliza</v>
      </c>
      <c r="U418" s="43" t="s">
        <v>182</v>
      </c>
    </row>
    <row r="419" spans="1:21" x14ac:dyDescent="0.3">
      <c r="A419" s="43">
        <v>7199990001</v>
      </c>
      <c r="B419" s="43" t="s">
        <v>438</v>
      </c>
      <c r="C419" s="50">
        <f>D419*Datos!$J$5</f>
        <v>182223772.27128708</v>
      </c>
      <c r="D419" s="49">
        <f>Datos!$J$266*Datos!$J$166</f>
        <v>17153.465346534649</v>
      </c>
      <c r="E419" s="43" t="s">
        <v>556</v>
      </c>
      <c r="F419" s="43" t="s">
        <v>557</v>
      </c>
      <c r="G419" s="43" t="s">
        <v>567</v>
      </c>
      <c r="H419" s="43" t="s">
        <v>568</v>
      </c>
      <c r="I419" s="43" t="s">
        <v>587</v>
      </c>
      <c r="J419" s="43" t="s">
        <v>442</v>
      </c>
      <c r="K419" s="43">
        <v>700007</v>
      </c>
      <c r="L419" s="43">
        <v>3</v>
      </c>
      <c r="M419" s="43" t="s">
        <v>589</v>
      </c>
      <c r="N419" s="51"/>
      <c r="O419" s="51"/>
      <c r="P419" s="43" t="str">
        <f>VLOOKUP(K419,Maestro!J:K,2,0)</f>
        <v>MEZCLA PREHOMO</v>
      </c>
      <c r="Q419" s="43" t="str">
        <f>VLOOKUP(P419,Maestro!E:F,2,0)</f>
        <v>Trituración</v>
      </c>
      <c r="R419" s="43">
        <f>VLOOKUP(P419,ORD!$A:$C,3,0)</f>
        <v>1</v>
      </c>
      <c r="S419" t="str">
        <f t="shared" si="7"/>
        <v>7199990001ARCTLVTRITTrituración</v>
      </c>
      <c r="T419" t="str">
        <f>IFERROR(VLOOKUP(S419,Maestro!$A:$H,8,0),"Producción")</f>
        <v>Arcilla</v>
      </c>
      <c r="U419" s="43" t="s">
        <v>182</v>
      </c>
    </row>
    <row r="420" spans="1:21" x14ac:dyDescent="0.3">
      <c r="A420" s="43">
        <v>7999999995</v>
      </c>
      <c r="B420" s="43" t="s">
        <v>566</v>
      </c>
      <c r="C420" s="50"/>
      <c r="D420" s="17">
        <f>-Datos!J266</f>
        <v>-82500</v>
      </c>
      <c r="E420" s="43" t="s">
        <v>556</v>
      </c>
      <c r="F420" s="43" t="s">
        <v>557</v>
      </c>
      <c r="G420" s="43" t="s">
        <v>590</v>
      </c>
      <c r="H420" s="43" t="s">
        <v>591</v>
      </c>
      <c r="I420" s="43" t="s">
        <v>587</v>
      </c>
      <c r="J420" s="43" t="s">
        <v>447</v>
      </c>
      <c r="K420" s="43">
        <v>700007</v>
      </c>
      <c r="L420" s="43">
        <v>3</v>
      </c>
      <c r="M420" s="43" t="s">
        <v>440</v>
      </c>
      <c r="N420" s="51"/>
      <c r="O420" s="51"/>
      <c r="P420" s="43" t="str">
        <f>VLOOKUP(K420,Maestro!J:K,2,0)</f>
        <v>MEZCLA PREHOMO</v>
      </c>
      <c r="Q420" s="43" t="str">
        <f>VLOOKUP(P420,Maestro!E:F,2,0)</f>
        <v>Trituración</v>
      </c>
      <c r="R420" s="43">
        <f>VLOOKUP(P420,ORD!$A:$C,3,0)</f>
        <v>1</v>
      </c>
      <c r="S420" t="str">
        <f t="shared" si="7"/>
        <v>7999999995MEZCPREHOTrituración</v>
      </c>
      <c r="T420" t="str">
        <f>IFERROR(VLOOKUP(S420,Maestro!$A:$H,8,0),"Producción")</f>
        <v>Producción</v>
      </c>
      <c r="U420" s="43" t="s">
        <v>182</v>
      </c>
    </row>
    <row r="421" spans="1:21" x14ac:dyDescent="0.3">
      <c r="A421" s="40">
        <v>7355250320</v>
      </c>
      <c r="B421" s="40" t="s">
        <v>490</v>
      </c>
      <c r="C421" s="52">
        <f>Datos!$J$124*D421</f>
        <v>74539734.968352243</v>
      </c>
      <c r="D421" s="49">
        <f>Datos!$J$266</f>
        <v>82500</v>
      </c>
      <c r="E421" s="43"/>
      <c r="F421" s="43"/>
      <c r="G421" s="43"/>
      <c r="H421" s="43"/>
      <c r="I421" s="43" t="s">
        <v>587</v>
      </c>
      <c r="J421" s="43" t="s">
        <v>785</v>
      </c>
      <c r="K421" s="43">
        <v>700007</v>
      </c>
      <c r="L421" s="43">
        <v>3</v>
      </c>
      <c r="M421" s="43" t="s">
        <v>440</v>
      </c>
      <c r="N421" s="51"/>
      <c r="O421" s="51"/>
      <c r="P421" s="43" t="str">
        <f>VLOOKUP(K421,Maestro!J:K,2,0)</f>
        <v>MEZCLA PREHOMO</v>
      </c>
      <c r="Q421" s="43" t="str">
        <f>VLOOKUP(P421,Maestro!E:F,2,0)</f>
        <v>Trituración</v>
      </c>
      <c r="R421" s="43">
        <f>VLOOKUP(P421,ORD!$A:$C,3,0)</f>
        <v>1</v>
      </c>
      <c r="S421" t="str">
        <f t="shared" si="7"/>
        <v>7355250320BARRAS Y PLACASTrituración</v>
      </c>
      <c r="T421" t="str">
        <f>IFERROR(VLOOKUP(S421,Maestro!$A:$H,8,0),"Producción")</f>
        <v>Barras y Placas</v>
      </c>
      <c r="U421" s="43" t="s">
        <v>182</v>
      </c>
    </row>
    <row r="422" spans="1:21" x14ac:dyDescent="0.3">
      <c r="A422" s="43">
        <v>7199990001</v>
      </c>
      <c r="B422" s="43" t="s">
        <v>438</v>
      </c>
      <c r="C422" s="50">
        <f>Datos!$K$3*D422</f>
        <v>895154023.0412674</v>
      </c>
      <c r="D422" s="17">
        <f>Datos!K266*Datos!K165</f>
        <v>64039.603960396045</v>
      </c>
      <c r="E422" s="43" t="s">
        <v>556</v>
      </c>
      <c r="F422" s="43" t="s">
        <v>557</v>
      </c>
      <c r="G422" s="43" t="s">
        <v>567</v>
      </c>
      <c r="H422" s="43" t="s">
        <v>568</v>
      </c>
      <c r="I422" s="43" t="s">
        <v>587</v>
      </c>
      <c r="J422" s="43" t="s">
        <v>439</v>
      </c>
      <c r="K422" s="43">
        <v>700007</v>
      </c>
      <c r="L422" s="43">
        <v>4</v>
      </c>
      <c r="M422" s="43" t="s">
        <v>588</v>
      </c>
      <c r="N422" s="51"/>
      <c r="O422" s="51"/>
      <c r="P422" s="43" t="str">
        <f>VLOOKUP(K422,Maestro!J:K,2,0)</f>
        <v>MEZCLA PREHOMO</v>
      </c>
      <c r="Q422" s="43" t="str">
        <f>VLOOKUP(P422,Maestro!E:F,2,0)</f>
        <v>Trituración</v>
      </c>
      <c r="R422" s="43">
        <f>VLOOKUP(P422,ORD!$A:$C,3,0)</f>
        <v>1</v>
      </c>
      <c r="S422" t="str">
        <f t="shared" si="7"/>
        <v>7199990001CALTLVTRITTrituración</v>
      </c>
      <c r="T422" t="str">
        <f>IFERROR(VLOOKUP(S422,Maestro!$A:$H,8,0),"Producción")</f>
        <v>Caliza</v>
      </c>
      <c r="U422" s="43" t="s">
        <v>182</v>
      </c>
    </row>
    <row r="423" spans="1:21" x14ac:dyDescent="0.3">
      <c r="A423" s="43">
        <v>7199990001</v>
      </c>
      <c r="B423" s="43" t="s">
        <v>438</v>
      </c>
      <c r="C423" s="50">
        <f>D423*Datos!$K$5</f>
        <v>178579296.82586136</v>
      </c>
      <c r="D423" s="49">
        <f>Datos!$K$266*Datos!$K$166</f>
        <v>16810.396039603958</v>
      </c>
      <c r="E423" s="43" t="s">
        <v>556</v>
      </c>
      <c r="F423" s="43" t="s">
        <v>557</v>
      </c>
      <c r="G423" s="43" t="s">
        <v>567</v>
      </c>
      <c r="H423" s="43" t="s">
        <v>568</v>
      </c>
      <c r="I423" s="43" t="s">
        <v>587</v>
      </c>
      <c r="J423" s="43" t="s">
        <v>442</v>
      </c>
      <c r="K423" s="43">
        <v>700007</v>
      </c>
      <c r="L423" s="43">
        <v>4</v>
      </c>
      <c r="M423" s="43" t="s">
        <v>589</v>
      </c>
      <c r="N423" s="51"/>
      <c r="O423" s="51"/>
      <c r="P423" s="43" t="str">
        <f>VLOOKUP(K423,Maestro!J:K,2,0)</f>
        <v>MEZCLA PREHOMO</v>
      </c>
      <c r="Q423" s="43" t="str">
        <f>VLOOKUP(P423,Maestro!E:F,2,0)</f>
        <v>Trituración</v>
      </c>
      <c r="R423" s="43">
        <f>VLOOKUP(P423,ORD!$A:$C,3,0)</f>
        <v>1</v>
      </c>
      <c r="S423" t="str">
        <f t="shared" si="7"/>
        <v>7199990001ARCTLVTRITTrituración</v>
      </c>
      <c r="T423" t="str">
        <f>IFERROR(VLOOKUP(S423,Maestro!$A:$H,8,0),"Producción")</f>
        <v>Arcilla</v>
      </c>
      <c r="U423" s="43" t="s">
        <v>182</v>
      </c>
    </row>
    <row r="424" spans="1:21" x14ac:dyDescent="0.3">
      <c r="A424" s="43">
        <v>7999999995</v>
      </c>
      <c r="B424" s="43" t="s">
        <v>566</v>
      </c>
      <c r="C424" s="50"/>
      <c r="D424" s="17">
        <f>-Datos!K266</f>
        <v>-80850</v>
      </c>
      <c r="E424" s="43" t="s">
        <v>556</v>
      </c>
      <c r="F424" s="43" t="s">
        <v>557</v>
      </c>
      <c r="G424" s="43" t="s">
        <v>590</v>
      </c>
      <c r="H424" s="43" t="s">
        <v>591</v>
      </c>
      <c r="I424" s="43" t="s">
        <v>587</v>
      </c>
      <c r="J424" s="43" t="s">
        <v>447</v>
      </c>
      <c r="K424" s="43">
        <v>700007</v>
      </c>
      <c r="L424" s="43">
        <v>4</v>
      </c>
      <c r="M424" s="43" t="s">
        <v>440</v>
      </c>
      <c r="N424" s="51"/>
      <c r="O424" s="51"/>
      <c r="P424" s="43" t="str">
        <f>VLOOKUP(K424,Maestro!J:K,2,0)</f>
        <v>MEZCLA PREHOMO</v>
      </c>
      <c r="Q424" s="43" t="str">
        <f>VLOOKUP(P424,Maestro!E:F,2,0)</f>
        <v>Trituración</v>
      </c>
      <c r="R424" s="43">
        <f>VLOOKUP(P424,ORD!$A:$C,3,0)</f>
        <v>1</v>
      </c>
      <c r="S424" t="str">
        <f t="shared" si="7"/>
        <v>7999999995MEZCPREHOTrituración</v>
      </c>
      <c r="T424" t="str">
        <f>IFERROR(VLOOKUP(S424,Maestro!$A:$H,8,0),"Producción")</f>
        <v>Producción</v>
      </c>
      <c r="U424" s="43" t="s">
        <v>182</v>
      </c>
    </row>
    <row r="425" spans="1:21" x14ac:dyDescent="0.3">
      <c r="A425" s="40">
        <v>7355250320</v>
      </c>
      <c r="B425" s="40" t="s">
        <v>490</v>
      </c>
      <c r="C425" s="52">
        <f>Datos!$K$124*D425</f>
        <v>73048940.268985197</v>
      </c>
      <c r="D425" s="49">
        <f>Datos!$K$266</f>
        <v>80850</v>
      </c>
      <c r="E425" s="43"/>
      <c r="F425" s="43"/>
      <c r="G425" s="43"/>
      <c r="H425" s="43"/>
      <c r="I425" s="43" t="s">
        <v>587</v>
      </c>
      <c r="J425" s="43" t="s">
        <v>785</v>
      </c>
      <c r="K425" s="43">
        <v>700007</v>
      </c>
      <c r="L425" s="43">
        <v>4</v>
      </c>
      <c r="M425" s="43" t="s">
        <v>440</v>
      </c>
      <c r="N425" s="51"/>
      <c r="O425" s="51"/>
      <c r="P425" s="43" t="str">
        <f>VLOOKUP(K425,Maestro!J:K,2,0)</f>
        <v>MEZCLA PREHOMO</v>
      </c>
      <c r="Q425" s="43" t="str">
        <f>VLOOKUP(P425,Maestro!E:F,2,0)</f>
        <v>Trituración</v>
      </c>
      <c r="R425" s="43">
        <f>VLOOKUP(P425,ORD!$A:$C,3,0)</f>
        <v>1</v>
      </c>
      <c r="S425" t="str">
        <f t="shared" si="7"/>
        <v>7355250320BARRAS Y PLACASTrituración</v>
      </c>
      <c r="T425" t="str">
        <f>IFERROR(VLOOKUP(S425,Maestro!$A:$H,8,0),"Producción")</f>
        <v>Barras y Placas</v>
      </c>
      <c r="U425" s="43" t="s">
        <v>182</v>
      </c>
    </row>
    <row r="426" spans="1:21" x14ac:dyDescent="0.3">
      <c r="A426" s="43">
        <v>7199990001</v>
      </c>
      <c r="B426" s="43" t="s">
        <v>438</v>
      </c>
      <c r="C426" s="50">
        <f>Datos!$L$3*D426</f>
        <v>1351865259.2868118</v>
      </c>
      <c r="D426" s="17">
        <f>Datos!L266*Datos!L165</f>
        <v>96712.871287128713</v>
      </c>
      <c r="E426" s="43" t="s">
        <v>556</v>
      </c>
      <c r="F426" s="43" t="s">
        <v>557</v>
      </c>
      <c r="G426" s="43" t="s">
        <v>567</v>
      </c>
      <c r="H426" s="43" t="s">
        <v>568</v>
      </c>
      <c r="I426" s="43" t="s">
        <v>587</v>
      </c>
      <c r="J426" s="43" t="s">
        <v>439</v>
      </c>
      <c r="K426" s="43">
        <v>700007</v>
      </c>
      <c r="L426" s="43">
        <v>5</v>
      </c>
      <c r="M426" s="43" t="s">
        <v>588</v>
      </c>
      <c r="N426" s="51"/>
      <c r="O426" s="51"/>
      <c r="P426" s="43" t="str">
        <f>VLOOKUP(K426,Maestro!J:K,2,0)</f>
        <v>MEZCLA PREHOMO</v>
      </c>
      <c r="Q426" s="43" t="str">
        <f>VLOOKUP(P426,Maestro!E:F,2,0)</f>
        <v>Trituración</v>
      </c>
      <c r="R426" s="43">
        <f>VLOOKUP(P426,ORD!$A:$C,3,0)</f>
        <v>1</v>
      </c>
      <c r="S426" t="str">
        <f t="shared" si="7"/>
        <v>7199990001CALTLVTRITTrituración</v>
      </c>
      <c r="T426" t="str">
        <f>IFERROR(VLOOKUP(S426,Maestro!$A:$H,8,0),"Producción")</f>
        <v>Caliza</v>
      </c>
      <c r="U426" s="43" t="s">
        <v>182</v>
      </c>
    </row>
    <row r="427" spans="1:21" x14ac:dyDescent="0.3">
      <c r="A427" s="43">
        <v>7199990001</v>
      </c>
      <c r="B427" s="43" t="s">
        <v>438</v>
      </c>
      <c r="C427" s="50">
        <f>D427*Datos!$L$5</f>
        <v>269691182.96150488</v>
      </c>
      <c r="D427" s="49">
        <f>Datos!$L$266*Datos!$L$166</f>
        <v>25387.128712871283</v>
      </c>
      <c r="E427" s="43" t="s">
        <v>556</v>
      </c>
      <c r="F427" s="43" t="s">
        <v>557</v>
      </c>
      <c r="G427" s="43" t="s">
        <v>567</v>
      </c>
      <c r="H427" s="43" t="s">
        <v>568</v>
      </c>
      <c r="I427" s="43" t="s">
        <v>587</v>
      </c>
      <c r="J427" s="43" t="s">
        <v>442</v>
      </c>
      <c r="K427" s="43">
        <v>700007</v>
      </c>
      <c r="L427" s="43">
        <v>5</v>
      </c>
      <c r="M427" s="43" t="s">
        <v>589</v>
      </c>
      <c r="N427" s="51"/>
      <c r="O427" s="51"/>
      <c r="P427" s="43" t="str">
        <f>VLOOKUP(K427,Maestro!J:K,2,0)</f>
        <v>MEZCLA PREHOMO</v>
      </c>
      <c r="Q427" s="43" t="str">
        <f>VLOOKUP(P427,Maestro!E:F,2,0)</f>
        <v>Trituración</v>
      </c>
      <c r="R427" s="43">
        <f>VLOOKUP(P427,ORD!$A:$C,3,0)</f>
        <v>1</v>
      </c>
      <c r="S427" t="str">
        <f t="shared" si="7"/>
        <v>7199990001ARCTLVTRITTrituración</v>
      </c>
      <c r="T427" t="str">
        <f>IFERROR(VLOOKUP(S427,Maestro!$A:$H,8,0),"Producción")</f>
        <v>Arcilla</v>
      </c>
      <c r="U427" s="43" t="s">
        <v>182</v>
      </c>
    </row>
    <row r="428" spans="1:21" x14ac:dyDescent="0.3">
      <c r="A428" s="43">
        <v>7999999995</v>
      </c>
      <c r="B428" s="43" t="s">
        <v>566</v>
      </c>
      <c r="C428" s="50"/>
      <c r="D428" s="17">
        <f>-Datos!L266</f>
        <v>-122100</v>
      </c>
      <c r="E428" s="43" t="s">
        <v>556</v>
      </c>
      <c r="F428" s="43" t="s">
        <v>557</v>
      </c>
      <c r="G428" s="43" t="s">
        <v>590</v>
      </c>
      <c r="H428" s="43" t="s">
        <v>591</v>
      </c>
      <c r="I428" s="43" t="s">
        <v>587</v>
      </c>
      <c r="J428" s="43" t="s">
        <v>447</v>
      </c>
      <c r="K428" s="43">
        <v>700007</v>
      </c>
      <c r="L428" s="43">
        <v>5</v>
      </c>
      <c r="M428" s="43" t="s">
        <v>440</v>
      </c>
      <c r="N428" s="51"/>
      <c r="O428" s="51"/>
      <c r="P428" s="43" t="str">
        <f>VLOOKUP(K428,Maestro!J:K,2,0)</f>
        <v>MEZCLA PREHOMO</v>
      </c>
      <c r="Q428" s="43" t="str">
        <f>VLOOKUP(P428,Maestro!E:F,2,0)</f>
        <v>Trituración</v>
      </c>
      <c r="R428" s="43">
        <f>VLOOKUP(P428,ORD!$A:$C,3,0)</f>
        <v>1</v>
      </c>
      <c r="S428" t="str">
        <f t="shared" si="7"/>
        <v>7999999995MEZCPREHOTrituración</v>
      </c>
      <c r="T428" t="str">
        <f>IFERROR(VLOOKUP(S428,Maestro!$A:$H,8,0),"Producción")</f>
        <v>Producción</v>
      </c>
      <c r="U428" s="43" t="s">
        <v>182</v>
      </c>
    </row>
    <row r="429" spans="1:21" x14ac:dyDescent="0.3">
      <c r="A429" s="40">
        <v>7355250320</v>
      </c>
      <c r="B429" s="40" t="s">
        <v>490</v>
      </c>
      <c r="C429" s="52">
        <f>Datos!$L$124*D429</f>
        <v>110318807.75316131</v>
      </c>
      <c r="D429" s="49">
        <f>Datos!$L$266</f>
        <v>122100</v>
      </c>
      <c r="E429" s="43"/>
      <c r="F429" s="43"/>
      <c r="G429" s="43"/>
      <c r="H429" s="43"/>
      <c r="I429" s="43" t="s">
        <v>587</v>
      </c>
      <c r="J429" s="43" t="s">
        <v>785</v>
      </c>
      <c r="K429" s="43">
        <v>700007</v>
      </c>
      <c r="L429" s="43">
        <v>5</v>
      </c>
      <c r="M429" s="43" t="s">
        <v>440</v>
      </c>
      <c r="N429" s="51"/>
      <c r="O429" s="51"/>
      <c r="P429" s="43" t="str">
        <f>VLOOKUP(K429,Maestro!J:K,2,0)</f>
        <v>MEZCLA PREHOMO</v>
      </c>
      <c r="Q429" s="43" t="str">
        <f>VLOOKUP(P429,Maestro!E:F,2,0)</f>
        <v>Trituración</v>
      </c>
      <c r="R429" s="43">
        <f>VLOOKUP(P429,ORD!$A:$C,3,0)</f>
        <v>1</v>
      </c>
      <c r="S429" t="str">
        <f t="shared" si="7"/>
        <v>7355250320BARRAS Y PLACASTrituración</v>
      </c>
      <c r="T429" t="str">
        <f>IFERROR(VLOOKUP(S429,Maestro!$A:$H,8,0),"Producción")</f>
        <v>Barras y Placas</v>
      </c>
      <c r="U429" s="43" t="s">
        <v>182</v>
      </c>
    </row>
    <row r="430" spans="1:21" x14ac:dyDescent="0.3">
      <c r="A430" s="43">
        <v>7199990001</v>
      </c>
      <c r="B430" s="43" t="s">
        <v>438</v>
      </c>
      <c r="C430" s="50">
        <f>Datos!$M$3*D430</f>
        <v>593724607.11920798</v>
      </c>
      <c r="D430" s="17">
        <f>Datos!M266*Datos!M165</f>
        <v>42475.247524752478</v>
      </c>
      <c r="E430" s="43" t="s">
        <v>556</v>
      </c>
      <c r="F430" s="43" t="s">
        <v>557</v>
      </c>
      <c r="G430" s="43" t="s">
        <v>567</v>
      </c>
      <c r="H430" s="43" t="s">
        <v>568</v>
      </c>
      <c r="I430" s="43" t="s">
        <v>587</v>
      </c>
      <c r="J430" s="43" t="s">
        <v>439</v>
      </c>
      <c r="K430" s="43">
        <v>700007</v>
      </c>
      <c r="L430" s="43">
        <v>6</v>
      </c>
      <c r="M430" s="43" t="s">
        <v>588</v>
      </c>
      <c r="N430" s="51"/>
      <c r="O430" s="51"/>
      <c r="P430" s="43" t="str">
        <f>VLOOKUP(K430,Maestro!J:K,2,0)</f>
        <v>MEZCLA PREHOMO</v>
      </c>
      <c r="Q430" s="43" t="str">
        <f>VLOOKUP(P430,Maestro!E:F,2,0)</f>
        <v>Trituración</v>
      </c>
      <c r="R430" s="43">
        <f>VLOOKUP(P430,ORD!$A:$C,3,0)</f>
        <v>1</v>
      </c>
      <c r="S430" t="str">
        <f t="shared" si="7"/>
        <v>7199990001CALTLVTRITTrituración</v>
      </c>
      <c r="T430" t="str">
        <f>IFERROR(VLOOKUP(S430,Maestro!$A:$H,8,0),"Producción")</f>
        <v>Caliza</v>
      </c>
      <c r="U430" s="43" t="s">
        <v>182</v>
      </c>
    </row>
    <row r="431" spans="1:21" x14ac:dyDescent="0.3">
      <c r="A431" s="43">
        <v>7199990001</v>
      </c>
      <c r="B431" s="43" t="s">
        <v>438</v>
      </c>
      <c r="C431" s="50">
        <f>D431*Datos!$M$5</f>
        <v>118445451.9763366</v>
      </c>
      <c r="D431" s="49">
        <f>Datos!$M$266*Datos!$M$166</f>
        <v>11149.752475247522</v>
      </c>
      <c r="E431" s="43" t="s">
        <v>556</v>
      </c>
      <c r="F431" s="43" t="s">
        <v>557</v>
      </c>
      <c r="G431" s="43" t="s">
        <v>567</v>
      </c>
      <c r="H431" s="43" t="s">
        <v>568</v>
      </c>
      <c r="I431" s="43" t="s">
        <v>587</v>
      </c>
      <c r="J431" s="43" t="s">
        <v>442</v>
      </c>
      <c r="K431" s="43">
        <v>700007</v>
      </c>
      <c r="L431" s="43">
        <v>6</v>
      </c>
      <c r="M431" s="43" t="s">
        <v>589</v>
      </c>
      <c r="N431" s="51"/>
      <c r="O431" s="51"/>
      <c r="P431" s="43" t="str">
        <f>VLOOKUP(K431,Maestro!J:K,2,0)</f>
        <v>MEZCLA PREHOMO</v>
      </c>
      <c r="Q431" s="43" t="str">
        <f>VLOOKUP(P431,Maestro!E:F,2,0)</f>
        <v>Trituración</v>
      </c>
      <c r="R431" s="43">
        <f>VLOOKUP(P431,ORD!$A:$C,3,0)</f>
        <v>1</v>
      </c>
      <c r="S431" t="str">
        <f t="shared" si="7"/>
        <v>7199990001ARCTLVTRITTrituración</v>
      </c>
      <c r="T431" t="str">
        <f>IFERROR(VLOOKUP(S431,Maestro!$A:$H,8,0),"Producción")</f>
        <v>Arcilla</v>
      </c>
      <c r="U431" s="43" t="s">
        <v>182</v>
      </c>
    </row>
    <row r="432" spans="1:21" x14ac:dyDescent="0.3">
      <c r="A432" s="43">
        <v>7999999995</v>
      </c>
      <c r="B432" s="43" t="s">
        <v>566</v>
      </c>
      <c r="C432" s="50"/>
      <c r="D432" s="17">
        <f>-Datos!M266</f>
        <v>-53625</v>
      </c>
      <c r="E432" s="43" t="s">
        <v>556</v>
      </c>
      <c r="F432" s="43" t="s">
        <v>557</v>
      </c>
      <c r="G432" s="43" t="s">
        <v>590</v>
      </c>
      <c r="H432" s="43" t="s">
        <v>591</v>
      </c>
      <c r="I432" s="43" t="s">
        <v>587</v>
      </c>
      <c r="J432" s="43" t="s">
        <v>447</v>
      </c>
      <c r="K432" s="43">
        <v>700007</v>
      </c>
      <c r="L432" s="43">
        <v>6</v>
      </c>
      <c r="M432" s="43" t="s">
        <v>440</v>
      </c>
      <c r="N432" s="51"/>
      <c r="O432" s="51"/>
      <c r="P432" s="43" t="str">
        <f>VLOOKUP(K432,Maestro!J:K,2,0)</f>
        <v>MEZCLA PREHOMO</v>
      </c>
      <c r="Q432" s="43" t="str">
        <f>VLOOKUP(P432,Maestro!E:F,2,0)</f>
        <v>Trituración</v>
      </c>
      <c r="R432" s="43">
        <f>VLOOKUP(P432,ORD!$A:$C,3,0)</f>
        <v>1</v>
      </c>
      <c r="S432" t="str">
        <f t="shared" si="7"/>
        <v>7999999995MEZCPREHOTrituración</v>
      </c>
      <c r="T432" t="str">
        <f>IFERROR(VLOOKUP(S432,Maestro!$A:$H,8,0),"Producción")</f>
        <v>Producción</v>
      </c>
      <c r="U432" s="43" t="s">
        <v>182</v>
      </c>
    </row>
    <row r="433" spans="1:21" x14ac:dyDescent="0.3">
      <c r="A433" s="40">
        <v>7355250320</v>
      </c>
      <c r="B433" s="40" t="s">
        <v>490</v>
      </c>
      <c r="C433" s="52">
        <f>Datos!$M$124*D433</f>
        <v>48450827.729428954</v>
      </c>
      <c r="D433" s="49">
        <f>Datos!$M$266</f>
        <v>53625</v>
      </c>
      <c r="E433" s="43"/>
      <c r="F433" s="43"/>
      <c r="G433" s="43"/>
      <c r="H433" s="43"/>
      <c r="I433" s="43" t="s">
        <v>587</v>
      </c>
      <c r="J433" s="43" t="s">
        <v>785</v>
      </c>
      <c r="K433" s="43">
        <v>700007</v>
      </c>
      <c r="L433" s="43">
        <v>6</v>
      </c>
      <c r="M433" s="43" t="s">
        <v>440</v>
      </c>
      <c r="N433" s="51"/>
      <c r="O433" s="51"/>
      <c r="P433" s="43" t="str">
        <f>VLOOKUP(K433,Maestro!J:K,2,0)</f>
        <v>MEZCLA PREHOMO</v>
      </c>
      <c r="Q433" s="43" t="str">
        <f>VLOOKUP(P433,Maestro!E:F,2,0)</f>
        <v>Trituración</v>
      </c>
      <c r="R433" s="43">
        <f>VLOOKUP(P433,ORD!$A:$C,3,0)</f>
        <v>1</v>
      </c>
      <c r="S433" t="str">
        <f t="shared" si="7"/>
        <v>7355250320BARRAS Y PLACASTrituración</v>
      </c>
      <c r="T433" t="str">
        <f>IFERROR(VLOOKUP(S433,Maestro!$A:$H,8,0),"Producción")</f>
        <v>Barras y Placas</v>
      </c>
      <c r="U433" s="43" t="s">
        <v>182</v>
      </c>
    </row>
    <row r="434" spans="1:21" x14ac:dyDescent="0.3">
      <c r="A434" s="43">
        <v>7199990001</v>
      </c>
      <c r="B434" s="43" t="s">
        <v>438</v>
      </c>
      <c r="C434" s="50">
        <f>Datos!$N$3*D434</f>
        <v>1114375416.4391286</v>
      </c>
      <c r="D434" s="17">
        <f>Datos!N266*Datos!N165</f>
        <v>79722.772277227719</v>
      </c>
      <c r="E434" s="43" t="s">
        <v>556</v>
      </c>
      <c r="F434" s="43" t="s">
        <v>557</v>
      </c>
      <c r="G434" s="43" t="s">
        <v>567</v>
      </c>
      <c r="H434" s="43" t="s">
        <v>568</v>
      </c>
      <c r="I434" s="43" t="s">
        <v>587</v>
      </c>
      <c r="J434" s="43" t="s">
        <v>439</v>
      </c>
      <c r="K434" s="43">
        <v>700007</v>
      </c>
      <c r="L434" s="43">
        <v>7</v>
      </c>
      <c r="M434" s="43" t="s">
        <v>588</v>
      </c>
      <c r="N434" s="51"/>
      <c r="O434" s="51"/>
      <c r="P434" s="43" t="str">
        <f>VLOOKUP(K434,Maestro!J:K,2,0)</f>
        <v>MEZCLA PREHOMO</v>
      </c>
      <c r="Q434" s="43" t="str">
        <f>VLOOKUP(P434,Maestro!E:F,2,0)</f>
        <v>Trituración</v>
      </c>
      <c r="R434" s="43">
        <f>VLOOKUP(P434,ORD!$A:$C,3,0)</f>
        <v>1</v>
      </c>
      <c r="S434" t="str">
        <f t="shared" si="7"/>
        <v>7199990001CALTLVTRITTrituración</v>
      </c>
      <c r="T434" t="str">
        <f>IFERROR(VLOOKUP(S434,Maestro!$A:$H,8,0),"Producción")</f>
        <v>Caliza</v>
      </c>
      <c r="U434" s="43" t="s">
        <v>182</v>
      </c>
    </row>
    <row r="435" spans="1:21" x14ac:dyDescent="0.3">
      <c r="A435" s="43">
        <v>7199990001</v>
      </c>
      <c r="B435" s="43" t="s">
        <v>438</v>
      </c>
      <c r="C435" s="50">
        <f>D435*Datos!$N$5</f>
        <v>222313002.17097026</v>
      </c>
      <c r="D435" s="49">
        <f>Datos!$N$266*Datos!$N$166</f>
        <v>20927.227722772273</v>
      </c>
      <c r="E435" s="43" t="s">
        <v>556</v>
      </c>
      <c r="F435" s="43" t="s">
        <v>557</v>
      </c>
      <c r="G435" s="43" t="s">
        <v>567</v>
      </c>
      <c r="H435" s="43" t="s">
        <v>568</v>
      </c>
      <c r="I435" s="43" t="s">
        <v>587</v>
      </c>
      <c r="J435" s="43" t="s">
        <v>442</v>
      </c>
      <c r="K435" s="43">
        <v>700007</v>
      </c>
      <c r="L435" s="43">
        <v>7</v>
      </c>
      <c r="M435" s="43" t="s">
        <v>589</v>
      </c>
      <c r="N435" s="51"/>
      <c r="O435" s="51"/>
      <c r="P435" s="43" t="str">
        <f>VLOOKUP(K435,Maestro!J:K,2,0)</f>
        <v>MEZCLA PREHOMO</v>
      </c>
      <c r="Q435" s="43" t="str">
        <f>VLOOKUP(P435,Maestro!E:F,2,0)</f>
        <v>Trituración</v>
      </c>
      <c r="R435" s="43">
        <f>VLOOKUP(P435,ORD!$A:$C,3,0)</f>
        <v>1</v>
      </c>
      <c r="S435" t="str">
        <f t="shared" si="7"/>
        <v>7199990001ARCTLVTRITTrituración</v>
      </c>
      <c r="T435" t="str">
        <f>IFERROR(VLOOKUP(S435,Maestro!$A:$H,8,0),"Producción")</f>
        <v>Arcilla</v>
      </c>
      <c r="U435" s="43" t="s">
        <v>182</v>
      </c>
    </row>
    <row r="436" spans="1:21" x14ac:dyDescent="0.3">
      <c r="A436" s="43">
        <v>7999999995</v>
      </c>
      <c r="B436" s="43" t="s">
        <v>566</v>
      </c>
      <c r="C436" s="50"/>
      <c r="D436" s="17">
        <f>-Datos!N266</f>
        <v>-100650</v>
      </c>
      <c r="E436" s="43" t="s">
        <v>556</v>
      </c>
      <c r="F436" s="43" t="s">
        <v>557</v>
      </c>
      <c r="G436" s="43" t="s">
        <v>590</v>
      </c>
      <c r="H436" s="43" t="s">
        <v>591</v>
      </c>
      <c r="I436" s="43" t="s">
        <v>587</v>
      </c>
      <c r="J436" s="43" t="s">
        <v>447</v>
      </c>
      <c r="K436" s="43">
        <v>700007</v>
      </c>
      <c r="L436" s="43">
        <v>7</v>
      </c>
      <c r="M436" s="43" t="s">
        <v>440</v>
      </c>
      <c r="N436" s="51"/>
      <c r="O436" s="51"/>
      <c r="P436" s="43" t="str">
        <f>VLOOKUP(K436,Maestro!J:K,2,0)</f>
        <v>MEZCLA PREHOMO</v>
      </c>
      <c r="Q436" s="43" t="str">
        <f>VLOOKUP(P436,Maestro!E:F,2,0)</f>
        <v>Trituración</v>
      </c>
      <c r="R436" s="43">
        <f>VLOOKUP(P436,ORD!$A:$C,3,0)</f>
        <v>1</v>
      </c>
      <c r="S436" t="str">
        <f t="shared" si="7"/>
        <v>7999999995MEZCPREHOTrituración</v>
      </c>
      <c r="T436" t="str">
        <f>IFERROR(VLOOKUP(S436,Maestro!$A:$H,8,0),"Producción")</f>
        <v>Producción</v>
      </c>
      <c r="U436" s="43" t="s">
        <v>182</v>
      </c>
    </row>
    <row r="437" spans="1:21" x14ac:dyDescent="0.3">
      <c r="A437" s="40">
        <v>7355250320</v>
      </c>
      <c r="B437" s="40" t="s">
        <v>490</v>
      </c>
      <c r="C437" s="52">
        <f>Datos!$N$124*D437</f>
        <v>90938476.661389723</v>
      </c>
      <c r="D437" s="49">
        <f>Datos!$N$266</f>
        <v>100650</v>
      </c>
      <c r="E437" s="43"/>
      <c r="F437" s="43"/>
      <c r="G437" s="43"/>
      <c r="H437" s="43"/>
      <c r="I437" s="43" t="s">
        <v>587</v>
      </c>
      <c r="J437" s="43" t="s">
        <v>785</v>
      </c>
      <c r="K437" s="43">
        <v>700007</v>
      </c>
      <c r="L437" s="43">
        <v>7</v>
      </c>
      <c r="M437" s="43" t="s">
        <v>440</v>
      </c>
      <c r="N437" s="51"/>
      <c r="O437" s="51"/>
      <c r="P437" s="43" t="str">
        <f>VLOOKUP(K437,Maestro!J:K,2,0)</f>
        <v>MEZCLA PREHOMO</v>
      </c>
      <c r="Q437" s="43" t="str">
        <f>VLOOKUP(P437,Maestro!E:F,2,0)</f>
        <v>Trituración</v>
      </c>
      <c r="R437" s="43">
        <f>VLOOKUP(P437,ORD!$A:$C,3,0)</f>
        <v>1</v>
      </c>
      <c r="S437" t="str">
        <f t="shared" si="7"/>
        <v>7355250320BARRAS Y PLACASTrituración</v>
      </c>
      <c r="T437" t="str">
        <f>IFERROR(VLOOKUP(S437,Maestro!$A:$H,8,0),"Producción")</f>
        <v>Barras y Placas</v>
      </c>
      <c r="U437" s="43" t="s">
        <v>182</v>
      </c>
    </row>
    <row r="438" spans="1:21" x14ac:dyDescent="0.3">
      <c r="A438" s="43">
        <v>7199990001</v>
      </c>
      <c r="B438" s="43" t="s">
        <v>438</v>
      </c>
      <c r="C438" s="50">
        <f>Datos!$O$3*D438</f>
        <v>1370133708.7366338</v>
      </c>
      <c r="D438" s="17">
        <f>Datos!O266*Datos!O165</f>
        <v>98019.801980198026</v>
      </c>
      <c r="E438" s="43" t="s">
        <v>556</v>
      </c>
      <c r="F438" s="43" t="s">
        <v>557</v>
      </c>
      <c r="G438" s="43" t="s">
        <v>567</v>
      </c>
      <c r="H438" s="43" t="s">
        <v>568</v>
      </c>
      <c r="I438" s="43" t="s">
        <v>587</v>
      </c>
      <c r="J438" s="43" t="s">
        <v>439</v>
      </c>
      <c r="K438" s="43">
        <v>700007</v>
      </c>
      <c r="L438" s="43">
        <v>8</v>
      </c>
      <c r="M438" s="43" t="s">
        <v>588</v>
      </c>
      <c r="N438" s="51"/>
      <c r="O438" s="51"/>
      <c r="P438" s="43" t="str">
        <f>VLOOKUP(K438,Maestro!J:K,2,0)</f>
        <v>MEZCLA PREHOMO</v>
      </c>
      <c r="Q438" s="43" t="str">
        <f>VLOOKUP(P438,Maestro!E:F,2,0)</f>
        <v>Trituración</v>
      </c>
      <c r="R438" s="43">
        <f>VLOOKUP(P438,ORD!$A:$C,3,0)</f>
        <v>1</v>
      </c>
      <c r="S438" t="str">
        <f t="shared" si="7"/>
        <v>7199990001CALTLVTRITTrituración</v>
      </c>
      <c r="T438" t="str">
        <f>IFERROR(VLOOKUP(S438,Maestro!$A:$H,8,0),"Producción")</f>
        <v>Caliza</v>
      </c>
      <c r="U438" s="43" t="s">
        <v>182</v>
      </c>
    </row>
    <row r="439" spans="1:21" x14ac:dyDescent="0.3">
      <c r="A439" s="43">
        <v>7199990001</v>
      </c>
      <c r="B439" s="43" t="s">
        <v>438</v>
      </c>
      <c r="C439" s="50">
        <f>D439*Datos!$O$5</f>
        <v>273335658.40693069</v>
      </c>
      <c r="D439" s="49">
        <f>Datos!$O$266*Datos!$O$166</f>
        <v>25730.198019801977</v>
      </c>
      <c r="E439" s="43" t="s">
        <v>556</v>
      </c>
      <c r="F439" s="43" t="s">
        <v>557</v>
      </c>
      <c r="G439" s="43" t="s">
        <v>567</v>
      </c>
      <c r="H439" s="43" t="s">
        <v>568</v>
      </c>
      <c r="I439" s="43" t="s">
        <v>587</v>
      </c>
      <c r="J439" s="43" t="s">
        <v>442</v>
      </c>
      <c r="K439" s="43">
        <v>700007</v>
      </c>
      <c r="L439" s="43">
        <v>8</v>
      </c>
      <c r="M439" s="43" t="s">
        <v>589</v>
      </c>
      <c r="N439" s="51"/>
      <c r="O439" s="51"/>
      <c r="P439" s="43" t="str">
        <f>VLOOKUP(K439,Maestro!J:K,2,0)</f>
        <v>MEZCLA PREHOMO</v>
      </c>
      <c r="Q439" s="43" t="str">
        <f>VLOOKUP(P439,Maestro!E:F,2,0)</f>
        <v>Trituración</v>
      </c>
      <c r="R439" s="43">
        <f>VLOOKUP(P439,ORD!$A:$C,3,0)</f>
        <v>1</v>
      </c>
      <c r="S439" t="str">
        <f t="shared" ref="S439:S493" si="8">A439&amp;J439&amp;Q439</f>
        <v>7199990001ARCTLVTRITTrituración</v>
      </c>
      <c r="T439" t="str">
        <f>IFERROR(VLOOKUP(S439,Maestro!$A:$H,8,0),"Producción")</f>
        <v>Arcilla</v>
      </c>
      <c r="U439" s="43" t="s">
        <v>182</v>
      </c>
    </row>
    <row r="440" spans="1:21" x14ac:dyDescent="0.3">
      <c r="A440" s="43">
        <v>7999999995</v>
      </c>
      <c r="B440" s="43" t="s">
        <v>566</v>
      </c>
      <c r="C440" s="50"/>
      <c r="D440" s="17">
        <f>-Datos!O266</f>
        <v>-123750</v>
      </c>
      <c r="E440" s="43" t="s">
        <v>556</v>
      </c>
      <c r="F440" s="43" t="s">
        <v>557</v>
      </c>
      <c r="G440" s="43" t="s">
        <v>590</v>
      </c>
      <c r="H440" s="43" t="s">
        <v>591</v>
      </c>
      <c r="I440" s="43" t="s">
        <v>587</v>
      </c>
      <c r="J440" s="43" t="s">
        <v>447</v>
      </c>
      <c r="K440" s="43">
        <v>700007</v>
      </c>
      <c r="L440" s="43">
        <v>8</v>
      </c>
      <c r="M440" s="43" t="s">
        <v>440</v>
      </c>
      <c r="N440" s="51"/>
      <c r="O440" s="51"/>
      <c r="P440" s="43" t="str">
        <f>VLOOKUP(K440,Maestro!J:K,2,0)</f>
        <v>MEZCLA PREHOMO</v>
      </c>
      <c r="Q440" s="43" t="str">
        <f>VLOOKUP(P440,Maestro!E:F,2,0)</f>
        <v>Trituración</v>
      </c>
      <c r="R440" s="43">
        <f>VLOOKUP(P440,ORD!$A:$C,3,0)</f>
        <v>1</v>
      </c>
      <c r="S440" t="str">
        <f t="shared" si="8"/>
        <v>7999999995MEZCPREHOTrituración</v>
      </c>
      <c r="T440" t="str">
        <f>IFERROR(VLOOKUP(S440,Maestro!$A:$H,8,0),"Producción")</f>
        <v>Producción</v>
      </c>
      <c r="U440" s="43" t="s">
        <v>182</v>
      </c>
    </row>
    <row r="441" spans="1:21" x14ac:dyDescent="0.3">
      <c r="A441" s="40">
        <v>7355250320</v>
      </c>
      <c r="B441" s="40" t="s">
        <v>490</v>
      </c>
      <c r="C441" s="52">
        <f>Datos!$O$124*D441</f>
        <v>111809602.45252836</v>
      </c>
      <c r="D441" s="49">
        <f>Datos!$O$266</f>
        <v>123750</v>
      </c>
      <c r="E441" s="43"/>
      <c r="F441" s="43"/>
      <c r="G441" s="43"/>
      <c r="H441" s="43"/>
      <c r="I441" s="43" t="s">
        <v>587</v>
      </c>
      <c r="J441" s="43" t="s">
        <v>785</v>
      </c>
      <c r="K441" s="43">
        <v>700007</v>
      </c>
      <c r="L441" s="43">
        <v>8</v>
      </c>
      <c r="M441" s="43" t="s">
        <v>440</v>
      </c>
      <c r="N441" s="51"/>
      <c r="O441" s="51"/>
      <c r="P441" s="43" t="str">
        <f>VLOOKUP(K441,Maestro!J:K,2,0)</f>
        <v>MEZCLA PREHOMO</v>
      </c>
      <c r="Q441" s="43" t="str">
        <f>VLOOKUP(P441,Maestro!E:F,2,0)</f>
        <v>Trituración</v>
      </c>
      <c r="R441" s="43">
        <f>VLOOKUP(P441,ORD!$A:$C,3,0)</f>
        <v>1</v>
      </c>
      <c r="S441" t="str">
        <f t="shared" si="8"/>
        <v>7355250320BARRAS Y PLACASTrituración</v>
      </c>
      <c r="T441" t="str">
        <f>IFERROR(VLOOKUP(S441,Maestro!$A:$H,8,0),"Producción")</f>
        <v>Barras y Placas</v>
      </c>
      <c r="U441" s="43" t="s">
        <v>182</v>
      </c>
    </row>
    <row r="442" spans="1:21" x14ac:dyDescent="0.3">
      <c r="A442" s="43">
        <v>7199990001</v>
      </c>
      <c r="B442" s="43" t="s">
        <v>438</v>
      </c>
      <c r="C442" s="50">
        <f>Datos!$P$3*D442</f>
        <v>1050435843.3647524</v>
      </c>
      <c r="D442" s="17">
        <f>Datos!P266*Datos!P165</f>
        <v>75148.514851485146</v>
      </c>
      <c r="E442" s="43" t="s">
        <v>556</v>
      </c>
      <c r="F442" s="43" t="s">
        <v>557</v>
      </c>
      <c r="G442" s="43" t="s">
        <v>567</v>
      </c>
      <c r="H442" s="43" t="s">
        <v>568</v>
      </c>
      <c r="I442" s="43" t="s">
        <v>587</v>
      </c>
      <c r="J442" s="43" t="s">
        <v>439</v>
      </c>
      <c r="K442" s="43">
        <v>700007</v>
      </c>
      <c r="L442" s="43">
        <v>9</v>
      </c>
      <c r="M442" s="43" t="s">
        <v>588</v>
      </c>
      <c r="N442" s="51"/>
      <c r="O442" s="51"/>
      <c r="P442" s="43" t="str">
        <f>VLOOKUP(K442,Maestro!J:K,2,0)</f>
        <v>MEZCLA PREHOMO</v>
      </c>
      <c r="Q442" s="43" t="str">
        <f>VLOOKUP(P442,Maestro!E:F,2,0)</f>
        <v>Trituración</v>
      </c>
      <c r="R442" s="43">
        <f>VLOOKUP(P442,ORD!$A:$C,3,0)</f>
        <v>1</v>
      </c>
      <c r="S442" t="str">
        <f t="shared" si="8"/>
        <v>7199990001CALTLVTRITTrituración</v>
      </c>
      <c r="T442" t="str">
        <f>IFERROR(VLOOKUP(S442,Maestro!$A:$H,8,0),"Producción")</f>
        <v>Caliza</v>
      </c>
      <c r="U442" s="43" t="s">
        <v>182</v>
      </c>
    </row>
    <row r="443" spans="1:21" x14ac:dyDescent="0.3">
      <c r="A443" s="43">
        <v>7199990001</v>
      </c>
      <c r="B443" s="43" t="s">
        <v>438</v>
      </c>
      <c r="C443" s="50">
        <f>D443*Datos!$P$5</f>
        <v>209557338.11198014</v>
      </c>
      <c r="D443" s="49">
        <f>Datos!$P$266*Datos!$P$166</f>
        <v>19726.485148514847</v>
      </c>
      <c r="E443" s="43" t="s">
        <v>556</v>
      </c>
      <c r="F443" s="43" t="s">
        <v>557</v>
      </c>
      <c r="G443" s="43" t="s">
        <v>567</v>
      </c>
      <c r="H443" s="43" t="s">
        <v>568</v>
      </c>
      <c r="I443" s="43" t="s">
        <v>587</v>
      </c>
      <c r="J443" s="43" t="s">
        <v>442</v>
      </c>
      <c r="K443" s="43">
        <v>700007</v>
      </c>
      <c r="L443" s="43">
        <v>9</v>
      </c>
      <c r="M443" s="43" t="s">
        <v>589</v>
      </c>
      <c r="N443" s="51"/>
      <c r="O443" s="51"/>
      <c r="P443" s="43" t="str">
        <f>VLOOKUP(K443,Maestro!J:K,2,0)</f>
        <v>MEZCLA PREHOMO</v>
      </c>
      <c r="Q443" s="43" t="str">
        <f>VLOOKUP(P443,Maestro!E:F,2,0)</f>
        <v>Trituración</v>
      </c>
      <c r="R443" s="43">
        <f>VLOOKUP(P443,ORD!$A:$C,3,0)</f>
        <v>1</v>
      </c>
      <c r="S443" t="str">
        <f t="shared" si="8"/>
        <v>7199990001ARCTLVTRITTrituración</v>
      </c>
      <c r="T443" t="str">
        <f>IFERROR(VLOOKUP(S443,Maestro!$A:$H,8,0),"Producción")</f>
        <v>Arcilla</v>
      </c>
      <c r="U443" s="43" t="s">
        <v>182</v>
      </c>
    </row>
    <row r="444" spans="1:21" x14ac:dyDescent="0.3">
      <c r="A444" s="43">
        <v>7999999995</v>
      </c>
      <c r="B444" s="43" t="s">
        <v>566</v>
      </c>
      <c r="C444" s="50"/>
      <c r="D444" s="17">
        <f>-Datos!P266</f>
        <v>-94875</v>
      </c>
      <c r="E444" s="43" t="s">
        <v>556</v>
      </c>
      <c r="F444" s="43" t="s">
        <v>557</v>
      </c>
      <c r="G444" s="43" t="s">
        <v>590</v>
      </c>
      <c r="H444" s="43" t="s">
        <v>591</v>
      </c>
      <c r="I444" s="43" t="s">
        <v>587</v>
      </c>
      <c r="J444" s="43" t="s">
        <v>447</v>
      </c>
      <c r="K444" s="43">
        <v>700007</v>
      </c>
      <c r="L444" s="43">
        <v>9</v>
      </c>
      <c r="M444" s="43" t="s">
        <v>440</v>
      </c>
      <c r="N444" s="51"/>
      <c r="O444" s="51"/>
      <c r="P444" s="43" t="str">
        <f>VLOOKUP(K444,Maestro!J:K,2,0)</f>
        <v>MEZCLA PREHOMO</v>
      </c>
      <c r="Q444" s="43" t="str">
        <f>VLOOKUP(P444,Maestro!E:F,2,0)</f>
        <v>Trituración</v>
      </c>
      <c r="R444" s="43">
        <f>VLOOKUP(P444,ORD!$A:$C,3,0)</f>
        <v>1</v>
      </c>
      <c r="S444" t="str">
        <f t="shared" si="8"/>
        <v>7999999995MEZCPREHOTrituración</v>
      </c>
      <c r="T444" t="str">
        <f>IFERROR(VLOOKUP(S444,Maestro!$A:$H,8,0),"Producción")</f>
        <v>Producción</v>
      </c>
      <c r="U444" s="43" t="s">
        <v>182</v>
      </c>
    </row>
    <row r="445" spans="1:21" x14ac:dyDescent="0.3">
      <c r="A445" s="40">
        <v>7355250320</v>
      </c>
      <c r="B445" s="40" t="s">
        <v>490</v>
      </c>
      <c r="C445" s="52">
        <f>Datos!$P$124*D445</f>
        <v>85720695.213605076</v>
      </c>
      <c r="D445" s="49">
        <f>Datos!$P$266</f>
        <v>94875</v>
      </c>
      <c r="E445" s="43"/>
      <c r="F445" s="43"/>
      <c r="G445" s="43"/>
      <c r="H445" s="43"/>
      <c r="I445" s="43" t="s">
        <v>587</v>
      </c>
      <c r="J445" s="43" t="s">
        <v>785</v>
      </c>
      <c r="K445" s="43">
        <v>700007</v>
      </c>
      <c r="L445" s="43">
        <v>9</v>
      </c>
      <c r="M445" s="43" t="s">
        <v>440</v>
      </c>
      <c r="N445" s="51"/>
      <c r="O445" s="51"/>
      <c r="P445" s="43" t="str">
        <f>VLOOKUP(K445,Maestro!J:K,2,0)</f>
        <v>MEZCLA PREHOMO</v>
      </c>
      <c r="Q445" s="43" t="str">
        <f>VLOOKUP(P445,Maestro!E:F,2,0)</f>
        <v>Trituración</v>
      </c>
      <c r="R445" s="43">
        <f>VLOOKUP(P445,ORD!$A:$C,3,0)</f>
        <v>1</v>
      </c>
      <c r="S445" t="str">
        <f t="shared" si="8"/>
        <v>7355250320BARRAS Y PLACASTrituración</v>
      </c>
      <c r="T445" t="str">
        <f>IFERROR(VLOOKUP(S445,Maestro!$A:$H,8,0),"Producción")</f>
        <v>Barras y Placas</v>
      </c>
      <c r="U445" s="43" t="s">
        <v>182</v>
      </c>
    </row>
    <row r="446" spans="1:21" x14ac:dyDescent="0.3">
      <c r="A446" s="43">
        <v>7199990001</v>
      </c>
      <c r="B446" s="43" t="s">
        <v>438</v>
      </c>
      <c r="C446" s="50">
        <f>Datos!$Q$3*D446</f>
        <v>822080225.24198031</v>
      </c>
      <c r="D446" s="17">
        <f>Datos!Q266*Datos!Q165</f>
        <v>58811.881188118816</v>
      </c>
      <c r="E446" s="43" t="s">
        <v>556</v>
      </c>
      <c r="F446" s="43" t="s">
        <v>557</v>
      </c>
      <c r="G446" s="43" t="s">
        <v>567</v>
      </c>
      <c r="H446" s="43" t="s">
        <v>568</v>
      </c>
      <c r="I446" s="43" t="s">
        <v>587</v>
      </c>
      <c r="J446" s="43" t="s">
        <v>439</v>
      </c>
      <c r="K446" s="43">
        <v>700007</v>
      </c>
      <c r="L446" s="43">
        <v>10</v>
      </c>
      <c r="M446" s="43" t="s">
        <v>588</v>
      </c>
      <c r="N446" s="51"/>
      <c r="O446" s="51"/>
      <c r="P446" s="43" t="str">
        <f>VLOOKUP(K446,Maestro!J:K,2,0)</f>
        <v>MEZCLA PREHOMO</v>
      </c>
      <c r="Q446" s="43" t="str">
        <f>VLOOKUP(P446,Maestro!E:F,2,0)</f>
        <v>Trituración</v>
      </c>
      <c r="R446" s="43">
        <f>VLOOKUP(P446,ORD!$A:$C,3,0)</f>
        <v>1</v>
      </c>
      <c r="S446" t="str">
        <f t="shared" si="8"/>
        <v>7199990001CALTLVTRITTrituración</v>
      </c>
      <c r="T446" t="str">
        <f>IFERROR(VLOOKUP(S446,Maestro!$A:$H,8,0),"Producción")</f>
        <v>Caliza</v>
      </c>
      <c r="U446" s="43" t="s">
        <v>182</v>
      </c>
    </row>
    <row r="447" spans="1:21" x14ac:dyDescent="0.3">
      <c r="A447" s="43">
        <v>7199990001</v>
      </c>
      <c r="B447" s="43" t="s">
        <v>438</v>
      </c>
      <c r="C447" s="50">
        <f>D447*Datos!$Q$5</f>
        <v>164001395.0441584</v>
      </c>
      <c r="D447" s="49">
        <f>Datos!$Q$266*Datos!$Q$166</f>
        <v>15438.118811881186</v>
      </c>
      <c r="E447" s="43" t="s">
        <v>556</v>
      </c>
      <c r="F447" s="43" t="s">
        <v>557</v>
      </c>
      <c r="G447" s="43" t="s">
        <v>567</v>
      </c>
      <c r="H447" s="43" t="s">
        <v>568</v>
      </c>
      <c r="I447" s="43" t="s">
        <v>587</v>
      </c>
      <c r="J447" s="43" t="s">
        <v>442</v>
      </c>
      <c r="K447" s="43">
        <v>700007</v>
      </c>
      <c r="L447" s="43">
        <v>10</v>
      </c>
      <c r="M447" s="43" t="s">
        <v>589</v>
      </c>
      <c r="N447" s="51"/>
      <c r="O447" s="51"/>
      <c r="P447" s="43" t="str">
        <f>VLOOKUP(K447,Maestro!J:K,2,0)</f>
        <v>MEZCLA PREHOMO</v>
      </c>
      <c r="Q447" s="43" t="str">
        <f>VLOOKUP(P447,Maestro!E:F,2,0)</f>
        <v>Trituración</v>
      </c>
      <c r="R447" s="43">
        <f>VLOOKUP(P447,ORD!$A:$C,3,0)</f>
        <v>1</v>
      </c>
      <c r="S447" t="str">
        <f t="shared" si="8"/>
        <v>7199990001ARCTLVTRITTrituración</v>
      </c>
      <c r="T447" t="str">
        <f>IFERROR(VLOOKUP(S447,Maestro!$A:$H,8,0),"Producción")</f>
        <v>Arcilla</v>
      </c>
      <c r="U447" s="43" t="s">
        <v>182</v>
      </c>
    </row>
    <row r="448" spans="1:21" x14ac:dyDescent="0.3">
      <c r="A448" s="43">
        <v>7999999995</v>
      </c>
      <c r="B448" s="43" t="s">
        <v>566</v>
      </c>
      <c r="C448" s="50"/>
      <c r="D448" s="17">
        <f>-Datos!Q266</f>
        <v>-74250</v>
      </c>
      <c r="E448" s="43" t="s">
        <v>556</v>
      </c>
      <c r="F448" s="43" t="s">
        <v>557</v>
      </c>
      <c r="G448" s="43" t="s">
        <v>590</v>
      </c>
      <c r="H448" s="43" t="s">
        <v>591</v>
      </c>
      <c r="I448" s="43" t="s">
        <v>587</v>
      </c>
      <c r="J448" s="43" t="s">
        <v>447</v>
      </c>
      <c r="K448" s="43">
        <v>700007</v>
      </c>
      <c r="L448" s="43">
        <v>10</v>
      </c>
      <c r="M448" s="43" t="s">
        <v>440</v>
      </c>
      <c r="N448" s="51"/>
      <c r="O448" s="51"/>
      <c r="P448" s="43" t="str">
        <f>VLOOKUP(K448,Maestro!J:K,2,0)</f>
        <v>MEZCLA PREHOMO</v>
      </c>
      <c r="Q448" s="43" t="str">
        <f>VLOOKUP(P448,Maestro!E:F,2,0)</f>
        <v>Trituración</v>
      </c>
      <c r="R448" s="43">
        <f>VLOOKUP(P448,ORD!$A:$C,3,0)</f>
        <v>1</v>
      </c>
      <c r="S448" t="str">
        <f t="shared" si="8"/>
        <v>7999999995MEZCPREHOTrituración</v>
      </c>
      <c r="T448" t="str">
        <f>IFERROR(VLOOKUP(S448,Maestro!$A:$H,8,0),"Producción")</f>
        <v>Producción</v>
      </c>
      <c r="U448" s="43" t="s">
        <v>182</v>
      </c>
    </row>
    <row r="449" spans="1:21" x14ac:dyDescent="0.3">
      <c r="A449" s="40">
        <v>7355250320</v>
      </c>
      <c r="B449" s="40" t="s">
        <v>490</v>
      </c>
      <c r="C449" s="52">
        <f>Datos!$Q$124*D449</f>
        <v>67085761.471517012</v>
      </c>
      <c r="D449" s="49">
        <f>Datos!$Q$266</f>
        <v>74250</v>
      </c>
      <c r="E449" s="43"/>
      <c r="F449" s="43"/>
      <c r="G449" s="43"/>
      <c r="H449" s="43"/>
      <c r="I449" s="43" t="s">
        <v>587</v>
      </c>
      <c r="J449" s="43" t="s">
        <v>785</v>
      </c>
      <c r="K449" s="43">
        <v>700007</v>
      </c>
      <c r="L449" s="43">
        <v>10</v>
      </c>
      <c r="M449" s="43" t="s">
        <v>440</v>
      </c>
      <c r="N449" s="51"/>
      <c r="O449" s="51"/>
      <c r="P449" s="43" t="str">
        <f>VLOOKUP(K449,Maestro!J:K,2,0)</f>
        <v>MEZCLA PREHOMO</v>
      </c>
      <c r="Q449" s="43" t="str">
        <f>VLOOKUP(P449,Maestro!E:F,2,0)</f>
        <v>Trituración</v>
      </c>
      <c r="R449" s="43">
        <f>VLOOKUP(P449,ORD!$A:$C,3,0)</f>
        <v>1</v>
      </c>
      <c r="S449" t="str">
        <f t="shared" si="8"/>
        <v>7355250320BARRAS Y PLACASTrituración</v>
      </c>
      <c r="T449" t="str">
        <f>IFERROR(VLOOKUP(S449,Maestro!$A:$H,8,0),"Producción")</f>
        <v>Barras y Placas</v>
      </c>
      <c r="U449" s="43" t="s">
        <v>182</v>
      </c>
    </row>
    <row r="450" spans="1:21" x14ac:dyDescent="0.3">
      <c r="A450" s="43">
        <v>7199990001</v>
      </c>
      <c r="B450" s="43" t="s">
        <v>438</v>
      </c>
      <c r="C450" s="50">
        <f>Datos!$R$3*D450</f>
        <v>1315328360.3871684</v>
      </c>
      <c r="D450" s="17">
        <f>Datos!R266*Datos!R165</f>
        <v>94099.009900990102</v>
      </c>
      <c r="E450" s="43" t="s">
        <v>556</v>
      </c>
      <c r="F450" s="43" t="s">
        <v>557</v>
      </c>
      <c r="G450" s="43" t="s">
        <v>567</v>
      </c>
      <c r="H450" s="43" t="s">
        <v>568</v>
      </c>
      <c r="I450" s="43" t="s">
        <v>587</v>
      </c>
      <c r="J450" s="43" t="s">
        <v>439</v>
      </c>
      <c r="K450" s="43">
        <v>700007</v>
      </c>
      <c r="L450" s="43">
        <v>11</v>
      </c>
      <c r="M450" s="43" t="s">
        <v>588</v>
      </c>
      <c r="N450" s="51"/>
      <c r="O450" s="51"/>
      <c r="P450" s="43" t="str">
        <f>VLOOKUP(K450,Maestro!J:K,2,0)</f>
        <v>MEZCLA PREHOMO</v>
      </c>
      <c r="Q450" s="43" t="str">
        <f>VLOOKUP(P450,Maestro!E:F,2,0)</f>
        <v>Trituración</v>
      </c>
      <c r="R450" s="43">
        <f>VLOOKUP(P450,ORD!$A:$C,3,0)</f>
        <v>1</v>
      </c>
      <c r="S450" t="str">
        <f t="shared" si="8"/>
        <v>7199990001CALTLVTRITTrituración</v>
      </c>
      <c r="T450" t="str">
        <f>IFERROR(VLOOKUP(S450,Maestro!$A:$H,8,0),"Producción")</f>
        <v>Caliza</v>
      </c>
      <c r="U450" s="43" t="s">
        <v>182</v>
      </c>
    </row>
    <row r="451" spans="1:21" x14ac:dyDescent="0.3">
      <c r="A451" s="43">
        <v>7199990001</v>
      </c>
      <c r="B451" s="43" t="s">
        <v>438</v>
      </c>
      <c r="C451" s="50">
        <f>D451*Datos!$R$5</f>
        <v>262402232.07065344</v>
      </c>
      <c r="D451" s="49">
        <f>Datos!$R$266*Datos!$R$166</f>
        <v>24700.990099009898</v>
      </c>
      <c r="E451" s="43" t="s">
        <v>556</v>
      </c>
      <c r="F451" s="43" t="s">
        <v>557</v>
      </c>
      <c r="G451" s="43" t="s">
        <v>567</v>
      </c>
      <c r="H451" s="43" t="s">
        <v>568</v>
      </c>
      <c r="I451" s="43" t="s">
        <v>587</v>
      </c>
      <c r="J451" s="43" t="s">
        <v>442</v>
      </c>
      <c r="K451" s="43">
        <v>700007</v>
      </c>
      <c r="L451" s="43">
        <v>11</v>
      </c>
      <c r="M451" s="43" t="s">
        <v>589</v>
      </c>
      <c r="N451" s="51"/>
      <c r="O451" s="51"/>
      <c r="P451" s="43" t="str">
        <f>VLOOKUP(K451,Maestro!J:K,2,0)</f>
        <v>MEZCLA PREHOMO</v>
      </c>
      <c r="Q451" s="43" t="str">
        <f>VLOOKUP(P451,Maestro!E:F,2,0)</f>
        <v>Trituración</v>
      </c>
      <c r="R451" s="43">
        <f>VLOOKUP(P451,ORD!$A:$C,3,0)</f>
        <v>1</v>
      </c>
      <c r="S451" t="str">
        <f t="shared" si="8"/>
        <v>7199990001ARCTLVTRITTrituración</v>
      </c>
      <c r="T451" t="str">
        <f>IFERROR(VLOOKUP(S451,Maestro!$A:$H,8,0),"Producción")</f>
        <v>Arcilla</v>
      </c>
      <c r="U451" s="43" t="s">
        <v>182</v>
      </c>
    </row>
    <row r="452" spans="1:21" x14ac:dyDescent="0.3">
      <c r="A452" s="43">
        <v>7999999995</v>
      </c>
      <c r="B452" s="43" t="s">
        <v>566</v>
      </c>
      <c r="C452" s="50"/>
      <c r="D452" s="17">
        <f>-Datos!R266</f>
        <v>-118800</v>
      </c>
      <c r="E452" s="43" t="s">
        <v>556</v>
      </c>
      <c r="F452" s="43" t="s">
        <v>557</v>
      </c>
      <c r="G452" s="43" t="s">
        <v>590</v>
      </c>
      <c r="H452" s="43" t="s">
        <v>591</v>
      </c>
      <c r="I452" s="43" t="s">
        <v>587</v>
      </c>
      <c r="J452" s="43" t="s">
        <v>447</v>
      </c>
      <c r="K452" s="43">
        <v>700007</v>
      </c>
      <c r="L452" s="43">
        <v>11</v>
      </c>
      <c r="M452" s="43" t="s">
        <v>440</v>
      </c>
      <c r="N452" s="51"/>
      <c r="O452" s="51"/>
      <c r="P452" s="43" t="str">
        <f>VLOOKUP(K452,Maestro!J:K,2,0)</f>
        <v>MEZCLA PREHOMO</v>
      </c>
      <c r="Q452" s="43" t="str">
        <f>VLOOKUP(P452,Maestro!E:F,2,0)</f>
        <v>Trituración</v>
      </c>
      <c r="R452" s="43">
        <f>VLOOKUP(P452,ORD!$A:$C,3,0)</f>
        <v>1</v>
      </c>
      <c r="S452" t="str">
        <f t="shared" si="8"/>
        <v>7999999995MEZCPREHOTrituración</v>
      </c>
      <c r="T452" t="str">
        <f>IFERROR(VLOOKUP(S452,Maestro!$A:$H,8,0),"Producción")</f>
        <v>Producción</v>
      </c>
      <c r="U452" s="43" t="s">
        <v>182</v>
      </c>
    </row>
    <row r="453" spans="1:21" x14ac:dyDescent="0.3">
      <c r="A453" s="40">
        <v>7355250320</v>
      </c>
      <c r="B453" s="40" t="s">
        <v>490</v>
      </c>
      <c r="C453" s="52">
        <f>Datos!$R$124*D453</f>
        <v>107337218.35442722</v>
      </c>
      <c r="D453" s="49">
        <f>Datos!$R$266</f>
        <v>118800</v>
      </c>
      <c r="E453" s="43"/>
      <c r="F453" s="43"/>
      <c r="G453" s="43"/>
      <c r="H453" s="43"/>
      <c r="I453" s="43" t="s">
        <v>587</v>
      </c>
      <c r="J453" s="43" t="s">
        <v>785</v>
      </c>
      <c r="K453" s="43">
        <v>700007</v>
      </c>
      <c r="L453" s="43">
        <v>11</v>
      </c>
      <c r="M453" s="43" t="s">
        <v>440</v>
      </c>
      <c r="N453" s="51"/>
      <c r="O453" s="51"/>
      <c r="P453" s="43" t="str">
        <f>VLOOKUP(K453,Maestro!J:K,2,0)</f>
        <v>MEZCLA PREHOMO</v>
      </c>
      <c r="Q453" s="43" t="str">
        <f>VLOOKUP(P453,Maestro!E:F,2,0)</f>
        <v>Trituración</v>
      </c>
      <c r="R453" s="43">
        <f>VLOOKUP(P453,ORD!$A:$C,3,0)</f>
        <v>1</v>
      </c>
      <c r="S453" t="str">
        <f t="shared" si="8"/>
        <v>7355250320BARRAS Y PLACASTrituración</v>
      </c>
      <c r="T453" t="str">
        <f>IFERROR(VLOOKUP(S453,Maestro!$A:$H,8,0),"Producción")</f>
        <v>Barras y Placas</v>
      </c>
      <c r="U453" s="43" t="s">
        <v>182</v>
      </c>
    </row>
    <row r="454" spans="1:21" x14ac:dyDescent="0.3">
      <c r="A454" s="43">
        <v>7199990001</v>
      </c>
      <c r="B454" s="43" t="s">
        <v>438</v>
      </c>
      <c r="C454" s="50">
        <f>Datos!$S$3*D454</f>
        <v>838628926.7785604</v>
      </c>
      <c r="D454" s="17">
        <f>Datos!S266*Datos!S165</f>
        <v>59995.780567647751</v>
      </c>
      <c r="E454" s="43" t="s">
        <v>556</v>
      </c>
      <c r="F454" s="43" t="s">
        <v>557</v>
      </c>
      <c r="G454" s="43" t="s">
        <v>567</v>
      </c>
      <c r="H454" s="43" t="s">
        <v>568</v>
      </c>
      <c r="I454" s="43" t="s">
        <v>587</v>
      </c>
      <c r="J454" s="43" t="s">
        <v>439</v>
      </c>
      <c r="K454" s="43">
        <v>700007</v>
      </c>
      <c r="L454" s="43">
        <v>12</v>
      </c>
      <c r="M454" s="43" t="s">
        <v>588</v>
      </c>
      <c r="N454" s="51"/>
      <c r="O454" s="51"/>
      <c r="P454" s="43" t="str">
        <f>VLOOKUP(K454,Maestro!J:K,2,0)</f>
        <v>MEZCLA PREHOMO</v>
      </c>
      <c r="Q454" s="43" t="str">
        <f>VLOOKUP(P454,Maestro!E:F,2,0)</f>
        <v>Trituración</v>
      </c>
      <c r="R454" s="43">
        <f>VLOOKUP(P454,ORD!$A:$C,3,0)</f>
        <v>1</v>
      </c>
      <c r="S454" t="str">
        <f t="shared" si="8"/>
        <v>7199990001CALTLVTRITTrituración</v>
      </c>
      <c r="T454" t="str">
        <f>IFERROR(VLOOKUP(S454,Maestro!$A:$H,8,0),"Producción")</f>
        <v>Caliza</v>
      </c>
      <c r="U454" s="43" t="s">
        <v>182</v>
      </c>
    </row>
    <row r="455" spans="1:21" x14ac:dyDescent="0.3">
      <c r="A455" s="43">
        <v>7199990001</v>
      </c>
      <c r="B455" s="43" t="s">
        <v>438</v>
      </c>
      <c r="C455" s="50">
        <f>D455*Datos!$S$5</f>
        <v>167302788.33259282</v>
      </c>
      <c r="D455" s="49">
        <f>Datos!$S$266*Datos!$S$166</f>
        <v>15748.892399007531</v>
      </c>
      <c r="E455" s="43" t="s">
        <v>556</v>
      </c>
      <c r="F455" s="43" t="s">
        <v>557</v>
      </c>
      <c r="G455" s="43" t="s">
        <v>567</v>
      </c>
      <c r="H455" s="43" t="s">
        <v>568</v>
      </c>
      <c r="I455" s="43" t="s">
        <v>587</v>
      </c>
      <c r="J455" s="43" t="s">
        <v>442</v>
      </c>
      <c r="K455" s="43">
        <v>700007</v>
      </c>
      <c r="L455" s="43">
        <v>12</v>
      </c>
      <c r="M455" s="43" t="s">
        <v>589</v>
      </c>
      <c r="N455" s="51"/>
      <c r="O455" s="51"/>
      <c r="P455" s="43" t="str">
        <f>VLOOKUP(K455,Maestro!J:K,2,0)</f>
        <v>MEZCLA PREHOMO</v>
      </c>
      <c r="Q455" s="43" t="str">
        <f>VLOOKUP(P455,Maestro!E:F,2,0)</f>
        <v>Trituración</v>
      </c>
      <c r="R455" s="43">
        <f>VLOOKUP(P455,ORD!$A:$C,3,0)</f>
        <v>1</v>
      </c>
      <c r="S455" t="str">
        <f t="shared" si="8"/>
        <v>7199990001ARCTLVTRITTrituración</v>
      </c>
      <c r="T455" t="str">
        <f>IFERROR(VLOOKUP(S455,Maestro!$A:$H,8,0),"Producción")</f>
        <v>Arcilla</v>
      </c>
      <c r="U455" s="43" t="s">
        <v>182</v>
      </c>
    </row>
    <row r="456" spans="1:21" x14ac:dyDescent="0.3">
      <c r="A456" s="43">
        <v>7999999995</v>
      </c>
      <c r="B456" s="43" t="s">
        <v>566</v>
      </c>
      <c r="C456" s="50"/>
      <c r="D456" s="17">
        <f>-Datos!S266</f>
        <v>-75744.672966655286</v>
      </c>
      <c r="E456" s="43" t="s">
        <v>556</v>
      </c>
      <c r="F456" s="43" t="s">
        <v>557</v>
      </c>
      <c r="G456" s="43" t="s">
        <v>590</v>
      </c>
      <c r="H456" s="43" t="s">
        <v>591</v>
      </c>
      <c r="I456" s="43" t="s">
        <v>587</v>
      </c>
      <c r="J456" s="43" t="s">
        <v>447</v>
      </c>
      <c r="K456" s="43">
        <v>700007</v>
      </c>
      <c r="L456" s="43">
        <v>12</v>
      </c>
      <c r="M456" s="43" t="s">
        <v>440</v>
      </c>
      <c r="N456" s="51"/>
      <c r="O456" s="51"/>
      <c r="P456" s="43" t="str">
        <f>VLOOKUP(K456,Maestro!J:K,2,0)</f>
        <v>MEZCLA PREHOMO</v>
      </c>
      <c r="Q456" s="43" t="str">
        <f>VLOOKUP(P456,Maestro!E:F,2,0)</f>
        <v>Trituración</v>
      </c>
      <c r="R456" s="43">
        <f>VLOOKUP(P456,ORD!$A:$C,3,0)</f>
        <v>1</v>
      </c>
      <c r="S456" t="str">
        <f t="shared" si="8"/>
        <v>7999999995MEZCPREHOTrituración</v>
      </c>
      <c r="T456" t="str">
        <f>IFERROR(VLOOKUP(S456,Maestro!$A:$H,8,0),"Producción")</f>
        <v>Producción</v>
      </c>
      <c r="U456" s="43" t="s">
        <v>182</v>
      </c>
    </row>
    <row r="457" spans="1:21" x14ac:dyDescent="0.3">
      <c r="A457" s="40">
        <v>7355250320</v>
      </c>
      <c r="B457" s="40" t="s">
        <v>490</v>
      </c>
      <c r="C457" s="52">
        <f>Datos!$S$124*D457</f>
        <v>68436216.341806054</v>
      </c>
      <c r="D457" s="49">
        <f>Datos!$S$266</f>
        <v>75744.672966655286</v>
      </c>
      <c r="E457" s="43"/>
      <c r="F457" s="43"/>
      <c r="G457" s="43"/>
      <c r="H457" s="43"/>
      <c r="I457" s="43" t="s">
        <v>587</v>
      </c>
      <c r="J457" s="43" t="s">
        <v>785</v>
      </c>
      <c r="K457" s="43">
        <v>700007</v>
      </c>
      <c r="L457" s="43">
        <v>12</v>
      </c>
      <c r="M457" s="43" t="s">
        <v>440</v>
      </c>
      <c r="N457" s="51"/>
      <c r="O457" s="51"/>
      <c r="P457" s="43" t="str">
        <f>VLOOKUP(K457,Maestro!J:K,2,0)</f>
        <v>MEZCLA PREHOMO</v>
      </c>
      <c r="Q457" s="43" t="str">
        <f>VLOOKUP(P457,Maestro!E:F,2,0)</f>
        <v>Trituración</v>
      </c>
      <c r="R457" s="43">
        <f>VLOOKUP(P457,ORD!$A:$C,3,0)</f>
        <v>1</v>
      </c>
      <c r="S457" t="str">
        <f t="shared" si="8"/>
        <v>7355250320BARRAS Y PLACASTrituración</v>
      </c>
      <c r="T457" t="str">
        <f>IFERROR(VLOOKUP(S457,Maestro!$A:$H,8,0),"Producción")</f>
        <v>Barras y Placas</v>
      </c>
      <c r="U457" s="43" t="s">
        <v>182</v>
      </c>
    </row>
    <row r="458" spans="1:21" x14ac:dyDescent="0.3">
      <c r="A458" s="43">
        <v>7199990001</v>
      </c>
      <c r="B458" s="43" t="s">
        <v>438</v>
      </c>
      <c r="C458" s="49">
        <f>Datos!$H$3*D458</f>
        <v>702297323.73576224</v>
      </c>
      <c r="D458" s="49">
        <f>Datos!$H$269</f>
        <v>50242.574257425731</v>
      </c>
      <c r="E458" s="43" t="s">
        <v>556</v>
      </c>
      <c r="F458" s="43" t="s">
        <v>557</v>
      </c>
      <c r="G458" s="43" t="s">
        <v>567</v>
      </c>
      <c r="H458" s="43" t="s">
        <v>568</v>
      </c>
      <c r="I458" s="43" t="s">
        <v>587</v>
      </c>
      <c r="J458" s="43" t="s">
        <v>439</v>
      </c>
      <c r="K458" s="43">
        <v>700005</v>
      </c>
      <c r="L458" s="43">
        <v>1</v>
      </c>
      <c r="M458" s="43" t="s">
        <v>588</v>
      </c>
      <c r="N458" s="51"/>
      <c r="O458" s="51"/>
      <c r="P458" s="43" t="str">
        <f>VLOOKUP(K458,Maestro!J:K,2,0)</f>
        <v>CALIZA PARA ADICIONES</v>
      </c>
      <c r="Q458" s="43" t="str">
        <f>VLOOKUP(P458,Maestro!E:F,2,0)</f>
        <v>Adiciones</v>
      </c>
      <c r="R458" s="43">
        <f>VLOOKUP(P458,ORD!$A:$C,3,0)</f>
        <v>2</v>
      </c>
      <c r="S458" t="str">
        <f t="shared" si="8"/>
        <v>7199990001CALTLVTRITAdiciones</v>
      </c>
      <c r="T458" t="str">
        <f>IFERROR(VLOOKUP(S458,Maestro!$A:$H,8,0),"Producción")</f>
        <v>Caliza</v>
      </c>
      <c r="U458" s="43" t="s">
        <v>182</v>
      </c>
    </row>
    <row r="459" spans="1:21" x14ac:dyDescent="0.3">
      <c r="A459" s="43">
        <v>7999999995</v>
      </c>
      <c r="B459" s="43" t="s">
        <v>566</v>
      </c>
      <c r="C459" s="49"/>
      <c r="D459" s="49">
        <f>-Datos!$H$269</f>
        <v>-50242.574257425731</v>
      </c>
      <c r="E459" s="43" t="s">
        <v>556</v>
      </c>
      <c r="F459" s="43" t="s">
        <v>557</v>
      </c>
      <c r="G459" s="43" t="s">
        <v>590</v>
      </c>
      <c r="H459" s="43" t="s">
        <v>591</v>
      </c>
      <c r="I459" s="43" t="s">
        <v>587</v>
      </c>
      <c r="J459" s="43" t="s">
        <v>444</v>
      </c>
      <c r="K459" s="43">
        <v>700005</v>
      </c>
      <c r="L459" s="43">
        <v>1</v>
      </c>
      <c r="M459" s="43" t="s">
        <v>565</v>
      </c>
      <c r="N459" s="51"/>
      <c r="O459" s="51"/>
      <c r="P459" s="43" t="str">
        <f>VLOOKUP(K459,Maestro!J:K,2,0)</f>
        <v>CALIZA PARA ADICIONES</v>
      </c>
      <c r="Q459" s="43" t="str">
        <f>VLOOKUP(P459,Maestro!E:F,2,0)</f>
        <v>Adiciones</v>
      </c>
      <c r="R459" s="43">
        <f>VLOOKUP(P459,ORD!$A:$C,3,0)</f>
        <v>2</v>
      </c>
      <c r="S459" t="str">
        <f t="shared" si="8"/>
        <v>7999999995CALIZATRIAdiciones</v>
      </c>
      <c r="T459" t="str">
        <f>IFERROR(VLOOKUP(S459,Maestro!$A:$H,8,0),"Producción")</f>
        <v>Producción</v>
      </c>
      <c r="U459" s="43" t="s">
        <v>182</v>
      </c>
    </row>
    <row r="460" spans="1:21" x14ac:dyDescent="0.3">
      <c r="A460" s="40">
        <v>7355250320</v>
      </c>
      <c r="B460" s="40" t="s">
        <v>490</v>
      </c>
      <c r="C460" s="52">
        <f>Datos!$H$124*D460</f>
        <v>45394765.688197218</v>
      </c>
      <c r="D460" s="49">
        <f>Datos!$H$269</f>
        <v>50242.574257425731</v>
      </c>
      <c r="E460" s="43"/>
      <c r="F460" s="43"/>
      <c r="G460" s="43"/>
      <c r="H460" s="43"/>
      <c r="I460" s="43" t="s">
        <v>587</v>
      </c>
      <c r="J460" s="43" t="s">
        <v>785</v>
      </c>
      <c r="K460" s="43">
        <v>700005</v>
      </c>
      <c r="L460" s="43">
        <v>1</v>
      </c>
      <c r="M460" s="43" t="s">
        <v>565</v>
      </c>
      <c r="N460" s="51"/>
      <c r="O460" s="51"/>
      <c r="P460" s="43" t="str">
        <f>VLOOKUP(K460,Maestro!J:K,2,0)</f>
        <v>CALIZA PARA ADICIONES</v>
      </c>
      <c r="Q460" s="43" t="str">
        <f>VLOOKUP(P460,Maestro!E:F,2,0)</f>
        <v>Adiciones</v>
      </c>
      <c r="R460" s="43">
        <f>VLOOKUP(P460,ORD!$A:$C,3,0)</f>
        <v>2</v>
      </c>
      <c r="S460" t="str">
        <f t="shared" si="8"/>
        <v>7355250320BARRAS Y PLACASAdiciones</v>
      </c>
      <c r="T460" t="str">
        <f>IFERROR(VLOOKUP(S460,Maestro!$A:$H,8,0),"Producción")</f>
        <v>Barras y Placas</v>
      </c>
      <c r="U460" s="43" t="s">
        <v>182</v>
      </c>
    </row>
    <row r="461" spans="1:21" x14ac:dyDescent="0.3">
      <c r="A461" s="43">
        <v>7199990001</v>
      </c>
      <c r="B461" s="43" t="s">
        <v>438</v>
      </c>
      <c r="C461" s="49">
        <f>Datos!$I$3*D461</f>
        <v>732952335.50194049</v>
      </c>
      <c r="D461" s="49">
        <f>Datos!$I$269</f>
        <v>52435.643564356425</v>
      </c>
      <c r="E461" s="43" t="s">
        <v>556</v>
      </c>
      <c r="F461" s="43" t="s">
        <v>557</v>
      </c>
      <c r="G461" s="43" t="s">
        <v>567</v>
      </c>
      <c r="H461" s="43" t="s">
        <v>568</v>
      </c>
      <c r="I461" s="43" t="s">
        <v>587</v>
      </c>
      <c r="J461" s="43" t="s">
        <v>439</v>
      </c>
      <c r="K461" s="43">
        <v>700005</v>
      </c>
      <c r="L461" s="43">
        <v>2</v>
      </c>
      <c r="M461" s="43" t="s">
        <v>588</v>
      </c>
      <c r="N461" s="51"/>
      <c r="O461" s="51"/>
      <c r="P461" s="43" t="str">
        <f>VLOOKUP(K461,Maestro!J:K,2,0)</f>
        <v>CALIZA PARA ADICIONES</v>
      </c>
      <c r="Q461" s="43" t="str">
        <f>VLOOKUP(P461,Maestro!E:F,2,0)</f>
        <v>Adiciones</v>
      </c>
      <c r="R461" s="43">
        <f>VLOOKUP(P461,ORD!$A:$C,3,0)</f>
        <v>2</v>
      </c>
      <c r="S461" t="str">
        <f t="shared" si="8"/>
        <v>7199990001CALTLVTRITAdiciones</v>
      </c>
      <c r="T461" t="str">
        <f>IFERROR(VLOOKUP(S461,Maestro!$A:$H,8,0),"Producción")</f>
        <v>Caliza</v>
      </c>
      <c r="U461" s="43" t="s">
        <v>182</v>
      </c>
    </row>
    <row r="462" spans="1:21" x14ac:dyDescent="0.3">
      <c r="A462" s="43">
        <v>7999999995</v>
      </c>
      <c r="B462" s="43" t="s">
        <v>566</v>
      </c>
      <c r="C462" s="49"/>
      <c r="D462" s="49">
        <f>-Datos!$I$269</f>
        <v>-52435.643564356425</v>
      </c>
      <c r="E462" s="43" t="s">
        <v>556</v>
      </c>
      <c r="F462" s="43" t="s">
        <v>557</v>
      </c>
      <c r="G462" s="43" t="s">
        <v>590</v>
      </c>
      <c r="H462" s="43" t="s">
        <v>591</v>
      </c>
      <c r="I462" s="43" t="s">
        <v>587</v>
      </c>
      <c r="J462" s="43" t="s">
        <v>444</v>
      </c>
      <c r="K462" s="43">
        <v>700005</v>
      </c>
      <c r="L462" s="43">
        <v>2</v>
      </c>
      <c r="M462" s="43" t="s">
        <v>565</v>
      </c>
      <c r="N462" s="51"/>
      <c r="O462" s="51"/>
      <c r="P462" s="43" t="str">
        <f>VLOOKUP(K462,Maestro!J:K,2,0)</f>
        <v>CALIZA PARA ADICIONES</v>
      </c>
      <c r="Q462" s="43" t="str">
        <f>VLOOKUP(P462,Maestro!E:F,2,0)</f>
        <v>Adiciones</v>
      </c>
      <c r="R462" s="43">
        <f>VLOOKUP(P462,ORD!$A:$C,3,0)</f>
        <v>2</v>
      </c>
      <c r="S462" t="str">
        <f t="shared" si="8"/>
        <v>7999999995CALIZATRIAdiciones</v>
      </c>
      <c r="T462" t="str">
        <f>IFERROR(VLOOKUP(S462,Maestro!$A:$H,8,0),"Producción")</f>
        <v>Producción</v>
      </c>
      <c r="U462" s="43" t="s">
        <v>182</v>
      </c>
    </row>
    <row r="463" spans="1:21" x14ac:dyDescent="0.3">
      <c r="A463" s="40">
        <v>7355250320</v>
      </c>
      <c r="B463" s="40" t="s">
        <v>490</v>
      </c>
      <c r="C463" s="52">
        <f>Datos!$I$124*D463</f>
        <v>47376229.990086213</v>
      </c>
      <c r="D463" s="49">
        <f>Datos!$I$269</f>
        <v>52435.643564356425</v>
      </c>
      <c r="E463" s="43"/>
      <c r="F463" s="43"/>
      <c r="G463" s="43"/>
      <c r="H463" s="43"/>
      <c r="I463" s="43" t="s">
        <v>587</v>
      </c>
      <c r="J463" s="43" t="s">
        <v>785</v>
      </c>
      <c r="K463" s="43">
        <v>700005</v>
      </c>
      <c r="L463" s="43">
        <v>2</v>
      </c>
      <c r="M463" s="43" t="s">
        <v>565</v>
      </c>
      <c r="N463" s="51"/>
      <c r="O463" s="51"/>
      <c r="P463" s="43" t="str">
        <f>VLOOKUP(K463,Maestro!J:K,2,0)</f>
        <v>CALIZA PARA ADICIONES</v>
      </c>
      <c r="Q463" s="43" t="str">
        <f>VLOOKUP(P463,Maestro!E:F,2,0)</f>
        <v>Adiciones</v>
      </c>
      <c r="R463" s="43">
        <f>VLOOKUP(P463,ORD!$A:$C,3,0)</f>
        <v>2</v>
      </c>
      <c r="S463" t="str">
        <f t="shared" si="8"/>
        <v>7355250320BARRAS Y PLACASAdiciones</v>
      </c>
      <c r="T463" t="str">
        <f>IFERROR(VLOOKUP(S463,Maestro!$A:$H,8,0),"Producción")</f>
        <v>Barras y Placas</v>
      </c>
      <c r="U463" s="43" t="s">
        <v>182</v>
      </c>
    </row>
    <row r="464" spans="1:21" x14ac:dyDescent="0.3">
      <c r="A464" s="43">
        <v>7199990001</v>
      </c>
      <c r="B464" s="43" t="s">
        <v>438</v>
      </c>
      <c r="C464" s="49">
        <f>Datos!$J$3*D464</f>
        <v>671697670.90731084</v>
      </c>
      <c r="D464" s="49">
        <f>Datos!$J$269</f>
        <v>48053.465346534649</v>
      </c>
      <c r="E464" s="43" t="s">
        <v>556</v>
      </c>
      <c r="F464" s="43" t="s">
        <v>557</v>
      </c>
      <c r="G464" s="43" t="s">
        <v>567</v>
      </c>
      <c r="H464" s="43" t="s">
        <v>568</v>
      </c>
      <c r="I464" s="43" t="s">
        <v>587</v>
      </c>
      <c r="J464" s="43" t="s">
        <v>439</v>
      </c>
      <c r="K464" s="43">
        <v>700005</v>
      </c>
      <c r="L464" s="43">
        <v>3</v>
      </c>
      <c r="M464" s="43" t="s">
        <v>588</v>
      </c>
      <c r="N464" s="51"/>
      <c r="O464" s="51"/>
      <c r="P464" s="43" t="str">
        <f>VLOOKUP(K464,Maestro!J:K,2,0)</f>
        <v>CALIZA PARA ADICIONES</v>
      </c>
      <c r="Q464" s="43" t="str">
        <f>VLOOKUP(P464,Maestro!E:F,2,0)</f>
        <v>Adiciones</v>
      </c>
      <c r="R464" s="43">
        <f>VLOOKUP(P464,ORD!$A:$C,3,0)</f>
        <v>2</v>
      </c>
      <c r="S464" t="str">
        <f t="shared" si="8"/>
        <v>7199990001CALTLVTRITAdiciones</v>
      </c>
      <c r="T464" t="str">
        <f>IFERROR(VLOOKUP(S464,Maestro!$A:$H,8,0),"Producción")</f>
        <v>Caliza</v>
      </c>
      <c r="U464" s="43" t="s">
        <v>182</v>
      </c>
    </row>
    <row r="465" spans="1:21" x14ac:dyDescent="0.3">
      <c r="A465" s="43">
        <v>7999999995</v>
      </c>
      <c r="B465" s="43" t="s">
        <v>566</v>
      </c>
      <c r="C465" s="49"/>
      <c r="D465" s="49">
        <f>-Datos!$J$269</f>
        <v>-48053.465346534649</v>
      </c>
      <c r="E465" s="43" t="s">
        <v>556</v>
      </c>
      <c r="F465" s="43" t="s">
        <v>557</v>
      </c>
      <c r="G465" s="43" t="s">
        <v>590</v>
      </c>
      <c r="H465" s="43" t="s">
        <v>591</v>
      </c>
      <c r="I465" s="43" t="s">
        <v>587</v>
      </c>
      <c r="J465" s="43" t="s">
        <v>444</v>
      </c>
      <c r="K465" s="43">
        <v>700005</v>
      </c>
      <c r="L465" s="43">
        <v>3</v>
      </c>
      <c r="M465" s="43" t="s">
        <v>565</v>
      </c>
      <c r="N465" s="51"/>
      <c r="O465" s="51"/>
      <c r="P465" s="43" t="str">
        <f>VLOOKUP(K465,Maestro!J:K,2,0)</f>
        <v>CALIZA PARA ADICIONES</v>
      </c>
      <c r="Q465" s="43" t="str">
        <f>VLOOKUP(P465,Maestro!E:F,2,0)</f>
        <v>Adiciones</v>
      </c>
      <c r="R465" s="43">
        <f>VLOOKUP(P465,ORD!$A:$C,3,0)</f>
        <v>2</v>
      </c>
      <c r="S465" t="str">
        <f t="shared" si="8"/>
        <v>7999999995CALIZATRIAdiciones</v>
      </c>
      <c r="T465" t="str">
        <f>IFERROR(VLOOKUP(S465,Maestro!$A:$H,8,0),"Producción")</f>
        <v>Producción</v>
      </c>
      <c r="U465" s="43" t="s">
        <v>182</v>
      </c>
    </row>
    <row r="466" spans="1:21" x14ac:dyDescent="0.3">
      <c r="A466" s="40">
        <v>7355250320</v>
      </c>
      <c r="B466" s="40" t="s">
        <v>490</v>
      </c>
      <c r="C466" s="52">
        <f>Datos!$J$124*D466</f>
        <v>43416879.651413225</v>
      </c>
      <c r="D466" s="49">
        <f>Datos!$J$269</f>
        <v>48053.465346534649</v>
      </c>
      <c r="E466" s="43"/>
      <c r="F466" s="43"/>
      <c r="G466" s="43"/>
      <c r="H466" s="43"/>
      <c r="I466" s="43" t="s">
        <v>587</v>
      </c>
      <c r="J466" s="43" t="s">
        <v>785</v>
      </c>
      <c r="K466" s="43">
        <v>700005</v>
      </c>
      <c r="L466" s="43">
        <v>3</v>
      </c>
      <c r="M466" s="43" t="s">
        <v>565</v>
      </c>
      <c r="N466" s="51"/>
      <c r="O466" s="51"/>
      <c r="P466" s="43" t="str">
        <f>VLOOKUP(K466,Maestro!J:K,2,0)</f>
        <v>CALIZA PARA ADICIONES</v>
      </c>
      <c r="Q466" s="43" t="str">
        <f>VLOOKUP(P466,Maestro!E:F,2,0)</f>
        <v>Adiciones</v>
      </c>
      <c r="R466" s="43">
        <f>VLOOKUP(P466,ORD!$A:$C,3,0)</f>
        <v>2</v>
      </c>
      <c r="S466" t="str">
        <f t="shared" si="8"/>
        <v>7355250320BARRAS Y PLACASAdiciones</v>
      </c>
      <c r="T466" t="str">
        <f>IFERROR(VLOOKUP(S466,Maestro!$A:$H,8,0),"Producción")</f>
        <v>Barras y Placas</v>
      </c>
      <c r="U466" s="43" t="s">
        <v>182</v>
      </c>
    </row>
    <row r="467" spans="1:21" x14ac:dyDescent="0.3">
      <c r="A467" s="43">
        <v>7199990001</v>
      </c>
      <c r="B467" s="43" t="s">
        <v>438</v>
      </c>
      <c r="C467" s="49">
        <f>Datos!$K$3*D467</f>
        <v>621473274.6547327</v>
      </c>
      <c r="D467" s="49">
        <f>Datos!$K$269</f>
        <v>44460.396039603962</v>
      </c>
      <c r="E467" s="43" t="s">
        <v>556</v>
      </c>
      <c r="F467" s="43" t="s">
        <v>557</v>
      </c>
      <c r="G467" s="43" t="s">
        <v>567</v>
      </c>
      <c r="H467" s="43" t="s">
        <v>568</v>
      </c>
      <c r="I467" s="43" t="s">
        <v>587</v>
      </c>
      <c r="J467" s="43" t="s">
        <v>439</v>
      </c>
      <c r="K467" s="43">
        <v>700005</v>
      </c>
      <c r="L467" s="43">
        <v>4</v>
      </c>
      <c r="M467" s="43" t="s">
        <v>588</v>
      </c>
      <c r="N467" s="51"/>
      <c r="O467" s="51"/>
      <c r="P467" s="43" t="str">
        <f>VLOOKUP(K467,Maestro!J:K,2,0)</f>
        <v>CALIZA PARA ADICIONES</v>
      </c>
      <c r="Q467" s="43" t="str">
        <f>VLOOKUP(P467,Maestro!E:F,2,0)</f>
        <v>Adiciones</v>
      </c>
      <c r="R467" s="43">
        <f>VLOOKUP(P467,ORD!$A:$C,3,0)</f>
        <v>2</v>
      </c>
      <c r="S467" t="str">
        <f t="shared" si="8"/>
        <v>7199990001CALTLVTRITAdiciones</v>
      </c>
      <c r="T467" t="str">
        <f>IFERROR(VLOOKUP(S467,Maestro!$A:$H,8,0),"Producción")</f>
        <v>Caliza</v>
      </c>
      <c r="U467" s="43" t="s">
        <v>182</v>
      </c>
    </row>
    <row r="468" spans="1:21" x14ac:dyDescent="0.3">
      <c r="A468" s="43">
        <v>7999999995</v>
      </c>
      <c r="B468" s="43" t="s">
        <v>566</v>
      </c>
      <c r="C468" s="49"/>
      <c r="D468" s="49">
        <f>-Datos!$K$269</f>
        <v>-44460.396039603962</v>
      </c>
      <c r="E468" s="43" t="s">
        <v>556</v>
      </c>
      <c r="F468" s="43" t="s">
        <v>557</v>
      </c>
      <c r="G468" s="43" t="s">
        <v>590</v>
      </c>
      <c r="H468" s="43" t="s">
        <v>591</v>
      </c>
      <c r="I468" s="43" t="s">
        <v>587</v>
      </c>
      <c r="J468" s="43" t="s">
        <v>444</v>
      </c>
      <c r="K468" s="43">
        <v>700005</v>
      </c>
      <c r="L468" s="43">
        <v>4</v>
      </c>
      <c r="M468" s="43" t="s">
        <v>565</v>
      </c>
      <c r="N468" s="51"/>
      <c r="O468" s="51"/>
      <c r="P468" s="43" t="str">
        <f>VLOOKUP(K468,Maestro!J:K,2,0)</f>
        <v>CALIZA PARA ADICIONES</v>
      </c>
      <c r="Q468" s="43" t="str">
        <f>VLOOKUP(P468,Maestro!E:F,2,0)</f>
        <v>Adiciones</v>
      </c>
      <c r="R468" s="43">
        <f>VLOOKUP(P468,ORD!$A:$C,3,0)</f>
        <v>2</v>
      </c>
      <c r="S468" t="str">
        <f t="shared" si="8"/>
        <v>7999999995CALIZATRIAdiciones</v>
      </c>
      <c r="T468" t="str">
        <f>IFERROR(VLOOKUP(S468,Maestro!$A:$H,8,0),"Producción")</f>
        <v>Producción</v>
      </c>
      <c r="U468" s="43" t="s">
        <v>182</v>
      </c>
    </row>
    <row r="469" spans="1:21" x14ac:dyDescent="0.3">
      <c r="A469" s="40">
        <v>7355250320</v>
      </c>
      <c r="B469" s="40" t="s">
        <v>490</v>
      </c>
      <c r="C469" s="52">
        <f>Datos!$K$124*D469</f>
        <v>40170498.634909779</v>
      </c>
      <c r="D469" s="49">
        <f>Datos!$K$269</f>
        <v>44460.396039603962</v>
      </c>
      <c r="E469" s="43"/>
      <c r="F469" s="43"/>
      <c r="G469" s="43"/>
      <c r="H469" s="43"/>
      <c r="I469" s="43" t="s">
        <v>587</v>
      </c>
      <c r="J469" s="43" t="s">
        <v>785</v>
      </c>
      <c r="K469" s="43">
        <v>700005</v>
      </c>
      <c r="L469" s="43">
        <v>4</v>
      </c>
      <c r="M469" s="43" t="s">
        <v>565</v>
      </c>
      <c r="N469" s="51"/>
      <c r="O469" s="51"/>
      <c r="P469" s="43" t="str">
        <f>VLOOKUP(K469,Maestro!J:K,2,0)</f>
        <v>CALIZA PARA ADICIONES</v>
      </c>
      <c r="Q469" s="43" t="str">
        <f>VLOOKUP(P469,Maestro!E:F,2,0)</f>
        <v>Adiciones</v>
      </c>
      <c r="R469" s="43">
        <f>VLOOKUP(P469,ORD!$A:$C,3,0)</f>
        <v>2</v>
      </c>
      <c r="S469" t="str">
        <f t="shared" si="8"/>
        <v>7355250320BARRAS Y PLACASAdiciones</v>
      </c>
      <c r="T469" t="str">
        <f>IFERROR(VLOOKUP(S469,Maestro!$A:$H,8,0),"Producción")</f>
        <v>Barras y Placas</v>
      </c>
      <c r="U469" s="43" t="s">
        <v>182</v>
      </c>
    </row>
    <row r="470" spans="1:21" x14ac:dyDescent="0.3">
      <c r="A470" s="43">
        <v>7199990001</v>
      </c>
      <c r="B470" s="43" t="s">
        <v>438</v>
      </c>
      <c r="C470" s="49">
        <f>Datos!$L$3*D470</f>
        <v>771412957.48758817</v>
      </c>
      <c r="D470" s="49">
        <f>Datos!$L$269</f>
        <v>55187.128712871287</v>
      </c>
      <c r="E470" s="43" t="s">
        <v>556</v>
      </c>
      <c r="F470" s="43" t="s">
        <v>557</v>
      </c>
      <c r="G470" s="43" t="s">
        <v>567</v>
      </c>
      <c r="H470" s="43" t="s">
        <v>568</v>
      </c>
      <c r="I470" s="43" t="s">
        <v>587</v>
      </c>
      <c r="J470" s="43" t="s">
        <v>439</v>
      </c>
      <c r="K470" s="43">
        <v>700005</v>
      </c>
      <c r="L470" s="43">
        <v>5</v>
      </c>
      <c r="M470" s="43" t="s">
        <v>588</v>
      </c>
      <c r="N470" s="51"/>
      <c r="O470" s="51"/>
      <c r="P470" s="43" t="str">
        <f>VLOOKUP(K470,Maestro!J:K,2,0)</f>
        <v>CALIZA PARA ADICIONES</v>
      </c>
      <c r="Q470" s="43" t="str">
        <f>VLOOKUP(P470,Maestro!E:F,2,0)</f>
        <v>Adiciones</v>
      </c>
      <c r="R470" s="43">
        <f>VLOOKUP(P470,ORD!$A:$C,3,0)</f>
        <v>2</v>
      </c>
      <c r="S470" t="str">
        <f t="shared" si="8"/>
        <v>7199990001CALTLVTRITAdiciones</v>
      </c>
      <c r="T470" t="str">
        <f>IFERROR(VLOOKUP(S470,Maestro!$A:$H,8,0),"Producción")</f>
        <v>Caliza</v>
      </c>
      <c r="U470" s="43" t="s">
        <v>182</v>
      </c>
    </row>
    <row r="471" spans="1:21" x14ac:dyDescent="0.3">
      <c r="A471" s="43">
        <v>7999999995</v>
      </c>
      <c r="B471" s="43" t="s">
        <v>566</v>
      </c>
      <c r="C471" s="49"/>
      <c r="D471" s="49">
        <f>-Datos!$L$269</f>
        <v>-55187.128712871287</v>
      </c>
      <c r="E471" s="43" t="s">
        <v>556</v>
      </c>
      <c r="F471" s="43" t="s">
        <v>557</v>
      </c>
      <c r="G471" s="43" t="s">
        <v>590</v>
      </c>
      <c r="H471" s="43" t="s">
        <v>591</v>
      </c>
      <c r="I471" s="43" t="s">
        <v>587</v>
      </c>
      <c r="J471" s="43" t="s">
        <v>444</v>
      </c>
      <c r="K471" s="43">
        <v>700005</v>
      </c>
      <c r="L471" s="43">
        <v>5</v>
      </c>
      <c r="M471" s="43" t="s">
        <v>565</v>
      </c>
      <c r="N471" s="51"/>
      <c r="O471" s="51"/>
      <c r="P471" s="43" t="str">
        <f>VLOOKUP(K471,Maestro!J:K,2,0)</f>
        <v>CALIZA PARA ADICIONES</v>
      </c>
      <c r="Q471" s="43" t="str">
        <f>VLOOKUP(P471,Maestro!E:F,2,0)</f>
        <v>Adiciones</v>
      </c>
      <c r="R471" s="43">
        <f>VLOOKUP(P471,ORD!$A:$C,3,0)</f>
        <v>2</v>
      </c>
      <c r="S471" t="str">
        <f t="shared" si="8"/>
        <v>7999999995CALIZATRIAdiciones</v>
      </c>
      <c r="T471" t="str">
        <f>IFERROR(VLOOKUP(S471,Maestro!$A:$H,8,0),"Producción")</f>
        <v>Producción</v>
      </c>
      <c r="U471" s="43" t="s">
        <v>182</v>
      </c>
    </row>
    <row r="472" spans="1:21" x14ac:dyDescent="0.3">
      <c r="A472" s="40">
        <v>7355250320</v>
      </c>
      <c r="B472" s="40" t="s">
        <v>490</v>
      </c>
      <c r="C472" s="52">
        <f>Datos!$L$124*D472</f>
        <v>49862229.671778999</v>
      </c>
      <c r="D472" s="49">
        <f>Datos!$L$269</f>
        <v>55187.128712871287</v>
      </c>
      <c r="E472" s="43"/>
      <c r="F472" s="43"/>
      <c r="G472" s="43"/>
      <c r="H472" s="43"/>
      <c r="I472" s="43" t="s">
        <v>587</v>
      </c>
      <c r="J472" s="43" t="s">
        <v>785</v>
      </c>
      <c r="K472" s="43">
        <v>700005</v>
      </c>
      <c r="L472" s="43">
        <v>5</v>
      </c>
      <c r="M472" s="43" t="s">
        <v>565</v>
      </c>
      <c r="N472" s="51"/>
      <c r="O472" s="51"/>
      <c r="P472" s="43" t="str">
        <f>VLOOKUP(K472,Maestro!J:K,2,0)</f>
        <v>CALIZA PARA ADICIONES</v>
      </c>
      <c r="Q472" s="43" t="str">
        <f>VLOOKUP(P472,Maestro!E:F,2,0)</f>
        <v>Adiciones</v>
      </c>
      <c r="R472" s="43">
        <f>VLOOKUP(P472,ORD!$A:$C,3,0)</f>
        <v>2</v>
      </c>
      <c r="S472" t="str">
        <f t="shared" si="8"/>
        <v>7355250320BARRAS Y PLACASAdiciones</v>
      </c>
      <c r="T472" t="str">
        <f>IFERROR(VLOOKUP(S472,Maestro!$A:$H,8,0),"Producción")</f>
        <v>Barras y Placas</v>
      </c>
      <c r="U472" s="43" t="s">
        <v>182</v>
      </c>
    </row>
    <row r="473" spans="1:21" x14ac:dyDescent="0.3">
      <c r="A473" s="43">
        <v>7199990001</v>
      </c>
      <c r="B473" s="43" t="s">
        <v>438</v>
      </c>
      <c r="C473" s="49">
        <f>Datos!$M$3*D473</f>
        <v>570653769.82159209</v>
      </c>
      <c r="D473" s="49">
        <f>Datos!$M$269</f>
        <v>40824.752475247522</v>
      </c>
      <c r="E473" s="43" t="s">
        <v>556</v>
      </c>
      <c r="F473" s="43" t="s">
        <v>557</v>
      </c>
      <c r="G473" s="43" t="s">
        <v>567</v>
      </c>
      <c r="H473" s="43" t="s">
        <v>568</v>
      </c>
      <c r="I473" s="43" t="s">
        <v>587</v>
      </c>
      <c r="J473" s="43" t="s">
        <v>439</v>
      </c>
      <c r="K473" s="43">
        <v>700005</v>
      </c>
      <c r="L473" s="43">
        <v>6</v>
      </c>
      <c r="M473" s="43" t="s">
        <v>588</v>
      </c>
      <c r="N473" s="51"/>
      <c r="O473" s="51"/>
      <c r="P473" s="43" t="str">
        <f>VLOOKUP(K473,Maestro!J:K,2,0)</f>
        <v>CALIZA PARA ADICIONES</v>
      </c>
      <c r="Q473" s="43" t="str">
        <f>VLOOKUP(P473,Maestro!E:F,2,0)</f>
        <v>Adiciones</v>
      </c>
      <c r="R473" s="43">
        <f>VLOOKUP(P473,ORD!$A:$C,3,0)</f>
        <v>2</v>
      </c>
      <c r="S473" t="str">
        <f t="shared" si="8"/>
        <v>7199990001CALTLVTRITAdiciones</v>
      </c>
      <c r="T473" t="str">
        <f>IFERROR(VLOOKUP(S473,Maestro!$A:$H,8,0),"Producción")</f>
        <v>Caliza</v>
      </c>
      <c r="U473" s="43" t="s">
        <v>182</v>
      </c>
    </row>
    <row r="474" spans="1:21" x14ac:dyDescent="0.3">
      <c r="A474" s="43">
        <v>7999999995</v>
      </c>
      <c r="B474" s="43" t="s">
        <v>566</v>
      </c>
      <c r="C474" s="49"/>
      <c r="D474" s="49">
        <f>-Datos!$M$269</f>
        <v>-40824.752475247522</v>
      </c>
      <c r="E474" s="43" t="s">
        <v>556</v>
      </c>
      <c r="F474" s="43" t="s">
        <v>557</v>
      </c>
      <c r="G474" s="43" t="s">
        <v>590</v>
      </c>
      <c r="H474" s="43" t="s">
        <v>591</v>
      </c>
      <c r="I474" s="43" t="s">
        <v>587</v>
      </c>
      <c r="J474" s="43" t="s">
        <v>444</v>
      </c>
      <c r="K474" s="43">
        <v>700005</v>
      </c>
      <c r="L474" s="43">
        <v>6</v>
      </c>
      <c r="M474" s="43" t="s">
        <v>565</v>
      </c>
      <c r="N474" s="51"/>
      <c r="O474" s="51"/>
      <c r="P474" s="43" t="str">
        <f>VLOOKUP(K474,Maestro!J:K,2,0)</f>
        <v>CALIZA PARA ADICIONES</v>
      </c>
      <c r="Q474" s="43" t="str">
        <f>VLOOKUP(P474,Maestro!E:F,2,0)</f>
        <v>Adiciones</v>
      </c>
      <c r="R474" s="43">
        <f>VLOOKUP(P474,ORD!$A:$C,3,0)</f>
        <v>2</v>
      </c>
      <c r="S474" t="str">
        <f t="shared" si="8"/>
        <v>7999999995CALIZATRIAdiciones</v>
      </c>
      <c r="T474" t="str">
        <f>IFERROR(VLOOKUP(S474,Maestro!$A:$H,8,0),"Producción")</f>
        <v>Producción</v>
      </c>
      <c r="U474" s="43" t="s">
        <v>182</v>
      </c>
    </row>
    <row r="475" spans="1:21" x14ac:dyDescent="0.3">
      <c r="A475" s="40">
        <v>7355250320</v>
      </c>
      <c r="B475" s="40" t="s">
        <v>490</v>
      </c>
      <c r="C475" s="52">
        <f>Datos!$M$124*D475</f>
        <v>36885651.268527664</v>
      </c>
      <c r="D475" s="49">
        <f>Datos!$M$269</f>
        <v>40824.752475247522</v>
      </c>
      <c r="E475" s="43"/>
      <c r="F475" s="43"/>
      <c r="G475" s="43"/>
      <c r="H475" s="43"/>
      <c r="I475" s="43" t="s">
        <v>587</v>
      </c>
      <c r="J475" s="43" t="s">
        <v>785</v>
      </c>
      <c r="K475" s="43">
        <v>700005</v>
      </c>
      <c r="L475" s="43">
        <v>6</v>
      </c>
      <c r="M475" s="43" t="s">
        <v>565</v>
      </c>
      <c r="N475" s="51"/>
      <c r="O475" s="51"/>
      <c r="P475" s="43" t="str">
        <f>VLOOKUP(K475,Maestro!J:K,2,0)</f>
        <v>CALIZA PARA ADICIONES</v>
      </c>
      <c r="Q475" s="43" t="str">
        <f>VLOOKUP(P475,Maestro!E:F,2,0)</f>
        <v>Adiciones</v>
      </c>
      <c r="R475" s="43">
        <f>VLOOKUP(P475,ORD!$A:$C,3,0)</f>
        <v>2</v>
      </c>
      <c r="S475" t="str">
        <f t="shared" si="8"/>
        <v>7355250320BARRAS Y PLACASAdiciones</v>
      </c>
      <c r="T475" t="str">
        <f>IFERROR(VLOOKUP(S475,Maestro!$A:$H,8,0),"Producción")</f>
        <v>Barras y Placas</v>
      </c>
      <c r="U475" s="43" t="s">
        <v>182</v>
      </c>
    </row>
    <row r="476" spans="1:21" x14ac:dyDescent="0.3">
      <c r="A476" s="43">
        <v>7199990001</v>
      </c>
      <c r="B476" s="43" t="s">
        <v>438</v>
      </c>
      <c r="C476" s="49">
        <f>Datos!$N$3*D476</f>
        <v>725146725.2824713</v>
      </c>
      <c r="D476" s="49">
        <f>Datos!$N$269</f>
        <v>51877.227722772281</v>
      </c>
      <c r="E476" s="43" t="s">
        <v>556</v>
      </c>
      <c r="F476" s="43" t="s">
        <v>557</v>
      </c>
      <c r="G476" s="43" t="s">
        <v>567</v>
      </c>
      <c r="H476" s="43" t="s">
        <v>568</v>
      </c>
      <c r="I476" s="43" t="s">
        <v>587</v>
      </c>
      <c r="J476" s="43" t="s">
        <v>439</v>
      </c>
      <c r="K476" s="43">
        <v>700005</v>
      </c>
      <c r="L476" s="43">
        <v>7</v>
      </c>
      <c r="M476" s="43" t="s">
        <v>588</v>
      </c>
      <c r="N476" s="51"/>
      <c r="O476" s="51"/>
      <c r="P476" s="43" t="str">
        <f>VLOOKUP(K476,Maestro!J:K,2,0)</f>
        <v>CALIZA PARA ADICIONES</v>
      </c>
      <c r="Q476" s="43" t="str">
        <f>VLOOKUP(P476,Maestro!E:F,2,0)</f>
        <v>Adiciones</v>
      </c>
      <c r="R476" s="43">
        <f>VLOOKUP(P476,ORD!$A:$C,3,0)</f>
        <v>2</v>
      </c>
      <c r="S476" t="str">
        <f t="shared" si="8"/>
        <v>7199990001CALTLVTRITAdiciones</v>
      </c>
      <c r="T476" t="str">
        <f>IFERROR(VLOOKUP(S476,Maestro!$A:$H,8,0),"Producción")</f>
        <v>Caliza</v>
      </c>
      <c r="U476" s="43" t="s">
        <v>182</v>
      </c>
    </row>
    <row r="477" spans="1:21" x14ac:dyDescent="0.3">
      <c r="A477" s="43">
        <v>7999999995</v>
      </c>
      <c r="B477" s="43" t="s">
        <v>566</v>
      </c>
      <c r="C477" s="49"/>
      <c r="D477" s="49">
        <f>-Datos!$N$269</f>
        <v>-51877.227722772281</v>
      </c>
      <c r="E477" s="43" t="s">
        <v>556</v>
      </c>
      <c r="F477" s="43" t="s">
        <v>557</v>
      </c>
      <c r="G477" s="43" t="s">
        <v>590</v>
      </c>
      <c r="H477" s="43" t="s">
        <v>591</v>
      </c>
      <c r="I477" s="43" t="s">
        <v>587</v>
      </c>
      <c r="J477" s="43" t="s">
        <v>444</v>
      </c>
      <c r="K477" s="43">
        <v>700005</v>
      </c>
      <c r="L477" s="43">
        <v>7</v>
      </c>
      <c r="M477" s="43" t="s">
        <v>565</v>
      </c>
      <c r="N477" s="51"/>
      <c r="O477" s="51"/>
      <c r="P477" s="43" t="str">
        <f>VLOOKUP(K477,Maestro!J:K,2,0)</f>
        <v>CALIZA PARA ADICIONES</v>
      </c>
      <c r="Q477" s="43" t="str">
        <f>VLOOKUP(P477,Maestro!E:F,2,0)</f>
        <v>Adiciones</v>
      </c>
      <c r="R477" s="43">
        <f>VLOOKUP(P477,ORD!$A:$C,3,0)</f>
        <v>2</v>
      </c>
      <c r="S477" t="str">
        <f t="shared" si="8"/>
        <v>7999999995CALIZATRIAdiciones</v>
      </c>
      <c r="T477" t="str">
        <f>IFERROR(VLOOKUP(S477,Maestro!$A:$H,8,0),"Producción")</f>
        <v>Producción</v>
      </c>
      <c r="U477" s="43" t="s">
        <v>182</v>
      </c>
    </row>
    <row r="478" spans="1:21" x14ac:dyDescent="0.3">
      <c r="A478" s="40">
        <v>7355250320</v>
      </c>
      <c r="B478" s="40" t="s">
        <v>490</v>
      </c>
      <c r="C478" s="52">
        <f>Datos!$N$124*D478</f>
        <v>46871694.610282436</v>
      </c>
      <c r="D478" s="49">
        <f>Datos!$N$269</f>
        <v>51877.227722772281</v>
      </c>
      <c r="E478" s="43"/>
      <c r="F478" s="43"/>
      <c r="G478" s="43"/>
      <c r="H478" s="43"/>
      <c r="I478" s="43" t="s">
        <v>587</v>
      </c>
      <c r="J478" s="43" t="s">
        <v>785</v>
      </c>
      <c r="K478" s="43">
        <v>700005</v>
      </c>
      <c r="L478" s="43">
        <v>7</v>
      </c>
      <c r="M478" s="43" t="s">
        <v>565</v>
      </c>
      <c r="N478" s="51"/>
      <c r="O478" s="51"/>
      <c r="P478" s="43" t="str">
        <f>VLOOKUP(K478,Maestro!J:K,2,0)</f>
        <v>CALIZA PARA ADICIONES</v>
      </c>
      <c r="Q478" s="43" t="str">
        <f>VLOOKUP(P478,Maestro!E:F,2,0)</f>
        <v>Adiciones</v>
      </c>
      <c r="R478" s="43">
        <f>VLOOKUP(P478,ORD!$A:$C,3,0)</f>
        <v>2</v>
      </c>
      <c r="S478" t="str">
        <f t="shared" si="8"/>
        <v>7355250320BARRAS Y PLACASAdiciones</v>
      </c>
      <c r="T478" t="str">
        <f>IFERROR(VLOOKUP(S478,Maestro!$A:$H,8,0),"Producción")</f>
        <v>Barras y Placas</v>
      </c>
      <c r="U478" s="43" t="s">
        <v>182</v>
      </c>
    </row>
    <row r="479" spans="1:21" x14ac:dyDescent="0.3">
      <c r="A479" s="43">
        <v>7199990001</v>
      </c>
      <c r="B479" s="43" t="s">
        <v>438</v>
      </c>
      <c r="C479" s="49">
        <f>Datos!$O$3*D479</f>
        <v>782498584.76736629</v>
      </c>
      <c r="D479" s="49">
        <f>Datos!$O$269</f>
        <v>55980.198019801974</v>
      </c>
      <c r="E479" s="43" t="s">
        <v>556</v>
      </c>
      <c r="F479" s="43" t="s">
        <v>557</v>
      </c>
      <c r="G479" s="43" t="s">
        <v>567</v>
      </c>
      <c r="H479" s="43" t="s">
        <v>568</v>
      </c>
      <c r="I479" s="43" t="s">
        <v>587</v>
      </c>
      <c r="J479" s="43" t="s">
        <v>439</v>
      </c>
      <c r="K479" s="43">
        <v>700005</v>
      </c>
      <c r="L479" s="43">
        <v>8</v>
      </c>
      <c r="M479" s="43" t="s">
        <v>588</v>
      </c>
      <c r="N479" s="51"/>
      <c r="O479" s="51"/>
      <c r="P479" s="43" t="str">
        <f>VLOOKUP(K479,Maestro!J:K,2,0)</f>
        <v>CALIZA PARA ADICIONES</v>
      </c>
      <c r="Q479" s="43" t="str">
        <f>VLOOKUP(P479,Maestro!E:F,2,0)</f>
        <v>Adiciones</v>
      </c>
      <c r="R479" s="43">
        <f>VLOOKUP(P479,ORD!$A:$C,3,0)</f>
        <v>2</v>
      </c>
      <c r="S479" t="str">
        <f t="shared" si="8"/>
        <v>7199990001CALTLVTRITAdiciones</v>
      </c>
      <c r="T479" t="str">
        <f>IFERROR(VLOOKUP(S479,Maestro!$A:$H,8,0),"Producción")</f>
        <v>Caliza</v>
      </c>
      <c r="U479" s="43" t="s">
        <v>182</v>
      </c>
    </row>
    <row r="480" spans="1:21" x14ac:dyDescent="0.3">
      <c r="A480" s="43">
        <v>7999999995</v>
      </c>
      <c r="B480" s="43" t="s">
        <v>566</v>
      </c>
      <c r="C480" s="49"/>
      <c r="D480" s="49">
        <f>-Datos!$O$269</f>
        <v>-55980.198019801974</v>
      </c>
      <c r="E480" s="43" t="s">
        <v>556</v>
      </c>
      <c r="F480" s="43" t="s">
        <v>557</v>
      </c>
      <c r="G480" s="43" t="s">
        <v>590</v>
      </c>
      <c r="H480" s="43" t="s">
        <v>591</v>
      </c>
      <c r="I480" s="43" t="s">
        <v>587</v>
      </c>
      <c r="J480" s="43" t="s">
        <v>444</v>
      </c>
      <c r="K480" s="43">
        <v>700005</v>
      </c>
      <c r="L480" s="43">
        <v>8</v>
      </c>
      <c r="M480" s="43" t="s">
        <v>565</v>
      </c>
      <c r="N480" s="51"/>
      <c r="O480" s="51"/>
      <c r="P480" s="43" t="str">
        <f>VLOOKUP(K480,Maestro!J:K,2,0)</f>
        <v>CALIZA PARA ADICIONES</v>
      </c>
      <c r="Q480" s="43" t="str">
        <f>VLOOKUP(P480,Maestro!E:F,2,0)</f>
        <v>Adiciones</v>
      </c>
      <c r="R480" s="43">
        <f>VLOOKUP(P480,ORD!$A:$C,3,0)</f>
        <v>2</v>
      </c>
      <c r="S480" t="str">
        <f t="shared" si="8"/>
        <v>7999999995CALIZATRIAdiciones</v>
      </c>
      <c r="T480" t="str">
        <f>IFERROR(VLOOKUP(S480,Maestro!$A:$H,8,0),"Producción")</f>
        <v>Producción</v>
      </c>
      <c r="U480" s="43" t="s">
        <v>182</v>
      </c>
    </row>
    <row r="481" spans="1:21" x14ac:dyDescent="0.3">
      <c r="A481" s="40">
        <v>7355250320</v>
      </c>
      <c r="B481" s="40" t="s">
        <v>490</v>
      </c>
      <c r="C481" s="52">
        <f>Datos!$O$124*D481</f>
        <v>50578777.259053528</v>
      </c>
      <c r="D481" s="49">
        <f>Datos!$O$269</f>
        <v>55980.198019801974</v>
      </c>
      <c r="E481" s="43"/>
      <c r="F481" s="43"/>
      <c r="G481" s="43"/>
      <c r="H481" s="43"/>
      <c r="I481" s="43" t="s">
        <v>587</v>
      </c>
      <c r="J481" s="43" t="s">
        <v>785</v>
      </c>
      <c r="K481" s="43">
        <v>700005</v>
      </c>
      <c r="L481" s="43">
        <v>8</v>
      </c>
      <c r="M481" s="43" t="s">
        <v>565</v>
      </c>
      <c r="N481" s="51"/>
      <c r="O481" s="51"/>
      <c r="P481" s="43" t="str">
        <f>VLOOKUP(K481,Maestro!J:K,2,0)</f>
        <v>CALIZA PARA ADICIONES</v>
      </c>
      <c r="Q481" s="43" t="str">
        <f>VLOOKUP(P481,Maestro!E:F,2,0)</f>
        <v>Adiciones</v>
      </c>
      <c r="R481" s="43">
        <f>VLOOKUP(P481,ORD!$A:$C,3,0)</f>
        <v>2</v>
      </c>
      <c r="S481" t="str">
        <f t="shared" si="8"/>
        <v>7355250320BARRAS Y PLACASAdiciones</v>
      </c>
      <c r="T481" t="str">
        <f>IFERROR(VLOOKUP(S481,Maestro!$A:$H,8,0),"Producción")</f>
        <v>Barras y Placas</v>
      </c>
      <c r="U481" s="43" t="s">
        <v>182</v>
      </c>
    </row>
    <row r="482" spans="1:21" x14ac:dyDescent="0.3">
      <c r="A482" s="43">
        <v>7199990001</v>
      </c>
      <c r="B482" s="43" t="s">
        <v>438</v>
      </c>
      <c r="C482" s="49">
        <f>Datos!$P$3*D482</f>
        <v>710808760.41124761</v>
      </c>
      <c r="D482" s="49">
        <f>Datos!$P$269</f>
        <v>50851.485148514854</v>
      </c>
      <c r="E482" s="43" t="s">
        <v>556</v>
      </c>
      <c r="F482" s="43" t="s">
        <v>557</v>
      </c>
      <c r="G482" s="43" t="s">
        <v>567</v>
      </c>
      <c r="H482" s="43" t="s">
        <v>568</v>
      </c>
      <c r="I482" s="43" t="s">
        <v>587</v>
      </c>
      <c r="J482" s="43" t="s">
        <v>439</v>
      </c>
      <c r="K482" s="43">
        <v>700005</v>
      </c>
      <c r="L482" s="43">
        <v>9</v>
      </c>
      <c r="M482" s="43" t="s">
        <v>588</v>
      </c>
      <c r="N482" s="51"/>
      <c r="O482" s="51"/>
      <c r="P482" s="43" t="str">
        <f>VLOOKUP(K482,Maestro!J:K,2,0)</f>
        <v>CALIZA PARA ADICIONES</v>
      </c>
      <c r="Q482" s="43" t="str">
        <f>VLOOKUP(P482,Maestro!E:F,2,0)</f>
        <v>Adiciones</v>
      </c>
      <c r="R482" s="43">
        <f>VLOOKUP(P482,ORD!$A:$C,3,0)</f>
        <v>2</v>
      </c>
      <c r="S482" t="str">
        <f t="shared" si="8"/>
        <v>7199990001CALTLVTRITAdiciones</v>
      </c>
      <c r="T482" t="str">
        <f>IFERROR(VLOOKUP(S482,Maestro!$A:$H,8,0),"Producción")</f>
        <v>Caliza</v>
      </c>
      <c r="U482" s="43" t="s">
        <v>182</v>
      </c>
    </row>
    <row r="483" spans="1:21" x14ac:dyDescent="0.3">
      <c r="A483" s="43">
        <v>7999999995</v>
      </c>
      <c r="B483" s="43" t="s">
        <v>566</v>
      </c>
      <c r="C483" s="49"/>
      <c r="D483" s="49">
        <f>-Datos!$P$269</f>
        <v>-50851.485148514854</v>
      </c>
      <c r="E483" s="43" t="s">
        <v>556</v>
      </c>
      <c r="F483" s="43" t="s">
        <v>557</v>
      </c>
      <c r="G483" s="43" t="s">
        <v>590</v>
      </c>
      <c r="H483" s="43" t="s">
        <v>591</v>
      </c>
      <c r="I483" s="43" t="s">
        <v>587</v>
      </c>
      <c r="J483" s="43" t="s">
        <v>444</v>
      </c>
      <c r="K483" s="43">
        <v>700005</v>
      </c>
      <c r="L483" s="43">
        <v>9</v>
      </c>
      <c r="M483" s="43" t="s">
        <v>565</v>
      </c>
      <c r="N483" s="51"/>
      <c r="O483" s="51"/>
      <c r="P483" s="43" t="str">
        <f>VLOOKUP(K483,Maestro!J:K,2,0)</f>
        <v>CALIZA PARA ADICIONES</v>
      </c>
      <c r="Q483" s="43" t="str">
        <f>VLOOKUP(P483,Maestro!E:F,2,0)</f>
        <v>Adiciones</v>
      </c>
      <c r="R483" s="43">
        <f>VLOOKUP(P483,ORD!$A:$C,3,0)</f>
        <v>2</v>
      </c>
      <c r="S483" t="str">
        <f t="shared" si="8"/>
        <v>7999999995CALIZATRIAdiciones</v>
      </c>
      <c r="T483" t="str">
        <f>IFERROR(VLOOKUP(S483,Maestro!$A:$H,8,0),"Producción")</f>
        <v>Producción</v>
      </c>
      <c r="U483" s="43" t="s">
        <v>182</v>
      </c>
    </row>
    <row r="484" spans="1:21" x14ac:dyDescent="0.3">
      <c r="A484" s="40">
        <v>7355250320</v>
      </c>
      <c r="B484" s="40" t="s">
        <v>490</v>
      </c>
      <c r="C484" s="52">
        <f>Datos!$P$124*D484</f>
        <v>45944923.948089659</v>
      </c>
      <c r="D484" s="49">
        <f>Datos!$P$269</f>
        <v>50851.485148514854</v>
      </c>
      <c r="E484" s="43"/>
      <c r="F484" s="43"/>
      <c r="G484" s="43"/>
      <c r="H484" s="43"/>
      <c r="I484" s="43" t="s">
        <v>587</v>
      </c>
      <c r="J484" s="43" t="s">
        <v>785</v>
      </c>
      <c r="K484" s="43">
        <v>700005</v>
      </c>
      <c r="L484" s="43">
        <v>9</v>
      </c>
      <c r="M484" s="43" t="s">
        <v>565</v>
      </c>
      <c r="N484" s="51"/>
      <c r="O484" s="51"/>
      <c r="P484" s="43" t="str">
        <f>VLOOKUP(K484,Maestro!J:K,2,0)</f>
        <v>CALIZA PARA ADICIONES</v>
      </c>
      <c r="Q484" s="43" t="str">
        <f>VLOOKUP(P484,Maestro!E:F,2,0)</f>
        <v>Adiciones</v>
      </c>
      <c r="R484" s="43">
        <f>VLOOKUP(P484,ORD!$A:$C,3,0)</f>
        <v>2</v>
      </c>
      <c r="S484" t="str">
        <f t="shared" si="8"/>
        <v>7355250320BARRAS Y PLACASAdiciones</v>
      </c>
      <c r="T484" t="str">
        <f>IFERROR(VLOOKUP(S484,Maestro!$A:$H,8,0),"Producción")</f>
        <v>Barras y Placas</v>
      </c>
      <c r="U484" s="43" t="s">
        <v>182</v>
      </c>
    </row>
    <row r="485" spans="1:21" x14ac:dyDescent="0.3">
      <c r="A485" s="43">
        <v>7199990001</v>
      </c>
      <c r="B485" s="43" t="s">
        <v>438</v>
      </c>
      <c r="C485" s="49">
        <f>Datos!$Q$3*D485</f>
        <v>674977687.96761978</v>
      </c>
      <c r="D485" s="49">
        <f>Datos!$Q$269</f>
        <v>48288.118811881184</v>
      </c>
      <c r="E485" s="43" t="s">
        <v>556</v>
      </c>
      <c r="F485" s="43" t="s">
        <v>557</v>
      </c>
      <c r="G485" s="43" t="s">
        <v>567</v>
      </c>
      <c r="H485" s="43" t="s">
        <v>568</v>
      </c>
      <c r="I485" s="43" t="s">
        <v>587</v>
      </c>
      <c r="J485" s="43" t="s">
        <v>439</v>
      </c>
      <c r="K485" s="43">
        <v>700005</v>
      </c>
      <c r="L485" s="43">
        <v>10</v>
      </c>
      <c r="M485" s="43" t="s">
        <v>588</v>
      </c>
      <c r="N485" s="51"/>
      <c r="O485" s="51"/>
      <c r="P485" s="43" t="str">
        <f>VLOOKUP(K485,Maestro!J:K,2,0)</f>
        <v>CALIZA PARA ADICIONES</v>
      </c>
      <c r="Q485" s="43" t="str">
        <f>VLOOKUP(P485,Maestro!E:F,2,0)</f>
        <v>Adiciones</v>
      </c>
      <c r="R485" s="43">
        <f>VLOOKUP(P485,ORD!$A:$C,3,0)</f>
        <v>2</v>
      </c>
      <c r="S485" t="str">
        <f t="shared" si="8"/>
        <v>7199990001CALTLVTRITAdiciones</v>
      </c>
      <c r="T485" t="str">
        <f>IFERROR(VLOOKUP(S485,Maestro!$A:$H,8,0),"Producción")</f>
        <v>Caliza</v>
      </c>
      <c r="U485" s="43" t="s">
        <v>182</v>
      </c>
    </row>
    <row r="486" spans="1:21" x14ac:dyDescent="0.3">
      <c r="A486" s="43">
        <v>7999999995</v>
      </c>
      <c r="B486" s="43" t="s">
        <v>566</v>
      </c>
      <c r="C486" s="49"/>
      <c r="D486" s="49">
        <f>-Datos!$Q$269</f>
        <v>-48288.118811881184</v>
      </c>
      <c r="E486" s="43" t="s">
        <v>556</v>
      </c>
      <c r="F486" s="43" t="s">
        <v>557</v>
      </c>
      <c r="G486" s="43" t="s">
        <v>590</v>
      </c>
      <c r="H486" s="43" t="s">
        <v>591</v>
      </c>
      <c r="I486" s="43" t="s">
        <v>587</v>
      </c>
      <c r="J486" s="43" t="s">
        <v>444</v>
      </c>
      <c r="K486" s="43">
        <v>700005</v>
      </c>
      <c r="L486" s="43">
        <v>10</v>
      </c>
      <c r="M486" s="43" t="s">
        <v>565</v>
      </c>
      <c r="N486" s="51"/>
      <c r="O486" s="51"/>
      <c r="P486" s="43" t="str">
        <f>VLOOKUP(K486,Maestro!J:K,2,0)</f>
        <v>CALIZA PARA ADICIONES</v>
      </c>
      <c r="Q486" s="43" t="str">
        <f>VLOOKUP(P486,Maestro!E:F,2,0)</f>
        <v>Adiciones</v>
      </c>
      <c r="R486" s="43">
        <f>VLOOKUP(P486,ORD!$A:$C,3,0)</f>
        <v>2</v>
      </c>
      <c r="S486" t="str">
        <f t="shared" si="8"/>
        <v>7999999995CALIZATRIAdiciones</v>
      </c>
      <c r="T486" t="str">
        <f>IFERROR(VLOOKUP(S486,Maestro!$A:$H,8,0),"Producción")</f>
        <v>Producción</v>
      </c>
      <c r="U486" s="43" t="s">
        <v>182</v>
      </c>
    </row>
    <row r="487" spans="1:21" x14ac:dyDescent="0.3">
      <c r="A487" s="40">
        <v>7355250320</v>
      </c>
      <c r="B487" s="40" t="s">
        <v>490</v>
      </c>
      <c r="C487" s="52">
        <f>Datos!$Q$124*D487</f>
        <v>43628891.858883969</v>
      </c>
      <c r="D487" s="49">
        <f>Datos!$Q$269</f>
        <v>48288.118811881184</v>
      </c>
      <c r="E487" s="43"/>
      <c r="F487" s="43"/>
      <c r="G487" s="43"/>
      <c r="H487" s="43"/>
      <c r="I487" s="43" t="s">
        <v>587</v>
      </c>
      <c r="J487" s="43" t="s">
        <v>785</v>
      </c>
      <c r="K487" s="43">
        <v>700005</v>
      </c>
      <c r="L487" s="43">
        <v>10</v>
      </c>
      <c r="M487" s="43" t="s">
        <v>565</v>
      </c>
      <c r="N487" s="51"/>
      <c r="O487" s="51"/>
      <c r="P487" s="43" t="str">
        <f>VLOOKUP(K487,Maestro!J:K,2,0)</f>
        <v>CALIZA PARA ADICIONES</v>
      </c>
      <c r="Q487" s="43" t="str">
        <f>VLOOKUP(P487,Maestro!E:F,2,0)</f>
        <v>Adiciones</v>
      </c>
      <c r="R487" s="43">
        <f>VLOOKUP(P487,ORD!$A:$C,3,0)</f>
        <v>2</v>
      </c>
      <c r="S487" t="str">
        <f t="shared" si="8"/>
        <v>7355250320BARRAS Y PLACASAdiciones</v>
      </c>
      <c r="T487" t="str">
        <f>IFERROR(VLOOKUP(S487,Maestro!$A:$H,8,0),"Producción")</f>
        <v>Barras y Placas</v>
      </c>
      <c r="U487" s="43" t="s">
        <v>182</v>
      </c>
    </row>
    <row r="488" spans="1:21" x14ac:dyDescent="0.3">
      <c r="A488" s="43">
        <v>7199990001</v>
      </c>
      <c r="B488" s="43" t="s">
        <v>438</v>
      </c>
      <c r="C488" s="49">
        <f>Datos!$R$3*D488</f>
        <v>788380471.9008317</v>
      </c>
      <c r="D488" s="49">
        <f>Datos!$R$269</f>
        <v>56400.990099009898</v>
      </c>
      <c r="E488" s="43" t="s">
        <v>556</v>
      </c>
      <c r="F488" s="43" t="s">
        <v>557</v>
      </c>
      <c r="G488" s="43" t="s">
        <v>567</v>
      </c>
      <c r="H488" s="43" t="s">
        <v>568</v>
      </c>
      <c r="I488" s="43" t="s">
        <v>587</v>
      </c>
      <c r="J488" s="43" t="s">
        <v>439</v>
      </c>
      <c r="K488" s="43">
        <v>700005</v>
      </c>
      <c r="L488" s="43">
        <v>11</v>
      </c>
      <c r="M488" s="43" t="s">
        <v>588</v>
      </c>
      <c r="N488" s="51"/>
      <c r="O488" s="51"/>
      <c r="P488" s="43" t="str">
        <f>VLOOKUP(K488,Maestro!J:K,2,0)</f>
        <v>CALIZA PARA ADICIONES</v>
      </c>
      <c r="Q488" s="43" t="str">
        <f>VLOOKUP(P488,Maestro!E:F,2,0)</f>
        <v>Adiciones</v>
      </c>
      <c r="R488" s="43">
        <f>VLOOKUP(P488,ORD!$A:$C,3,0)</f>
        <v>2</v>
      </c>
      <c r="S488" t="str">
        <f t="shared" si="8"/>
        <v>7199990001CALTLVTRITAdiciones</v>
      </c>
      <c r="T488" t="str">
        <f>IFERROR(VLOOKUP(S488,Maestro!$A:$H,8,0),"Producción")</f>
        <v>Caliza</v>
      </c>
      <c r="U488" s="43" t="s">
        <v>182</v>
      </c>
    </row>
    <row r="489" spans="1:21" x14ac:dyDescent="0.3">
      <c r="A489" s="43">
        <v>7999999995</v>
      </c>
      <c r="B489" s="43" t="s">
        <v>566</v>
      </c>
      <c r="C489" s="49"/>
      <c r="D489" s="49">
        <f>-Datos!$R$269</f>
        <v>-56400.990099009898</v>
      </c>
      <c r="E489" s="43" t="s">
        <v>556</v>
      </c>
      <c r="F489" s="43" t="s">
        <v>557</v>
      </c>
      <c r="G489" s="43" t="s">
        <v>590</v>
      </c>
      <c r="H489" s="43" t="s">
        <v>591</v>
      </c>
      <c r="I489" s="43" t="s">
        <v>587</v>
      </c>
      <c r="J489" s="43" t="s">
        <v>444</v>
      </c>
      <c r="K489" s="43">
        <v>700005</v>
      </c>
      <c r="L489" s="43">
        <v>11</v>
      </c>
      <c r="M489" s="43" t="s">
        <v>565</v>
      </c>
      <c r="N489" s="51"/>
      <c r="O489" s="51"/>
      <c r="P489" s="43" t="str">
        <f>VLOOKUP(K489,Maestro!J:K,2,0)</f>
        <v>CALIZA PARA ADICIONES</v>
      </c>
      <c r="Q489" s="43" t="str">
        <f>VLOOKUP(P489,Maestro!E:F,2,0)</f>
        <v>Adiciones</v>
      </c>
      <c r="R489" s="43">
        <f>VLOOKUP(P489,ORD!$A:$C,3,0)</f>
        <v>2</v>
      </c>
      <c r="S489" t="str">
        <f t="shared" si="8"/>
        <v>7999999995CALIZATRIAdiciones</v>
      </c>
      <c r="T489" t="str">
        <f>IFERROR(VLOOKUP(S489,Maestro!$A:$H,8,0),"Producción")</f>
        <v>Producción</v>
      </c>
      <c r="U489" s="43" t="s">
        <v>182</v>
      </c>
    </row>
    <row r="490" spans="1:21" x14ac:dyDescent="0.3">
      <c r="A490" s="40">
        <v>7355250320</v>
      </c>
      <c r="B490" s="40" t="s">
        <v>490</v>
      </c>
      <c r="C490" s="52">
        <f>Datos!$R$124*D490</f>
        <v>50958967.926458865</v>
      </c>
      <c r="D490" s="49">
        <f>Datos!$R$269</f>
        <v>56400.990099009898</v>
      </c>
      <c r="E490" s="43"/>
      <c r="F490" s="43"/>
      <c r="G490" s="43"/>
      <c r="H490" s="43"/>
      <c r="I490" s="43" t="s">
        <v>587</v>
      </c>
      <c r="J490" s="43" t="s">
        <v>785</v>
      </c>
      <c r="K490" s="43">
        <v>700005</v>
      </c>
      <c r="L490" s="43">
        <v>11</v>
      </c>
      <c r="M490" s="43" t="s">
        <v>565</v>
      </c>
      <c r="N490" s="51"/>
      <c r="O490" s="51"/>
      <c r="P490" s="43" t="str">
        <f>VLOOKUP(K490,Maestro!J:K,2,0)</f>
        <v>CALIZA PARA ADICIONES</v>
      </c>
      <c r="Q490" s="43" t="str">
        <f>VLOOKUP(P490,Maestro!E:F,2,0)</f>
        <v>Adiciones</v>
      </c>
      <c r="R490" s="43">
        <f>VLOOKUP(P490,ORD!$A:$C,3,0)</f>
        <v>2</v>
      </c>
      <c r="S490" t="str">
        <f t="shared" si="8"/>
        <v>7355250320BARRAS Y PLACASAdiciones</v>
      </c>
      <c r="T490" t="str">
        <f>IFERROR(VLOOKUP(S490,Maestro!$A:$H,8,0),"Producción")</f>
        <v>Barras y Placas</v>
      </c>
      <c r="U490" s="43" t="s">
        <v>182</v>
      </c>
    </row>
    <row r="491" spans="1:21" x14ac:dyDescent="0.3">
      <c r="A491" s="43">
        <v>7199990001</v>
      </c>
      <c r="B491" s="43" t="s">
        <v>438</v>
      </c>
      <c r="C491" s="49">
        <f>Datos!$S$3*D491</f>
        <v>664451627.06685138</v>
      </c>
      <c r="D491" s="49">
        <f>Datos!$S$269</f>
        <v>47535.08106195517</v>
      </c>
      <c r="E491" s="43" t="s">
        <v>556</v>
      </c>
      <c r="F491" s="43" t="s">
        <v>557</v>
      </c>
      <c r="G491" s="43" t="s">
        <v>567</v>
      </c>
      <c r="H491" s="43" t="s">
        <v>568</v>
      </c>
      <c r="I491" s="43" t="s">
        <v>587</v>
      </c>
      <c r="J491" s="43" t="s">
        <v>439</v>
      </c>
      <c r="K491" s="43">
        <v>700005</v>
      </c>
      <c r="L491" s="43">
        <v>12</v>
      </c>
      <c r="M491" s="43" t="s">
        <v>588</v>
      </c>
      <c r="N491" s="51"/>
      <c r="O491" s="51"/>
      <c r="P491" s="43" t="str">
        <f>VLOOKUP(K491,Maestro!J:K,2,0)</f>
        <v>CALIZA PARA ADICIONES</v>
      </c>
      <c r="Q491" s="43" t="str">
        <f>VLOOKUP(P491,Maestro!E:F,2,0)</f>
        <v>Adiciones</v>
      </c>
      <c r="R491" s="43">
        <f>VLOOKUP(P491,ORD!$A:$C,3,0)</f>
        <v>2</v>
      </c>
      <c r="S491" t="str">
        <f t="shared" si="8"/>
        <v>7199990001CALTLVTRITAdiciones</v>
      </c>
      <c r="T491" t="str">
        <f>IFERROR(VLOOKUP(S491,Maestro!$A:$H,8,0),"Producción")</f>
        <v>Caliza</v>
      </c>
      <c r="U491" s="43" t="s">
        <v>182</v>
      </c>
    </row>
    <row r="492" spans="1:21" x14ac:dyDescent="0.3">
      <c r="A492" s="43">
        <v>7999999995</v>
      </c>
      <c r="B492" s="43" t="s">
        <v>566</v>
      </c>
      <c r="C492" s="49"/>
      <c r="D492" s="49">
        <f>-Datos!$S$269</f>
        <v>-47535.08106195517</v>
      </c>
      <c r="E492" s="43" t="s">
        <v>556</v>
      </c>
      <c r="F492" s="43" t="s">
        <v>557</v>
      </c>
      <c r="G492" s="43" t="s">
        <v>590</v>
      </c>
      <c r="H492" s="43" t="s">
        <v>591</v>
      </c>
      <c r="I492" s="43" t="s">
        <v>587</v>
      </c>
      <c r="J492" s="43" t="s">
        <v>444</v>
      </c>
      <c r="K492" s="43">
        <v>700005</v>
      </c>
      <c r="L492" s="43">
        <v>12</v>
      </c>
      <c r="M492" s="43" t="s">
        <v>565</v>
      </c>
      <c r="N492" s="51"/>
      <c r="O492" s="51"/>
      <c r="P492" s="43" t="str">
        <f>VLOOKUP(K492,Maestro!J:K,2,0)</f>
        <v>CALIZA PARA ADICIONES</v>
      </c>
      <c r="Q492" s="43" t="str">
        <f>VLOOKUP(P492,Maestro!E:F,2,0)</f>
        <v>Adiciones</v>
      </c>
      <c r="R492" s="43">
        <f>VLOOKUP(P492,ORD!$A:$C,3,0)</f>
        <v>2</v>
      </c>
      <c r="S492" t="str">
        <f t="shared" si="8"/>
        <v>7999999995CALIZATRIAdiciones</v>
      </c>
      <c r="T492" t="str">
        <f>IFERROR(VLOOKUP(S492,Maestro!$A:$H,8,0),"Producción")</f>
        <v>Producción</v>
      </c>
      <c r="U492" s="43" t="s">
        <v>182</v>
      </c>
    </row>
    <row r="493" spans="1:21" x14ac:dyDescent="0.3">
      <c r="A493" s="40">
        <v>7355250320</v>
      </c>
      <c r="B493" s="40" t="s">
        <v>490</v>
      </c>
      <c r="C493" s="52">
        <f>Datos!$S$124*D493</f>
        <v>42948513.26130034</v>
      </c>
      <c r="D493" s="49">
        <f>Datos!$S$269</f>
        <v>47535.08106195517</v>
      </c>
      <c r="E493" s="43"/>
      <c r="F493" s="43"/>
      <c r="G493" s="43"/>
      <c r="H493" s="43"/>
      <c r="I493" s="43" t="s">
        <v>587</v>
      </c>
      <c r="J493" s="43" t="s">
        <v>785</v>
      </c>
      <c r="K493" s="43">
        <v>700005</v>
      </c>
      <c r="L493" s="43">
        <v>12</v>
      </c>
      <c r="M493" s="43" t="s">
        <v>565</v>
      </c>
      <c r="N493" s="51"/>
      <c r="O493" s="51"/>
      <c r="P493" s="43" t="str">
        <f>VLOOKUP(K493,Maestro!J:K,2,0)</f>
        <v>CALIZA PARA ADICIONES</v>
      </c>
      <c r="Q493" s="43" t="str">
        <f>VLOOKUP(P493,Maestro!E:F,2,0)</f>
        <v>Adiciones</v>
      </c>
      <c r="R493" s="43">
        <f>VLOOKUP(P493,ORD!$A:$C,3,0)</f>
        <v>2</v>
      </c>
      <c r="S493" t="str">
        <f t="shared" si="8"/>
        <v>7355250320BARRAS Y PLACASAdiciones</v>
      </c>
      <c r="T493" t="str">
        <f>IFERROR(VLOOKUP(S493,Maestro!$A:$H,8,0),"Producción")</f>
        <v>Barras y Placas</v>
      </c>
      <c r="U493" s="43" t="s">
        <v>182</v>
      </c>
    </row>
    <row r="494" spans="1:21" x14ac:dyDescent="0.3">
      <c r="A494" s="43">
        <v>7199990001</v>
      </c>
      <c r="B494" s="43" t="s">
        <v>438</v>
      </c>
      <c r="C494" s="50"/>
      <c r="D494" s="56">
        <f>Datos!$H$241</f>
        <v>6854.3521128499751</v>
      </c>
      <c r="E494" s="43" t="s">
        <v>556</v>
      </c>
      <c r="F494" s="43" t="s">
        <v>557</v>
      </c>
      <c r="G494" s="43" t="s">
        <v>567</v>
      </c>
      <c r="H494" s="43" t="s">
        <v>568</v>
      </c>
      <c r="I494" s="43" t="s">
        <v>560</v>
      </c>
      <c r="J494" s="43" t="s">
        <v>472</v>
      </c>
      <c r="K494" s="43">
        <v>700034</v>
      </c>
      <c r="L494" s="43">
        <v>1</v>
      </c>
      <c r="M494" s="43" t="s">
        <v>468</v>
      </c>
      <c r="N494" s="51"/>
      <c r="O494" s="51"/>
      <c r="P494" s="43" t="str">
        <f>VLOOKUP(K494,Maestro!J:K,2,0)</f>
        <v>CEMENTO ART 42,5 KG</v>
      </c>
      <c r="Q494" s="43" t="str">
        <f>VLOOKUP(P494,Maestro!E:F,2,0)</f>
        <v>CEMENTO ART 42,5 KG</v>
      </c>
      <c r="R494" s="43">
        <f>VLOOKUP(P494,ORD!$A:$C,3,0)</f>
        <v>11</v>
      </c>
      <c r="S494" t="str">
        <f t="shared" ref="S494:S554" si="9">A494&amp;J494&amp;Q494</f>
        <v>7199990001CEMENTOARTCEMENTO ART 42,5 KG</v>
      </c>
      <c r="T494" t="str">
        <f>IFERROR(VLOOKUP(S494,Maestro!$A:$H,8,0),"Producción")</f>
        <v>Cemento ART</v>
      </c>
      <c r="U494" s="43" t="s">
        <v>182</v>
      </c>
    </row>
    <row r="495" spans="1:21" x14ac:dyDescent="0.3">
      <c r="A495" s="43">
        <v>7360050302</v>
      </c>
      <c r="B495" s="43" t="s">
        <v>474</v>
      </c>
      <c r="C495" s="50">
        <f>Datos!$H$74*D495</f>
        <v>145915447.77835026</v>
      </c>
      <c r="D495" s="50">
        <f>Datos!$H$479</f>
        <v>164504.45070839941</v>
      </c>
      <c r="E495" s="43" t="s">
        <v>581</v>
      </c>
      <c r="F495" s="43" t="s">
        <v>557</v>
      </c>
      <c r="G495" s="43" t="s">
        <v>582</v>
      </c>
      <c r="H495" s="43" t="s">
        <v>583</v>
      </c>
      <c r="I495" s="43" t="s">
        <v>560</v>
      </c>
      <c r="J495" s="43" t="s">
        <v>475</v>
      </c>
      <c r="K495" s="43">
        <v>700034</v>
      </c>
      <c r="L495" s="43">
        <v>1</v>
      </c>
      <c r="M495" s="43" t="s">
        <v>592</v>
      </c>
      <c r="N495" s="51"/>
      <c r="O495" s="51"/>
      <c r="P495" s="43" t="str">
        <f>VLOOKUP(K495,Maestro!J:K,2,0)</f>
        <v>CEMENTO ART 42,5 KG</v>
      </c>
      <c r="Q495" s="43" t="str">
        <f>VLOOKUP(P495,Maestro!E:F,2,0)</f>
        <v>CEMENTO ART 42,5 KG</v>
      </c>
      <c r="R495" s="43">
        <f>VLOOKUP(P495,ORD!$A:$C,3,0)</f>
        <v>11</v>
      </c>
      <c r="S495" t="str">
        <f t="shared" si="9"/>
        <v>736005030222000000005CEMENTO ART 42,5 KG</v>
      </c>
      <c r="T495" t="str">
        <f>IFERROR(VLOOKUP(S495,Maestro!$A:$H,8,0),"Producción")</f>
        <v>Sacos</v>
      </c>
      <c r="U495" s="43" t="s">
        <v>182</v>
      </c>
    </row>
    <row r="496" spans="1:21" x14ac:dyDescent="0.3">
      <c r="A496" s="43">
        <v>7999999995</v>
      </c>
      <c r="B496" s="43" t="s">
        <v>566</v>
      </c>
      <c r="C496" s="50"/>
      <c r="D496" s="56">
        <f>-Datos!$H$241*Datos!$H$207</f>
        <v>-161278.87324352883</v>
      </c>
      <c r="E496" s="43" t="s">
        <v>581</v>
      </c>
      <c r="F496" s="43" t="s">
        <v>557</v>
      </c>
      <c r="G496" s="43" t="s">
        <v>585</v>
      </c>
      <c r="H496" s="43" t="s">
        <v>586</v>
      </c>
      <c r="I496" s="43" t="s">
        <v>560</v>
      </c>
      <c r="J496" s="43" t="s">
        <v>510</v>
      </c>
      <c r="K496" s="43">
        <v>700034</v>
      </c>
      <c r="L496" s="43">
        <v>1</v>
      </c>
      <c r="M496" s="43" t="s">
        <v>511</v>
      </c>
      <c r="N496" s="51"/>
      <c r="O496" s="51"/>
      <c r="P496" s="43" t="str">
        <f>VLOOKUP(K496,Maestro!J:K,2,0)</f>
        <v>CEMENTO ART 42,5 KG</v>
      </c>
      <c r="Q496" s="43" t="str">
        <f>VLOOKUP(P496,Maestro!E:F,2,0)</f>
        <v>CEMENTO ART 42,5 KG</v>
      </c>
      <c r="R496" s="43">
        <f>VLOOKUP(P496,ORD!$A:$C,3,0)</f>
        <v>11</v>
      </c>
      <c r="S496" t="str">
        <f t="shared" si="9"/>
        <v>7999999995CEMARTB42CEMENTO ART 42,5 KG</v>
      </c>
      <c r="T496" t="str">
        <f>IFERROR(VLOOKUP(S496,Maestro!$A:$H,8,0),"Producción")</f>
        <v>Producción</v>
      </c>
      <c r="U496" s="43" t="s">
        <v>182</v>
      </c>
    </row>
    <row r="497" spans="1:21" x14ac:dyDescent="0.3">
      <c r="A497" s="43">
        <v>7199990001</v>
      </c>
      <c r="B497" s="43" t="s">
        <v>438</v>
      </c>
      <c r="C497" s="50"/>
      <c r="D497" s="56">
        <f>Datos!$I$241</f>
        <v>7609.9566485048763</v>
      </c>
      <c r="E497" s="43" t="s">
        <v>556</v>
      </c>
      <c r="F497" s="43" t="s">
        <v>557</v>
      </c>
      <c r="G497" s="43" t="s">
        <v>567</v>
      </c>
      <c r="H497" s="43" t="s">
        <v>568</v>
      </c>
      <c r="I497" s="43" t="s">
        <v>560</v>
      </c>
      <c r="J497" s="43" t="s">
        <v>472</v>
      </c>
      <c r="K497" s="43">
        <v>700034</v>
      </c>
      <c r="L497" s="43">
        <v>2</v>
      </c>
      <c r="M497" s="43" t="s">
        <v>468</v>
      </c>
      <c r="N497" s="51"/>
      <c r="O497" s="51"/>
      <c r="P497" s="43" t="str">
        <f>VLOOKUP(K497,Maestro!J:K,2,0)</f>
        <v>CEMENTO ART 42,5 KG</v>
      </c>
      <c r="Q497" s="43" t="str">
        <f>VLOOKUP(P497,Maestro!E:F,2,0)</f>
        <v>CEMENTO ART 42,5 KG</v>
      </c>
      <c r="R497" s="43">
        <f>VLOOKUP(P497,ORD!$A:$C,3,0)</f>
        <v>11</v>
      </c>
      <c r="S497" t="str">
        <f t="shared" si="9"/>
        <v>7199990001CEMENTOARTCEMENTO ART 42,5 KG</v>
      </c>
      <c r="T497" t="str">
        <f>IFERROR(VLOOKUP(S497,Maestro!$A:$H,8,0),"Producción")</f>
        <v>Cemento ART</v>
      </c>
      <c r="U497" s="43" t="s">
        <v>182</v>
      </c>
    </row>
    <row r="498" spans="1:21" x14ac:dyDescent="0.3">
      <c r="A498" s="43">
        <v>7360050302</v>
      </c>
      <c r="B498" s="43" t="s">
        <v>474</v>
      </c>
      <c r="C498" s="50">
        <f>Datos!$I$74*D498</f>
        <v>162000757.13337183</v>
      </c>
      <c r="D498" s="50">
        <f>Datos!$I$479</f>
        <v>182638.95956411705</v>
      </c>
      <c r="E498" s="43" t="s">
        <v>581</v>
      </c>
      <c r="F498" s="43" t="s">
        <v>557</v>
      </c>
      <c r="G498" s="43" t="s">
        <v>582</v>
      </c>
      <c r="H498" s="43" t="s">
        <v>583</v>
      </c>
      <c r="I498" s="43" t="s">
        <v>560</v>
      </c>
      <c r="J498" s="43" t="s">
        <v>475</v>
      </c>
      <c r="K498" s="43">
        <v>700034</v>
      </c>
      <c r="L498" s="43">
        <v>2</v>
      </c>
      <c r="M498" s="43" t="s">
        <v>592</v>
      </c>
      <c r="N498" s="51"/>
      <c r="O498" s="51"/>
      <c r="P498" s="43" t="str">
        <f>VLOOKUP(K498,Maestro!J:K,2,0)</f>
        <v>CEMENTO ART 42,5 KG</v>
      </c>
      <c r="Q498" s="43" t="str">
        <f>VLOOKUP(P498,Maestro!E:F,2,0)</f>
        <v>CEMENTO ART 42,5 KG</v>
      </c>
      <c r="R498" s="43">
        <f>VLOOKUP(P498,ORD!$A:$C,3,0)</f>
        <v>11</v>
      </c>
      <c r="S498" t="str">
        <f t="shared" si="9"/>
        <v>736005030222000000005CEMENTO ART 42,5 KG</v>
      </c>
      <c r="T498" t="str">
        <f>IFERROR(VLOOKUP(S498,Maestro!$A:$H,8,0),"Producción")</f>
        <v>Sacos</v>
      </c>
      <c r="U498" s="43" t="s">
        <v>182</v>
      </c>
    </row>
    <row r="499" spans="1:21" x14ac:dyDescent="0.3">
      <c r="A499" s="43">
        <v>7999999995</v>
      </c>
      <c r="B499" s="43" t="s">
        <v>566</v>
      </c>
      <c r="C499" s="50"/>
      <c r="D499" s="56">
        <f>-Datos!$I$241*Datos!$I$207</f>
        <v>-179057.80349423239</v>
      </c>
      <c r="E499" s="43" t="s">
        <v>581</v>
      </c>
      <c r="F499" s="43" t="s">
        <v>557</v>
      </c>
      <c r="G499" s="43" t="s">
        <v>585</v>
      </c>
      <c r="H499" s="43" t="s">
        <v>586</v>
      </c>
      <c r="I499" s="43" t="s">
        <v>560</v>
      </c>
      <c r="J499" s="43" t="s">
        <v>510</v>
      </c>
      <c r="K499" s="43">
        <v>700034</v>
      </c>
      <c r="L499" s="43">
        <v>2</v>
      </c>
      <c r="M499" s="43" t="s">
        <v>511</v>
      </c>
      <c r="N499" s="51"/>
      <c r="O499" s="51"/>
      <c r="P499" s="43" t="str">
        <f>VLOOKUP(K499,Maestro!J:K,2,0)</f>
        <v>CEMENTO ART 42,5 KG</v>
      </c>
      <c r="Q499" s="43" t="str">
        <f>VLOOKUP(P499,Maestro!E:F,2,0)</f>
        <v>CEMENTO ART 42,5 KG</v>
      </c>
      <c r="R499" s="43">
        <f>VLOOKUP(P499,ORD!$A:$C,3,0)</f>
        <v>11</v>
      </c>
      <c r="S499" t="str">
        <f t="shared" si="9"/>
        <v>7999999995CEMARTB42CEMENTO ART 42,5 KG</v>
      </c>
      <c r="T499" t="str">
        <f>IFERROR(VLOOKUP(S499,Maestro!$A:$H,8,0),"Producción")</f>
        <v>Producción</v>
      </c>
      <c r="U499" s="43" t="s">
        <v>182</v>
      </c>
    </row>
    <row r="500" spans="1:21" x14ac:dyDescent="0.3">
      <c r="A500" s="43">
        <v>7199990001</v>
      </c>
      <c r="B500" s="43" t="s">
        <v>438</v>
      </c>
      <c r="C500" s="50"/>
      <c r="D500" s="56">
        <f>Datos!$J$241</f>
        <v>7904.0427333529033</v>
      </c>
      <c r="E500" s="43" t="s">
        <v>556</v>
      </c>
      <c r="F500" s="43" t="s">
        <v>557</v>
      </c>
      <c r="G500" s="43" t="s">
        <v>567</v>
      </c>
      <c r="H500" s="43" t="s">
        <v>568</v>
      </c>
      <c r="I500" s="43" t="s">
        <v>560</v>
      </c>
      <c r="J500" s="43" t="s">
        <v>472</v>
      </c>
      <c r="K500" s="43">
        <v>700034</v>
      </c>
      <c r="L500" s="43">
        <v>3</v>
      </c>
      <c r="M500" s="43" t="s">
        <v>468</v>
      </c>
      <c r="N500" s="51"/>
      <c r="O500" s="51"/>
      <c r="P500" s="43" t="str">
        <f>VLOOKUP(K500,Maestro!J:K,2,0)</f>
        <v>CEMENTO ART 42,5 KG</v>
      </c>
      <c r="Q500" s="43" t="str">
        <f>VLOOKUP(P500,Maestro!E:F,2,0)</f>
        <v>CEMENTO ART 42,5 KG</v>
      </c>
      <c r="R500" s="43">
        <f>VLOOKUP(P500,ORD!$A:$C,3,0)</f>
        <v>11</v>
      </c>
      <c r="S500" t="str">
        <f t="shared" si="9"/>
        <v>7199990001CEMENTOARTCEMENTO ART 42,5 KG</v>
      </c>
      <c r="T500" t="str">
        <f>IFERROR(VLOOKUP(S500,Maestro!$A:$H,8,0),"Producción")</f>
        <v>Cemento ART</v>
      </c>
      <c r="U500" s="43" t="s">
        <v>182</v>
      </c>
    </row>
    <row r="501" spans="1:21" x14ac:dyDescent="0.3">
      <c r="A501" s="43">
        <v>7360050302</v>
      </c>
      <c r="B501" s="43" t="s">
        <v>474</v>
      </c>
      <c r="C501" s="50">
        <f>Datos!$J$74*D501</f>
        <v>170727323.04042274</v>
      </c>
      <c r="D501" s="50">
        <f>Datos!$J$479</f>
        <v>189697.0256004697</v>
      </c>
      <c r="E501" s="43" t="s">
        <v>581</v>
      </c>
      <c r="F501" s="43" t="s">
        <v>557</v>
      </c>
      <c r="G501" s="43" t="s">
        <v>582</v>
      </c>
      <c r="H501" s="43" t="s">
        <v>583</v>
      </c>
      <c r="I501" s="43" t="s">
        <v>560</v>
      </c>
      <c r="J501" s="43" t="s">
        <v>475</v>
      </c>
      <c r="K501" s="43">
        <v>700034</v>
      </c>
      <c r="L501" s="43">
        <v>3</v>
      </c>
      <c r="M501" s="43" t="s">
        <v>592</v>
      </c>
      <c r="N501" s="51"/>
      <c r="O501" s="51"/>
      <c r="P501" s="43" t="str">
        <f>VLOOKUP(K501,Maestro!J:K,2,0)</f>
        <v>CEMENTO ART 42,5 KG</v>
      </c>
      <c r="Q501" s="43" t="str">
        <f>VLOOKUP(P501,Maestro!E:F,2,0)</f>
        <v>CEMENTO ART 42,5 KG</v>
      </c>
      <c r="R501" s="43">
        <f>VLOOKUP(P501,ORD!$A:$C,3,0)</f>
        <v>11</v>
      </c>
      <c r="S501" t="str">
        <f t="shared" si="9"/>
        <v>736005030222000000005CEMENTO ART 42,5 KG</v>
      </c>
      <c r="T501" t="str">
        <f>IFERROR(VLOOKUP(S501,Maestro!$A:$H,8,0),"Producción")</f>
        <v>Sacos</v>
      </c>
      <c r="U501" s="43" t="s">
        <v>182</v>
      </c>
    </row>
    <row r="502" spans="1:21" x14ac:dyDescent="0.3">
      <c r="A502" s="43">
        <v>7999999995</v>
      </c>
      <c r="B502" s="43" t="s">
        <v>566</v>
      </c>
      <c r="C502" s="50"/>
      <c r="D502" s="56">
        <f>-Datos!$J$241*Datos!$J$207</f>
        <v>-185977.47607889186</v>
      </c>
      <c r="E502" s="43" t="s">
        <v>581</v>
      </c>
      <c r="F502" s="43" t="s">
        <v>557</v>
      </c>
      <c r="G502" s="43" t="s">
        <v>585</v>
      </c>
      <c r="H502" s="43" t="s">
        <v>586</v>
      </c>
      <c r="I502" s="43" t="s">
        <v>560</v>
      </c>
      <c r="J502" s="43" t="s">
        <v>510</v>
      </c>
      <c r="K502" s="43">
        <v>700034</v>
      </c>
      <c r="L502" s="43">
        <v>3</v>
      </c>
      <c r="M502" s="43" t="s">
        <v>511</v>
      </c>
      <c r="N502" s="51"/>
      <c r="O502" s="51"/>
      <c r="P502" s="43" t="str">
        <f>VLOOKUP(K502,Maestro!J:K,2,0)</f>
        <v>CEMENTO ART 42,5 KG</v>
      </c>
      <c r="Q502" s="43" t="str">
        <f>VLOOKUP(P502,Maestro!E:F,2,0)</f>
        <v>CEMENTO ART 42,5 KG</v>
      </c>
      <c r="R502" s="43">
        <f>VLOOKUP(P502,ORD!$A:$C,3,0)</f>
        <v>11</v>
      </c>
      <c r="S502" t="str">
        <f t="shared" si="9"/>
        <v>7999999995CEMARTB42CEMENTO ART 42,5 KG</v>
      </c>
      <c r="T502" t="str">
        <f>IFERROR(VLOOKUP(S502,Maestro!$A:$H,8,0),"Producción")</f>
        <v>Producción</v>
      </c>
      <c r="U502" s="43" t="s">
        <v>182</v>
      </c>
    </row>
    <row r="503" spans="1:21" x14ac:dyDescent="0.3">
      <c r="A503" s="43">
        <v>7199990001</v>
      </c>
      <c r="B503" s="43" t="s">
        <v>438</v>
      </c>
      <c r="C503" s="50"/>
      <c r="D503" s="56">
        <f>Datos!$K$241</f>
        <v>7408.4657695751612</v>
      </c>
      <c r="E503" s="43" t="s">
        <v>556</v>
      </c>
      <c r="F503" s="43" t="s">
        <v>557</v>
      </c>
      <c r="G503" s="43" t="s">
        <v>567</v>
      </c>
      <c r="H503" s="43" t="s">
        <v>568</v>
      </c>
      <c r="I503" s="43" t="s">
        <v>560</v>
      </c>
      <c r="J503" s="43" t="s">
        <v>472</v>
      </c>
      <c r="K503" s="43">
        <v>700034</v>
      </c>
      <c r="L503" s="43">
        <v>4</v>
      </c>
      <c r="M503" s="43" t="s">
        <v>468</v>
      </c>
      <c r="N503" s="51"/>
      <c r="O503" s="51"/>
      <c r="P503" s="43" t="str">
        <f>VLOOKUP(K503,Maestro!J:K,2,0)</f>
        <v>CEMENTO ART 42,5 KG</v>
      </c>
      <c r="Q503" s="43" t="str">
        <f>VLOOKUP(P503,Maestro!E:F,2,0)</f>
        <v>CEMENTO ART 42,5 KG</v>
      </c>
      <c r="R503" s="43">
        <f>VLOOKUP(P503,ORD!$A:$C,3,0)</f>
        <v>11</v>
      </c>
      <c r="S503" t="str">
        <f t="shared" si="9"/>
        <v>7199990001CEMENTOARTCEMENTO ART 42,5 KG</v>
      </c>
      <c r="T503" t="str">
        <f>IFERROR(VLOOKUP(S503,Maestro!$A:$H,8,0),"Producción")</f>
        <v>Cemento ART</v>
      </c>
      <c r="U503" s="43" t="s">
        <v>182</v>
      </c>
    </row>
    <row r="504" spans="1:21" x14ac:dyDescent="0.3">
      <c r="A504" s="43">
        <v>7360050302</v>
      </c>
      <c r="B504" s="43" t="s">
        <v>474</v>
      </c>
      <c r="C504" s="50">
        <f>Datos!$K$74*D504</f>
        <v>160022860.62282351</v>
      </c>
      <c r="D504" s="50">
        <f>Datos!$K$479</f>
        <v>177803.17846980388</v>
      </c>
      <c r="E504" s="43" t="s">
        <v>581</v>
      </c>
      <c r="F504" s="43" t="s">
        <v>557</v>
      </c>
      <c r="G504" s="43" t="s">
        <v>582</v>
      </c>
      <c r="H504" s="43" t="s">
        <v>583</v>
      </c>
      <c r="I504" s="43" t="s">
        <v>560</v>
      </c>
      <c r="J504" s="43" t="s">
        <v>475</v>
      </c>
      <c r="K504" s="43">
        <v>700034</v>
      </c>
      <c r="L504" s="43">
        <v>4</v>
      </c>
      <c r="M504" s="43" t="s">
        <v>592</v>
      </c>
      <c r="N504" s="51"/>
      <c r="O504" s="51"/>
      <c r="P504" s="43" t="str">
        <f>VLOOKUP(K504,Maestro!J:K,2,0)</f>
        <v>CEMENTO ART 42,5 KG</v>
      </c>
      <c r="Q504" s="43" t="str">
        <f>VLOOKUP(P504,Maestro!E:F,2,0)</f>
        <v>CEMENTO ART 42,5 KG</v>
      </c>
      <c r="R504" s="43">
        <f>VLOOKUP(P504,ORD!$A:$C,3,0)</f>
        <v>11</v>
      </c>
      <c r="S504" t="str">
        <f t="shared" si="9"/>
        <v>736005030222000000005CEMENTO ART 42,5 KG</v>
      </c>
      <c r="T504" t="str">
        <f>IFERROR(VLOOKUP(S504,Maestro!$A:$H,8,0),"Producción")</f>
        <v>Sacos</v>
      </c>
      <c r="U504" s="43" t="s">
        <v>182</v>
      </c>
    </row>
    <row r="505" spans="1:21" x14ac:dyDescent="0.3">
      <c r="A505" s="43">
        <v>7999999995</v>
      </c>
      <c r="B505" s="43" t="s">
        <v>566</v>
      </c>
      <c r="C505" s="50"/>
      <c r="D505" s="56">
        <f>-Datos!$K$241*Datos!$K$207</f>
        <v>-174316.84163706264</v>
      </c>
      <c r="E505" s="43" t="s">
        <v>581</v>
      </c>
      <c r="F505" s="43" t="s">
        <v>557</v>
      </c>
      <c r="G505" s="43" t="s">
        <v>585</v>
      </c>
      <c r="H505" s="43" t="s">
        <v>586</v>
      </c>
      <c r="I505" s="43" t="s">
        <v>560</v>
      </c>
      <c r="J505" s="43" t="s">
        <v>510</v>
      </c>
      <c r="K505" s="43">
        <v>700034</v>
      </c>
      <c r="L505" s="43">
        <v>4</v>
      </c>
      <c r="M505" s="43" t="s">
        <v>511</v>
      </c>
      <c r="N505" s="51"/>
      <c r="O505" s="51"/>
      <c r="P505" s="43" t="str">
        <f>VLOOKUP(K505,Maestro!J:K,2,0)</f>
        <v>CEMENTO ART 42,5 KG</v>
      </c>
      <c r="Q505" s="43" t="str">
        <f>VLOOKUP(P505,Maestro!E:F,2,0)</f>
        <v>CEMENTO ART 42,5 KG</v>
      </c>
      <c r="R505" s="43">
        <f>VLOOKUP(P505,ORD!$A:$C,3,0)</f>
        <v>11</v>
      </c>
      <c r="S505" t="str">
        <f t="shared" si="9"/>
        <v>7999999995CEMARTB42CEMENTO ART 42,5 KG</v>
      </c>
      <c r="T505" t="str">
        <f>IFERROR(VLOOKUP(S505,Maestro!$A:$H,8,0),"Producción")</f>
        <v>Producción</v>
      </c>
      <c r="U505" s="43" t="s">
        <v>182</v>
      </c>
    </row>
    <row r="506" spans="1:21" x14ac:dyDescent="0.3">
      <c r="A506" s="43">
        <v>7199990001</v>
      </c>
      <c r="B506" s="43" t="s">
        <v>438</v>
      </c>
      <c r="C506" s="50"/>
      <c r="D506" s="56">
        <f>Datos!$L$241</f>
        <v>7372.1783724025563</v>
      </c>
      <c r="E506" s="43" t="s">
        <v>556</v>
      </c>
      <c r="F506" s="43" t="s">
        <v>557</v>
      </c>
      <c r="G506" s="43" t="s">
        <v>567</v>
      </c>
      <c r="H506" s="43" t="s">
        <v>568</v>
      </c>
      <c r="I506" s="43" t="s">
        <v>560</v>
      </c>
      <c r="J506" s="43" t="s">
        <v>472</v>
      </c>
      <c r="K506" s="43">
        <v>700034</v>
      </c>
      <c r="L506" s="43">
        <v>5</v>
      </c>
      <c r="M506" s="43" t="s">
        <v>468</v>
      </c>
      <c r="N506" s="51"/>
      <c r="O506" s="51"/>
      <c r="P506" s="43" t="str">
        <f>VLOOKUP(K506,Maestro!J:K,2,0)</f>
        <v>CEMENTO ART 42,5 KG</v>
      </c>
      <c r="Q506" s="43" t="str">
        <f>VLOOKUP(P506,Maestro!E:F,2,0)</f>
        <v>CEMENTO ART 42,5 KG</v>
      </c>
      <c r="R506" s="43">
        <f>VLOOKUP(P506,ORD!$A:$C,3,0)</f>
        <v>11</v>
      </c>
      <c r="S506" t="str">
        <f t="shared" si="9"/>
        <v>7199990001CEMENTOARTCEMENTO ART 42,5 KG</v>
      </c>
      <c r="T506" t="str">
        <f>IFERROR(VLOOKUP(S506,Maestro!$A:$H,8,0),"Producción")</f>
        <v>Cemento ART</v>
      </c>
      <c r="U506" s="43" t="s">
        <v>182</v>
      </c>
    </row>
    <row r="507" spans="1:21" x14ac:dyDescent="0.3">
      <c r="A507" s="43">
        <v>7360050302</v>
      </c>
      <c r="B507" s="43" t="s">
        <v>474</v>
      </c>
      <c r="C507" s="50">
        <f>Datos!$L$74*D507</f>
        <v>159239052.84389526</v>
      </c>
      <c r="D507" s="50">
        <f>Datos!$L$479</f>
        <v>176932.28093766139</v>
      </c>
      <c r="E507" s="43" t="s">
        <v>581</v>
      </c>
      <c r="F507" s="43" t="s">
        <v>557</v>
      </c>
      <c r="G507" s="43" t="s">
        <v>582</v>
      </c>
      <c r="H507" s="43" t="s">
        <v>583</v>
      </c>
      <c r="I507" s="43" t="s">
        <v>560</v>
      </c>
      <c r="J507" s="43" t="s">
        <v>475</v>
      </c>
      <c r="K507" s="43">
        <v>700034</v>
      </c>
      <c r="L507" s="43">
        <v>5</v>
      </c>
      <c r="M507" s="43" t="s">
        <v>592</v>
      </c>
      <c r="N507" s="51"/>
      <c r="O507" s="51"/>
      <c r="P507" s="43" t="str">
        <f>VLOOKUP(K507,Maestro!J:K,2,0)</f>
        <v>CEMENTO ART 42,5 KG</v>
      </c>
      <c r="Q507" s="43" t="str">
        <f>VLOOKUP(P507,Maestro!E:F,2,0)</f>
        <v>CEMENTO ART 42,5 KG</v>
      </c>
      <c r="R507" s="43">
        <f>VLOOKUP(P507,ORD!$A:$C,3,0)</f>
        <v>11</v>
      </c>
      <c r="S507" t="str">
        <f t="shared" si="9"/>
        <v>736005030222000000005CEMENTO ART 42,5 KG</v>
      </c>
      <c r="T507" t="str">
        <f>IFERROR(VLOOKUP(S507,Maestro!$A:$H,8,0),"Producción")</f>
        <v>Sacos</v>
      </c>
      <c r="U507" s="43" t="s">
        <v>182</v>
      </c>
    </row>
    <row r="508" spans="1:21" x14ac:dyDescent="0.3">
      <c r="A508" s="43">
        <v>7999999995</v>
      </c>
      <c r="B508" s="43" t="s">
        <v>566</v>
      </c>
      <c r="C508" s="50"/>
      <c r="D508" s="56">
        <f>-Datos!$L$241*Datos!$L$207</f>
        <v>-173463.02052711899</v>
      </c>
      <c r="E508" s="43" t="s">
        <v>581</v>
      </c>
      <c r="F508" s="43" t="s">
        <v>557</v>
      </c>
      <c r="G508" s="43" t="s">
        <v>585</v>
      </c>
      <c r="H508" s="43" t="s">
        <v>586</v>
      </c>
      <c r="I508" s="43" t="s">
        <v>560</v>
      </c>
      <c r="J508" s="43" t="s">
        <v>510</v>
      </c>
      <c r="K508" s="43">
        <v>700034</v>
      </c>
      <c r="L508" s="43">
        <v>5</v>
      </c>
      <c r="M508" s="43" t="s">
        <v>511</v>
      </c>
      <c r="N508" s="51"/>
      <c r="O508" s="51"/>
      <c r="P508" s="43" t="str">
        <f>VLOOKUP(K508,Maestro!J:K,2,0)</f>
        <v>CEMENTO ART 42,5 KG</v>
      </c>
      <c r="Q508" s="43" t="str">
        <f>VLOOKUP(P508,Maestro!E:F,2,0)</f>
        <v>CEMENTO ART 42,5 KG</v>
      </c>
      <c r="R508" s="43">
        <f>VLOOKUP(P508,ORD!$A:$C,3,0)</f>
        <v>11</v>
      </c>
      <c r="S508" t="str">
        <f t="shared" si="9"/>
        <v>7999999995CEMARTB42CEMENTO ART 42,5 KG</v>
      </c>
      <c r="T508" t="str">
        <f>IFERROR(VLOOKUP(S508,Maestro!$A:$H,8,0),"Producción")</f>
        <v>Producción</v>
      </c>
      <c r="U508" s="43" t="s">
        <v>182</v>
      </c>
    </row>
    <row r="509" spans="1:21" x14ac:dyDescent="0.3">
      <c r="A509" s="43">
        <v>7199990001</v>
      </c>
      <c r="B509" s="43" t="s">
        <v>438</v>
      </c>
      <c r="C509" s="50"/>
      <c r="D509" s="56">
        <f>Datos!$M$241</f>
        <v>7249.0107360631127</v>
      </c>
      <c r="E509" s="43" t="s">
        <v>556</v>
      </c>
      <c r="F509" s="43" t="s">
        <v>557</v>
      </c>
      <c r="G509" s="43" t="s">
        <v>567</v>
      </c>
      <c r="H509" s="43" t="s">
        <v>568</v>
      </c>
      <c r="I509" s="43" t="s">
        <v>560</v>
      </c>
      <c r="J509" s="43" t="s">
        <v>472</v>
      </c>
      <c r="K509" s="43">
        <v>700034</v>
      </c>
      <c r="L509" s="43">
        <v>6</v>
      </c>
      <c r="M509" s="43" t="s">
        <v>468</v>
      </c>
      <c r="N509" s="51"/>
      <c r="O509" s="51"/>
      <c r="P509" s="43" t="str">
        <f>VLOOKUP(K509,Maestro!J:K,2,0)</f>
        <v>CEMENTO ART 42,5 KG</v>
      </c>
      <c r="Q509" s="43" t="str">
        <f>VLOOKUP(P509,Maestro!E:F,2,0)</f>
        <v>CEMENTO ART 42,5 KG</v>
      </c>
      <c r="R509" s="43">
        <f>VLOOKUP(P509,ORD!$A:$C,3,0)</f>
        <v>11</v>
      </c>
      <c r="S509" t="str">
        <f t="shared" si="9"/>
        <v>7199990001CEMENTOARTCEMENTO ART 42,5 KG</v>
      </c>
      <c r="T509" t="str">
        <f>IFERROR(VLOOKUP(S509,Maestro!$A:$H,8,0),"Producción")</f>
        <v>Cemento ART</v>
      </c>
      <c r="U509" s="43" t="s">
        <v>182</v>
      </c>
    </row>
    <row r="510" spans="1:21" x14ac:dyDescent="0.3">
      <c r="A510" s="43">
        <v>7360050302</v>
      </c>
      <c r="B510" s="43" t="s">
        <v>474</v>
      </c>
      <c r="C510" s="50">
        <f>Datos!$M$74*D510</f>
        <v>156578631.89896324</v>
      </c>
      <c r="D510" s="50">
        <f>Datos!$M$479</f>
        <v>173976.25766551471</v>
      </c>
      <c r="E510" s="43" t="s">
        <v>581</v>
      </c>
      <c r="F510" s="43" t="s">
        <v>557</v>
      </c>
      <c r="G510" s="43" t="s">
        <v>582</v>
      </c>
      <c r="H510" s="43" t="s">
        <v>583</v>
      </c>
      <c r="I510" s="43" t="s">
        <v>560</v>
      </c>
      <c r="J510" s="43" t="s">
        <v>475</v>
      </c>
      <c r="K510" s="43">
        <v>700034</v>
      </c>
      <c r="L510" s="43">
        <v>6</v>
      </c>
      <c r="M510" s="43" t="s">
        <v>592</v>
      </c>
      <c r="N510" s="51"/>
      <c r="O510" s="51"/>
      <c r="P510" s="43" t="str">
        <f>VLOOKUP(K510,Maestro!J:K,2,0)</f>
        <v>CEMENTO ART 42,5 KG</v>
      </c>
      <c r="Q510" s="43" t="str">
        <f>VLOOKUP(P510,Maestro!E:F,2,0)</f>
        <v>CEMENTO ART 42,5 KG</v>
      </c>
      <c r="R510" s="43">
        <f>VLOOKUP(P510,ORD!$A:$C,3,0)</f>
        <v>11</v>
      </c>
      <c r="S510" t="str">
        <f t="shared" si="9"/>
        <v>736005030222000000005CEMENTO ART 42,5 KG</v>
      </c>
      <c r="T510" t="str">
        <f>IFERROR(VLOOKUP(S510,Maestro!$A:$H,8,0),"Producción")</f>
        <v>Sacos</v>
      </c>
      <c r="U510" s="43" t="s">
        <v>182</v>
      </c>
    </row>
    <row r="511" spans="1:21" x14ac:dyDescent="0.3">
      <c r="A511" s="43">
        <v>7999999995</v>
      </c>
      <c r="B511" s="43" t="s">
        <v>566</v>
      </c>
      <c r="C511" s="50"/>
      <c r="D511" s="56">
        <f>-Datos!$M$241*Datos!$M$207</f>
        <v>-170564.95849560265</v>
      </c>
      <c r="E511" s="43" t="s">
        <v>581</v>
      </c>
      <c r="F511" s="43" t="s">
        <v>557</v>
      </c>
      <c r="G511" s="43" t="s">
        <v>585</v>
      </c>
      <c r="H511" s="43" t="s">
        <v>586</v>
      </c>
      <c r="I511" s="43" t="s">
        <v>560</v>
      </c>
      <c r="J511" s="43" t="s">
        <v>510</v>
      </c>
      <c r="K511" s="43">
        <v>700034</v>
      </c>
      <c r="L511" s="43">
        <v>6</v>
      </c>
      <c r="M511" s="43" t="s">
        <v>511</v>
      </c>
      <c r="N511" s="51"/>
      <c r="O511" s="51"/>
      <c r="P511" s="43" t="str">
        <f>VLOOKUP(K511,Maestro!J:K,2,0)</f>
        <v>CEMENTO ART 42,5 KG</v>
      </c>
      <c r="Q511" s="43" t="str">
        <f>VLOOKUP(P511,Maestro!E:F,2,0)</f>
        <v>CEMENTO ART 42,5 KG</v>
      </c>
      <c r="R511" s="43">
        <f>VLOOKUP(P511,ORD!$A:$C,3,0)</f>
        <v>11</v>
      </c>
      <c r="S511" t="str">
        <f t="shared" si="9"/>
        <v>7999999995CEMARTB42CEMENTO ART 42,5 KG</v>
      </c>
      <c r="T511" t="str">
        <f>IFERROR(VLOOKUP(S511,Maestro!$A:$H,8,0),"Producción")</f>
        <v>Producción</v>
      </c>
      <c r="U511" s="43" t="s">
        <v>182</v>
      </c>
    </row>
    <row r="512" spans="1:21" x14ac:dyDescent="0.3">
      <c r="A512" s="43">
        <v>7199990001</v>
      </c>
      <c r="B512" s="43" t="s">
        <v>438</v>
      </c>
      <c r="C512" s="50"/>
      <c r="D512" s="56">
        <f>Datos!$N$241</f>
        <v>8420.340998961472</v>
      </c>
      <c r="E512" s="43" t="s">
        <v>556</v>
      </c>
      <c r="F512" s="43" t="s">
        <v>557</v>
      </c>
      <c r="G512" s="43" t="s">
        <v>567</v>
      </c>
      <c r="H512" s="43" t="s">
        <v>568</v>
      </c>
      <c r="I512" s="43" t="s">
        <v>560</v>
      </c>
      <c r="J512" s="43" t="s">
        <v>472</v>
      </c>
      <c r="K512" s="43">
        <v>700034</v>
      </c>
      <c r="L512" s="43">
        <v>7</v>
      </c>
      <c r="M512" s="43" t="s">
        <v>468</v>
      </c>
      <c r="N512" s="51"/>
      <c r="O512" s="51"/>
      <c r="P512" s="43" t="str">
        <f>VLOOKUP(K512,Maestro!J:K,2,0)</f>
        <v>CEMENTO ART 42,5 KG</v>
      </c>
      <c r="Q512" s="43" t="str">
        <f>VLOOKUP(P512,Maestro!E:F,2,0)</f>
        <v>CEMENTO ART 42,5 KG</v>
      </c>
      <c r="R512" s="43">
        <f>VLOOKUP(P512,ORD!$A:$C,3,0)</f>
        <v>11</v>
      </c>
      <c r="S512" t="str">
        <f t="shared" si="9"/>
        <v>7199990001CEMENTOARTCEMENTO ART 42,5 KG</v>
      </c>
      <c r="T512" t="str">
        <f>IFERROR(VLOOKUP(S512,Maestro!$A:$H,8,0),"Producción")</f>
        <v>Cemento ART</v>
      </c>
      <c r="U512" s="43" t="s">
        <v>182</v>
      </c>
    </row>
    <row r="513" spans="1:21" x14ac:dyDescent="0.3">
      <c r="A513" s="43">
        <v>7360050302</v>
      </c>
      <c r="B513" s="43" t="s">
        <v>474</v>
      </c>
      <c r="C513" s="50">
        <f>Datos!$N$74*D513</f>
        <v>181879365.57756782</v>
      </c>
      <c r="D513" s="50">
        <f>Datos!$N$479</f>
        <v>202088.18397507534</v>
      </c>
      <c r="E513" s="43" t="s">
        <v>581</v>
      </c>
      <c r="F513" s="43" t="s">
        <v>557</v>
      </c>
      <c r="G513" s="43" t="s">
        <v>582</v>
      </c>
      <c r="H513" s="43" t="s">
        <v>583</v>
      </c>
      <c r="I513" s="43" t="s">
        <v>560</v>
      </c>
      <c r="J513" s="43" t="s">
        <v>475</v>
      </c>
      <c r="K513" s="43">
        <v>700034</v>
      </c>
      <c r="L513" s="43">
        <v>7</v>
      </c>
      <c r="M513" s="43" t="s">
        <v>592</v>
      </c>
      <c r="N513" s="51"/>
      <c r="O513" s="51"/>
      <c r="P513" s="43" t="str">
        <f>VLOOKUP(K513,Maestro!J:K,2,0)</f>
        <v>CEMENTO ART 42,5 KG</v>
      </c>
      <c r="Q513" s="43" t="str">
        <f>VLOOKUP(P513,Maestro!E:F,2,0)</f>
        <v>CEMENTO ART 42,5 KG</v>
      </c>
      <c r="R513" s="43">
        <f>VLOOKUP(P513,ORD!$A:$C,3,0)</f>
        <v>11</v>
      </c>
      <c r="S513" t="str">
        <f t="shared" si="9"/>
        <v>736005030222000000005CEMENTO ART 42,5 KG</v>
      </c>
      <c r="T513" t="str">
        <f>IFERROR(VLOOKUP(S513,Maestro!$A:$H,8,0),"Producción")</f>
        <v>Sacos</v>
      </c>
      <c r="U513" s="43" t="s">
        <v>182</v>
      </c>
    </row>
    <row r="514" spans="1:21" x14ac:dyDescent="0.3">
      <c r="A514" s="43">
        <v>7999999995</v>
      </c>
      <c r="B514" s="43" t="s">
        <v>566</v>
      </c>
      <c r="C514" s="50"/>
      <c r="D514" s="56">
        <f>-Datos!$N$241*Datos!$N$207</f>
        <v>-198125.67056379936</v>
      </c>
      <c r="E514" s="43" t="s">
        <v>581</v>
      </c>
      <c r="F514" s="43" t="s">
        <v>557</v>
      </c>
      <c r="G514" s="43" t="s">
        <v>585</v>
      </c>
      <c r="H514" s="43" t="s">
        <v>586</v>
      </c>
      <c r="I514" s="43" t="s">
        <v>560</v>
      </c>
      <c r="J514" s="43" t="s">
        <v>510</v>
      </c>
      <c r="K514" s="43">
        <v>700034</v>
      </c>
      <c r="L514" s="43">
        <v>7</v>
      </c>
      <c r="M514" s="43" t="s">
        <v>511</v>
      </c>
      <c r="N514" s="51"/>
      <c r="O514" s="51"/>
      <c r="P514" s="43" t="str">
        <f>VLOOKUP(K514,Maestro!J:K,2,0)</f>
        <v>CEMENTO ART 42,5 KG</v>
      </c>
      <c r="Q514" s="43" t="str">
        <f>VLOOKUP(P514,Maestro!E:F,2,0)</f>
        <v>CEMENTO ART 42,5 KG</v>
      </c>
      <c r="R514" s="43">
        <f>VLOOKUP(P514,ORD!$A:$C,3,0)</f>
        <v>11</v>
      </c>
      <c r="S514" t="str">
        <f t="shared" si="9"/>
        <v>7999999995CEMARTB42CEMENTO ART 42,5 KG</v>
      </c>
      <c r="T514" t="str">
        <f>IFERROR(VLOOKUP(S514,Maestro!$A:$H,8,0),"Producción")</f>
        <v>Producción</v>
      </c>
      <c r="U514" s="43" t="s">
        <v>182</v>
      </c>
    </row>
    <row r="515" spans="1:21" x14ac:dyDescent="0.3">
      <c r="A515" s="43">
        <v>7199990001</v>
      </c>
      <c r="B515" s="43" t="s">
        <v>438</v>
      </c>
      <c r="C515" s="50"/>
      <c r="D515" s="56">
        <f>Datos!$O$241</f>
        <v>7791.9102301981011</v>
      </c>
      <c r="E515" s="43" t="s">
        <v>556</v>
      </c>
      <c r="F515" s="43" t="s">
        <v>557</v>
      </c>
      <c r="G515" s="43" t="s">
        <v>567</v>
      </c>
      <c r="H515" s="43" t="s">
        <v>568</v>
      </c>
      <c r="I515" s="43" t="s">
        <v>560</v>
      </c>
      <c r="J515" s="43" t="s">
        <v>472</v>
      </c>
      <c r="K515" s="43">
        <v>700034</v>
      </c>
      <c r="L515" s="43">
        <v>8</v>
      </c>
      <c r="M515" s="43" t="s">
        <v>468</v>
      </c>
      <c r="N515" s="51"/>
      <c r="O515" s="51"/>
      <c r="P515" s="43" t="str">
        <f>VLOOKUP(K515,Maestro!J:K,2,0)</f>
        <v>CEMENTO ART 42,5 KG</v>
      </c>
      <c r="Q515" s="43" t="str">
        <f>VLOOKUP(P515,Maestro!E:F,2,0)</f>
        <v>CEMENTO ART 42,5 KG</v>
      </c>
      <c r="R515" s="43">
        <f>VLOOKUP(P515,ORD!$A:$C,3,0)</f>
        <v>11</v>
      </c>
      <c r="S515" t="str">
        <f t="shared" si="9"/>
        <v>7199990001CEMENTOARTCEMENTO ART 42,5 KG</v>
      </c>
      <c r="T515" t="str">
        <f>IFERROR(VLOOKUP(S515,Maestro!$A:$H,8,0),"Producción")</f>
        <v>Cemento ART</v>
      </c>
      <c r="U515" s="43" t="s">
        <v>182</v>
      </c>
    </row>
    <row r="516" spans="1:21" x14ac:dyDescent="0.3">
      <c r="A516" s="43">
        <v>7360050302</v>
      </c>
      <c r="B516" s="43" t="s">
        <v>474</v>
      </c>
      <c r="C516" s="50">
        <f>Datos!$O$74*D516</f>
        <v>168305260.97227898</v>
      </c>
      <c r="D516" s="50">
        <f>Datos!$O$479</f>
        <v>187005.84552475443</v>
      </c>
      <c r="E516" s="43" t="s">
        <v>581</v>
      </c>
      <c r="F516" s="43" t="s">
        <v>557</v>
      </c>
      <c r="G516" s="43" t="s">
        <v>582</v>
      </c>
      <c r="H516" s="43" t="s">
        <v>583</v>
      </c>
      <c r="I516" s="43" t="s">
        <v>560</v>
      </c>
      <c r="J516" s="43" t="s">
        <v>475</v>
      </c>
      <c r="K516" s="43">
        <v>700034</v>
      </c>
      <c r="L516" s="43">
        <v>8</v>
      </c>
      <c r="M516" s="43" t="s">
        <v>592</v>
      </c>
      <c r="N516" s="51"/>
      <c r="O516" s="51"/>
      <c r="P516" s="43" t="str">
        <f>VLOOKUP(K516,Maestro!J:K,2,0)</f>
        <v>CEMENTO ART 42,5 KG</v>
      </c>
      <c r="Q516" s="43" t="str">
        <f>VLOOKUP(P516,Maestro!E:F,2,0)</f>
        <v>CEMENTO ART 42,5 KG</v>
      </c>
      <c r="R516" s="43">
        <f>VLOOKUP(P516,ORD!$A:$C,3,0)</f>
        <v>11</v>
      </c>
      <c r="S516" t="str">
        <f t="shared" si="9"/>
        <v>736005030222000000005CEMENTO ART 42,5 KG</v>
      </c>
      <c r="T516" t="str">
        <f>IFERROR(VLOOKUP(S516,Maestro!$A:$H,8,0),"Producción")</f>
        <v>Sacos</v>
      </c>
      <c r="U516" s="43" t="s">
        <v>182</v>
      </c>
    </row>
    <row r="517" spans="1:21" x14ac:dyDescent="0.3">
      <c r="A517" s="43">
        <v>7999999995</v>
      </c>
      <c r="B517" s="43" t="s">
        <v>566</v>
      </c>
      <c r="C517" s="50"/>
      <c r="D517" s="56">
        <f>-Datos!$O$241*Datos!$O$207</f>
        <v>-183339.06423995533</v>
      </c>
      <c r="E517" s="43" t="s">
        <v>581</v>
      </c>
      <c r="F517" s="43" t="s">
        <v>557</v>
      </c>
      <c r="G517" s="43" t="s">
        <v>585</v>
      </c>
      <c r="H517" s="43" t="s">
        <v>586</v>
      </c>
      <c r="I517" s="43" t="s">
        <v>560</v>
      </c>
      <c r="J517" s="43" t="s">
        <v>510</v>
      </c>
      <c r="K517" s="43">
        <v>700034</v>
      </c>
      <c r="L517" s="43">
        <v>8</v>
      </c>
      <c r="M517" s="43" t="s">
        <v>511</v>
      </c>
      <c r="N517" s="51"/>
      <c r="O517" s="51"/>
      <c r="P517" s="43" t="str">
        <f>VLOOKUP(K517,Maestro!J:K,2,0)</f>
        <v>CEMENTO ART 42,5 KG</v>
      </c>
      <c r="Q517" s="43" t="str">
        <f>VLOOKUP(P517,Maestro!E:F,2,0)</f>
        <v>CEMENTO ART 42,5 KG</v>
      </c>
      <c r="R517" s="43">
        <f>VLOOKUP(P517,ORD!$A:$C,3,0)</f>
        <v>11</v>
      </c>
      <c r="S517" t="str">
        <f t="shared" si="9"/>
        <v>7999999995CEMARTB42CEMENTO ART 42,5 KG</v>
      </c>
      <c r="T517" t="str">
        <f>IFERROR(VLOOKUP(S517,Maestro!$A:$H,8,0),"Producción")</f>
        <v>Producción</v>
      </c>
      <c r="U517" s="43" t="s">
        <v>182</v>
      </c>
    </row>
    <row r="518" spans="1:21" x14ac:dyDescent="0.3">
      <c r="A518" s="43">
        <v>7199990001</v>
      </c>
      <c r="B518" s="43" t="s">
        <v>438</v>
      </c>
      <c r="C518" s="50"/>
      <c r="D518" s="56">
        <f>Datos!$P$241</f>
        <v>8249.8897576595282</v>
      </c>
      <c r="E518" s="43" t="s">
        <v>556</v>
      </c>
      <c r="F518" s="43" t="s">
        <v>557</v>
      </c>
      <c r="G518" s="43" t="s">
        <v>567</v>
      </c>
      <c r="H518" s="43" t="s">
        <v>568</v>
      </c>
      <c r="I518" s="43" t="s">
        <v>560</v>
      </c>
      <c r="J518" s="43" t="s">
        <v>472</v>
      </c>
      <c r="K518" s="43">
        <v>700034</v>
      </c>
      <c r="L518" s="43">
        <v>9</v>
      </c>
      <c r="M518" s="43" t="s">
        <v>468</v>
      </c>
      <c r="N518" s="51"/>
      <c r="O518" s="51"/>
      <c r="P518" s="43" t="str">
        <f>VLOOKUP(K518,Maestro!J:K,2,0)</f>
        <v>CEMENTO ART 42,5 KG</v>
      </c>
      <c r="Q518" s="43" t="str">
        <f>VLOOKUP(P518,Maestro!E:F,2,0)</f>
        <v>CEMENTO ART 42,5 KG</v>
      </c>
      <c r="R518" s="43">
        <f>VLOOKUP(P518,ORD!$A:$C,3,0)</f>
        <v>11</v>
      </c>
      <c r="S518" t="str">
        <f t="shared" si="9"/>
        <v>7199990001CEMENTOARTCEMENTO ART 42,5 KG</v>
      </c>
      <c r="T518" t="str">
        <f>IFERROR(VLOOKUP(S518,Maestro!$A:$H,8,0),"Producción")</f>
        <v>Cemento ART</v>
      </c>
      <c r="U518" s="43" t="s">
        <v>182</v>
      </c>
    </row>
    <row r="519" spans="1:21" x14ac:dyDescent="0.3">
      <c r="A519" s="43">
        <v>7360050302</v>
      </c>
      <c r="B519" s="43" t="s">
        <v>474</v>
      </c>
      <c r="C519" s="50">
        <f>Datos!$P$74*D519</f>
        <v>184137539.39096069</v>
      </c>
      <c r="D519" s="50">
        <f>Datos!$P$479</f>
        <v>197997.35418382869</v>
      </c>
      <c r="E519" s="43" t="s">
        <v>581</v>
      </c>
      <c r="F519" s="43" t="s">
        <v>557</v>
      </c>
      <c r="G519" s="43" t="s">
        <v>582</v>
      </c>
      <c r="H519" s="43" t="s">
        <v>583</v>
      </c>
      <c r="I519" s="43" t="s">
        <v>560</v>
      </c>
      <c r="J519" s="43" t="s">
        <v>475</v>
      </c>
      <c r="K519" s="43">
        <v>700034</v>
      </c>
      <c r="L519" s="43">
        <v>9</v>
      </c>
      <c r="M519" s="43" t="s">
        <v>592</v>
      </c>
      <c r="N519" s="51"/>
      <c r="O519" s="51"/>
      <c r="P519" s="43" t="str">
        <f>VLOOKUP(K519,Maestro!J:K,2,0)</f>
        <v>CEMENTO ART 42,5 KG</v>
      </c>
      <c r="Q519" s="43" t="str">
        <f>VLOOKUP(P519,Maestro!E:F,2,0)</f>
        <v>CEMENTO ART 42,5 KG</v>
      </c>
      <c r="R519" s="43">
        <f>VLOOKUP(P519,ORD!$A:$C,3,0)</f>
        <v>11</v>
      </c>
      <c r="S519" t="str">
        <f t="shared" si="9"/>
        <v>736005030222000000005CEMENTO ART 42,5 KG</v>
      </c>
      <c r="T519" t="str">
        <f>IFERROR(VLOOKUP(S519,Maestro!$A:$H,8,0),"Producción")</f>
        <v>Sacos</v>
      </c>
      <c r="U519" s="43" t="s">
        <v>182</v>
      </c>
    </row>
    <row r="520" spans="1:21" x14ac:dyDescent="0.3">
      <c r="A520" s="43">
        <v>7999999995</v>
      </c>
      <c r="B520" s="43" t="s">
        <v>566</v>
      </c>
      <c r="C520" s="50"/>
      <c r="D520" s="56">
        <f>-Datos!$P$241*Datos!$P$207</f>
        <v>-194115.05312140068</v>
      </c>
      <c r="E520" s="43" t="s">
        <v>581</v>
      </c>
      <c r="F520" s="43" t="s">
        <v>557</v>
      </c>
      <c r="G520" s="43" t="s">
        <v>585</v>
      </c>
      <c r="H520" s="43" t="s">
        <v>586</v>
      </c>
      <c r="I520" s="43" t="s">
        <v>560</v>
      </c>
      <c r="J520" s="43" t="s">
        <v>510</v>
      </c>
      <c r="K520" s="43">
        <v>700034</v>
      </c>
      <c r="L520" s="43">
        <v>9</v>
      </c>
      <c r="M520" s="43" t="s">
        <v>511</v>
      </c>
      <c r="N520" s="51"/>
      <c r="O520" s="51"/>
      <c r="P520" s="43" t="str">
        <f>VLOOKUP(K520,Maestro!J:K,2,0)</f>
        <v>CEMENTO ART 42,5 KG</v>
      </c>
      <c r="Q520" s="43" t="str">
        <f>VLOOKUP(P520,Maestro!E:F,2,0)</f>
        <v>CEMENTO ART 42,5 KG</v>
      </c>
      <c r="R520" s="43">
        <f>VLOOKUP(P520,ORD!$A:$C,3,0)</f>
        <v>11</v>
      </c>
      <c r="S520" t="str">
        <f t="shared" si="9"/>
        <v>7999999995CEMARTB42CEMENTO ART 42,5 KG</v>
      </c>
      <c r="T520" t="str">
        <f>IFERROR(VLOOKUP(S520,Maestro!$A:$H,8,0),"Producción")</f>
        <v>Producción</v>
      </c>
      <c r="U520" s="43" t="s">
        <v>182</v>
      </c>
    </row>
    <row r="521" spans="1:21" x14ac:dyDescent="0.3">
      <c r="A521" s="43">
        <v>7199990001</v>
      </c>
      <c r="B521" s="43" t="s">
        <v>438</v>
      </c>
      <c r="C521" s="50"/>
      <c r="D521" s="56">
        <f>Datos!$Q$241</f>
        <v>8346.2186252856318</v>
      </c>
      <c r="E521" s="43" t="s">
        <v>556</v>
      </c>
      <c r="F521" s="43" t="s">
        <v>557</v>
      </c>
      <c r="G521" s="43" t="s">
        <v>567</v>
      </c>
      <c r="H521" s="43" t="s">
        <v>568</v>
      </c>
      <c r="I521" s="43" t="s">
        <v>560</v>
      </c>
      <c r="J521" s="43" t="s">
        <v>472</v>
      </c>
      <c r="K521" s="43">
        <v>700034</v>
      </c>
      <c r="L521" s="43">
        <v>10</v>
      </c>
      <c r="M521" s="43" t="s">
        <v>468</v>
      </c>
      <c r="N521" s="51"/>
      <c r="O521" s="51"/>
      <c r="P521" s="43" t="str">
        <f>VLOOKUP(K521,Maestro!J:K,2,0)</f>
        <v>CEMENTO ART 42,5 KG</v>
      </c>
      <c r="Q521" s="43" t="str">
        <f>VLOOKUP(P521,Maestro!E:F,2,0)</f>
        <v>CEMENTO ART 42,5 KG</v>
      </c>
      <c r="R521" s="43">
        <f>VLOOKUP(P521,ORD!$A:$C,3,0)</f>
        <v>11</v>
      </c>
      <c r="S521" t="str">
        <f t="shared" si="9"/>
        <v>7199990001CEMENTOARTCEMENTO ART 42,5 KG</v>
      </c>
      <c r="T521" t="str">
        <f>IFERROR(VLOOKUP(S521,Maestro!$A:$H,8,0),"Producción")</f>
        <v>Cemento ART</v>
      </c>
      <c r="U521" s="43" t="s">
        <v>182</v>
      </c>
    </row>
    <row r="522" spans="1:21" x14ac:dyDescent="0.3">
      <c r="A522" s="43">
        <v>7360050302</v>
      </c>
      <c r="B522" s="43" t="s">
        <v>474</v>
      </c>
      <c r="C522" s="50">
        <f>Datos!$Q$74*D522</f>
        <v>186287599.71637535</v>
      </c>
      <c r="D522" s="50">
        <f>Datos!$Q$479</f>
        <v>200309.24700685521</v>
      </c>
      <c r="E522" s="43" t="s">
        <v>581</v>
      </c>
      <c r="F522" s="43" t="s">
        <v>557</v>
      </c>
      <c r="G522" s="43" t="s">
        <v>582</v>
      </c>
      <c r="H522" s="43" t="s">
        <v>583</v>
      </c>
      <c r="I522" s="43" t="s">
        <v>560</v>
      </c>
      <c r="J522" s="43" t="s">
        <v>475</v>
      </c>
      <c r="K522" s="43">
        <v>700034</v>
      </c>
      <c r="L522" s="43">
        <v>10</v>
      </c>
      <c r="M522" s="43" t="s">
        <v>592</v>
      </c>
      <c r="N522" s="51"/>
      <c r="O522" s="51"/>
      <c r="P522" s="43" t="str">
        <f>VLOOKUP(K522,Maestro!J:K,2,0)</f>
        <v>CEMENTO ART 42,5 KG</v>
      </c>
      <c r="Q522" s="43" t="str">
        <f>VLOOKUP(P522,Maestro!E:F,2,0)</f>
        <v>CEMENTO ART 42,5 KG</v>
      </c>
      <c r="R522" s="43">
        <f>VLOOKUP(P522,ORD!$A:$C,3,0)</f>
        <v>11</v>
      </c>
      <c r="S522" t="str">
        <f t="shared" si="9"/>
        <v>736005030222000000005CEMENTO ART 42,5 KG</v>
      </c>
      <c r="T522" t="str">
        <f>IFERROR(VLOOKUP(S522,Maestro!$A:$H,8,0),"Producción")</f>
        <v>Sacos</v>
      </c>
      <c r="U522" s="43" t="s">
        <v>182</v>
      </c>
    </row>
    <row r="523" spans="1:21" x14ac:dyDescent="0.3">
      <c r="A523" s="43">
        <v>7999999995</v>
      </c>
      <c r="B523" s="43" t="s">
        <v>566</v>
      </c>
      <c r="C523" s="50"/>
      <c r="D523" s="56">
        <f>-Datos!$Q$241*Datos!$Q$207</f>
        <v>-196381.61471260313</v>
      </c>
      <c r="E523" s="43" t="s">
        <v>581</v>
      </c>
      <c r="F523" s="43" t="s">
        <v>557</v>
      </c>
      <c r="G523" s="43" t="s">
        <v>585</v>
      </c>
      <c r="H523" s="43" t="s">
        <v>586</v>
      </c>
      <c r="I523" s="43" t="s">
        <v>560</v>
      </c>
      <c r="J523" s="43" t="s">
        <v>510</v>
      </c>
      <c r="K523" s="43">
        <v>700034</v>
      </c>
      <c r="L523" s="43">
        <v>10</v>
      </c>
      <c r="M523" s="43" t="s">
        <v>511</v>
      </c>
      <c r="N523" s="51"/>
      <c r="O523" s="51"/>
      <c r="P523" s="43" t="str">
        <f>VLOOKUP(K523,Maestro!J:K,2,0)</f>
        <v>CEMENTO ART 42,5 KG</v>
      </c>
      <c r="Q523" s="43" t="str">
        <f>VLOOKUP(P523,Maestro!E:F,2,0)</f>
        <v>CEMENTO ART 42,5 KG</v>
      </c>
      <c r="R523" s="43">
        <f>VLOOKUP(P523,ORD!$A:$C,3,0)</f>
        <v>11</v>
      </c>
      <c r="S523" t="str">
        <f t="shared" si="9"/>
        <v>7999999995CEMARTB42CEMENTO ART 42,5 KG</v>
      </c>
      <c r="T523" t="str">
        <f>IFERROR(VLOOKUP(S523,Maestro!$A:$H,8,0),"Producción")</f>
        <v>Producción</v>
      </c>
      <c r="U523" s="43" t="s">
        <v>182</v>
      </c>
    </row>
    <row r="524" spans="1:21" x14ac:dyDescent="0.3">
      <c r="A524" s="43">
        <v>7199990001</v>
      </c>
      <c r="B524" s="43" t="s">
        <v>438</v>
      </c>
      <c r="C524" s="50"/>
      <c r="D524" s="56">
        <f>Datos!$R$241</f>
        <v>7614.7110920655841</v>
      </c>
      <c r="E524" s="43" t="s">
        <v>556</v>
      </c>
      <c r="F524" s="43" t="s">
        <v>557</v>
      </c>
      <c r="G524" s="43" t="s">
        <v>567</v>
      </c>
      <c r="H524" s="43" t="s">
        <v>568</v>
      </c>
      <c r="I524" s="43" t="s">
        <v>560</v>
      </c>
      <c r="J524" s="43" t="s">
        <v>472</v>
      </c>
      <c r="K524" s="43">
        <v>700034</v>
      </c>
      <c r="L524" s="43">
        <v>11</v>
      </c>
      <c r="M524" s="43" t="s">
        <v>468</v>
      </c>
      <c r="N524" s="51"/>
      <c r="O524" s="51"/>
      <c r="P524" s="43" t="str">
        <f>VLOOKUP(K524,Maestro!J:K,2,0)</f>
        <v>CEMENTO ART 42,5 KG</v>
      </c>
      <c r="Q524" s="43" t="str">
        <f>VLOOKUP(P524,Maestro!E:F,2,0)</f>
        <v>CEMENTO ART 42,5 KG</v>
      </c>
      <c r="R524" s="43">
        <f>VLOOKUP(P524,ORD!$A:$C,3,0)</f>
        <v>11</v>
      </c>
      <c r="S524" t="str">
        <f t="shared" si="9"/>
        <v>7199990001CEMENTOARTCEMENTO ART 42,5 KG</v>
      </c>
      <c r="T524" t="str">
        <f>IFERROR(VLOOKUP(S524,Maestro!$A:$H,8,0),"Producción")</f>
        <v>Cemento ART</v>
      </c>
      <c r="U524" s="43" t="s">
        <v>182</v>
      </c>
    </row>
    <row r="525" spans="1:21" x14ac:dyDescent="0.3">
      <c r="A525" s="43">
        <v>7360050302</v>
      </c>
      <c r="B525" s="43" t="s">
        <v>474</v>
      </c>
      <c r="C525" s="50">
        <f>Datos!$R$74*D525</f>
        <v>169960351.57490385</v>
      </c>
      <c r="D525" s="50">
        <f>Datos!$R$479</f>
        <v>182753.06620957403</v>
      </c>
      <c r="E525" s="43" t="s">
        <v>581</v>
      </c>
      <c r="F525" s="43" t="s">
        <v>557</v>
      </c>
      <c r="G525" s="43" t="s">
        <v>582</v>
      </c>
      <c r="H525" s="43" t="s">
        <v>583</v>
      </c>
      <c r="I525" s="43" t="s">
        <v>560</v>
      </c>
      <c r="J525" s="43" t="s">
        <v>475</v>
      </c>
      <c r="K525" s="43">
        <v>700034</v>
      </c>
      <c r="L525" s="43">
        <v>11</v>
      </c>
      <c r="M525" s="43" t="s">
        <v>592</v>
      </c>
      <c r="N525" s="51"/>
      <c r="O525" s="51"/>
      <c r="P525" s="43" t="str">
        <f>VLOOKUP(K525,Maestro!J:K,2,0)</f>
        <v>CEMENTO ART 42,5 KG</v>
      </c>
      <c r="Q525" s="43" t="str">
        <f>VLOOKUP(P525,Maestro!E:F,2,0)</f>
        <v>CEMENTO ART 42,5 KG</v>
      </c>
      <c r="R525" s="43">
        <f>VLOOKUP(P525,ORD!$A:$C,3,0)</f>
        <v>11</v>
      </c>
      <c r="S525" t="str">
        <f t="shared" si="9"/>
        <v>736005030222000000005CEMENTO ART 42,5 KG</v>
      </c>
      <c r="T525" t="str">
        <f>IFERROR(VLOOKUP(S525,Maestro!$A:$H,8,0),"Producción")</f>
        <v>Sacos</v>
      </c>
      <c r="U525" s="43" t="s">
        <v>182</v>
      </c>
    </row>
    <row r="526" spans="1:21" x14ac:dyDescent="0.3">
      <c r="A526" s="43">
        <v>7999999995</v>
      </c>
      <c r="B526" s="43" t="s">
        <v>566</v>
      </c>
      <c r="C526" s="50"/>
      <c r="D526" s="56">
        <f>-Datos!$R$241*Datos!$R$207</f>
        <v>-179169.67275448435</v>
      </c>
      <c r="E526" s="43" t="s">
        <v>581</v>
      </c>
      <c r="F526" s="43" t="s">
        <v>557</v>
      </c>
      <c r="G526" s="43" t="s">
        <v>585</v>
      </c>
      <c r="H526" s="43" t="s">
        <v>586</v>
      </c>
      <c r="I526" s="43" t="s">
        <v>560</v>
      </c>
      <c r="J526" s="43" t="s">
        <v>510</v>
      </c>
      <c r="K526" s="43">
        <v>700034</v>
      </c>
      <c r="L526" s="43">
        <v>11</v>
      </c>
      <c r="M526" s="43" t="s">
        <v>511</v>
      </c>
      <c r="N526" s="51"/>
      <c r="O526" s="51"/>
      <c r="P526" s="43" t="str">
        <f>VLOOKUP(K526,Maestro!J:K,2,0)</f>
        <v>CEMENTO ART 42,5 KG</v>
      </c>
      <c r="Q526" s="43" t="str">
        <f>VLOOKUP(P526,Maestro!E:F,2,0)</f>
        <v>CEMENTO ART 42,5 KG</v>
      </c>
      <c r="R526" s="43">
        <f>VLOOKUP(P526,ORD!$A:$C,3,0)</f>
        <v>11</v>
      </c>
      <c r="S526" t="str">
        <f t="shared" si="9"/>
        <v>7999999995CEMARTB42CEMENTO ART 42,5 KG</v>
      </c>
      <c r="T526" t="str">
        <f>IFERROR(VLOOKUP(S526,Maestro!$A:$H,8,0),"Producción")</f>
        <v>Producción</v>
      </c>
      <c r="U526" s="43" t="s">
        <v>182</v>
      </c>
    </row>
    <row r="527" spans="1:21" x14ac:dyDescent="0.3">
      <c r="A527" s="43">
        <v>7199990001</v>
      </c>
      <c r="B527" s="43" t="s">
        <v>438</v>
      </c>
      <c r="C527" s="50"/>
      <c r="D527" s="56">
        <f>Datos!$S$241</f>
        <v>7280.8110142391133</v>
      </c>
      <c r="E527" s="43" t="s">
        <v>556</v>
      </c>
      <c r="F527" s="43" t="s">
        <v>557</v>
      </c>
      <c r="G527" s="43" t="s">
        <v>567</v>
      </c>
      <c r="H527" s="43" t="s">
        <v>568</v>
      </c>
      <c r="I527" s="43" t="s">
        <v>560</v>
      </c>
      <c r="J527" s="43" t="s">
        <v>472</v>
      </c>
      <c r="K527" s="43">
        <v>700034</v>
      </c>
      <c r="L527" s="43">
        <v>12</v>
      </c>
      <c r="M527" s="43" t="s">
        <v>468</v>
      </c>
      <c r="N527" s="51"/>
      <c r="O527" s="51"/>
      <c r="P527" s="43" t="str">
        <f>VLOOKUP(K527,Maestro!J:K,2,0)</f>
        <v>CEMENTO ART 42,5 KG</v>
      </c>
      <c r="Q527" s="43" t="str">
        <f>VLOOKUP(P527,Maestro!E:F,2,0)</f>
        <v>CEMENTO ART 42,5 KG</v>
      </c>
      <c r="R527" s="43">
        <f>VLOOKUP(P527,ORD!$A:$C,3,0)</f>
        <v>11</v>
      </c>
      <c r="S527" t="str">
        <f t="shared" si="9"/>
        <v>7199990001CEMENTOARTCEMENTO ART 42,5 KG</v>
      </c>
      <c r="T527" t="str">
        <f>IFERROR(VLOOKUP(S527,Maestro!$A:$H,8,0),"Producción")</f>
        <v>Cemento ART</v>
      </c>
      <c r="U527" s="43" t="s">
        <v>182</v>
      </c>
    </row>
    <row r="528" spans="1:21" x14ac:dyDescent="0.3">
      <c r="A528" s="43">
        <v>7360050302</v>
      </c>
      <c r="B528" s="43" t="s">
        <v>474</v>
      </c>
      <c r="C528" s="50">
        <f>Datos!$S$74*D528</f>
        <v>162507701.83781704</v>
      </c>
      <c r="D528" s="50">
        <f>Datos!$S$479</f>
        <v>174739.46434173876</v>
      </c>
      <c r="E528" s="43" t="s">
        <v>581</v>
      </c>
      <c r="F528" s="43" t="s">
        <v>557</v>
      </c>
      <c r="G528" s="43" t="s">
        <v>582</v>
      </c>
      <c r="H528" s="43" t="s">
        <v>583</v>
      </c>
      <c r="I528" s="43" t="s">
        <v>560</v>
      </c>
      <c r="J528" s="43" t="s">
        <v>475</v>
      </c>
      <c r="K528" s="43">
        <v>700034</v>
      </c>
      <c r="L528" s="43">
        <v>12</v>
      </c>
      <c r="M528" s="43" t="s">
        <v>592</v>
      </c>
      <c r="N528" s="51"/>
      <c r="O528" s="51"/>
      <c r="P528" s="43" t="str">
        <f>VLOOKUP(K528,Maestro!J:K,2,0)</f>
        <v>CEMENTO ART 42,5 KG</v>
      </c>
      <c r="Q528" s="43" t="str">
        <f>VLOOKUP(P528,Maestro!E:F,2,0)</f>
        <v>CEMENTO ART 42,5 KG</v>
      </c>
      <c r="R528" s="43">
        <f>VLOOKUP(P528,ORD!$A:$C,3,0)</f>
        <v>11</v>
      </c>
      <c r="S528" t="str">
        <f t="shared" si="9"/>
        <v>736005030222000000005CEMENTO ART 42,5 KG</v>
      </c>
      <c r="T528" t="str">
        <f>IFERROR(VLOOKUP(S528,Maestro!$A:$H,8,0),"Producción")</f>
        <v>Sacos</v>
      </c>
      <c r="U528" s="43" t="s">
        <v>182</v>
      </c>
    </row>
    <row r="529" spans="1:21" x14ac:dyDescent="0.3">
      <c r="A529" s="43">
        <v>7999999995</v>
      </c>
      <c r="B529" s="43" t="s">
        <v>566</v>
      </c>
      <c r="C529" s="50"/>
      <c r="D529" s="56">
        <f>-Datos!$S$241*Datos!$S$207</f>
        <v>-171313.20033503798</v>
      </c>
      <c r="E529" s="43" t="s">
        <v>581</v>
      </c>
      <c r="F529" s="43" t="s">
        <v>557</v>
      </c>
      <c r="G529" s="43" t="s">
        <v>585</v>
      </c>
      <c r="H529" s="43" t="s">
        <v>586</v>
      </c>
      <c r="I529" s="43" t="s">
        <v>560</v>
      </c>
      <c r="J529" s="43" t="s">
        <v>510</v>
      </c>
      <c r="K529" s="43">
        <v>700034</v>
      </c>
      <c r="L529" s="43">
        <v>12</v>
      </c>
      <c r="M529" s="43" t="s">
        <v>511</v>
      </c>
      <c r="N529" s="51"/>
      <c r="O529" s="51"/>
      <c r="P529" s="43" t="str">
        <f>VLOOKUP(K529,Maestro!J:K,2,0)</f>
        <v>CEMENTO ART 42,5 KG</v>
      </c>
      <c r="Q529" s="43" t="str">
        <f>VLOOKUP(P529,Maestro!E:F,2,0)</f>
        <v>CEMENTO ART 42,5 KG</v>
      </c>
      <c r="R529" s="43">
        <f>VLOOKUP(P529,ORD!$A:$C,3,0)</f>
        <v>11</v>
      </c>
      <c r="S529" t="str">
        <f t="shared" si="9"/>
        <v>7999999995CEMARTB42CEMENTO ART 42,5 KG</v>
      </c>
      <c r="T529" t="str">
        <f>IFERROR(VLOOKUP(S529,Maestro!$A:$H,8,0),"Producción")</f>
        <v>Producción</v>
      </c>
      <c r="U529" s="43" t="s">
        <v>182</v>
      </c>
    </row>
    <row r="530" spans="1:21" x14ac:dyDescent="0.3">
      <c r="A530" s="43">
        <v>7199990001</v>
      </c>
      <c r="B530" s="43" t="s">
        <v>438</v>
      </c>
      <c r="C530" s="50"/>
      <c r="D530" s="56">
        <f>Datos!$H$235</f>
        <v>573.21357307263816</v>
      </c>
      <c r="E530" s="43" t="s">
        <v>556</v>
      </c>
      <c r="F530" s="43" t="s">
        <v>557</v>
      </c>
      <c r="G530" s="43" t="s">
        <v>567</v>
      </c>
      <c r="H530" s="43" t="s">
        <v>568</v>
      </c>
      <c r="I530" s="43" t="s">
        <v>560</v>
      </c>
      <c r="J530" s="43" t="s">
        <v>476</v>
      </c>
      <c r="K530" s="43">
        <v>700048</v>
      </c>
      <c r="L530" s="43">
        <v>1</v>
      </c>
      <c r="M530" s="43" t="s">
        <v>464</v>
      </c>
      <c r="N530" s="51"/>
      <c r="O530" s="51"/>
      <c r="P530" s="43" t="str">
        <f>VLOOKUP(K530,Maestro!J:K,2,0)</f>
        <v>CEMENTO UG 25 KG</v>
      </c>
      <c r="Q530" s="43" t="str">
        <f>VLOOKUP(P530,Maestro!E:F,2,0)</f>
        <v>CEMENTO UG 25 KG</v>
      </c>
      <c r="R530" s="43">
        <f>VLOOKUP(P530,ORD!$A:$C,3,0)</f>
        <v>10</v>
      </c>
      <c r="S530" t="str">
        <f t="shared" si="9"/>
        <v>7199990001CEMENTOUG1CEMENTO UG 25 KG</v>
      </c>
      <c r="T530" t="str">
        <f>IFERROR(VLOOKUP(S530,Maestro!$A:$H,8,0),"Producción")</f>
        <v>Cemento UG</v>
      </c>
      <c r="U530" s="43" t="s">
        <v>182</v>
      </c>
    </row>
    <row r="531" spans="1:21" x14ac:dyDescent="0.3">
      <c r="A531" s="43">
        <v>7360050302</v>
      </c>
      <c r="B531" s="43" t="s">
        <v>474</v>
      </c>
      <c r="C531" s="52">
        <f>Datos!$H$73*D531</f>
        <v>16698399.239893638</v>
      </c>
      <c r="D531" s="50">
        <f>Datos!$H$477</f>
        <v>23387.113781363638</v>
      </c>
      <c r="E531" s="43" t="s">
        <v>581</v>
      </c>
      <c r="F531" s="43" t="s">
        <v>557</v>
      </c>
      <c r="G531" s="43" t="s">
        <v>582</v>
      </c>
      <c r="H531" s="43" t="s">
        <v>583</v>
      </c>
      <c r="I531" s="43" t="s">
        <v>560</v>
      </c>
      <c r="J531" s="43" t="s">
        <v>482</v>
      </c>
      <c r="K531" s="43">
        <v>700048</v>
      </c>
      <c r="L531" s="43">
        <v>1</v>
      </c>
      <c r="M531" s="43" t="s">
        <v>593</v>
      </c>
      <c r="N531" s="51"/>
      <c r="O531" s="51"/>
      <c r="P531" s="43" t="str">
        <f>VLOOKUP(K531,Maestro!J:K,2,0)</f>
        <v>CEMENTO UG 25 KG</v>
      </c>
      <c r="Q531" s="43" t="str">
        <f>VLOOKUP(P531,Maestro!E:F,2,0)</f>
        <v>CEMENTO UG 25 KG</v>
      </c>
      <c r="R531" s="43">
        <f>VLOOKUP(P531,ORD!$A:$C,3,0)</f>
        <v>10</v>
      </c>
      <c r="S531" t="str">
        <f t="shared" si="9"/>
        <v>736005030222000000004CEMENTO UG 25 KG</v>
      </c>
      <c r="T531" t="str">
        <f>IFERROR(VLOOKUP(S531,Maestro!$A:$H,8,0),"Producción")</f>
        <v>Sacos</v>
      </c>
      <c r="U531" s="43" t="s">
        <v>182</v>
      </c>
    </row>
    <row r="532" spans="1:21" x14ac:dyDescent="0.3">
      <c r="A532" s="43">
        <v>7999999995</v>
      </c>
      <c r="B532" s="43" t="s">
        <v>566</v>
      </c>
      <c r="C532" s="50"/>
      <c r="D532" s="56">
        <f>-Datos!$H$235*Datos!$H$205</f>
        <v>-22928.542922905526</v>
      </c>
      <c r="E532" s="43" t="s">
        <v>581</v>
      </c>
      <c r="F532" s="43" t="s">
        <v>557</v>
      </c>
      <c r="G532" s="43" t="s">
        <v>585</v>
      </c>
      <c r="H532" s="43" t="s">
        <v>586</v>
      </c>
      <c r="I532" s="43" t="s">
        <v>560</v>
      </c>
      <c r="J532" s="43" t="s">
        <v>512</v>
      </c>
      <c r="K532" s="43">
        <v>700048</v>
      </c>
      <c r="L532" s="43">
        <v>1</v>
      </c>
      <c r="M532" s="43" t="s">
        <v>513</v>
      </c>
      <c r="N532" s="51"/>
      <c r="O532" s="51"/>
      <c r="P532" s="43" t="str">
        <f>VLOOKUP(K532,Maestro!J:K,2,0)</f>
        <v>CEMENTO UG 25 KG</v>
      </c>
      <c r="Q532" s="43" t="str">
        <f>VLOOKUP(P532,Maestro!E:F,2,0)</f>
        <v>CEMENTO UG 25 KG</v>
      </c>
      <c r="R532" s="43">
        <f>VLOOKUP(P532,ORD!$A:$C,3,0)</f>
        <v>10</v>
      </c>
      <c r="S532" t="str">
        <f t="shared" si="9"/>
        <v>7999999995CEMCUGB25CEMENTO UG 25 KG</v>
      </c>
      <c r="T532" t="str">
        <f>IFERROR(VLOOKUP(S532,Maestro!$A:$H,8,0),"Producción")</f>
        <v>Producción</v>
      </c>
      <c r="U532" s="43" t="s">
        <v>182</v>
      </c>
    </row>
    <row r="533" spans="1:21" x14ac:dyDescent="0.3">
      <c r="A533" s="43">
        <v>7199990001</v>
      </c>
      <c r="B533" s="43" t="s">
        <v>438</v>
      </c>
      <c r="C533" s="50"/>
      <c r="D533" s="56">
        <f>Datos!$I$235</f>
        <v>594.95159941392683</v>
      </c>
      <c r="E533" s="43" t="s">
        <v>556</v>
      </c>
      <c r="F533" s="43" t="s">
        <v>557</v>
      </c>
      <c r="G533" s="43" t="s">
        <v>567</v>
      </c>
      <c r="H533" s="43" t="s">
        <v>568</v>
      </c>
      <c r="I533" s="43" t="s">
        <v>560</v>
      </c>
      <c r="J533" s="43" t="s">
        <v>476</v>
      </c>
      <c r="K533" s="43">
        <v>700048</v>
      </c>
      <c r="L533" s="43">
        <v>2</v>
      </c>
      <c r="M533" s="43" t="s">
        <v>464</v>
      </c>
      <c r="N533" s="51"/>
      <c r="O533" s="51"/>
      <c r="P533" s="43" t="str">
        <f>VLOOKUP(K533,Maestro!J:K,2,0)</f>
        <v>CEMENTO UG 25 KG</v>
      </c>
      <c r="Q533" s="43" t="str">
        <f>VLOOKUP(P533,Maestro!E:F,2,0)</f>
        <v>CEMENTO UG 25 KG</v>
      </c>
      <c r="R533" s="43">
        <f>VLOOKUP(P533,ORD!$A:$C,3,0)</f>
        <v>10</v>
      </c>
      <c r="S533" t="str">
        <f t="shared" si="9"/>
        <v>7199990001CEMENTOUG1CEMENTO UG 25 KG</v>
      </c>
      <c r="T533" t="str">
        <f>IFERROR(VLOOKUP(S533,Maestro!$A:$H,8,0),"Producción")</f>
        <v>Cemento UG</v>
      </c>
      <c r="U533" s="43" t="s">
        <v>182</v>
      </c>
    </row>
    <row r="534" spans="1:21" x14ac:dyDescent="0.3">
      <c r="A534" s="43">
        <v>7360050302</v>
      </c>
      <c r="B534" s="43" t="s">
        <v>474</v>
      </c>
      <c r="C534" s="52">
        <f>Datos!$I$73*D534</f>
        <v>17331654.032846984</v>
      </c>
      <c r="D534" s="50">
        <f>Datos!$I$477</f>
        <v>24274.025256088215</v>
      </c>
      <c r="E534" s="43" t="s">
        <v>581</v>
      </c>
      <c r="F534" s="43" t="s">
        <v>557</v>
      </c>
      <c r="G534" s="43" t="s">
        <v>582</v>
      </c>
      <c r="H534" s="43" t="s">
        <v>583</v>
      </c>
      <c r="I534" s="43" t="s">
        <v>560</v>
      </c>
      <c r="J534" s="43" t="s">
        <v>482</v>
      </c>
      <c r="K534" s="43">
        <v>700048</v>
      </c>
      <c r="L534" s="43">
        <v>2</v>
      </c>
      <c r="M534" s="43" t="s">
        <v>593</v>
      </c>
      <c r="N534" s="51"/>
      <c r="O534" s="51"/>
      <c r="P534" s="43" t="str">
        <f>VLOOKUP(K534,Maestro!J:K,2,0)</f>
        <v>CEMENTO UG 25 KG</v>
      </c>
      <c r="Q534" s="43" t="str">
        <f>VLOOKUP(P534,Maestro!E:F,2,0)</f>
        <v>CEMENTO UG 25 KG</v>
      </c>
      <c r="R534" s="43">
        <f>VLOOKUP(P534,ORD!$A:$C,3,0)</f>
        <v>10</v>
      </c>
      <c r="S534" t="str">
        <f t="shared" si="9"/>
        <v>736005030222000000004CEMENTO UG 25 KG</v>
      </c>
      <c r="T534" t="str">
        <f>IFERROR(VLOOKUP(S534,Maestro!$A:$H,8,0),"Producción")</f>
        <v>Sacos</v>
      </c>
      <c r="U534" s="43" t="s">
        <v>182</v>
      </c>
    </row>
    <row r="535" spans="1:21" x14ac:dyDescent="0.3">
      <c r="A535" s="43">
        <v>7999999995</v>
      </c>
      <c r="B535" s="43" t="s">
        <v>566</v>
      </c>
      <c r="C535" s="50"/>
      <c r="D535" s="56">
        <f>-Datos!$I$235*Datos!$I$205</f>
        <v>-23798.063976557074</v>
      </c>
      <c r="E535" s="43" t="s">
        <v>581</v>
      </c>
      <c r="F535" s="43" t="s">
        <v>557</v>
      </c>
      <c r="G535" s="43" t="s">
        <v>585</v>
      </c>
      <c r="H535" s="43" t="s">
        <v>586</v>
      </c>
      <c r="I535" s="43" t="s">
        <v>560</v>
      </c>
      <c r="J535" s="43" t="s">
        <v>512</v>
      </c>
      <c r="K535" s="43">
        <v>700048</v>
      </c>
      <c r="L535" s="43">
        <v>2</v>
      </c>
      <c r="M535" s="43" t="s">
        <v>513</v>
      </c>
      <c r="N535" s="51"/>
      <c r="O535" s="51"/>
      <c r="P535" s="43" t="str">
        <f>VLOOKUP(K535,Maestro!J:K,2,0)</f>
        <v>CEMENTO UG 25 KG</v>
      </c>
      <c r="Q535" s="43" t="str">
        <f>VLOOKUP(P535,Maestro!E:F,2,0)</f>
        <v>CEMENTO UG 25 KG</v>
      </c>
      <c r="R535" s="43">
        <f>VLOOKUP(P535,ORD!$A:$C,3,0)</f>
        <v>10</v>
      </c>
      <c r="S535" t="str">
        <f t="shared" si="9"/>
        <v>7999999995CEMCUGB25CEMENTO UG 25 KG</v>
      </c>
      <c r="T535" t="str">
        <f>IFERROR(VLOOKUP(S535,Maestro!$A:$H,8,0),"Producción")</f>
        <v>Producción</v>
      </c>
      <c r="U535" s="43" t="s">
        <v>182</v>
      </c>
    </row>
    <row r="536" spans="1:21" x14ac:dyDescent="0.3">
      <c r="A536" s="43">
        <v>7199990001</v>
      </c>
      <c r="B536" s="43" t="s">
        <v>438</v>
      </c>
      <c r="C536" s="50"/>
      <c r="D536" s="56">
        <f>Datos!$J$235</f>
        <v>640.65791881369057</v>
      </c>
      <c r="E536" s="43" t="s">
        <v>556</v>
      </c>
      <c r="F536" s="43" t="s">
        <v>557</v>
      </c>
      <c r="G536" s="43" t="s">
        <v>567</v>
      </c>
      <c r="H536" s="43" t="s">
        <v>568</v>
      </c>
      <c r="I536" s="43" t="s">
        <v>560</v>
      </c>
      <c r="J536" s="43" t="s">
        <v>476</v>
      </c>
      <c r="K536" s="43">
        <v>700048</v>
      </c>
      <c r="L536" s="43">
        <v>3</v>
      </c>
      <c r="M536" s="43" t="s">
        <v>464</v>
      </c>
      <c r="N536" s="51"/>
      <c r="O536" s="51"/>
      <c r="P536" s="43" t="str">
        <f>VLOOKUP(K536,Maestro!J:K,2,0)</f>
        <v>CEMENTO UG 25 KG</v>
      </c>
      <c r="Q536" s="43" t="str">
        <f>VLOOKUP(P536,Maestro!E:F,2,0)</f>
        <v>CEMENTO UG 25 KG</v>
      </c>
      <c r="R536" s="43">
        <f>VLOOKUP(P536,ORD!$A:$C,3,0)</f>
        <v>10</v>
      </c>
      <c r="S536" t="str">
        <f t="shared" si="9"/>
        <v>7199990001CEMENTOUG1CEMENTO UG 25 KG</v>
      </c>
      <c r="T536" t="str">
        <f>IFERROR(VLOOKUP(S536,Maestro!$A:$H,8,0),"Producción")</f>
        <v>Cemento UG</v>
      </c>
      <c r="U536" s="43" t="s">
        <v>182</v>
      </c>
    </row>
    <row r="537" spans="1:21" x14ac:dyDescent="0.3">
      <c r="A537" s="43">
        <v>7360050302</v>
      </c>
      <c r="B537" s="43" t="s">
        <v>474</v>
      </c>
      <c r="C537" s="52">
        <f>Datos!$J$73*D537</f>
        <v>19368882.727910545</v>
      </c>
      <c r="D537" s="50">
        <f>Datos!$J$477</f>
        <v>26138.843087598576</v>
      </c>
      <c r="E537" s="43" t="s">
        <v>581</v>
      </c>
      <c r="F537" s="43" t="s">
        <v>557</v>
      </c>
      <c r="G537" s="43" t="s">
        <v>582</v>
      </c>
      <c r="H537" s="43" t="s">
        <v>583</v>
      </c>
      <c r="I537" s="43" t="s">
        <v>560</v>
      </c>
      <c r="J537" s="43" t="s">
        <v>482</v>
      </c>
      <c r="K537" s="43">
        <v>700048</v>
      </c>
      <c r="L537" s="43">
        <v>3</v>
      </c>
      <c r="M537" s="43" t="s">
        <v>593</v>
      </c>
      <c r="N537" s="51"/>
      <c r="O537" s="51"/>
      <c r="P537" s="43" t="str">
        <f>VLOOKUP(K537,Maestro!J:K,2,0)</f>
        <v>CEMENTO UG 25 KG</v>
      </c>
      <c r="Q537" s="43" t="str">
        <f>VLOOKUP(P537,Maestro!E:F,2,0)</f>
        <v>CEMENTO UG 25 KG</v>
      </c>
      <c r="R537" s="43">
        <f>VLOOKUP(P537,ORD!$A:$C,3,0)</f>
        <v>10</v>
      </c>
      <c r="S537" t="str">
        <f t="shared" si="9"/>
        <v>736005030222000000004CEMENTO UG 25 KG</v>
      </c>
      <c r="T537" t="str">
        <f>IFERROR(VLOOKUP(S537,Maestro!$A:$H,8,0),"Producción")</f>
        <v>Sacos</v>
      </c>
      <c r="U537" s="43" t="s">
        <v>182</v>
      </c>
    </row>
    <row r="538" spans="1:21" x14ac:dyDescent="0.3">
      <c r="A538" s="43">
        <v>7999999995</v>
      </c>
      <c r="B538" s="43" t="s">
        <v>566</v>
      </c>
      <c r="C538" s="50"/>
      <c r="D538" s="56">
        <f>-Datos!$J$235*Datos!$J$205</f>
        <v>-25626.316752547624</v>
      </c>
      <c r="E538" s="43" t="s">
        <v>581</v>
      </c>
      <c r="F538" s="43" t="s">
        <v>557</v>
      </c>
      <c r="G538" s="43" t="s">
        <v>585</v>
      </c>
      <c r="H538" s="43" t="s">
        <v>586</v>
      </c>
      <c r="I538" s="43" t="s">
        <v>560</v>
      </c>
      <c r="J538" s="43" t="s">
        <v>512</v>
      </c>
      <c r="K538" s="43">
        <v>700048</v>
      </c>
      <c r="L538" s="43">
        <v>3</v>
      </c>
      <c r="M538" s="43" t="s">
        <v>513</v>
      </c>
      <c r="N538" s="51"/>
      <c r="O538" s="51"/>
      <c r="P538" s="43" t="str">
        <f>VLOOKUP(K538,Maestro!J:K,2,0)</f>
        <v>CEMENTO UG 25 KG</v>
      </c>
      <c r="Q538" s="43" t="str">
        <f>VLOOKUP(P538,Maestro!E:F,2,0)</f>
        <v>CEMENTO UG 25 KG</v>
      </c>
      <c r="R538" s="43">
        <f>VLOOKUP(P538,ORD!$A:$C,3,0)</f>
        <v>10</v>
      </c>
      <c r="S538" t="str">
        <f t="shared" si="9"/>
        <v>7999999995CEMCUGB25CEMENTO UG 25 KG</v>
      </c>
      <c r="T538" t="str">
        <f>IFERROR(VLOOKUP(S538,Maestro!$A:$H,8,0),"Producción")</f>
        <v>Producción</v>
      </c>
      <c r="U538" s="43" t="s">
        <v>182</v>
      </c>
    </row>
    <row r="539" spans="1:21" x14ac:dyDescent="0.3">
      <c r="A539" s="43">
        <v>7199990001</v>
      </c>
      <c r="B539" s="43" t="s">
        <v>438</v>
      </c>
      <c r="C539" s="50"/>
      <c r="D539" s="56">
        <f>Datos!$K$235</f>
        <v>609.96309867899527</v>
      </c>
      <c r="E539" s="43" t="s">
        <v>556</v>
      </c>
      <c r="F539" s="43" t="s">
        <v>557</v>
      </c>
      <c r="G539" s="43" t="s">
        <v>567</v>
      </c>
      <c r="H539" s="43" t="s">
        <v>568</v>
      </c>
      <c r="I539" s="43" t="s">
        <v>560</v>
      </c>
      <c r="J539" s="43" t="s">
        <v>476</v>
      </c>
      <c r="K539" s="43">
        <v>700048</v>
      </c>
      <c r="L539" s="43">
        <v>4</v>
      </c>
      <c r="M539" s="43" t="s">
        <v>464</v>
      </c>
      <c r="N539" s="51"/>
      <c r="O539" s="51"/>
      <c r="P539" s="43" t="str">
        <f>VLOOKUP(K539,Maestro!J:K,2,0)</f>
        <v>CEMENTO UG 25 KG</v>
      </c>
      <c r="Q539" s="43" t="str">
        <f>VLOOKUP(P539,Maestro!E:F,2,0)</f>
        <v>CEMENTO UG 25 KG</v>
      </c>
      <c r="R539" s="43">
        <f>VLOOKUP(P539,ORD!$A:$C,3,0)</f>
        <v>10</v>
      </c>
      <c r="S539" t="str">
        <f t="shared" si="9"/>
        <v>7199990001CEMENTOUG1CEMENTO UG 25 KG</v>
      </c>
      <c r="T539" t="str">
        <f>IFERROR(VLOOKUP(S539,Maestro!$A:$H,8,0),"Producción")</f>
        <v>Cemento UG</v>
      </c>
      <c r="U539" s="43" t="s">
        <v>182</v>
      </c>
    </row>
    <row r="540" spans="1:21" x14ac:dyDescent="0.3">
      <c r="A540" s="43">
        <v>7360050302</v>
      </c>
      <c r="B540" s="43" t="s">
        <v>474</v>
      </c>
      <c r="C540" s="52">
        <f>Datos!$K$73*D540</f>
        <v>18440892.369742326</v>
      </c>
      <c r="D540" s="50">
        <f>Datos!$K$477</f>
        <v>24886.494426103007</v>
      </c>
      <c r="E540" s="43" t="s">
        <v>581</v>
      </c>
      <c r="F540" s="43" t="s">
        <v>557</v>
      </c>
      <c r="G540" s="43" t="s">
        <v>582</v>
      </c>
      <c r="H540" s="43" t="s">
        <v>583</v>
      </c>
      <c r="I540" s="43" t="s">
        <v>560</v>
      </c>
      <c r="J540" s="43" t="s">
        <v>482</v>
      </c>
      <c r="K540" s="43">
        <v>700048</v>
      </c>
      <c r="L540" s="43">
        <v>4</v>
      </c>
      <c r="M540" s="43" t="s">
        <v>593</v>
      </c>
      <c r="N540" s="51"/>
      <c r="O540" s="51"/>
      <c r="P540" s="43" t="str">
        <f>VLOOKUP(K540,Maestro!J:K,2,0)</f>
        <v>CEMENTO UG 25 KG</v>
      </c>
      <c r="Q540" s="43" t="str">
        <f>VLOOKUP(P540,Maestro!E:F,2,0)</f>
        <v>CEMENTO UG 25 KG</v>
      </c>
      <c r="R540" s="43">
        <f>VLOOKUP(P540,ORD!$A:$C,3,0)</f>
        <v>10</v>
      </c>
      <c r="S540" t="str">
        <f t="shared" si="9"/>
        <v>736005030222000000004CEMENTO UG 25 KG</v>
      </c>
      <c r="T540" t="str">
        <f>IFERROR(VLOOKUP(S540,Maestro!$A:$H,8,0),"Producción")</f>
        <v>Sacos</v>
      </c>
      <c r="U540" s="43" t="s">
        <v>182</v>
      </c>
    </row>
    <row r="541" spans="1:21" x14ac:dyDescent="0.3">
      <c r="A541" s="43">
        <v>7999999995</v>
      </c>
      <c r="B541" s="43" t="s">
        <v>566</v>
      </c>
      <c r="C541" s="50"/>
      <c r="D541" s="56">
        <f>-Datos!$K$235*Datos!$K$205</f>
        <v>-24398.523947159811</v>
      </c>
      <c r="E541" s="43" t="s">
        <v>581</v>
      </c>
      <c r="F541" s="43" t="s">
        <v>557</v>
      </c>
      <c r="G541" s="43" t="s">
        <v>585</v>
      </c>
      <c r="H541" s="43" t="s">
        <v>586</v>
      </c>
      <c r="I541" s="43" t="s">
        <v>560</v>
      </c>
      <c r="J541" s="43" t="s">
        <v>512</v>
      </c>
      <c r="K541" s="43">
        <v>700048</v>
      </c>
      <c r="L541" s="43">
        <v>4</v>
      </c>
      <c r="M541" s="43" t="s">
        <v>513</v>
      </c>
      <c r="N541" s="51"/>
      <c r="O541" s="51"/>
      <c r="P541" s="43" t="str">
        <f>VLOOKUP(K541,Maestro!J:K,2,0)</f>
        <v>CEMENTO UG 25 KG</v>
      </c>
      <c r="Q541" s="43" t="str">
        <f>VLOOKUP(P541,Maestro!E:F,2,0)</f>
        <v>CEMENTO UG 25 KG</v>
      </c>
      <c r="R541" s="43">
        <f>VLOOKUP(P541,ORD!$A:$C,3,0)</f>
        <v>10</v>
      </c>
      <c r="S541" t="str">
        <f t="shared" si="9"/>
        <v>7999999995CEMCUGB25CEMENTO UG 25 KG</v>
      </c>
      <c r="T541" t="str">
        <f>IFERROR(VLOOKUP(S541,Maestro!$A:$H,8,0),"Producción")</f>
        <v>Producción</v>
      </c>
      <c r="U541" s="43" t="s">
        <v>182</v>
      </c>
    </row>
    <row r="542" spans="1:21" x14ac:dyDescent="0.3">
      <c r="A542" s="43">
        <v>7199990001</v>
      </c>
      <c r="B542" s="43" t="s">
        <v>438</v>
      </c>
      <c r="C542" s="50"/>
      <c r="D542" s="56">
        <f>Datos!$L$235</f>
        <v>571.18618727357523</v>
      </c>
      <c r="E542" s="43" t="s">
        <v>556</v>
      </c>
      <c r="F542" s="43" t="s">
        <v>557</v>
      </c>
      <c r="G542" s="43" t="s">
        <v>567</v>
      </c>
      <c r="H542" s="43" t="s">
        <v>568</v>
      </c>
      <c r="I542" s="43" t="s">
        <v>560</v>
      </c>
      <c r="J542" s="43" t="s">
        <v>476</v>
      </c>
      <c r="K542" s="43">
        <v>700048</v>
      </c>
      <c r="L542" s="43">
        <v>5</v>
      </c>
      <c r="M542" s="43" t="s">
        <v>464</v>
      </c>
      <c r="N542" s="51"/>
      <c r="O542" s="51"/>
      <c r="P542" s="43" t="str">
        <f>VLOOKUP(K542,Maestro!J:K,2,0)</f>
        <v>CEMENTO UG 25 KG</v>
      </c>
      <c r="Q542" s="43" t="str">
        <f>VLOOKUP(P542,Maestro!E:F,2,0)</f>
        <v>CEMENTO UG 25 KG</v>
      </c>
      <c r="R542" s="43">
        <f>VLOOKUP(P542,ORD!$A:$C,3,0)</f>
        <v>10</v>
      </c>
      <c r="S542" t="str">
        <f t="shared" si="9"/>
        <v>7199990001CEMENTOUG1CEMENTO UG 25 KG</v>
      </c>
      <c r="T542" t="str">
        <f>IFERROR(VLOOKUP(S542,Maestro!$A:$H,8,0),"Producción")</f>
        <v>Cemento UG</v>
      </c>
      <c r="U542" s="43" t="s">
        <v>182</v>
      </c>
    </row>
    <row r="543" spans="1:21" x14ac:dyDescent="0.3">
      <c r="A543" s="43">
        <v>7360050302</v>
      </c>
      <c r="B543" s="43" t="s">
        <v>474</v>
      </c>
      <c r="C543" s="52">
        <f>Datos!$L$73*D543</f>
        <v>17268557.762604546</v>
      </c>
      <c r="D543" s="50">
        <f>Datos!$L$477</f>
        <v>23304.39644076187</v>
      </c>
      <c r="E543" s="43" t="s">
        <v>581</v>
      </c>
      <c r="F543" s="43" t="s">
        <v>557</v>
      </c>
      <c r="G543" s="43" t="s">
        <v>582</v>
      </c>
      <c r="H543" s="43" t="s">
        <v>583</v>
      </c>
      <c r="I543" s="43" t="s">
        <v>560</v>
      </c>
      <c r="J543" s="43" t="s">
        <v>482</v>
      </c>
      <c r="K543" s="43">
        <v>700048</v>
      </c>
      <c r="L543" s="43">
        <v>5</v>
      </c>
      <c r="M543" s="43" t="s">
        <v>593</v>
      </c>
      <c r="N543" s="51"/>
      <c r="O543" s="51"/>
      <c r="P543" s="43" t="str">
        <f>VLOOKUP(K543,Maestro!J:K,2,0)</f>
        <v>CEMENTO UG 25 KG</v>
      </c>
      <c r="Q543" s="43" t="str">
        <f>VLOOKUP(P543,Maestro!E:F,2,0)</f>
        <v>CEMENTO UG 25 KG</v>
      </c>
      <c r="R543" s="43">
        <f>VLOOKUP(P543,ORD!$A:$C,3,0)</f>
        <v>10</v>
      </c>
      <c r="S543" t="str">
        <f t="shared" si="9"/>
        <v>736005030222000000004CEMENTO UG 25 KG</v>
      </c>
      <c r="T543" t="str">
        <f>IFERROR(VLOOKUP(S543,Maestro!$A:$H,8,0),"Producción")</f>
        <v>Sacos</v>
      </c>
      <c r="U543" s="43" t="s">
        <v>182</v>
      </c>
    </row>
    <row r="544" spans="1:21" x14ac:dyDescent="0.3">
      <c r="A544" s="43">
        <v>7999999995</v>
      </c>
      <c r="B544" s="43" t="s">
        <v>566</v>
      </c>
      <c r="C544" s="50"/>
      <c r="D544" s="56">
        <f>-Datos!$L$235*Datos!$L$205</f>
        <v>-22847.44749094301</v>
      </c>
      <c r="E544" s="43" t="s">
        <v>581</v>
      </c>
      <c r="F544" s="43" t="s">
        <v>557</v>
      </c>
      <c r="G544" s="43" t="s">
        <v>585</v>
      </c>
      <c r="H544" s="43" t="s">
        <v>586</v>
      </c>
      <c r="I544" s="43" t="s">
        <v>560</v>
      </c>
      <c r="J544" s="43" t="s">
        <v>512</v>
      </c>
      <c r="K544" s="43">
        <v>700048</v>
      </c>
      <c r="L544" s="43">
        <v>5</v>
      </c>
      <c r="M544" s="43" t="s">
        <v>513</v>
      </c>
      <c r="N544" s="51"/>
      <c r="O544" s="51"/>
      <c r="P544" s="43" t="str">
        <f>VLOOKUP(K544,Maestro!J:K,2,0)</f>
        <v>CEMENTO UG 25 KG</v>
      </c>
      <c r="Q544" s="43" t="str">
        <f>VLOOKUP(P544,Maestro!E:F,2,0)</f>
        <v>CEMENTO UG 25 KG</v>
      </c>
      <c r="R544" s="43">
        <f>VLOOKUP(P544,ORD!$A:$C,3,0)</f>
        <v>10</v>
      </c>
      <c r="S544" t="str">
        <f t="shared" si="9"/>
        <v>7999999995CEMCUGB25CEMENTO UG 25 KG</v>
      </c>
      <c r="T544" t="str">
        <f>IFERROR(VLOOKUP(S544,Maestro!$A:$H,8,0),"Producción")</f>
        <v>Producción</v>
      </c>
      <c r="U544" s="43" t="s">
        <v>182</v>
      </c>
    </row>
    <row r="545" spans="1:21" x14ac:dyDescent="0.3">
      <c r="A545" s="43">
        <v>7199990001</v>
      </c>
      <c r="B545" s="43" t="s">
        <v>438</v>
      </c>
      <c r="C545" s="50"/>
      <c r="D545" s="56">
        <f>Datos!$M$235</f>
        <v>569.57286193028267</v>
      </c>
      <c r="E545" s="43" t="s">
        <v>556</v>
      </c>
      <c r="F545" s="43" t="s">
        <v>557</v>
      </c>
      <c r="G545" s="43" t="s">
        <v>567</v>
      </c>
      <c r="H545" s="43" t="s">
        <v>568</v>
      </c>
      <c r="I545" s="43" t="s">
        <v>560</v>
      </c>
      <c r="J545" s="43" t="s">
        <v>476</v>
      </c>
      <c r="K545" s="43">
        <v>700048</v>
      </c>
      <c r="L545" s="43">
        <v>6</v>
      </c>
      <c r="M545" s="43" t="s">
        <v>464</v>
      </c>
      <c r="N545" s="51"/>
      <c r="O545" s="51"/>
      <c r="P545" s="43" t="str">
        <f>VLOOKUP(K545,Maestro!J:K,2,0)</f>
        <v>CEMENTO UG 25 KG</v>
      </c>
      <c r="Q545" s="43" t="str">
        <f>VLOOKUP(P545,Maestro!E:F,2,0)</f>
        <v>CEMENTO UG 25 KG</v>
      </c>
      <c r="R545" s="43">
        <f>VLOOKUP(P545,ORD!$A:$C,3,0)</f>
        <v>10</v>
      </c>
      <c r="S545" t="str">
        <f t="shared" si="9"/>
        <v>7199990001CEMENTOUG1CEMENTO UG 25 KG</v>
      </c>
      <c r="T545" t="str">
        <f>IFERROR(VLOOKUP(S545,Maestro!$A:$H,8,0),"Producción")</f>
        <v>Cemento UG</v>
      </c>
      <c r="U545" s="43" t="s">
        <v>182</v>
      </c>
    </row>
    <row r="546" spans="1:21" x14ac:dyDescent="0.3">
      <c r="A546" s="43">
        <v>7360050302</v>
      </c>
      <c r="B546" s="43" t="s">
        <v>474</v>
      </c>
      <c r="C546" s="52">
        <f>Datos!$M$73*D546</f>
        <v>17219782.420165852</v>
      </c>
      <c r="D546" s="50">
        <f>Datos!$M$477</f>
        <v>23238.572766755533</v>
      </c>
      <c r="E546" s="43" t="s">
        <v>581</v>
      </c>
      <c r="F546" s="43" t="s">
        <v>557</v>
      </c>
      <c r="G546" s="43" t="s">
        <v>582</v>
      </c>
      <c r="H546" s="43" t="s">
        <v>583</v>
      </c>
      <c r="I546" s="43" t="s">
        <v>560</v>
      </c>
      <c r="J546" s="43" t="s">
        <v>482</v>
      </c>
      <c r="K546" s="43">
        <v>700048</v>
      </c>
      <c r="L546" s="43">
        <v>6</v>
      </c>
      <c r="M546" s="43" t="s">
        <v>593</v>
      </c>
      <c r="N546" s="51"/>
      <c r="O546" s="51"/>
      <c r="P546" s="43" t="str">
        <f>VLOOKUP(K546,Maestro!J:K,2,0)</f>
        <v>CEMENTO UG 25 KG</v>
      </c>
      <c r="Q546" s="43" t="str">
        <f>VLOOKUP(P546,Maestro!E:F,2,0)</f>
        <v>CEMENTO UG 25 KG</v>
      </c>
      <c r="R546" s="43">
        <f>VLOOKUP(P546,ORD!$A:$C,3,0)</f>
        <v>10</v>
      </c>
      <c r="S546" t="str">
        <f t="shared" si="9"/>
        <v>736005030222000000004CEMENTO UG 25 KG</v>
      </c>
      <c r="T546" t="str">
        <f>IFERROR(VLOOKUP(S546,Maestro!$A:$H,8,0),"Producción")</f>
        <v>Sacos</v>
      </c>
      <c r="U546" s="43" t="s">
        <v>182</v>
      </c>
    </row>
    <row r="547" spans="1:21" x14ac:dyDescent="0.3">
      <c r="A547" s="43">
        <v>7999999995</v>
      </c>
      <c r="B547" s="43" t="s">
        <v>566</v>
      </c>
      <c r="C547" s="50"/>
      <c r="D547" s="56">
        <f>-Datos!$M$235*Datos!$M$205</f>
        <v>-22782.914477211307</v>
      </c>
      <c r="E547" s="43" t="s">
        <v>581</v>
      </c>
      <c r="F547" s="43" t="s">
        <v>557</v>
      </c>
      <c r="G547" s="43" t="s">
        <v>585</v>
      </c>
      <c r="H547" s="43" t="s">
        <v>586</v>
      </c>
      <c r="I547" s="43" t="s">
        <v>560</v>
      </c>
      <c r="J547" s="43" t="s">
        <v>512</v>
      </c>
      <c r="K547" s="43">
        <v>700048</v>
      </c>
      <c r="L547" s="43">
        <v>6</v>
      </c>
      <c r="M547" s="43" t="s">
        <v>513</v>
      </c>
      <c r="N547" s="51"/>
      <c r="O547" s="51"/>
      <c r="P547" s="43" t="str">
        <f>VLOOKUP(K547,Maestro!J:K,2,0)</f>
        <v>CEMENTO UG 25 KG</v>
      </c>
      <c r="Q547" s="43" t="str">
        <f>VLOOKUP(P547,Maestro!E:F,2,0)</f>
        <v>CEMENTO UG 25 KG</v>
      </c>
      <c r="R547" s="43">
        <f>VLOOKUP(P547,ORD!$A:$C,3,0)</f>
        <v>10</v>
      </c>
      <c r="S547" t="str">
        <f t="shared" si="9"/>
        <v>7999999995CEMCUGB25CEMENTO UG 25 KG</v>
      </c>
      <c r="T547" t="str">
        <f>IFERROR(VLOOKUP(S547,Maestro!$A:$H,8,0),"Producción")</f>
        <v>Producción</v>
      </c>
      <c r="U547" s="43" t="s">
        <v>182</v>
      </c>
    </row>
    <row r="548" spans="1:21" x14ac:dyDescent="0.3">
      <c r="A548" s="43">
        <v>7199990001</v>
      </c>
      <c r="B548" s="43" t="s">
        <v>438</v>
      </c>
      <c r="C548" s="50"/>
      <c r="D548" s="56">
        <f>Datos!$N$235</f>
        <v>671.48893826023016</v>
      </c>
      <c r="E548" s="43" t="s">
        <v>556</v>
      </c>
      <c r="F548" s="43" t="s">
        <v>557</v>
      </c>
      <c r="G548" s="43" t="s">
        <v>567</v>
      </c>
      <c r="H548" s="43" t="s">
        <v>568</v>
      </c>
      <c r="I548" s="43" t="s">
        <v>560</v>
      </c>
      <c r="J548" s="43" t="s">
        <v>476</v>
      </c>
      <c r="K548" s="43">
        <v>700048</v>
      </c>
      <c r="L548" s="43">
        <v>7</v>
      </c>
      <c r="M548" s="43" t="s">
        <v>464</v>
      </c>
      <c r="N548" s="51"/>
      <c r="O548" s="51"/>
      <c r="P548" s="43" t="str">
        <f>VLOOKUP(K548,Maestro!J:K,2,0)</f>
        <v>CEMENTO UG 25 KG</v>
      </c>
      <c r="Q548" s="43" t="str">
        <f>VLOOKUP(P548,Maestro!E:F,2,0)</f>
        <v>CEMENTO UG 25 KG</v>
      </c>
      <c r="R548" s="43">
        <f>VLOOKUP(P548,ORD!$A:$C,3,0)</f>
        <v>10</v>
      </c>
      <c r="S548" t="str">
        <f t="shared" si="9"/>
        <v>7199990001CEMENTOUG1CEMENTO UG 25 KG</v>
      </c>
      <c r="T548" t="str">
        <f>IFERROR(VLOOKUP(S548,Maestro!$A:$H,8,0),"Producción")</f>
        <v>Cemento UG</v>
      </c>
      <c r="U548" s="43" t="s">
        <v>182</v>
      </c>
    </row>
    <row r="549" spans="1:21" x14ac:dyDescent="0.3">
      <c r="A549" s="43">
        <v>7360050302</v>
      </c>
      <c r="B549" s="43" t="s">
        <v>474</v>
      </c>
      <c r="C549" s="52">
        <f>Datos!$N$73*D549</f>
        <v>20300990.772633888</v>
      </c>
      <c r="D549" s="50">
        <f>Datos!$N$477</f>
        <v>27396.74868101739</v>
      </c>
      <c r="E549" s="43" t="s">
        <v>581</v>
      </c>
      <c r="F549" s="43" t="s">
        <v>557</v>
      </c>
      <c r="G549" s="43" t="s">
        <v>582</v>
      </c>
      <c r="H549" s="43" t="s">
        <v>583</v>
      </c>
      <c r="I549" s="43" t="s">
        <v>560</v>
      </c>
      <c r="J549" s="43" t="s">
        <v>482</v>
      </c>
      <c r="K549" s="43">
        <v>700048</v>
      </c>
      <c r="L549" s="43">
        <v>7</v>
      </c>
      <c r="M549" s="43" t="s">
        <v>593</v>
      </c>
      <c r="N549" s="51"/>
      <c r="O549" s="51"/>
      <c r="P549" s="43" t="str">
        <f>VLOOKUP(K549,Maestro!J:K,2,0)</f>
        <v>CEMENTO UG 25 KG</v>
      </c>
      <c r="Q549" s="43" t="str">
        <f>VLOOKUP(P549,Maestro!E:F,2,0)</f>
        <v>CEMENTO UG 25 KG</v>
      </c>
      <c r="R549" s="43">
        <f>VLOOKUP(P549,ORD!$A:$C,3,0)</f>
        <v>10</v>
      </c>
      <c r="S549" t="str">
        <f t="shared" si="9"/>
        <v>736005030222000000004CEMENTO UG 25 KG</v>
      </c>
      <c r="T549" t="str">
        <f>IFERROR(VLOOKUP(S549,Maestro!$A:$H,8,0),"Producción")</f>
        <v>Sacos</v>
      </c>
      <c r="U549" s="43" t="s">
        <v>182</v>
      </c>
    </row>
    <row r="550" spans="1:21" x14ac:dyDescent="0.3">
      <c r="A550" s="43">
        <v>7999999995</v>
      </c>
      <c r="B550" s="43" t="s">
        <v>566</v>
      </c>
      <c r="C550" s="50"/>
      <c r="D550" s="56">
        <f>-Datos!$N$235*Datos!$N$205</f>
        <v>-26859.557530409205</v>
      </c>
      <c r="E550" s="43" t="s">
        <v>581</v>
      </c>
      <c r="F550" s="43" t="s">
        <v>557</v>
      </c>
      <c r="G550" s="43" t="s">
        <v>585</v>
      </c>
      <c r="H550" s="43" t="s">
        <v>586</v>
      </c>
      <c r="I550" s="43" t="s">
        <v>560</v>
      </c>
      <c r="J550" s="43" t="s">
        <v>512</v>
      </c>
      <c r="K550" s="43">
        <v>700048</v>
      </c>
      <c r="L550" s="43">
        <v>7</v>
      </c>
      <c r="M550" s="43" t="s">
        <v>513</v>
      </c>
      <c r="N550" s="51"/>
      <c r="O550" s="51"/>
      <c r="P550" s="43" t="str">
        <f>VLOOKUP(K550,Maestro!J:K,2,0)</f>
        <v>CEMENTO UG 25 KG</v>
      </c>
      <c r="Q550" s="43" t="str">
        <f>VLOOKUP(P550,Maestro!E:F,2,0)</f>
        <v>CEMENTO UG 25 KG</v>
      </c>
      <c r="R550" s="43">
        <f>VLOOKUP(P550,ORD!$A:$C,3,0)</f>
        <v>10</v>
      </c>
      <c r="S550" t="str">
        <f t="shared" si="9"/>
        <v>7999999995CEMCUGB25CEMENTO UG 25 KG</v>
      </c>
      <c r="T550" t="str">
        <f>IFERROR(VLOOKUP(S550,Maestro!$A:$H,8,0),"Producción")</f>
        <v>Producción</v>
      </c>
      <c r="U550" s="43" t="s">
        <v>182</v>
      </c>
    </row>
    <row r="551" spans="1:21" x14ac:dyDescent="0.3">
      <c r="A551" s="43">
        <v>7199990001</v>
      </c>
      <c r="B551" s="43" t="s">
        <v>438</v>
      </c>
      <c r="C551" s="50"/>
      <c r="D551" s="56">
        <f>Datos!$O$235</f>
        <v>611.04085477707883</v>
      </c>
      <c r="E551" s="43" t="s">
        <v>556</v>
      </c>
      <c r="F551" s="43" t="s">
        <v>557</v>
      </c>
      <c r="G551" s="43" t="s">
        <v>567</v>
      </c>
      <c r="H551" s="43" t="s">
        <v>568</v>
      </c>
      <c r="I551" s="43" t="s">
        <v>560</v>
      </c>
      <c r="J551" s="43" t="s">
        <v>476</v>
      </c>
      <c r="K551" s="43">
        <v>700048</v>
      </c>
      <c r="L551" s="43">
        <v>8</v>
      </c>
      <c r="M551" s="43" t="s">
        <v>464</v>
      </c>
      <c r="N551" s="51"/>
      <c r="O551" s="51"/>
      <c r="P551" s="43" t="str">
        <f>VLOOKUP(K551,Maestro!J:K,2,0)</f>
        <v>CEMENTO UG 25 KG</v>
      </c>
      <c r="Q551" s="43" t="str">
        <f>VLOOKUP(P551,Maestro!E:F,2,0)</f>
        <v>CEMENTO UG 25 KG</v>
      </c>
      <c r="R551" s="43">
        <f>VLOOKUP(P551,ORD!$A:$C,3,0)</f>
        <v>10</v>
      </c>
      <c r="S551" t="str">
        <f t="shared" si="9"/>
        <v>7199990001CEMENTOUG1CEMENTO UG 25 KG</v>
      </c>
      <c r="T551" t="str">
        <f>IFERROR(VLOOKUP(S551,Maestro!$A:$H,8,0),"Producción")</f>
        <v>Cemento UG</v>
      </c>
      <c r="U551" s="43" t="s">
        <v>182</v>
      </c>
    </row>
    <row r="552" spans="1:21" x14ac:dyDescent="0.3">
      <c r="A552" s="43">
        <v>7360050302</v>
      </c>
      <c r="B552" s="43" t="s">
        <v>474</v>
      </c>
      <c r="C552" s="52">
        <f>Datos!$O$73*D552</f>
        <v>18473475.954304472</v>
      </c>
      <c r="D552" s="50">
        <f>Datos!$O$477</f>
        <v>24930.466874904818</v>
      </c>
      <c r="E552" s="43" t="s">
        <v>581</v>
      </c>
      <c r="F552" s="43" t="s">
        <v>557</v>
      </c>
      <c r="G552" s="43" t="s">
        <v>582</v>
      </c>
      <c r="H552" s="43" t="s">
        <v>583</v>
      </c>
      <c r="I552" s="43" t="s">
        <v>560</v>
      </c>
      <c r="J552" s="43" t="s">
        <v>482</v>
      </c>
      <c r="K552" s="43">
        <v>700048</v>
      </c>
      <c r="L552" s="43">
        <v>8</v>
      </c>
      <c r="M552" s="43" t="s">
        <v>593</v>
      </c>
      <c r="N552" s="51"/>
      <c r="O552" s="51"/>
      <c r="P552" s="43" t="str">
        <f>VLOOKUP(K552,Maestro!J:K,2,0)</f>
        <v>CEMENTO UG 25 KG</v>
      </c>
      <c r="Q552" s="43" t="str">
        <f>VLOOKUP(P552,Maestro!E:F,2,0)</f>
        <v>CEMENTO UG 25 KG</v>
      </c>
      <c r="R552" s="43">
        <f>VLOOKUP(P552,ORD!$A:$C,3,0)</f>
        <v>10</v>
      </c>
      <c r="S552" t="str">
        <f t="shared" si="9"/>
        <v>736005030222000000004CEMENTO UG 25 KG</v>
      </c>
      <c r="T552" t="str">
        <f>IFERROR(VLOOKUP(S552,Maestro!$A:$H,8,0),"Producción")</f>
        <v>Sacos</v>
      </c>
      <c r="U552" s="43" t="s">
        <v>182</v>
      </c>
    </row>
    <row r="553" spans="1:21" x14ac:dyDescent="0.3">
      <c r="A553" s="43">
        <v>7999999995</v>
      </c>
      <c r="B553" s="43" t="s">
        <v>566</v>
      </c>
      <c r="C553" s="50"/>
      <c r="D553" s="56">
        <f>-Datos!$O$235*Datos!$O$205</f>
        <v>-24441.634191083154</v>
      </c>
      <c r="E553" s="43" t="s">
        <v>581</v>
      </c>
      <c r="F553" s="43" t="s">
        <v>557</v>
      </c>
      <c r="G553" s="43" t="s">
        <v>585</v>
      </c>
      <c r="H553" s="43" t="s">
        <v>586</v>
      </c>
      <c r="I553" s="43" t="s">
        <v>560</v>
      </c>
      <c r="J553" s="43" t="s">
        <v>512</v>
      </c>
      <c r="K553" s="43">
        <v>700048</v>
      </c>
      <c r="L553" s="43">
        <v>8</v>
      </c>
      <c r="M553" s="43" t="s">
        <v>513</v>
      </c>
      <c r="N553" s="51"/>
      <c r="O553" s="51"/>
      <c r="P553" s="43" t="str">
        <f>VLOOKUP(K553,Maestro!J:K,2,0)</f>
        <v>CEMENTO UG 25 KG</v>
      </c>
      <c r="Q553" s="43" t="str">
        <f>VLOOKUP(P553,Maestro!E:F,2,0)</f>
        <v>CEMENTO UG 25 KG</v>
      </c>
      <c r="R553" s="43">
        <f>VLOOKUP(P553,ORD!$A:$C,3,0)</f>
        <v>10</v>
      </c>
      <c r="S553" t="str">
        <f t="shared" si="9"/>
        <v>7999999995CEMCUGB25CEMENTO UG 25 KG</v>
      </c>
      <c r="T553" t="str">
        <f>IFERROR(VLOOKUP(S553,Maestro!$A:$H,8,0),"Producción")</f>
        <v>Producción</v>
      </c>
      <c r="U553" s="43" t="s">
        <v>182</v>
      </c>
    </row>
    <row r="554" spans="1:21" x14ac:dyDescent="0.3">
      <c r="A554" s="43">
        <v>7199990001</v>
      </c>
      <c r="B554" s="43" t="s">
        <v>438</v>
      </c>
      <c r="C554" s="50"/>
      <c r="D554" s="56">
        <f>Datos!$P$235</f>
        <v>647.26613290305477</v>
      </c>
      <c r="E554" s="43" t="s">
        <v>556</v>
      </c>
      <c r="F554" s="43" t="s">
        <v>557</v>
      </c>
      <c r="G554" s="43" t="s">
        <v>567</v>
      </c>
      <c r="H554" s="43" t="s">
        <v>568</v>
      </c>
      <c r="I554" s="43" t="s">
        <v>560</v>
      </c>
      <c r="J554" s="43" t="s">
        <v>476</v>
      </c>
      <c r="K554" s="43">
        <v>700048</v>
      </c>
      <c r="L554" s="43">
        <v>9</v>
      </c>
      <c r="M554" s="43" t="s">
        <v>464</v>
      </c>
      <c r="N554" s="51"/>
      <c r="O554" s="51"/>
      <c r="P554" s="43" t="str">
        <f>VLOOKUP(K554,Maestro!J:K,2,0)</f>
        <v>CEMENTO UG 25 KG</v>
      </c>
      <c r="Q554" s="43" t="str">
        <f>VLOOKUP(P554,Maestro!E:F,2,0)</f>
        <v>CEMENTO UG 25 KG</v>
      </c>
      <c r="R554" s="43">
        <f>VLOOKUP(P554,ORD!$A:$C,3,0)</f>
        <v>10</v>
      </c>
      <c r="S554" t="str">
        <f t="shared" si="9"/>
        <v>7199990001CEMENTOUG1CEMENTO UG 25 KG</v>
      </c>
      <c r="T554" t="str">
        <f>IFERROR(VLOOKUP(S554,Maestro!$A:$H,8,0),"Producción")</f>
        <v>Cemento UG</v>
      </c>
      <c r="U554" s="43" t="s">
        <v>182</v>
      </c>
    </row>
    <row r="555" spans="1:21" x14ac:dyDescent="0.3">
      <c r="A555" s="43">
        <v>7360050302</v>
      </c>
      <c r="B555" s="43" t="s">
        <v>474</v>
      </c>
      <c r="C555" s="52">
        <f>Datos!$P$73*D555</f>
        <v>20228878.998392589</v>
      </c>
      <c r="D555" s="50">
        <f>Datos!$P$477</f>
        <v>26408.458222444635</v>
      </c>
      <c r="E555" s="43" t="s">
        <v>581</v>
      </c>
      <c r="F555" s="43" t="s">
        <v>557</v>
      </c>
      <c r="G555" s="43" t="s">
        <v>582</v>
      </c>
      <c r="H555" s="43" t="s">
        <v>583</v>
      </c>
      <c r="I555" s="43" t="s">
        <v>560</v>
      </c>
      <c r="J555" s="43" t="s">
        <v>482</v>
      </c>
      <c r="K555" s="43">
        <v>700048</v>
      </c>
      <c r="L555" s="43">
        <v>9</v>
      </c>
      <c r="M555" s="43" t="s">
        <v>593</v>
      </c>
      <c r="N555" s="51"/>
      <c r="O555" s="51"/>
      <c r="P555" s="43" t="str">
        <f>VLOOKUP(K555,Maestro!J:K,2,0)</f>
        <v>CEMENTO UG 25 KG</v>
      </c>
      <c r="Q555" s="43" t="str">
        <f>VLOOKUP(P555,Maestro!E:F,2,0)</f>
        <v>CEMENTO UG 25 KG</v>
      </c>
      <c r="R555" s="43">
        <f>VLOOKUP(P555,ORD!$A:$C,3,0)</f>
        <v>10</v>
      </c>
      <c r="S555" t="str">
        <f t="shared" ref="S555:S618" si="10">A555&amp;J555&amp;Q555</f>
        <v>736005030222000000004CEMENTO UG 25 KG</v>
      </c>
      <c r="T555" t="str">
        <f>IFERROR(VLOOKUP(S555,Maestro!$A:$H,8,0),"Producción")</f>
        <v>Sacos</v>
      </c>
      <c r="U555" s="43" t="s">
        <v>182</v>
      </c>
    </row>
    <row r="556" spans="1:21" x14ac:dyDescent="0.3">
      <c r="A556" s="43">
        <v>7999999995</v>
      </c>
      <c r="B556" s="43" t="s">
        <v>566</v>
      </c>
      <c r="C556" s="50"/>
      <c r="D556" s="56">
        <f>-Datos!$P$235*Datos!$P$205</f>
        <v>-25890.645316122191</v>
      </c>
      <c r="E556" s="43" t="s">
        <v>581</v>
      </c>
      <c r="F556" s="43" t="s">
        <v>557</v>
      </c>
      <c r="G556" s="43" t="s">
        <v>585</v>
      </c>
      <c r="H556" s="43" t="s">
        <v>586</v>
      </c>
      <c r="I556" s="43" t="s">
        <v>560</v>
      </c>
      <c r="J556" s="43" t="s">
        <v>512</v>
      </c>
      <c r="K556" s="43">
        <v>700048</v>
      </c>
      <c r="L556" s="43">
        <v>9</v>
      </c>
      <c r="M556" s="43" t="s">
        <v>513</v>
      </c>
      <c r="N556" s="51"/>
      <c r="O556" s="51"/>
      <c r="P556" s="43" t="str">
        <f>VLOOKUP(K556,Maestro!J:K,2,0)</f>
        <v>CEMENTO UG 25 KG</v>
      </c>
      <c r="Q556" s="43" t="str">
        <f>VLOOKUP(P556,Maestro!E:F,2,0)</f>
        <v>CEMENTO UG 25 KG</v>
      </c>
      <c r="R556" s="43">
        <f>VLOOKUP(P556,ORD!$A:$C,3,0)</f>
        <v>10</v>
      </c>
      <c r="S556" t="str">
        <f t="shared" si="10"/>
        <v>7999999995CEMCUGB25CEMENTO UG 25 KG</v>
      </c>
      <c r="T556" t="str">
        <f>IFERROR(VLOOKUP(S556,Maestro!$A:$H,8,0),"Producción")</f>
        <v>Producción</v>
      </c>
      <c r="U556" s="43" t="s">
        <v>182</v>
      </c>
    </row>
    <row r="557" spans="1:21" x14ac:dyDescent="0.3">
      <c r="A557" s="43">
        <v>7199990001</v>
      </c>
      <c r="B557" s="43" t="s">
        <v>438</v>
      </c>
      <c r="C557" s="50"/>
      <c r="D557" s="56">
        <f>Datos!$Q$235</f>
        <v>657.66872740202234</v>
      </c>
      <c r="E557" s="43" t="s">
        <v>556</v>
      </c>
      <c r="F557" s="43" t="s">
        <v>557</v>
      </c>
      <c r="G557" s="43" t="s">
        <v>567</v>
      </c>
      <c r="H557" s="43" t="s">
        <v>568</v>
      </c>
      <c r="I557" s="43" t="s">
        <v>560</v>
      </c>
      <c r="J557" s="43" t="s">
        <v>476</v>
      </c>
      <c r="K557" s="43">
        <v>700048</v>
      </c>
      <c r="L557" s="43">
        <v>10</v>
      </c>
      <c r="M557" s="43" t="s">
        <v>464</v>
      </c>
      <c r="N557" s="51"/>
      <c r="O557" s="51"/>
      <c r="P557" s="43" t="str">
        <f>VLOOKUP(K557,Maestro!J:K,2,0)</f>
        <v>CEMENTO UG 25 KG</v>
      </c>
      <c r="Q557" s="43" t="str">
        <f>VLOOKUP(P557,Maestro!E:F,2,0)</f>
        <v>CEMENTO UG 25 KG</v>
      </c>
      <c r="R557" s="43">
        <f>VLOOKUP(P557,ORD!$A:$C,3,0)</f>
        <v>10</v>
      </c>
      <c r="S557" t="str">
        <f t="shared" si="10"/>
        <v>7199990001CEMENTOUG1CEMENTO UG 25 KG</v>
      </c>
      <c r="T557" t="str">
        <f>IFERROR(VLOOKUP(S557,Maestro!$A:$H,8,0),"Producción")</f>
        <v>Cemento UG</v>
      </c>
      <c r="U557" s="43" t="s">
        <v>182</v>
      </c>
    </row>
    <row r="558" spans="1:21" x14ac:dyDescent="0.3">
      <c r="A558" s="43">
        <v>7360050302</v>
      </c>
      <c r="B558" s="43" t="s">
        <v>474</v>
      </c>
      <c r="C558" s="52">
        <f>Datos!$Q$73*D558</f>
        <v>20553989.203749925</v>
      </c>
      <c r="D558" s="50">
        <f>Datos!$Q$477</f>
        <v>26832.884078002513</v>
      </c>
      <c r="E558" s="43" t="s">
        <v>581</v>
      </c>
      <c r="F558" s="43" t="s">
        <v>557</v>
      </c>
      <c r="G558" s="43" t="s">
        <v>582</v>
      </c>
      <c r="H558" s="43" t="s">
        <v>583</v>
      </c>
      <c r="I558" s="43" t="s">
        <v>560</v>
      </c>
      <c r="J558" s="43" t="s">
        <v>482</v>
      </c>
      <c r="K558" s="43">
        <v>700048</v>
      </c>
      <c r="L558" s="43">
        <v>10</v>
      </c>
      <c r="M558" s="43" t="s">
        <v>593</v>
      </c>
      <c r="N558" s="51"/>
      <c r="O558" s="51"/>
      <c r="P558" s="43" t="str">
        <f>VLOOKUP(K558,Maestro!J:K,2,0)</f>
        <v>CEMENTO UG 25 KG</v>
      </c>
      <c r="Q558" s="43" t="str">
        <f>VLOOKUP(P558,Maestro!E:F,2,0)</f>
        <v>CEMENTO UG 25 KG</v>
      </c>
      <c r="R558" s="43">
        <f>VLOOKUP(P558,ORD!$A:$C,3,0)</f>
        <v>10</v>
      </c>
      <c r="S558" t="str">
        <f t="shared" si="10"/>
        <v>736005030222000000004CEMENTO UG 25 KG</v>
      </c>
      <c r="T558" t="str">
        <f>IFERROR(VLOOKUP(S558,Maestro!$A:$H,8,0),"Producción")</f>
        <v>Sacos</v>
      </c>
      <c r="U558" s="43" t="s">
        <v>182</v>
      </c>
    </row>
    <row r="559" spans="1:21" x14ac:dyDescent="0.3">
      <c r="A559" s="43">
        <v>7999999995</v>
      </c>
      <c r="B559" s="43" t="s">
        <v>566</v>
      </c>
      <c r="C559" s="50"/>
      <c r="D559" s="56">
        <f>-Datos!$Q$235*Datos!$Q$205</f>
        <v>-26306.749096080894</v>
      </c>
      <c r="E559" s="43" t="s">
        <v>581</v>
      </c>
      <c r="F559" s="43" t="s">
        <v>557</v>
      </c>
      <c r="G559" s="43" t="s">
        <v>585</v>
      </c>
      <c r="H559" s="43" t="s">
        <v>586</v>
      </c>
      <c r="I559" s="43" t="s">
        <v>560</v>
      </c>
      <c r="J559" s="43" t="s">
        <v>512</v>
      </c>
      <c r="K559" s="43">
        <v>700048</v>
      </c>
      <c r="L559" s="43">
        <v>10</v>
      </c>
      <c r="M559" s="43" t="s">
        <v>513</v>
      </c>
      <c r="N559" s="51"/>
      <c r="O559" s="51"/>
      <c r="P559" s="43" t="str">
        <f>VLOOKUP(K559,Maestro!J:K,2,0)</f>
        <v>CEMENTO UG 25 KG</v>
      </c>
      <c r="Q559" s="43" t="str">
        <f>VLOOKUP(P559,Maestro!E:F,2,0)</f>
        <v>CEMENTO UG 25 KG</v>
      </c>
      <c r="R559" s="43">
        <f>VLOOKUP(P559,ORD!$A:$C,3,0)</f>
        <v>10</v>
      </c>
      <c r="S559" t="str">
        <f t="shared" si="10"/>
        <v>7999999995CEMCUGB25CEMENTO UG 25 KG</v>
      </c>
      <c r="T559" t="str">
        <f>IFERROR(VLOOKUP(S559,Maestro!$A:$H,8,0),"Producción")</f>
        <v>Producción</v>
      </c>
      <c r="U559" s="43" t="s">
        <v>182</v>
      </c>
    </row>
    <row r="560" spans="1:21" x14ac:dyDescent="0.3">
      <c r="A560" s="43">
        <v>7199990001</v>
      </c>
      <c r="B560" s="43" t="s">
        <v>438</v>
      </c>
      <c r="C560" s="50"/>
      <c r="D560" s="56">
        <f>Datos!$R$235</f>
        <v>616.4325217762314</v>
      </c>
      <c r="E560" s="43" t="s">
        <v>556</v>
      </c>
      <c r="F560" s="43" t="s">
        <v>557</v>
      </c>
      <c r="G560" s="43" t="s">
        <v>567</v>
      </c>
      <c r="H560" s="43" t="s">
        <v>568</v>
      </c>
      <c r="I560" s="43" t="s">
        <v>560</v>
      </c>
      <c r="J560" s="43" t="s">
        <v>476</v>
      </c>
      <c r="K560" s="43">
        <v>700048</v>
      </c>
      <c r="L560" s="43">
        <v>11</v>
      </c>
      <c r="M560" s="43" t="s">
        <v>464</v>
      </c>
      <c r="N560" s="51"/>
      <c r="O560" s="51"/>
      <c r="P560" s="43" t="str">
        <f>VLOOKUP(K560,Maestro!J:K,2,0)</f>
        <v>CEMENTO UG 25 KG</v>
      </c>
      <c r="Q560" s="43" t="str">
        <f>VLOOKUP(P560,Maestro!E:F,2,0)</f>
        <v>CEMENTO UG 25 KG</v>
      </c>
      <c r="R560" s="43">
        <f>VLOOKUP(P560,ORD!$A:$C,3,0)</f>
        <v>10</v>
      </c>
      <c r="S560" t="str">
        <f t="shared" si="10"/>
        <v>7199990001CEMENTOUG1CEMENTO UG 25 KG</v>
      </c>
      <c r="T560" t="str">
        <f>IFERROR(VLOOKUP(S560,Maestro!$A:$H,8,0),"Producción")</f>
        <v>Cemento UG</v>
      </c>
      <c r="U560" s="43" t="s">
        <v>182</v>
      </c>
    </row>
    <row r="561" spans="1:21" x14ac:dyDescent="0.3">
      <c r="A561" s="43">
        <v>7360050302</v>
      </c>
      <c r="B561" s="43" t="s">
        <v>474</v>
      </c>
      <c r="C561" s="52">
        <f>Datos!$R$73*D561</f>
        <v>19265242.316568207</v>
      </c>
      <c r="D561" s="50">
        <f>Datos!$R$477</f>
        <v>25150.446888470244</v>
      </c>
      <c r="E561" s="43" t="s">
        <v>581</v>
      </c>
      <c r="F561" s="43" t="s">
        <v>557</v>
      </c>
      <c r="G561" s="43" t="s">
        <v>582</v>
      </c>
      <c r="H561" s="43" t="s">
        <v>583</v>
      </c>
      <c r="I561" s="43" t="s">
        <v>560</v>
      </c>
      <c r="J561" s="43" t="s">
        <v>482</v>
      </c>
      <c r="K561" s="43">
        <v>700048</v>
      </c>
      <c r="L561" s="43">
        <v>11</v>
      </c>
      <c r="M561" s="43" t="s">
        <v>593</v>
      </c>
      <c r="N561" s="51"/>
      <c r="O561" s="51"/>
      <c r="P561" s="43" t="str">
        <f>VLOOKUP(K561,Maestro!J:K,2,0)</f>
        <v>CEMENTO UG 25 KG</v>
      </c>
      <c r="Q561" s="43" t="str">
        <f>VLOOKUP(P561,Maestro!E:F,2,0)</f>
        <v>CEMENTO UG 25 KG</v>
      </c>
      <c r="R561" s="43">
        <f>VLOOKUP(P561,ORD!$A:$C,3,0)</f>
        <v>10</v>
      </c>
      <c r="S561" t="str">
        <f t="shared" si="10"/>
        <v>736005030222000000004CEMENTO UG 25 KG</v>
      </c>
      <c r="T561" t="str">
        <f>IFERROR(VLOOKUP(S561,Maestro!$A:$H,8,0),"Producción")</f>
        <v>Sacos</v>
      </c>
      <c r="U561" s="43" t="s">
        <v>182</v>
      </c>
    </row>
    <row r="562" spans="1:21" x14ac:dyDescent="0.3">
      <c r="A562" s="43">
        <v>7999999995</v>
      </c>
      <c r="B562" s="43" t="s">
        <v>566</v>
      </c>
      <c r="C562" s="50"/>
      <c r="D562" s="56">
        <f>-Datos!$R$235*Datos!$R$205</f>
        <v>-24657.300871049258</v>
      </c>
      <c r="E562" s="43" t="s">
        <v>581</v>
      </c>
      <c r="F562" s="43" t="s">
        <v>557</v>
      </c>
      <c r="G562" s="43" t="s">
        <v>585</v>
      </c>
      <c r="H562" s="43" t="s">
        <v>586</v>
      </c>
      <c r="I562" s="43" t="s">
        <v>560</v>
      </c>
      <c r="J562" s="43" t="s">
        <v>512</v>
      </c>
      <c r="K562" s="43">
        <v>700048</v>
      </c>
      <c r="L562" s="43">
        <v>11</v>
      </c>
      <c r="M562" s="43" t="s">
        <v>513</v>
      </c>
      <c r="N562" s="51"/>
      <c r="O562" s="51"/>
      <c r="P562" s="43" t="str">
        <f>VLOOKUP(K562,Maestro!J:K,2,0)</f>
        <v>CEMENTO UG 25 KG</v>
      </c>
      <c r="Q562" s="43" t="str">
        <f>VLOOKUP(P562,Maestro!E:F,2,0)</f>
        <v>CEMENTO UG 25 KG</v>
      </c>
      <c r="R562" s="43">
        <f>VLOOKUP(P562,ORD!$A:$C,3,0)</f>
        <v>10</v>
      </c>
      <c r="S562" t="str">
        <f t="shared" si="10"/>
        <v>7999999995CEMCUGB25CEMENTO UG 25 KG</v>
      </c>
      <c r="T562" t="str">
        <f>IFERROR(VLOOKUP(S562,Maestro!$A:$H,8,0),"Producción")</f>
        <v>Producción</v>
      </c>
      <c r="U562" s="43" t="s">
        <v>182</v>
      </c>
    </row>
    <row r="563" spans="1:21" x14ac:dyDescent="0.3">
      <c r="A563" s="43">
        <v>7199990001</v>
      </c>
      <c r="B563" s="43" t="s">
        <v>438</v>
      </c>
      <c r="C563" s="50"/>
      <c r="D563" s="56">
        <f>Datos!$S$235</f>
        <v>638.01338240654604</v>
      </c>
      <c r="E563" s="43" t="s">
        <v>556</v>
      </c>
      <c r="F563" s="43" t="s">
        <v>557</v>
      </c>
      <c r="G563" s="43" t="s">
        <v>567</v>
      </c>
      <c r="H563" s="43" t="s">
        <v>568</v>
      </c>
      <c r="I563" s="43" t="s">
        <v>560</v>
      </c>
      <c r="J563" s="43" t="s">
        <v>476</v>
      </c>
      <c r="K563" s="43">
        <v>700048</v>
      </c>
      <c r="L563" s="43">
        <v>12</v>
      </c>
      <c r="M563" s="43" t="s">
        <v>464</v>
      </c>
      <c r="N563" s="51"/>
      <c r="O563" s="51"/>
      <c r="P563" s="43" t="str">
        <f>VLOOKUP(K563,Maestro!J:K,2,0)</f>
        <v>CEMENTO UG 25 KG</v>
      </c>
      <c r="Q563" s="43" t="str">
        <f>VLOOKUP(P563,Maestro!E:F,2,0)</f>
        <v>CEMENTO UG 25 KG</v>
      </c>
      <c r="R563" s="43">
        <f>VLOOKUP(P563,ORD!$A:$C,3,0)</f>
        <v>10</v>
      </c>
      <c r="S563" t="str">
        <f t="shared" si="10"/>
        <v>7199990001CEMENTOUG1CEMENTO UG 25 KG</v>
      </c>
      <c r="T563" t="str">
        <f>IFERROR(VLOOKUP(S563,Maestro!$A:$H,8,0),"Producción")</f>
        <v>Cemento UG</v>
      </c>
      <c r="U563" s="43" t="s">
        <v>182</v>
      </c>
    </row>
    <row r="564" spans="1:21" x14ac:dyDescent="0.3">
      <c r="A564" s="43">
        <v>7360050302</v>
      </c>
      <c r="B564" s="43" t="s">
        <v>474</v>
      </c>
      <c r="C564" s="52">
        <f>Datos!$S$73*D564</f>
        <v>19939704.637675304</v>
      </c>
      <c r="D564" s="50">
        <f>Datos!$S$477</f>
        <v>26030.94600218708</v>
      </c>
      <c r="E564" s="43" t="s">
        <v>581</v>
      </c>
      <c r="F564" s="43" t="s">
        <v>557</v>
      </c>
      <c r="G564" s="43" t="s">
        <v>582</v>
      </c>
      <c r="H564" s="43" t="s">
        <v>583</v>
      </c>
      <c r="I564" s="43" t="s">
        <v>560</v>
      </c>
      <c r="J564" s="43" t="s">
        <v>482</v>
      </c>
      <c r="K564" s="43">
        <v>700048</v>
      </c>
      <c r="L564" s="43">
        <v>12</v>
      </c>
      <c r="M564" s="43" t="s">
        <v>593</v>
      </c>
      <c r="N564" s="51"/>
      <c r="O564" s="51"/>
      <c r="P564" s="43" t="str">
        <f>VLOOKUP(K564,Maestro!J:K,2,0)</f>
        <v>CEMENTO UG 25 KG</v>
      </c>
      <c r="Q564" s="43" t="str">
        <f>VLOOKUP(P564,Maestro!E:F,2,0)</f>
        <v>CEMENTO UG 25 KG</v>
      </c>
      <c r="R564" s="43">
        <f>VLOOKUP(P564,ORD!$A:$C,3,0)</f>
        <v>10</v>
      </c>
      <c r="S564" t="str">
        <f t="shared" si="10"/>
        <v>736005030222000000004CEMENTO UG 25 KG</v>
      </c>
      <c r="T564" t="str">
        <f>IFERROR(VLOOKUP(S564,Maestro!$A:$H,8,0),"Producción")</f>
        <v>Sacos</v>
      </c>
      <c r="U564" s="43" t="s">
        <v>182</v>
      </c>
    </row>
    <row r="565" spans="1:21" x14ac:dyDescent="0.3">
      <c r="A565" s="43">
        <v>7999999995</v>
      </c>
      <c r="B565" s="43" t="s">
        <v>566</v>
      </c>
      <c r="C565" s="50"/>
      <c r="D565" s="56">
        <f>-Datos!$S$235*Datos!$S$205</f>
        <v>-25520.535296261842</v>
      </c>
      <c r="E565" s="43" t="s">
        <v>581</v>
      </c>
      <c r="F565" s="43" t="s">
        <v>557</v>
      </c>
      <c r="G565" s="43" t="s">
        <v>585</v>
      </c>
      <c r="H565" s="43" t="s">
        <v>586</v>
      </c>
      <c r="I565" s="43" t="s">
        <v>560</v>
      </c>
      <c r="J565" s="43" t="s">
        <v>512</v>
      </c>
      <c r="K565" s="43">
        <v>700048</v>
      </c>
      <c r="L565" s="43">
        <v>12</v>
      </c>
      <c r="M565" s="43" t="s">
        <v>513</v>
      </c>
      <c r="N565" s="51"/>
      <c r="O565" s="51"/>
      <c r="P565" s="43" t="str">
        <f>VLOOKUP(K565,Maestro!J:K,2,0)</f>
        <v>CEMENTO UG 25 KG</v>
      </c>
      <c r="Q565" s="43" t="str">
        <f>VLOOKUP(P565,Maestro!E:F,2,0)</f>
        <v>CEMENTO UG 25 KG</v>
      </c>
      <c r="R565" s="43">
        <f>VLOOKUP(P565,ORD!$A:$C,3,0)</f>
        <v>10</v>
      </c>
      <c r="S565" t="str">
        <f t="shared" si="10"/>
        <v>7999999995CEMCUGB25CEMENTO UG 25 KG</v>
      </c>
      <c r="T565" t="str">
        <f>IFERROR(VLOOKUP(S565,Maestro!$A:$H,8,0),"Producción")</f>
        <v>Producción</v>
      </c>
      <c r="U565" s="43" t="s">
        <v>182</v>
      </c>
    </row>
    <row r="566" spans="1:21" x14ac:dyDescent="0.3">
      <c r="A566" s="43">
        <v>7199990001</v>
      </c>
      <c r="B566" s="43" t="s">
        <v>438</v>
      </c>
      <c r="C566" s="50"/>
      <c r="D566" s="56">
        <f>Datos!$H$233</f>
        <v>57703.095103641623</v>
      </c>
      <c r="E566" s="43" t="s">
        <v>556</v>
      </c>
      <c r="F566" s="43" t="s">
        <v>557</v>
      </c>
      <c r="G566" s="43" t="s">
        <v>567</v>
      </c>
      <c r="H566" s="43" t="s">
        <v>568</v>
      </c>
      <c r="I566" s="43" t="s">
        <v>560</v>
      </c>
      <c r="J566" s="43" t="s">
        <v>476</v>
      </c>
      <c r="K566" s="43">
        <v>700053</v>
      </c>
      <c r="L566" s="43">
        <v>1</v>
      </c>
      <c r="M566" s="43" t="s">
        <v>464</v>
      </c>
      <c r="N566" s="51"/>
      <c r="O566" s="51"/>
      <c r="P566" s="43" t="str">
        <f>VLOOKUP(K566,Maestro!J:K,2,0)</f>
        <v>CEMENTO UG 50 KG</v>
      </c>
      <c r="Q566" s="43" t="str">
        <f>VLOOKUP(P566,Maestro!E:F,2,0)</f>
        <v>CEMENTO UG 50 KG</v>
      </c>
      <c r="R566" s="43">
        <f>VLOOKUP(P566,ORD!$A:$C,3,0)</f>
        <v>8</v>
      </c>
      <c r="S566" t="str">
        <f t="shared" si="10"/>
        <v>7199990001CEMENTOUG1CEMENTO UG 50 KG</v>
      </c>
      <c r="T566" t="str">
        <f>IFERROR(VLOOKUP(S566,Maestro!$A:$H,8,0),"Producción")</f>
        <v>Cemento UG</v>
      </c>
      <c r="U566" s="43" t="s">
        <v>182</v>
      </c>
    </row>
    <row r="567" spans="1:21" x14ac:dyDescent="0.3">
      <c r="A567" s="43">
        <v>7360050302</v>
      </c>
      <c r="B567" s="43" t="s">
        <v>474</v>
      </c>
      <c r="C567" s="50">
        <f>Datos!$H$71*D567</f>
        <v>1138297416.4905174</v>
      </c>
      <c r="D567" s="50">
        <f>Datos!$H$475</f>
        <v>1177143.140114289</v>
      </c>
      <c r="E567" s="43" t="s">
        <v>581</v>
      </c>
      <c r="F567" s="43" t="s">
        <v>557</v>
      </c>
      <c r="G567" s="43" t="s">
        <v>582</v>
      </c>
      <c r="H567" s="43" t="s">
        <v>583</v>
      </c>
      <c r="I567" s="43" t="s">
        <v>560</v>
      </c>
      <c r="J567" s="43" t="s">
        <v>478</v>
      </c>
      <c r="K567" s="43">
        <v>700053</v>
      </c>
      <c r="L567" s="43">
        <v>1</v>
      </c>
      <c r="M567" s="43" t="s">
        <v>594</v>
      </c>
      <c r="N567" s="51"/>
      <c r="O567" s="51"/>
      <c r="P567" s="43" t="str">
        <f>VLOOKUP(K567,Maestro!J:K,2,0)</f>
        <v>CEMENTO UG 50 KG</v>
      </c>
      <c r="Q567" s="43" t="str">
        <f>VLOOKUP(P567,Maestro!E:F,2,0)</f>
        <v>CEMENTO UG 50 KG</v>
      </c>
      <c r="R567" s="43">
        <f>VLOOKUP(P567,ORD!$A:$C,3,0)</f>
        <v>8</v>
      </c>
      <c r="S567" t="str">
        <f t="shared" si="10"/>
        <v>736005030222000000008CEMENTO UG 50 KG</v>
      </c>
      <c r="T567" t="str">
        <f>IFERROR(VLOOKUP(S567,Maestro!$A:$H,8,0),"Producción")</f>
        <v>Sacos</v>
      </c>
      <c r="U567" s="43" t="s">
        <v>182</v>
      </c>
    </row>
    <row r="568" spans="1:21" x14ac:dyDescent="0.3">
      <c r="A568" s="43">
        <v>7999999995</v>
      </c>
      <c r="B568" s="43" t="s">
        <v>566</v>
      </c>
      <c r="C568" s="50"/>
      <c r="D568" s="56">
        <f>-Datos!$H$233*Datos!$H$203</f>
        <v>-1154061.9020728325</v>
      </c>
      <c r="E568" s="43" t="s">
        <v>581</v>
      </c>
      <c r="F568" s="43" t="s">
        <v>557</v>
      </c>
      <c r="G568" s="43" t="s">
        <v>585</v>
      </c>
      <c r="H568" s="43" t="s">
        <v>586</v>
      </c>
      <c r="I568" s="43" t="s">
        <v>560</v>
      </c>
      <c r="J568" s="43" t="s">
        <v>516</v>
      </c>
      <c r="K568" s="43">
        <v>700053</v>
      </c>
      <c r="L568" s="43">
        <v>1</v>
      </c>
      <c r="M568" s="43" t="s">
        <v>517</v>
      </c>
      <c r="N568" s="51"/>
      <c r="O568" s="51"/>
      <c r="P568" s="43" t="str">
        <f>VLOOKUP(K568,Maestro!J:K,2,0)</f>
        <v>CEMENTO UG 50 KG</v>
      </c>
      <c r="Q568" s="43" t="str">
        <f>VLOOKUP(P568,Maestro!E:F,2,0)</f>
        <v>CEMENTO UG 50 KG</v>
      </c>
      <c r="R568" s="43">
        <f>VLOOKUP(P568,ORD!$A:$C,3,0)</f>
        <v>8</v>
      </c>
      <c r="S568" t="str">
        <f t="shared" si="10"/>
        <v>7999999995CEMCUGB50CEMENTO UG 50 KG</v>
      </c>
      <c r="T568" t="str">
        <f>IFERROR(VLOOKUP(S568,Maestro!$A:$H,8,0),"Producción")</f>
        <v>Producción</v>
      </c>
      <c r="U568" s="43" t="s">
        <v>182</v>
      </c>
    </row>
    <row r="569" spans="1:21" x14ac:dyDescent="0.3">
      <c r="A569" s="43">
        <v>7199990001</v>
      </c>
      <c r="B569" s="43" t="s">
        <v>438</v>
      </c>
      <c r="C569" s="50"/>
      <c r="D569" s="56">
        <f>Datos!$I$233</f>
        <v>60164.087491713377</v>
      </c>
      <c r="E569" s="43" t="s">
        <v>556</v>
      </c>
      <c r="F569" s="43" t="s">
        <v>557</v>
      </c>
      <c r="G569" s="43" t="s">
        <v>567</v>
      </c>
      <c r="H569" s="43" t="s">
        <v>568</v>
      </c>
      <c r="I569" s="43" t="s">
        <v>560</v>
      </c>
      <c r="J569" s="43" t="s">
        <v>476</v>
      </c>
      <c r="K569" s="43">
        <v>700053</v>
      </c>
      <c r="L569" s="43">
        <v>2</v>
      </c>
      <c r="M569" s="43" t="s">
        <v>464</v>
      </c>
      <c r="N569" s="51"/>
      <c r="O569" s="51"/>
      <c r="P569" s="43" t="str">
        <f>VLOOKUP(K569,Maestro!J:K,2,0)</f>
        <v>CEMENTO UG 50 KG</v>
      </c>
      <c r="Q569" s="43" t="str">
        <f>VLOOKUP(P569,Maestro!E:F,2,0)</f>
        <v>CEMENTO UG 50 KG</v>
      </c>
      <c r="R569" s="43">
        <f>VLOOKUP(P569,ORD!$A:$C,3,0)</f>
        <v>8</v>
      </c>
      <c r="S569" t="str">
        <f t="shared" si="10"/>
        <v>7199990001CEMENTOUG1CEMENTO UG 50 KG</v>
      </c>
      <c r="T569" t="str">
        <f>IFERROR(VLOOKUP(S569,Maestro!$A:$H,8,0),"Producción")</f>
        <v>Cemento UG</v>
      </c>
      <c r="U569" s="43" t="s">
        <v>182</v>
      </c>
    </row>
    <row r="570" spans="1:21" x14ac:dyDescent="0.3">
      <c r="A570" s="43">
        <v>7360050302</v>
      </c>
      <c r="B570" s="43" t="s">
        <v>474</v>
      </c>
      <c r="C570" s="50">
        <f>Datos!$I$71*D570</f>
        <v>1186844921.1315315</v>
      </c>
      <c r="D570" s="50">
        <f>Datos!$I$475</f>
        <v>1227347.3848309529</v>
      </c>
      <c r="E570" s="43" t="s">
        <v>581</v>
      </c>
      <c r="F570" s="43" t="s">
        <v>557</v>
      </c>
      <c r="G570" s="43" t="s">
        <v>582</v>
      </c>
      <c r="H570" s="43" t="s">
        <v>583</v>
      </c>
      <c r="I570" s="43" t="s">
        <v>560</v>
      </c>
      <c r="J570" s="43" t="s">
        <v>478</v>
      </c>
      <c r="K570" s="43">
        <v>700053</v>
      </c>
      <c r="L570" s="43">
        <v>2</v>
      </c>
      <c r="M570" s="43" t="s">
        <v>594</v>
      </c>
      <c r="N570" s="51"/>
      <c r="O570" s="51"/>
      <c r="P570" s="43" t="str">
        <f>VLOOKUP(K570,Maestro!J:K,2,0)</f>
        <v>CEMENTO UG 50 KG</v>
      </c>
      <c r="Q570" s="43" t="str">
        <f>VLOOKUP(P570,Maestro!E:F,2,0)</f>
        <v>CEMENTO UG 50 KG</v>
      </c>
      <c r="R570" s="43">
        <f>VLOOKUP(P570,ORD!$A:$C,3,0)</f>
        <v>8</v>
      </c>
      <c r="S570" t="str">
        <f t="shared" si="10"/>
        <v>736005030222000000008CEMENTO UG 50 KG</v>
      </c>
      <c r="T570" t="str">
        <f>IFERROR(VLOOKUP(S570,Maestro!$A:$H,8,0),"Producción")</f>
        <v>Sacos</v>
      </c>
      <c r="U570" s="43" t="s">
        <v>182</v>
      </c>
    </row>
    <row r="571" spans="1:21" x14ac:dyDescent="0.3">
      <c r="A571" s="43">
        <v>7999999995</v>
      </c>
      <c r="B571" s="43" t="s">
        <v>566</v>
      </c>
      <c r="C571" s="50"/>
      <c r="D571" s="56">
        <f>-Datos!$I$233*Datos!$I$203</f>
        <v>-1203281.7498342674</v>
      </c>
      <c r="E571" s="43" t="s">
        <v>581</v>
      </c>
      <c r="F571" s="43" t="s">
        <v>557</v>
      </c>
      <c r="G571" s="43" t="s">
        <v>585</v>
      </c>
      <c r="H571" s="43" t="s">
        <v>586</v>
      </c>
      <c r="I571" s="43" t="s">
        <v>560</v>
      </c>
      <c r="J571" s="43" t="s">
        <v>516</v>
      </c>
      <c r="K571" s="43">
        <v>700053</v>
      </c>
      <c r="L571" s="43">
        <v>2</v>
      </c>
      <c r="M571" s="43" t="s">
        <v>517</v>
      </c>
      <c r="N571" s="51"/>
      <c r="O571" s="51"/>
      <c r="P571" s="43" t="str">
        <f>VLOOKUP(K571,Maestro!J:K,2,0)</f>
        <v>CEMENTO UG 50 KG</v>
      </c>
      <c r="Q571" s="43" t="str">
        <f>VLOOKUP(P571,Maestro!E:F,2,0)</f>
        <v>CEMENTO UG 50 KG</v>
      </c>
      <c r="R571" s="43">
        <f>VLOOKUP(P571,ORD!$A:$C,3,0)</f>
        <v>8</v>
      </c>
      <c r="S571" t="str">
        <f t="shared" si="10"/>
        <v>7999999995CEMCUGB50CEMENTO UG 50 KG</v>
      </c>
      <c r="T571" t="str">
        <f>IFERROR(VLOOKUP(S571,Maestro!$A:$H,8,0),"Producción")</f>
        <v>Producción</v>
      </c>
      <c r="U571" s="43" t="s">
        <v>182</v>
      </c>
    </row>
    <row r="572" spans="1:21" x14ac:dyDescent="0.3">
      <c r="A572" s="43">
        <v>7199990001</v>
      </c>
      <c r="B572" s="43" t="s">
        <v>438</v>
      </c>
      <c r="C572" s="50"/>
      <c r="D572" s="56">
        <f>Datos!$J$233</f>
        <v>64639.035180177751</v>
      </c>
      <c r="E572" s="43" t="s">
        <v>556</v>
      </c>
      <c r="F572" s="43" t="s">
        <v>557</v>
      </c>
      <c r="G572" s="43" t="s">
        <v>567</v>
      </c>
      <c r="H572" s="43" t="s">
        <v>568</v>
      </c>
      <c r="I572" s="43" t="s">
        <v>560</v>
      </c>
      <c r="J572" s="43" t="s">
        <v>476</v>
      </c>
      <c r="K572" s="43">
        <v>700053</v>
      </c>
      <c r="L572" s="43">
        <v>3</v>
      </c>
      <c r="M572" s="43" t="s">
        <v>464</v>
      </c>
      <c r="N572" s="51"/>
      <c r="O572" s="51"/>
      <c r="P572" s="43" t="str">
        <f>VLOOKUP(K572,Maestro!J:K,2,0)</f>
        <v>CEMENTO UG 50 KG</v>
      </c>
      <c r="Q572" s="43" t="str">
        <f>VLOOKUP(P572,Maestro!E:F,2,0)</f>
        <v>CEMENTO UG 50 KG</v>
      </c>
      <c r="R572" s="43">
        <f>VLOOKUP(P572,ORD!$A:$C,3,0)</f>
        <v>8</v>
      </c>
      <c r="S572" t="str">
        <f t="shared" si="10"/>
        <v>7199990001CEMENTOUG1CEMENTO UG 50 KG</v>
      </c>
      <c r="T572" t="str">
        <f>IFERROR(VLOOKUP(S572,Maestro!$A:$H,8,0),"Producción")</f>
        <v>Cemento UG</v>
      </c>
      <c r="U572" s="43" t="s">
        <v>182</v>
      </c>
    </row>
    <row r="573" spans="1:21" x14ac:dyDescent="0.3">
      <c r="A573" s="43">
        <v>7360050302</v>
      </c>
      <c r="B573" s="43" t="s">
        <v>474</v>
      </c>
      <c r="C573" s="50">
        <f>Datos!$J$71*D573</f>
        <v>1310724499.7695725</v>
      </c>
      <c r="D573" s="50">
        <f>Datos!$J$475</f>
        <v>1318636.3176756261</v>
      </c>
      <c r="E573" s="43" t="s">
        <v>581</v>
      </c>
      <c r="F573" s="43" t="s">
        <v>557</v>
      </c>
      <c r="G573" s="43" t="s">
        <v>582</v>
      </c>
      <c r="H573" s="43" t="s">
        <v>583</v>
      </c>
      <c r="I573" s="43" t="s">
        <v>560</v>
      </c>
      <c r="J573" s="43" t="s">
        <v>478</v>
      </c>
      <c r="K573" s="43">
        <v>700053</v>
      </c>
      <c r="L573" s="43">
        <v>3</v>
      </c>
      <c r="M573" s="43" t="s">
        <v>594</v>
      </c>
      <c r="N573" s="51"/>
      <c r="O573" s="51"/>
      <c r="P573" s="43" t="str">
        <f>VLOOKUP(K573,Maestro!J:K,2,0)</f>
        <v>CEMENTO UG 50 KG</v>
      </c>
      <c r="Q573" s="43" t="str">
        <f>VLOOKUP(P573,Maestro!E:F,2,0)</f>
        <v>CEMENTO UG 50 KG</v>
      </c>
      <c r="R573" s="43">
        <f>VLOOKUP(P573,ORD!$A:$C,3,0)</f>
        <v>8</v>
      </c>
      <c r="S573" t="str">
        <f t="shared" si="10"/>
        <v>736005030222000000008CEMENTO UG 50 KG</v>
      </c>
      <c r="T573" t="str">
        <f>IFERROR(VLOOKUP(S573,Maestro!$A:$H,8,0),"Producción")</f>
        <v>Sacos</v>
      </c>
      <c r="U573" s="43" t="s">
        <v>182</v>
      </c>
    </row>
    <row r="574" spans="1:21" x14ac:dyDescent="0.3">
      <c r="A574" s="43">
        <v>7999999995</v>
      </c>
      <c r="B574" s="43" t="s">
        <v>566</v>
      </c>
      <c r="C574" s="50"/>
      <c r="D574" s="56">
        <f>-Datos!$J$233*Datos!$J$203</f>
        <v>-1292780.703603555</v>
      </c>
      <c r="E574" s="43" t="s">
        <v>581</v>
      </c>
      <c r="F574" s="43" t="s">
        <v>557</v>
      </c>
      <c r="G574" s="43" t="s">
        <v>585</v>
      </c>
      <c r="H574" s="43" t="s">
        <v>586</v>
      </c>
      <c r="I574" s="43" t="s">
        <v>560</v>
      </c>
      <c r="J574" s="43" t="s">
        <v>516</v>
      </c>
      <c r="K574" s="43">
        <v>700053</v>
      </c>
      <c r="L574" s="43">
        <v>3</v>
      </c>
      <c r="M574" s="43" t="s">
        <v>517</v>
      </c>
      <c r="N574" s="51"/>
      <c r="O574" s="51"/>
      <c r="P574" s="43" t="str">
        <f>VLOOKUP(K574,Maestro!J:K,2,0)</f>
        <v>CEMENTO UG 50 KG</v>
      </c>
      <c r="Q574" s="43" t="str">
        <f>VLOOKUP(P574,Maestro!E:F,2,0)</f>
        <v>CEMENTO UG 50 KG</v>
      </c>
      <c r="R574" s="43">
        <f>VLOOKUP(P574,ORD!$A:$C,3,0)</f>
        <v>8</v>
      </c>
      <c r="S574" t="str">
        <f t="shared" si="10"/>
        <v>7999999995CEMCUGB50CEMENTO UG 50 KG</v>
      </c>
      <c r="T574" t="str">
        <f>IFERROR(VLOOKUP(S574,Maestro!$A:$H,8,0),"Producción")</f>
        <v>Producción</v>
      </c>
      <c r="U574" s="43" t="s">
        <v>182</v>
      </c>
    </row>
    <row r="575" spans="1:21" x14ac:dyDescent="0.3">
      <c r="A575" s="43">
        <v>7199990001</v>
      </c>
      <c r="B575" s="43" t="s">
        <v>438</v>
      </c>
      <c r="C575" s="50"/>
      <c r="D575" s="56">
        <f>Datos!$K$233</f>
        <v>61507.183495679346</v>
      </c>
      <c r="E575" s="43" t="s">
        <v>556</v>
      </c>
      <c r="F575" s="43" t="s">
        <v>557</v>
      </c>
      <c r="G575" s="43" t="s">
        <v>567</v>
      </c>
      <c r="H575" s="43" t="s">
        <v>568</v>
      </c>
      <c r="I575" s="43" t="s">
        <v>560</v>
      </c>
      <c r="J575" s="43" t="s">
        <v>476</v>
      </c>
      <c r="K575" s="43">
        <v>700053</v>
      </c>
      <c r="L575" s="43">
        <v>4</v>
      </c>
      <c r="M575" s="43" t="s">
        <v>464</v>
      </c>
      <c r="N575" s="51"/>
      <c r="O575" s="51"/>
      <c r="P575" s="43" t="str">
        <f>VLOOKUP(K575,Maestro!J:K,2,0)</f>
        <v>CEMENTO UG 50 KG</v>
      </c>
      <c r="Q575" s="43" t="str">
        <f>VLOOKUP(P575,Maestro!E:F,2,0)</f>
        <v>CEMENTO UG 50 KG</v>
      </c>
      <c r="R575" s="43">
        <f>VLOOKUP(P575,ORD!$A:$C,3,0)</f>
        <v>8</v>
      </c>
      <c r="S575" t="str">
        <f t="shared" si="10"/>
        <v>7199990001CEMENTOUG1CEMENTO UG 50 KG</v>
      </c>
      <c r="T575" t="str">
        <f>IFERROR(VLOOKUP(S575,Maestro!$A:$H,8,0),"Producción")</f>
        <v>Cemento UG</v>
      </c>
      <c r="U575" s="43" t="s">
        <v>182</v>
      </c>
    </row>
    <row r="576" spans="1:21" x14ac:dyDescent="0.3">
      <c r="A576" s="43">
        <v>7360050302</v>
      </c>
      <c r="B576" s="43" t="s">
        <v>474</v>
      </c>
      <c r="C576" s="50">
        <f>Datos!$K$71*D576</f>
        <v>1247218064.0519876</v>
      </c>
      <c r="D576" s="50">
        <f>Datos!$K$475</f>
        <v>1254746.5433118588</v>
      </c>
      <c r="E576" s="43" t="s">
        <v>581</v>
      </c>
      <c r="F576" s="43" t="s">
        <v>557</v>
      </c>
      <c r="G576" s="43" t="s">
        <v>582</v>
      </c>
      <c r="H576" s="43" t="s">
        <v>583</v>
      </c>
      <c r="I576" s="43" t="s">
        <v>560</v>
      </c>
      <c r="J576" s="43" t="s">
        <v>478</v>
      </c>
      <c r="K576" s="43">
        <v>700053</v>
      </c>
      <c r="L576" s="43">
        <v>4</v>
      </c>
      <c r="M576" s="43" t="s">
        <v>594</v>
      </c>
      <c r="N576" s="51"/>
      <c r="O576" s="51"/>
      <c r="P576" s="43" t="str">
        <f>VLOOKUP(K576,Maestro!J:K,2,0)</f>
        <v>CEMENTO UG 50 KG</v>
      </c>
      <c r="Q576" s="43" t="str">
        <f>VLOOKUP(P576,Maestro!E:F,2,0)</f>
        <v>CEMENTO UG 50 KG</v>
      </c>
      <c r="R576" s="43">
        <f>VLOOKUP(P576,ORD!$A:$C,3,0)</f>
        <v>8</v>
      </c>
      <c r="S576" t="str">
        <f t="shared" si="10"/>
        <v>736005030222000000008CEMENTO UG 50 KG</v>
      </c>
      <c r="T576" t="str">
        <f>IFERROR(VLOOKUP(S576,Maestro!$A:$H,8,0),"Producción")</f>
        <v>Sacos</v>
      </c>
      <c r="U576" s="43" t="s">
        <v>182</v>
      </c>
    </row>
    <row r="577" spans="1:21" x14ac:dyDescent="0.3">
      <c r="A577" s="43">
        <v>7999999995</v>
      </c>
      <c r="B577" s="43" t="s">
        <v>566</v>
      </c>
      <c r="C577" s="50"/>
      <c r="D577" s="56">
        <f>-Datos!$K$233*Datos!$K$203</f>
        <v>-1230143.6699135869</v>
      </c>
      <c r="E577" s="43" t="s">
        <v>581</v>
      </c>
      <c r="F577" s="43" t="s">
        <v>557</v>
      </c>
      <c r="G577" s="43" t="s">
        <v>585</v>
      </c>
      <c r="H577" s="43" t="s">
        <v>586</v>
      </c>
      <c r="I577" s="43" t="s">
        <v>560</v>
      </c>
      <c r="J577" s="43" t="s">
        <v>516</v>
      </c>
      <c r="K577" s="43">
        <v>700053</v>
      </c>
      <c r="L577" s="43">
        <v>4</v>
      </c>
      <c r="M577" s="43" t="s">
        <v>517</v>
      </c>
      <c r="N577" s="51"/>
      <c r="O577" s="51"/>
      <c r="P577" s="43" t="str">
        <f>VLOOKUP(K577,Maestro!J:K,2,0)</f>
        <v>CEMENTO UG 50 KG</v>
      </c>
      <c r="Q577" s="43" t="str">
        <f>VLOOKUP(P577,Maestro!E:F,2,0)</f>
        <v>CEMENTO UG 50 KG</v>
      </c>
      <c r="R577" s="43">
        <f>VLOOKUP(P577,ORD!$A:$C,3,0)</f>
        <v>8</v>
      </c>
      <c r="S577" t="str">
        <f t="shared" si="10"/>
        <v>7999999995CEMCUGB50CEMENTO UG 50 KG</v>
      </c>
      <c r="T577" t="str">
        <f>IFERROR(VLOOKUP(S577,Maestro!$A:$H,8,0),"Producción")</f>
        <v>Producción</v>
      </c>
      <c r="U577" s="43" t="s">
        <v>182</v>
      </c>
    </row>
    <row r="578" spans="1:21" x14ac:dyDescent="0.3">
      <c r="A578" s="43">
        <v>7199990001</v>
      </c>
      <c r="B578" s="43" t="s">
        <v>438</v>
      </c>
      <c r="C578" s="50"/>
      <c r="D578" s="56">
        <f>Datos!$L$233</f>
        <v>57797.504865822011</v>
      </c>
      <c r="E578" s="43" t="s">
        <v>556</v>
      </c>
      <c r="F578" s="43" t="s">
        <v>557</v>
      </c>
      <c r="G578" s="43" t="s">
        <v>567</v>
      </c>
      <c r="H578" s="43" t="s">
        <v>568</v>
      </c>
      <c r="I578" s="43" t="s">
        <v>560</v>
      </c>
      <c r="J578" s="43" t="s">
        <v>476</v>
      </c>
      <c r="K578" s="43">
        <v>700053</v>
      </c>
      <c r="L578" s="43">
        <v>5</v>
      </c>
      <c r="M578" s="43" t="s">
        <v>464</v>
      </c>
      <c r="N578" s="51"/>
      <c r="O578" s="51"/>
      <c r="P578" s="43" t="str">
        <f>VLOOKUP(K578,Maestro!J:K,2,0)</f>
        <v>CEMENTO UG 50 KG</v>
      </c>
      <c r="Q578" s="43" t="str">
        <f>VLOOKUP(P578,Maestro!E:F,2,0)</f>
        <v>CEMENTO UG 50 KG</v>
      </c>
      <c r="R578" s="43">
        <f>VLOOKUP(P578,ORD!$A:$C,3,0)</f>
        <v>8</v>
      </c>
      <c r="S578" t="str">
        <f t="shared" si="10"/>
        <v>7199990001CEMENTOUG1CEMENTO UG 50 KG</v>
      </c>
      <c r="T578" t="str">
        <f>IFERROR(VLOOKUP(S578,Maestro!$A:$H,8,0),"Producción")</f>
        <v>Cemento UG</v>
      </c>
      <c r="U578" s="43" t="s">
        <v>182</v>
      </c>
    </row>
    <row r="579" spans="1:21" x14ac:dyDescent="0.3">
      <c r="A579" s="43">
        <v>7360050302</v>
      </c>
      <c r="B579" s="43" t="s">
        <v>474</v>
      </c>
      <c r="C579" s="50">
        <f>Datos!$L$71*D579</f>
        <v>1171994684.6671925</v>
      </c>
      <c r="D579" s="50">
        <f>Datos!$L$475</f>
        <v>1179069.0992627691</v>
      </c>
      <c r="E579" s="43" t="s">
        <v>581</v>
      </c>
      <c r="F579" s="43" t="s">
        <v>557</v>
      </c>
      <c r="G579" s="43" t="s">
        <v>582</v>
      </c>
      <c r="H579" s="43" t="s">
        <v>583</v>
      </c>
      <c r="I579" s="43" t="s">
        <v>560</v>
      </c>
      <c r="J579" s="43" t="s">
        <v>478</v>
      </c>
      <c r="K579" s="43">
        <v>700053</v>
      </c>
      <c r="L579" s="43">
        <v>5</v>
      </c>
      <c r="M579" s="43" t="s">
        <v>594</v>
      </c>
      <c r="N579" s="51"/>
      <c r="O579" s="51"/>
      <c r="P579" s="43" t="str">
        <f>VLOOKUP(K579,Maestro!J:K,2,0)</f>
        <v>CEMENTO UG 50 KG</v>
      </c>
      <c r="Q579" s="43" t="str">
        <f>VLOOKUP(P579,Maestro!E:F,2,0)</f>
        <v>CEMENTO UG 50 KG</v>
      </c>
      <c r="R579" s="43">
        <f>VLOOKUP(P579,ORD!$A:$C,3,0)</f>
        <v>8</v>
      </c>
      <c r="S579" t="str">
        <f t="shared" si="10"/>
        <v>736005030222000000008CEMENTO UG 50 KG</v>
      </c>
      <c r="T579" t="str">
        <f>IFERROR(VLOOKUP(S579,Maestro!$A:$H,8,0),"Producción")</f>
        <v>Sacos</v>
      </c>
      <c r="U579" s="43" t="s">
        <v>182</v>
      </c>
    </row>
    <row r="580" spans="1:21" x14ac:dyDescent="0.3">
      <c r="A580" s="43">
        <v>7999999995</v>
      </c>
      <c r="B580" s="43" t="s">
        <v>566</v>
      </c>
      <c r="C580" s="50"/>
      <c r="D580" s="56">
        <f>-Datos!$L$233*Datos!$L$203</f>
        <v>-1155950.0973164402</v>
      </c>
      <c r="E580" s="43" t="s">
        <v>581</v>
      </c>
      <c r="F580" s="43" t="s">
        <v>557</v>
      </c>
      <c r="G580" s="43" t="s">
        <v>585</v>
      </c>
      <c r="H580" s="43" t="s">
        <v>586</v>
      </c>
      <c r="I580" s="43" t="s">
        <v>560</v>
      </c>
      <c r="J580" s="43" t="s">
        <v>516</v>
      </c>
      <c r="K580" s="43">
        <v>700053</v>
      </c>
      <c r="L580" s="43">
        <v>5</v>
      </c>
      <c r="M580" s="43" t="s">
        <v>517</v>
      </c>
      <c r="N580" s="51"/>
      <c r="O580" s="51"/>
      <c r="P580" s="43" t="str">
        <f>VLOOKUP(K580,Maestro!J:K,2,0)</f>
        <v>CEMENTO UG 50 KG</v>
      </c>
      <c r="Q580" s="43" t="str">
        <f>VLOOKUP(P580,Maestro!E:F,2,0)</f>
        <v>CEMENTO UG 50 KG</v>
      </c>
      <c r="R580" s="43">
        <f>VLOOKUP(P580,ORD!$A:$C,3,0)</f>
        <v>8</v>
      </c>
      <c r="S580" t="str">
        <f t="shared" si="10"/>
        <v>7999999995CEMCUGB50CEMENTO UG 50 KG</v>
      </c>
      <c r="T580" t="str">
        <f>IFERROR(VLOOKUP(S580,Maestro!$A:$H,8,0),"Producción")</f>
        <v>Producción</v>
      </c>
      <c r="U580" s="43" t="s">
        <v>182</v>
      </c>
    </row>
    <row r="581" spans="1:21" x14ac:dyDescent="0.3">
      <c r="A581" s="43">
        <v>7199990001</v>
      </c>
      <c r="B581" s="43" t="s">
        <v>438</v>
      </c>
      <c r="C581" s="50"/>
      <c r="D581" s="56">
        <f>Datos!$M$233</f>
        <v>57584.787272509653</v>
      </c>
      <c r="E581" s="43" t="s">
        <v>556</v>
      </c>
      <c r="F581" s="43" t="s">
        <v>557</v>
      </c>
      <c r="G581" s="43" t="s">
        <v>567</v>
      </c>
      <c r="H581" s="43" t="s">
        <v>568</v>
      </c>
      <c r="I581" s="43" t="s">
        <v>560</v>
      </c>
      <c r="J581" s="43" t="s">
        <v>476</v>
      </c>
      <c r="K581" s="43">
        <v>700053</v>
      </c>
      <c r="L581" s="43">
        <v>6</v>
      </c>
      <c r="M581" s="43" t="s">
        <v>464</v>
      </c>
      <c r="N581" s="51"/>
      <c r="O581" s="51"/>
      <c r="P581" s="43" t="str">
        <f>VLOOKUP(K581,Maestro!J:K,2,0)</f>
        <v>CEMENTO UG 50 KG</v>
      </c>
      <c r="Q581" s="43" t="str">
        <f>VLOOKUP(P581,Maestro!E:F,2,0)</f>
        <v>CEMENTO UG 50 KG</v>
      </c>
      <c r="R581" s="43">
        <f>VLOOKUP(P581,ORD!$A:$C,3,0)</f>
        <v>8</v>
      </c>
      <c r="S581" t="str">
        <f t="shared" si="10"/>
        <v>7199990001CEMENTOUG1CEMENTO UG 50 KG</v>
      </c>
      <c r="T581" t="str">
        <f>IFERROR(VLOOKUP(S581,Maestro!$A:$H,8,0),"Producción")</f>
        <v>Cemento UG</v>
      </c>
      <c r="U581" s="43" t="s">
        <v>182</v>
      </c>
    </row>
    <row r="582" spans="1:21" x14ac:dyDescent="0.3">
      <c r="A582" s="43">
        <v>7360050302</v>
      </c>
      <c r="B582" s="43" t="s">
        <v>474</v>
      </c>
      <c r="C582" s="50">
        <f>Datos!$M$71*D582</f>
        <v>1167681282.3970416</v>
      </c>
      <c r="D582" s="50">
        <f>Datos!$M$475</f>
        <v>1174729.6603591968</v>
      </c>
      <c r="E582" s="43" t="s">
        <v>581</v>
      </c>
      <c r="F582" s="43" t="s">
        <v>557</v>
      </c>
      <c r="G582" s="43" t="s">
        <v>582</v>
      </c>
      <c r="H582" s="43" t="s">
        <v>583</v>
      </c>
      <c r="I582" s="43" t="s">
        <v>560</v>
      </c>
      <c r="J582" s="43" t="s">
        <v>478</v>
      </c>
      <c r="K582" s="43">
        <v>700053</v>
      </c>
      <c r="L582" s="43">
        <v>6</v>
      </c>
      <c r="M582" s="43" t="s">
        <v>594</v>
      </c>
      <c r="N582" s="51"/>
      <c r="O582" s="51"/>
      <c r="P582" s="43" t="str">
        <f>VLOOKUP(K582,Maestro!J:K,2,0)</f>
        <v>CEMENTO UG 50 KG</v>
      </c>
      <c r="Q582" s="43" t="str">
        <f>VLOOKUP(P582,Maestro!E:F,2,0)</f>
        <v>CEMENTO UG 50 KG</v>
      </c>
      <c r="R582" s="43">
        <f>VLOOKUP(P582,ORD!$A:$C,3,0)</f>
        <v>8</v>
      </c>
      <c r="S582" t="str">
        <f t="shared" si="10"/>
        <v>736005030222000000008CEMENTO UG 50 KG</v>
      </c>
      <c r="T582" t="str">
        <f>IFERROR(VLOOKUP(S582,Maestro!$A:$H,8,0),"Producción")</f>
        <v>Sacos</v>
      </c>
      <c r="U582" s="43" t="s">
        <v>182</v>
      </c>
    </row>
    <row r="583" spans="1:21" x14ac:dyDescent="0.3">
      <c r="A583" s="43">
        <v>7999999995</v>
      </c>
      <c r="B583" s="43" t="s">
        <v>566</v>
      </c>
      <c r="C583" s="50"/>
      <c r="D583" s="56">
        <f>-Datos!$M$233*Datos!$M$203</f>
        <v>-1151695.7454501931</v>
      </c>
      <c r="E583" s="43" t="s">
        <v>581</v>
      </c>
      <c r="F583" s="43" t="s">
        <v>557</v>
      </c>
      <c r="G583" s="43" t="s">
        <v>585</v>
      </c>
      <c r="H583" s="43" t="s">
        <v>586</v>
      </c>
      <c r="I583" s="43" t="s">
        <v>560</v>
      </c>
      <c r="J583" s="43" t="s">
        <v>516</v>
      </c>
      <c r="K583" s="43">
        <v>700053</v>
      </c>
      <c r="L583" s="43">
        <v>6</v>
      </c>
      <c r="M583" s="43" t="s">
        <v>517</v>
      </c>
      <c r="N583" s="51"/>
      <c r="O583" s="51"/>
      <c r="P583" s="43" t="str">
        <f>VLOOKUP(K583,Maestro!J:K,2,0)</f>
        <v>CEMENTO UG 50 KG</v>
      </c>
      <c r="Q583" s="43" t="str">
        <f>VLOOKUP(P583,Maestro!E:F,2,0)</f>
        <v>CEMENTO UG 50 KG</v>
      </c>
      <c r="R583" s="43">
        <f>VLOOKUP(P583,ORD!$A:$C,3,0)</f>
        <v>8</v>
      </c>
      <c r="S583" t="str">
        <f t="shared" si="10"/>
        <v>7999999995CEMCUGB50CEMENTO UG 50 KG</v>
      </c>
      <c r="T583" t="str">
        <f>IFERROR(VLOOKUP(S583,Maestro!$A:$H,8,0),"Producción")</f>
        <v>Producción</v>
      </c>
      <c r="U583" s="43" t="s">
        <v>182</v>
      </c>
    </row>
    <row r="584" spans="1:21" x14ac:dyDescent="0.3">
      <c r="A584" s="43">
        <v>7199990001</v>
      </c>
      <c r="B584" s="43" t="s">
        <v>438</v>
      </c>
      <c r="C584" s="50"/>
      <c r="D584" s="56">
        <f>Datos!$N$233</f>
        <v>67828.441618974015</v>
      </c>
      <c r="E584" s="43" t="s">
        <v>556</v>
      </c>
      <c r="F584" s="43" t="s">
        <v>557</v>
      </c>
      <c r="G584" s="43" t="s">
        <v>567</v>
      </c>
      <c r="H584" s="43" t="s">
        <v>568</v>
      </c>
      <c r="I584" s="43" t="s">
        <v>560</v>
      </c>
      <c r="J584" s="43" t="s">
        <v>476</v>
      </c>
      <c r="K584" s="43">
        <v>700053</v>
      </c>
      <c r="L584" s="43">
        <v>7</v>
      </c>
      <c r="M584" s="43" t="s">
        <v>464</v>
      </c>
      <c r="N584" s="51"/>
      <c r="O584" s="51"/>
      <c r="P584" s="43" t="str">
        <f>VLOOKUP(K584,Maestro!J:K,2,0)</f>
        <v>CEMENTO UG 50 KG</v>
      </c>
      <c r="Q584" s="43" t="str">
        <f>VLOOKUP(P584,Maestro!E:F,2,0)</f>
        <v>CEMENTO UG 50 KG</v>
      </c>
      <c r="R584" s="43">
        <f>VLOOKUP(P584,ORD!$A:$C,3,0)</f>
        <v>8</v>
      </c>
      <c r="S584" t="str">
        <f t="shared" si="10"/>
        <v>7199990001CEMENTOUG1CEMENTO UG 50 KG</v>
      </c>
      <c r="T584" t="str">
        <f>IFERROR(VLOOKUP(S584,Maestro!$A:$H,8,0),"Producción")</f>
        <v>Cemento UG</v>
      </c>
      <c r="U584" s="43" t="s">
        <v>182</v>
      </c>
    </row>
    <row r="585" spans="1:21" x14ac:dyDescent="0.3">
      <c r="A585" s="43">
        <v>7360050302</v>
      </c>
      <c r="B585" s="43" t="s">
        <v>474</v>
      </c>
      <c r="C585" s="50">
        <f>Datos!$N$71*D585</f>
        <v>1375398007.7729077</v>
      </c>
      <c r="D585" s="50">
        <f>Datos!$N$475</f>
        <v>1383700.2090270701</v>
      </c>
      <c r="E585" s="43" t="s">
        <v>581</v>
      </c>
      <c r="F585" s="43" t="s">
        <v>557</v>
      </c>
      <c r="G585" s="43" t="s">
        <v>582</v>
      </c>
      <c r="H585" s="43" t="s">
        <v>583</v>
      </c>
      <c r="I585" s="43" t="s">
        <v>560</v>
      </c>
      <c r="J585" s="43" t="s">
        <v>478</v>
      </c>
      <c r="K585" s="43">
        <v>700053</v>
      </c>
      <c r="L585" s="43">
        <v>7</v>
      </c>
      <c r="M585" s="43" t="s">
        <v>594</v>
      </c>
      <c r="N585" s="51"/>
      <c r="O585" s="51"/>
      <c r="P585" s="43" t="str">
        <f>VLOOKUP(K585,Maestro!J:K,2,0)</f>
        <v>CEMENTO UG 50 KG</v>
      </c>
      <c r="Q585" s="43" t="str">
        <f>VLOOKUP(P585,Maestro!E:F,2,0)</f>
        <v>CEMENTO UG 50 KG</v>
      </c>
      <c r="R585" s="43">
        <f>VLOOKUP(P585,ORD!$A:$C,3,0)</f>
        <v>8</v>
      </c>
      <c r="S585" t="str">
        <f t="shared" si="10"/>
        <v>736005030222000000008CEMENTO UG 50 KG</v>
      </c>
      <c r="T585" t="str">
        <f>IFERROR(VLOOKUP(S585,Maestro!$A:$H,8,0),"Producción")</f>
        <v>Sacos</v>
      </c>
      <c r="U585" s="43" t="s">
        <v>182</v>
      </c>
    </row>
    <row r="586" spans="1:21" x14ac:dyDescent="0.3">
      <c r="A586" s="43">
        <v>7999999995</v>
      </c>
      <c r="B586" s="43" t="s">
        <v>566</v>
      </c>
      <c r="C586" s="50"/>
      <c r="D586" s="56">
        <f>-Datos!$N$233*Datos!$N$203</f>
        <v>-1356568.8323794804</v>
      </c>
      <c r="E586" s="43" t="s">
        <v>581</v>
      </c>
      <c r="F586" s="43" t="s">
        <v>557</v>
      </c>
      <c r="G586" s="43" t="s">
        <v>585</v>
      </c>
      <c r="H586" s="43" t="s">
        <v>586</v>
      </c>
      <c r="I586" s="43" t="s">
        <v>560</v>
      </c>
      <c r="J586" s="43" t="s">
        <v>516</v>
      </c>
      <c r="K586" s="43">
        <v>700053</v>
      </c>
      <c r="L586" s="43">
        <v>7</v>
      </c>
      <c r="M586" s="43" t="s">
        <v>517</v>
      </c>
      <c r="N586" s="51"/>
      <c r="O586" s="51"/>
      <c r="P586" s="43" t="str">
        <f>VLOOKUP(K586,Maestro!J:K,2,0)</f>
        <v>CEMENTO UG 50 KG</v>
      </c>
      <c r="Q586" s="43" t="str">
        <f>VLOOKUP(P586,Maestro!E:F,2,0)</f>
        <v>CEMENTO UG 50 KG</v>
      </c>
      <c r="R586" s="43">
        <f>VLOOKUP(P586,ORD!$A:$C,3,0)</f>
        <v>8</v>
      </c>
      <c r="S586" t="str">
        <f t="shared" si="10"/>
        <v>7999999995CEMCUGB50CEMENTO UG 50 KG</v>
      </c>
      <c r="T586" t="str">
        <f>IFERROR(VLOOKUP(S586,Maestro!$A:$H,8,0),"Producción")</f>
        <v>Producción</v>
      </c>
      <c r="U586" s="43" t="s">
        <v>182</v>
      </c>
    </row>
    <row r="587" spans="1:21" x14ac:dyDescent="0.3">
      <c r="A587" s="43">
        <v>7199990001</v>
      </c>
      <c r="B587" s="43" t="s">
        <v>438</v>
      </c>
      <c r="C587" s="50"/>
      <c r="D587" s="56">
        <f>Datos!$O$233</f>
        <v>61801.120063564136</v>
      </c>
      <c r="E587" s="43" t="s">
        <v>556</v>
      </c>
      <c r="F587" s="43" t="s">
        <v>557</v>
      </c>
      <c r="G587" s="43" t="s">
        <v>567</v>
      </c>
      <c r="H587" s="43" t="s">
        <v>568</v>
      </c>
      <c r="I587" s="43" t="s">
        <v>560</v>
      </c>
      <c r="J587" s="43" t="s">
        <v>476</v>
      </c>
      <c r="K587" s="43">
        <v>700053</v>
      </c>
      <c r="L587" s="43">
        <v>8</v>
      </c>
      <c r="M587" s="43" t="s">
        <v>464</v>
      </c>
      <c r="N587" s="51"/>
      <c r="O587" s="51"/>
      <c r="P587" s="43" t="str">
        <f>VLOOKUP(K587,Maestro!J:K,2,0)</f>
        <v>CEMENTO UG 50 KG</v>
      </c>
      <c r="Q587" s="43" t="str">
        <f>VLOOKUP(P587,Maestro!E:F,2,0)</f>
        <v>CEMENTO UG 50 KG</v>
      </c>
      <c r="R587" s="43">
        <f>VLOOKUP(P587,ORD!$A:$C,3,0)</f>
        <v>8</v>
      </c>
      <c r="S587" t="str">
        <f t="shared" si="10"/>
        <v>7199990001CEMENTOUG1CEMENTO UG 50 KG</v>
      </c>
      <c r="T587" t="str">
        <f>IFERROR(VLOOKUP(S587,Maestro!$A:$H,8,0),"Producción")</f>
        <v>Cemento UG</v>
      </c>
      <c r="U587" s="43" t="s">
        <v>182</v>
      </c>
    </row>
    <row r="588" spans="1:21" x14ac:dyDescent="0.3">
      <c r="A588" s="43">
        <v>7360050302</v>
      </c>
      <c r="B588" s="43" t="s">
        <v>474</v>
      </c>
      <c r="C588" s="50">
        <f>Datos!$O$71*D588</f>
        <v>1253178392.2009282</v>
      </c>
      <c r="D588" s="50">
        <f>Datos!$O$475</f>
        <v>1260742.8492967084</v>
      </c>
      <c r="E588" s="43" t="s">
        <v>581</v>
      </c>
      <c r="F588" s="43" t="s">
        <v>557</v>
      </c>
      <c r="G588" s="43" t="s">
        <v>582</v>
      </c>
      <c r="H588" s="43" t="s">
        <v>583</v>
      </c>
      <c r="I588" s="43" t="s">
        <v>560</v>
      </c>
      <c r="J588" s="43" t="s">
        <v>478</v>
      </c>
      <c r="K588" s="43">
        <v>700053</v>
      </c>
      <c r="L588" s="43">
        <v>8</v>
      </c>
      <c r="M588" s="43" t="s">
        <v>594</v>
      </c>
      <c r="N588" s="51"/>
      <c r="O588" s="51"/>
      <c r="P588" s="43" t="str">
        <f>VLOOKUP(K588,Maestro!J:K,2,0)</f>
        <v>CEMENTO UG 50 KG</v>
      </c>
      <c r="Q588" s="43" t="str">
        <f>VLOOKUP(P588,Maestro!E:F,2,0)</f>
        <v>CEMENTO UG 50 KG</v>
      </c>
      <c r="R588" s="43">
        <f>VLOOKUP(P588,ORD!$A:$C,3,0)</f>
        <v>8</v>
      </c>
      <c r="S588" t="str">
        <f t="shared" si="10"/>
        <v>736005030222000000008CEMENTO UG 50 KG</v>
      </c>
      <c r="T588" t="str">
        <f>IFERROR(VLOOKUP(S588,Maestro!$A:$H,8,0),"Producción")</f>
        <v>Sacos</v>
      </c>
      <c r="U588" s="43" t="s">
        <v>182</v>
      </c>
    </row>
    <row r="589" spans="1:21" x14ac:dyDescent="0.3">
      <c r="A589" s="43">
        <v>7999999995</v>
      </c>
      <c r="B589" s="43" t="s">
        <v>566</v>
      </c>
      <c r="C589" s="50"/>
      <c r="D589" s="56">
        <f>-Datos!$O$233*Datos!$O$203</f>
        <v>-1236022.4012712827</v>
      </c>
      <c r="E589" s="43" t="s">
        <v>581</v>
      </c>
      <c r="F589" s="43" t="s">
        <v>557</v>
      </c>
      <c r="G589" s="43" t="s">
        <v>585</v>
      </c>
      <c r="H589" s="43" t="s">
        <v>586</v>
      </c>
      <c r="I589" s="43" t="s">
        <v>560</v>
      </c>
      <c r="J589" s="43" t="s">
        <v>516</v>
      </c>
      <c r="K589" s="43">
        <v>700053</v>
      </c>
      <c r="L589" s="43">
        <v>8</v>
      </c>
      <c r="M589" s="43" t="s">
        <v>517</v>
      </c>
      <c r="N589" s="51"/>
      <c r="O589" s="51"/>
      <c r="P589" s="43" t="str">
        <f>VLOOKUP(K589,Maestro!J:K,2,0)</f>
        <v>CEMENTO UG 50 KG</v>
      </c>
      <c r="Q589" s="43" t="str">
        <f>VLOOKUP(P589,Maestro!E:F,2,0)</f>
        <v>CEMENTO UG 50 KG</v>
      </c>
      <c r="R589" s="43">
        <f>VLOOKUP(P589,ORD!$A:$C,3,0)</f>
        <v>8</v>
      </c>
      <c r="S589" t="str">
        <f t="shared" si="10"/>
        <v>7999999995CEMCUGB50CEMENTO UG 50 KG</v>
      </c>
      <c r="T589" t="str">
        <f>IFERROR(VLOOKUP(S589,Maestro!$A:$H,8,0),"Producción")</f>
        <v>Producción</v>
      </c>
      <c r="U589" s="43" t="s">
        <v>182</v>
      </c>
    </row>
    <row r="590" spans="1:21" x14ac:dyDescent="0.3">
      <c r="A590" s="43">
        <v>7199990001</v>
      </c>
      <c r="B590" s="43" t="s">
        <v>438</v>
      </c>
      <c r="C590" s="50"/>
      <c r="D590" s="56">
        <f>Datos!$P$233</f>
        <v>65460.781309133381</v>
      </c>
      <c r="E590" s="43" t="s">
        <v>556</v>
      </c>
      <c r="F590" s="43" t="s">
        <v>557</v>
      </c>
      <c r="G590" s="43" t="s">
        <v>567</v>
      </c>
      <c r="H590" s="43" t="s">
        <v>568</v>
      </c>
      <c r="I590" s="43" t="s">
        <v>560</v>
      </c>
      <c r="J590" s="43" t="s">
        <v>476</v>
      </c>
      <c r="K590" s="43">
        <v>700053</v>
      </c>
      <c r="L590" s="43">
        <v>9</v>
      </c>
      <c r="M590" s="43" t="s">
        <v>464</v>
      </c>
      <c r="N590" s="51"/>
      <c r="O590" s="51"/>
      <c r="P590" s="43" t="str">
        <f>VLOOKUP(K590,Maestro!J:K,2,0)</f>
        <v>CEMENTO UG 50 KG</v>
      </c>
      <c r="Q590" s="43" t="str">
        <f>VLOOKUP(P590,Maestro!E:F,2,0)</f>
        <v>CEMENTO UG 50 KG</v>
      </c>
      <c r="R590" s="43">
        <f>VLOOKUP(P590,ORD!$A:$C,3,0)</f>
        <v>8</v>
      </c>
      <c r="S590" t="str">
        <f t="shared" si="10"/>
        <v>7199990001CEMENTOUG1CEMENTO UG 50 KG</v>
      </c>
      <c r="T590" t="str">
        <f>IFERROR(VLOOKUP(S590,Maestro!$A:$H,8,0),"Producción")</f>
        <v>Cemento UG</v>
      </c>
      <c r="U590" s="43" t="s">
        <v>182</v>
      </c>
    </row>
    <row r="591" spans="1:21" x14ac:dyDescent="0.3">
      <c r="A591" s="43">
        <v>7360050302</v>
      </c>
      <c r="B591" s="43" t="s">
        <v>474</v>
      </c>
      <c r="C591" s="50">
        <f>Datos!$P$71*D591</f>
        <v>1370120337.1126852</v>
      </c>
      <c r="D591" s="50">
        <f>Datos!$P$475</f>
        <v>1335399.9387063209</v>
      </c>
      <c r="E591" s="43" t="s">
        <v>581</v>
      </c>
      <c r="F591" s="43" t="s">
        <v>557</v>
      </c>
      <c r="G591" s="43" t="s">
        <v>582</v>
      </c>
      <c r="H591" s="43" t="s">
        <v>583</v>
      </c>
      <c r="I591" s="43" t="s">
        <v>560</v>
      </c>
      <c r="J591" s="43" t="s">
        <v>478</v>
      </c>
      <c r="K591" s="43">
        <v>700053</v>
      </c>
      <c r="L591" s="43">
        <v>9</v>
      </c>
      <c r="M591" s="43" t="s">
        <v>594</v>
      </c>
      <c r="N591" s="51"/>
      <c r="O591" s="51"/>
      <c r="P591" s="43" t="str">
        <f>VLOOKUP(K591,Maestro!J:K,2,0)</f>
        <v>CEMENTO UG 50 KG</v>
      </c>
      <c r="Q591" s="43" t="str">
        <f>VLOOKUP(P591,Maestro!E:F,2,0)</f>
        <v>CEMENTO UG 50 KG</v>
      </c>
      <c r="R591" s="43">
        <f>VLOOKUP(P591,ORD!$A:$C,3,0)</f>
        <v>8</v>
      </c>
      <c r="S591" t="str">
        <f t="shared" si="10"/>
        <v>736005030222000000008CEMENTO UG 50 KG</v>
      </c>
      <c r="T591" t="str">
        <f>IFERROR(VLOOKUP(S591,Maestro!$A:$H,8,0),"Producción")</f>
        <v>Sacos</v>
      </c>
      <c r="U591" s="43" t="s">
        <v>182</v>
      </c>
    </row>
    <row r="592" spans="1:21" x14ac:dyDescent="0.3">
      <c r="A592" s="43">
        <v>7999999995</v>
      </c>
      <c r="B592" s="43" t="s">
        <v>566</v>
      </c>
      <c r="C592" s="50"/>
      <c r="D592" s="56">
        <f>-Datos!$P$233*Datos!$P$203</f>
        <v>-1309215.6261826677</v>
      </c>
      <c r="E592" s="43" t="s">
        <v>581</v>
      </c>
      <c r="F592" s="43" t="s">
        <v>557</v>
      </c>
      <c r="G592" s="43" t="s">
        <v>585</v>
      </c>
      <c r="H592" s="43" t="s">
        <v>586</v>
      </c>
      <c r="I592" s="43" t="s">
        <v>560</v>
      </c>
      <c r="J592" s="43" t="s">
        <v>516</v>
      </c>
      <c r="K592" s="43">
        <v>700053</v>
      </c>
      <c r="L592" s="43">
        <v>9</v>
      </c>
      <c r="M592" s="43" t="s">
        <v>517</v>
      </c>
      <c r="N592" s="51"/>
      <c r="O592" s="51"/>
      <c r="P592" s="43" t="str">
        <f>VLOOKUP(K592,Maestro!J:K,2,0)</f>
        <v>CEMENTO UG 50 KG</v>
      </c>
      <c r="Q592" s="43" t="str">
        <f>VLOOKUP(P592,Maestro!E:F,2,0)</f>
        <v>CEMENTO UG 50 KG</v>
      </c>
      <c r="R592" s="43">
        <f>VLOOKUP(P592,ORD!$A:$C,3,0)</f>
        <v>8</v>
      </c>
      <c r="S592" t="str">
        <f t="shared" si="10"/>
        <v>7999999995CEMCUGB50CEMENTO UG 50 KG</v>
      </c>
      <c r="T592" t="str">
        <f>IFERROR(VLOOKUP(S592,Maestro!$A:$H,8,0),"Producción")</f>
        <v>Producción</v>
      </c>
      <c r="U592" s="43" t="s">
        <v>182</v>
      </c>
    </row>
    <row r="593" spans="1:21" x14ac:dyDescent="0.3">
      <c r="A593" s="43">
        <v>7199990001</v>
      </c>
      <c r="B593" s="43" t="s">
        <v>438</v>
      </c>
      <c r="C593" s="50"/>
      <c r="D593" s="56">
        <f>Datos!$Q$233</f>
        <v>66476.807240467606</v>
      </c>
      <c r="E593" s="43" t="s">
        <v>556</v>
      </c>
      <c r="F593" s="43" t="s">
        <v>557</v>
      </c>
      <c r="G593" s="43" t="s">
        <v>567</v>
      </c>
      <c r="H593" s="43" t="s">
        <v>568</v>
      </c>
      <c r="I593" s="43" t="s">
        <v>560</v>
      </c>
      <c r="J593" s="43" t="s">
        <v>476</v>
      </c>
      <c r="K593" s="43">
        <v>700053</v>
      </c>
      <c r="L593" s="43">
        <v>10</v>
      </c>
      <c r="M593" s="43" t="s">
        <v>464</v>
      </c>
      <c r="N593" s="51"/>
      <c r="O593" s="51"/>
      <c r="P593" s="43" t="str">
        <f>VLOOKUP(K593,Maestro!J:K,2,0)</f>
        <v>CEMENTO UG 50 KG</v>
      </c>
      <c r="Q593" s="43" t="str">
        <f>VLOOKUP(P593,Maestro!E:F,2,0)</f>
        <v>CEMENTO UG 50 KG</v>
      </c>
      <c r="R593" s="43">
        <f>VLOOKUP(P593,ORD!$A:$C,3,0)</f>
        <v>8</v>
      </c>
      <c r="S593" t="str">
        <f t="shared" si="10"/>
        <v>7199990001CEMENTOUG1CEMENTO UG 50 KG</v>
      </c>
      <c r="T593" t="str">
        <f>IFERROR(VLOOKUP(S593,Maestro!$A:$H,8,0),"Producción")</f>
        <v>Cemento UG</v>
      </c>
      <c r="U593" s="43" t="s">
        <v>182</v>
      </c>
    </row>
    <row r="594" spans="1:21" x14ac:dyDescent="0.3">
      <c r="A594" s="43">
        <v>7360050302</v>
      </c>
      <c r="B594" s="43" t="s">
        <v>474</v>
      </c>
      <c r="C594" s="50">
        <f>Datos!$Q$71*D594</f>
        <v>1391386166.2658834</v>
      </c>
      <c r="D594" s="50">
        <f>Datos!$Q$475</f>
        <v>1356126.8677055393</v>
      </c>
      <c r="E594" s="43" t="s">
        <v>581</v>
      </c>
      <c r="F594" s="43" t="s">
        <v>557</v>
      </c>
      <c r="G594" s="43" t="s">
        <v>582</v>
      </c>
      <c r="H594" s="43" t="s">
        <v>583</v>
      </c>
      <c r="I594" s="43" t="s">
        <v>560</v>
      </c>
      <c r="J594" s="43" t="s">
        <v>478</v>
      </c>
      <c r="K594" s="43">
        <v>700053</v>
      </c>
      <c r="L594" s="43">
        <v>10</v>
      </c>
      <c r="M594" s="43" t="s">
        <v>594</v>
      </c>
      <c r="N594" s="51"/>
      <c r="O594" s="51"/>
      <c r="P594" s="43" t="str">
        <f>VLOOKUP(K594,Maestro!J:K,2,0)</f>
        <v>CEMENTO UG 50 KG</v>
      </c>
      <c r="Q594" s="43" t="str">
        <f>VLOOKUP(P594,Maestro!E:F,2,0)</f>
        <v>CEMENTO UG 50 KG</v>
      </c>
      <c r="R594" s="43">
        <f>VLOOKUP(P594,ORD!$A:$C,3,0)</f>
        <v>8</v>
      </c>
      <c r="S594" t="str">
        <f t="shared" si="10"/>
        <v>736005030222000000008CEMENTO UG 50 KG</v>
      </c>
      <c r="T594" t="str">
        <f>IFERROR(VLOOKUP(S594,Maestro!$A:$H,8,0),"Producción")</f>
        <v>Sacos</v>
      </c>
      <c r="U594" s="43" t="s">
        <v>182</v>
      </c>
    </row>
    <row r="595" spans="1:21" x14ac:dyDescent="0.3">
      <c r="A595" s="43">
        <v>7999999995</v>
      </c>
      <c r="B595" s="43" t="s">
        <v>566</v>
      </c>
      <c r="C595" s="50"/>
      <c r="D595" s="56">
        <f>-Datos!$Q$233*Datos!$Q$203</f>
        <v>-1329536.1448093522</v>
      </c>
      <c r="E595" s="43" t="s">
        <v>581</v>
      </c>
      <c r="F595" s="43" t="s">
        <v>557</v>
      </c>
      <c r="G595" s="43" t="s">
        <v>585</v>
      </c>
      <c r="H595" s="43" t="s">
        <v>586</v>
      </c>
      <c r="I595" s="43" t="s">
        <v>560</v>
      </c>
      <c r="J595" s="43" t="s">
        <v>516</v>
      </c>
      <c r="K595" s="43">
        <v>700053</v>
      </c>
      <c r="L595" s="43">
        <v>10</v>
      </c>
      <c r="M595" s="43" t="s">
        <v>517</v>
      </c>
      <c r="N595" s="51"/>
      <c r="O595" s="51"/>
      <c r="P595" s="43" t="str">
        <f>VLOOKUP(K595,Maestro!J:K,2,0)</f>
        <v>CEMENTO UG 50 KG</v>
      </c>
      <c r="Q595" s="43" t="str">
        <f>VLOOKUP(P595,Maestro!E:F,2,0)</f>
        <v>CEMENTO UG 50 KG</v>
      </c>
      <c r="R595" s="43">
        <f>VLOOKUP(P595,ORD!$A:$C,3,0)</f>
        <v>8</v>
      </c>
      <c r="S595" t="str">
        <f t="shared" si="10"/>
        <v>7999999995CEMCUGB50CEMENTO UG 50 KG</v>
      </c>
      <c r="T595" t="str">
        <f>IFERROR(VLOOKUP(S595,Maestro!$A:$H,8,0),"Producción")</f>
        <v>Producción</v>
      </c>
      <c r="U595" s="43" t="s">
        <v>182</v>
      </c>
    </row>
    <row r="596" spans="1:21" x14ac:dyDescent="0.3">
      <c r="A596" s="43">
        <v>7199990001</v>
      </c>
      <c r="B596" s="43" t="s">
        <v>438</v>
      </c>
      <c r="C596" s="50"/>
      <c r="D596" s="56">
        <f>Datos!$R$233</f>
        <v>62192.240130452992</v>
      </c>
      <c r="E596" s="43" t="s">
        <v>556</v>
      </c>
      <c r="F596" s="43" t="s">
        <v>557</v>
      </c>
      <c r="G596" s="43" t="s">
        <v>567</v>
      </c>
      <c r="H596" s="43" t="s">
        <v>568</v>
      </c>
      <c r="I596" s="43" t="s">
        <v>560</v>
      </c>
      <c r="J596" s="43" t="s">
        <v>476</v>
      </c>
      <c r="K596" s="43">
        <v>700053</v>
      </c>
      <c r="L596" s="43">
        <v>11</v>
      </c>
      <c r="M596" s="43" t="s">
        <v>464</v>
      </c>
      <c r="N596" s="51"/>
      <c r="O596" s="51"/>
      <c r="P596" s="43" t="str">
        <f>VLOOKUP(K596,Maestro!J:K,2,0)</f>
        <v>CEMENTO UG 50 KG</v>
      </c>
      <c r="Q596" s="43" t="str">
        <f>VLOOKUP(P596,Maestro!E:F,2,0)</f>
        <v>CEMENTO UG 50 KG</v>
      </c>
      <c r="R596" s="43">
        <f>VLOOKUP(P596,ORD!$A:$C,3,0)</f>
        <v>8</v>
      </c>
      <c r="S596" t="str">
        <f t="shared" si="10"/>
        <v>7199990001CEMENTOUG1CEMENTO UG 50 KG</v>
      </c>
      <c r="T596" t="str">
        <f>IFERROR(VLOOKUP(S596,Maestro!$A:$H,8,0),"Producción")</f>
        <v>Cemento UG</v>
      </c>
      <c r="U596" s="43" t="s">
        <v>182</v>
      </c>
    </row>
    <row r="597" spans="1:21" x14ac:dyDescent="0.3">
      <c r="A597" s="43">
        <v>7360050302</v>
      </c>
      <c r="B597" s="43" t="s">
        <v>474</v>
      </c>
      <c r="C597" s="50">
        <f>Datos!$R$71*D597</f>
        <v>1301708462.8264334</v>
      </c>
      <c r="D597" s="50">
        <f>Datos!$R$475</f>
        <v>1268721.6986612412</v>
      </c>
      <c r="E597" s="43" t="s">
        <v>581</v>
      </c>
      <c r="F597" s="43" t="s">
        <v>557</v>
      </c>
      <c r="G597" s="43" t="s">
        <v>582</v>
      </c>
      <c r="H597" s="43" t="s">
        <v>583</v>
      </c>
      <c r="I597" s="43" t="s">
        <v>560</v>
      </c>
      <c r="J597" s="43" t="s">
        <v>478</v>
      </c>
      <c r="K597" s="43">
        <v>700053</v>
      </c>
      <c r="L597" s="43">
        <v>11</v>
      </c>
      <c r="M597" s="43" t="s">
        <v>594</v>
      </c>
      <c r="N597" s="51"/>
      <c r="O597" s="51"/>
      <c r="P597" s="43" t="str">
        <f>VLOOKUP(K597,Maestro!J:K,2,0)</f>
        <v>CEMENTO UG 50 KG</v>
      </c>
      <c r="Q597" s="43" t="str">
        <f>VLOOKUP(P597,Maestro!E:F,2,0)</f>
        <v>CEMENTO UG 50 KG</v>
      </c>
      <c r="R597" s="43">
        <f>VLOOKUP(P597,ORD!$A:$C,3,0)</f>
        <v>8</v>
      </c>
      <c r="S597" t="str">
        <f t="shared" si="10"/>
        <v>736005030222000000008CEMENTO UG 50 KG</v>
      </c>
      <c r="T597" t="str">
        <f>IFERROR(VLOOKUP(S597,Maestro!$A:$H,8,0),"Producción")</f>
        <v>Sacos</v>
      </c>
      <c r="U597" s="43" t="s">
        <v>182</v>
      </c>
    </row>
    <row r="598" spans="1:21" x14ac:dyDescent="0.3">
      <c r="A598" s="43">
        <v>7999999995</v>
      </c>
      <c r="B598" s="43" t="s">
        <v>566</v>
      </c>
      <c r="C598" s="50"/>
      <c r="D598" s="56">
        <f>-Datos!$R$233*Datos!$R$203</f>
        <v>-1243844.80260906</v>
      </c>
      <c r="E598" s="43" t="s">
        <v>581</v>
      </c>
      <c r="F598" s="43" t="s">
        <v>557</v>
      </c>
      <c r="G598" s="43" t="s">
        <v>585</v>
      </c>
      <c r="H598" s="43" t="s">
        <v>586</v>
      </c>
      <c r="I598" s="43" t="s">
        <v>560</v>
      </c>
      <c r="J598" s="43" t="s">
        <v>516</v>
      </c>
      <c r="K598" s="43">
        <v>700053</v>
      </c>
      <c r="L598" s="43">
        <v>11</v>
      </c>
      <c r="M598" s="43" t="s">
        <v>517</v>
      </c>
      <c r="N598" s="51"/>
      <c r="O598" s="51"/>
      <c r="P598" s="43" t="str">
        <f>VLOOKUP(K598,Maestro!J:K,2,0)</f>
        <v>CEMENTO UG 50 KG</v>
      </c>
      <c r="Q598" s="43" t="str">
        <f>VLOOKUP(P598,Maestro!E:F,2,0)</f>
        <v>CEMENTO UG 50 KG</v>
      </c>
      <c r="R598" s="43">
        <f>VLOOKUP(P598,ORD!$A:$C,3,0)</f>
        <v>8</v>
      </c>
      <c r="S598" t="str">
        <f t="shared" si="10"/>
        <v>7999999995CEMCUGB50CEMENTO UG 50 KG</v>
      </c>
      <c r="T598" t="str">
        <f>IFERROR(VLOOKUP(S598,Maestro!$A:$H,8,0),"Producción")</f>
        <v>Producción</v>
      </c>
      <c r="U598" s="43" t="s">
        <v>182</v>
      </c>
    </row>
    <row r="599" spans="1:21" x14ac:dyDescent="0.3">
      <c r="A599" s="43">
        <v>7199990001</v>
      </c>
      <c r="B599" s="43" t="s">
        <v>438</v>
      </c>
      <c r="C599" s="50">
        <v>0</v>
      </c>
      <c r="D599" s="49">
        <v>64042.594082061041</v>
      </c>
      <c r="E599" s="43" t="s">
        <v>556</v>
      </c>
      <c r="F599" s="43" t="s">
        <v>557</v>
      </c>
      <c r="G599" s="43" t="s">
        <v>567</v>
      </c>
      <c r="H599" s="43" t="s">
        <v>568</v>
      </c>
      <c r="I599" s="43" t="s">
        <v>560</v>
      </c>
      <c r="J599" s="43" t="s">
        <v>476</v>
      </c>
      <c r="K599" s="43">
        <v>700053</v>
      </c>
      <c r="L599" s="43">
        <v>12</v>
      </c>
      <c r="M599" s="43" t="s">
        <v>464</v>
      </c>
      <c r="N599" s="51"/>
      <c r="O599" s="51"/>
      <c r="P599" s="43" t="str">
        <f>VLOOKUP(K599,Maestro!J:K,2,0)</f>
        <v>CEMENTO UG 50 KG</v>
      </c>
      <c r="Q599" s="43" t="str">
        <f>VLOOKUP(P599,Maestro!E:F,2,0)</f>
        <v>CEMENTO UG 50 KG</v>
      </c>
      <c r="R599" s="43">
        <f>VLOOKUP(P599,ORD!$A:$C,3,0)</f>
        <v>8</v>
      </c>
      <c r="S599" t="str">
        <f t="shared" si="10"/>
        <v>7199990001CEMENTOUG1CEMENTO UG 50 KG</v>
      </c>
      <c r="T599" t="str">
        <f>IFERROR(VLOOKUP(S599,Maestro!$A:$H,8,0),"Producción")</f>
        <v>Cemento UG</v>
      </c>
      <c r="U599" s="43" t="s">
        <v>182</v>
      </c>
    </row>
    <row r="600" spans="1:21" x14ac:dyDescent="0.3">
      <c r="A600" s="43">
        <v>7360050302</v>
      </c>
      <c r="B600" s="43" t="s">
        <v>474</v>
      </c>
      <c r="C600" s="50">
        <f>Datos!$S$71*D600</f>
        <v>1340437111.1751704</v>
      </c>
      <c r="D600" s="50">
        <f>Datos!$S$475</f>
        <v>1306468.9192740452</v>
      </c>
      <c r="E600" s="43" t="s">
        <v>581</v>
      </c>
      <c r="F600" s="43" t="s">
        <v>557</v>
      </c>
      <c r="G600" s="43" t="s">
        <v>582</v>
      </c>
      <c r="H600" s="43" t="s">
        <v>583</v>
      </c>
      <c r="I600" s="43" t="s">
        <v>560</v>
      </c>
      <c r="J600" s="43" t="s">
        <v>478</v>
      </c>
      <c r="K600" s="43">
        <v>700053</v>
      </c>
      <c r="L600" s="43">
        <v>12</v>
      </c>
      <c r="M600" s="43" t="s">
        <v>594</v>
      </c>
      <c r="N600" s="51"/>
      <c r="O600" s="51"/>
      <c r="P600" s="43" t="str">
        <f>VLOOKUP(K600,Maestro!J:K,2,0)</f>
        <v>CEMENTO UG 50 KG</v>
      </c>
      <c r="Q600" s="43" t="str">
        <f>VLOOKUP(P600,Maestro!E:F,2,0)</f>
        <v>CEMENTO UG 50 KG</v>
      </c>
      <c r="R600" s="43">
        <f>VLOOKUP(P600,ORD!$A:$C,3,0)</f>
        <v>8</v>
      </c>
      <c r="S600" t="str">
        <f t="shared" si="10"/>
        <v>736005030222000000008CEMENTO UG 50 KG</v>
      </c>
      <c r="T600" t="str">
        <f>IFERROR(VLOOKUP(S600,Maestro!$A:$H,8,0),"Producción")</f>
        <v>Sacos</v>
      </c>
      <c r="U600" s="43" t="s">
        <v>182</v>
      </c>
    </row>
    <row r="601" spans="1:21" x14ac:dyDescent="0.3">
      <c r="A601" s="43">
        <v>7999999995</v>
      </c>
      <c r="B601" s="43" t="s">
        <v>566</v>
      </c>
      <c r="C601" s="50"/>
      <c r="D601" s="56">
        <f>-Datos!$S$233*Datos!$S$203</f>
        <v>-1280851.8816412208</v>
      </c>
      <c r="E601" s="43" t="s">
        <v>581</v>
      </c>
      <c r="F601" s="43" t="s">
        <v>557</v>
      </c>
      <c r="G601" s="43" t="s">
        <v>585</v>
      </c>
      <c r="H601" s="43" t="s">
        <v>586</v>
      </c>
      <c r="I601" s="43" t="s">
        <v>560</v>
      </c>
      <c r="J601" s="43" t="s">
        <v>516</v>
      </c>
      <c r="K601" s="43">
        <v>700053</v>
      </c>
      <c r="L601" s="43">
        <v>12</v>
      </c>
      <c r="M601" s="43" t="s">
        <v>517</v>
      </c>
      <c r="N601" s="51"/>
      <c r="O601" s="51"/>
      <c r="P601" s="43" t="str">
        <f>VLOOKUP(K601,Maestro!J:K,2,0)</f>
        <v>CEMENTO UG 50 KG</v>
      </c>
      <c r="Q601" s="43" t="str">
        <f>VLOOKUP(P601,Maestro!E:F,2,0)</f>
        <v>CEMENTO UG 50 KG</v>
      </c>
      <c r="R601" s="43">
        <f>VLOOKUP(P601,ORD!$A:$C,3,0)</f>
        <v>8</v>
      </c>
      <c r="S601" t="str">
        <f t="shared" si="10"/>
        <v>7999999995CEMCUGB50CEMENTO UG 50 KG</v>
      </c>
      <c r="T601" t="str">
        <f>IFERROR(VLOOKUP(S601,Maestro!$A:$H,8,0),"Producción")</f>
        <v>Producción</v>
      </c>
      <c r="U601" s="43" t="s">
        <v>182</v>
      </c>
    </row>
    <row r="602" spans="1:21" x14ac:dyDescent="0.3">
      <c r="A602" s="43">
        <v>7105330101</v>
      </c>
      <c r="B602" s="43" t="s">
        <v>443</v>
      </c>
      <c r="C602" s="52">
        <f>Datos!$H$77*D602</f>
        <v>0</v>
      </c>
      <c r="D602" s="56">
        <f>Datos!$H$251*Datos!$H$190*(1+Datos!$H$222)</f>
        <v>0</v>
      </c>
      <c r="E602" s="43" t="s">
        <v>556</v>
      </c>
      <c r="F602" s="43" t="s">
        <v>557</v>
      </c>
      <c r="G602" s="43" t="s">
        <v>563</v>
      </c>
      <c r="H602" s="43" t="s">
        <v>564</v>
      </c>
      <c r="I602" s="43" t="s">
        <v>560</v>
      </c>
      <c r="J602" s="43" t="s">
        <v>519</v>
      </c>
      <c r="K602" s="43">
        <v>700060</v>
      </c>
      <c r="L602" s="43">
        <v>1</v>
      </c>
      <c r="M602" s="43" t="s">
        <v>576</v>
      </c>
      <c r="N602" s="51"/>
      <c r="O602" s="51"/>
      <c r="P602" s="43" t="str">
        <f>VLOOKUP(K602,Maestro!J:K,2,0)</f>
        <v>CEMENTO ART</v>
      </c>
      <c r="Q602" s="43" t="str">
        <f>VLOOKUP(P602,Maestro!E:F,2,0)</f>
        <v>Cemento ART</v>
      </c>
      <c r="R602" s="43">
        <f>VLOOKUP(P602,ORD!$A:$C,3,0)</f>
        <v>7</v>
      </c>
      <c r="S602" t="str">
        <f t="shared" si="10"/>
        <v>7105330101SALMARCemento ART</v>
      </c>
      <c r="T602" t="str">
        <f>IFERROR(VLOOKUP(S602,Maestro!$A:$H,8,0),"Producción")</f>
        <v>Sal Marina</v>
      </c>
      <c r="U602" s="43" t="s">
        <v>182</v>
      </c>
    </row>
    <row r="603" spans="1:21" x14ac:dyDescent="0.3">
      <c r="A603" s="43">
        <v>7105330101</v>
      </c>
      <c r="B603" s="43" t="s">
        <v>443</v>
      </c>
      <c r="C603" s="50"/>
      <c r="D603" s="56">
        <f>Datos!$H$251*Datos!$H$188*(1+Datos!$H$210)</f>
        <v>2004.5596712458307</v>
      </c>
      <c r="E603" s="43" t="s">
        <v>556</v>
      </c>
      <c r="F603" s="43" t="s">
        <v>557</v>
      </c>
      <c r="G603" s="43" t="s">
        <v>563</v>
      </c>
      <c r="H603" s="43" t="s">
        <v>564</v>
      </c>
      <c r="I603" s="43" t="s">
        <v>560</v>
      </c>
      <c r="J603" s="43" t="s">
        <v>444</v>
      </c>
      <c r="K603" s="43">
        <v>700060</v>
      </c>
      <c r="L603" s="43">
        <v>1</v>
      </c>
      <c r="M603" s="43" t="s">
        <v>565</v>
      </c>
      <c r="N603" s="51"/>
      <c r="O603" s="51"/>
      <c r="P603" s="43" t="str">
        <f>VLOOKUP(K603,Maestro!J:K,2,0)</f>
        <v>CEMENTO ART</v>
      </c>
      <c r="Q603" s="43" t="str">
        <f>VLOOKUP(P603,Maestro!E:F,2,0)</f>
        <v>Cemento ART</v>
      </c>
      <c r="R603" s="43">
        <f>VLOOKUP(P603,ORD!$A:$C,3,0)</f>
        <v>7</v>
      </c>
      <c r="S603" t="str">
        <f t="shared" si="10"/>
        <v>7105330101CALIZATRICemento ART</v>
      </c>
      <c r="T603" t="str">
        <f>IFERROR(VLOOKUP(S603,Maestro!$A:$H,8,0),"Producción")</f>
        <v>Caliza Triturada</v>
      </c>
      <c r="U603" s="43" t="s">
        <v>182</v>
      </c>
    </row>
    <row r="604" spans="1:21" x14ac:dyDescent="0.3">
      <c r="A604" s="43">
        <v>7105450101</v>
      </c>
      <c r="B604" s="43" t="s">
        <v>466</v>
      </c>
      <c r="C604" s="50">
        <f>Datos!$H$64*D604+Datos!$H$90*D604</f>
        <v>592279105.65145636</v>
      </c>
      <c r="D604" s="56">
        <f>Datos!$H$251*Datos!$H$189*(1+Datos!$H$221)</f>
        <v>2546.7857163038552</v>
      </c>
      <c r="E604" s="43" t="s">
        <v>556</v>
      </c>
      <c r="F604" s="43" t="s">
        <v>557</v>
      </c>
      <c r="G604" s="43" t="s">
        <v>577</v>
      </c>
      <c r="H604" s="43" t="s">
        <v>578</v>
      </c>
      <c r="I604" s="43" t="s">
        <v>560</v>
      </c>
      <c r="J604" s="43" t="s">
        <v>467</v>
      </c>
      <c r="K604" s="43">
        <v>700060</v>
      </c>
      <c r="L604" s="43">
        <v>1</v>
      </c>
      <c r="M604" s="43" t="s">
        <v>579</v>
      </c>
      <c r="N604" s="51"/>
      <c r="O604" s="51"/>
      <c r="P604" s="43" t="str">
        <f>VLOOKUP(K604,Maestro!J:K,2,0)</f>
        <v>CEMENTO ART</v>
      </c>
      <c r="Q604" s="43" t="str">
        <f>VLOOKUP(P604,Maestro!E:F,2,0)</f>
        <v>Cemento ART</v>
      </c>
      <c r="R604" s="43">
        <f>VLOOKUP(P604,ORD!$A:$C,3,0)</f>
        <v>7</v>
      </c>
      <c r="S604" t="str">
        <f t="shared" si="10"/>
        <v>7105450101YESO00001Cemento ART</v>
      </c>
      <c r="T604" t="str">
        <f>IFERROR(VLOOKUP(S604,Maestro!$A:$H,8,0),"Producción")</f>
        <v>Yeso</v>
      </c>
      <c r="U604" s="43" t="s">
        <v>182</v>
      </c>
    </row>
    <row r="605" spans="1:21" x14ac:dyDescent="0.3">
      <c r="A605" s="43">
        <v>7105400101</v>
      </c>
      <c r="B605" s="43" t="s">
        <v>535</v>
      </c>
      <c r="C605" s="50">
        <f>Datos!$H$76*D605</f>
        <v>70823951.686690778</v>
      </c>
      <c r="D605" s="56">
        <f>Datos!$H$251*Datos!$H$194*(1+Datos!$H$229)</f>
        <v>16.109679754772305</v>
      </c>
      <c r="E605" s="43" t="s">
        <v>556</v>
      </c>
      <c r="F605" s="43" t="s">
        <v>557</v>
      </c>
      <c r="G605" s="43" t="s">
        <v>563</v>
      </c>
      <c r="H605" s="43" t="s">
        <v>564</v>
      </c>
      <c r="I605" s="43" t="s">
        <v>560</v>
      </c>
      <c r="J605" s="43" t="s">
        <v>536</v>
      </c>
      <c r="K605" s="43">
        <v>700060</v>
      </c>
      <c r="L605" s="43">
        <v>1</v>
      </c>
      <c r="M605" s="43" t="s">
        <v>580</v>
      </c>
      <c r="N605" s="51"/>
      <c r="O605" s="51"/>
      <c r="P605" s="43" t="str">
        <f>VLOOKUP(K605,Maestro!J:K,2,0)</f>
        <v>CEMENTO ART</v>
      </c>
      <c r="Q605" s="43" t="str">
        <f>VLOOKUP(P605,Maestro!E:F,2,0)</f>
        <v>Cemento ART</v>
      </c>
      <c r="R605" s="43">
        <f>VLOOKUP(P605,ORD!$A:$C,3,0)</f>
        <v>7</v>
      </c>
      <c r="S605" t="str">
        <f t="shared" si="10"/>
        <v>7105400101ADIMOLIENCemento ART</v>
      </c>
      <c r="T605" t="str">
        <f>IFERROR(VLOOKUP(S605,Maestro!$A:$H,8,0),"Producción")</f>
        <v>Aditivo Molienda</v>
      </c>
      <c r="U605" s="43" t="s">
        <v>182</v>
      </c>
    </row>
    <row r="606" spans="1:21" x14ac:dyDescent="0.3">
      <c r="A606" s="43">
        <v>7105400101</v>
      </c>
      <c r="B606" s="43" t="s">
        <v>535</v>
      </c>
      <c r="C606" s="50">
        <f>Datos!$H$93*D606+Datos!$H$90*D606</f>
        <v>0</v>
      </c>
      <c r="D606" s="56">
        <f>Datos!$H$251*Datos!$H$192*(1+Datos!$H$223)</f>
        <v>0</v>
      </c>
      <c r="E606" s="43" t="s">
        <v>556</v>
      </c>
      <c r="F606" s="43" t="s">
        <v>557</v>
      </c>
      <c r="G606" s="43" t="s">
        <v>563</v>
      </c>
      <c r="H606" s="43" t="s">
        <v>564</v>
      </c>
      <c r="I606" s="43" t="s">
        <v>560</v>
      </c>
      <c r="J606" s="43" t="s">
        <v>538</v>
      </c>
      <c r="K606" s="43">
        <v>700060</v>
      </c>
      <c r="L606" s="43">
        <v>1</v>
      </c>
      <c r="M606" s="43" t="s">
        <v>538</v>
      </c>
      <c r="N606" s="51"/>
      <c r="O606" s="51"/>
      <c r="P606" s="43" t="str">
        <f>VLOOKUP(K606,Maestro!J:K,2,0)</f>
        <v>CEMENTO ART</v>
      </c>
      <c r="Q606" s="43" t="str">
        <f>VLOOKUP(P606,Maestro!E:F,2,0)</f>
        <v>Cemento ART</v>
      </c>
      <c r="R606" s="43">
        <f>VLOOKUP(P606,ORD!$A:$C,3,0)</f>
        <v>7</v>
      </c>
      <c r="S606" t="str">
        <f t="shared" si="10"/>
        <v>7105400101PUZOLANACemento ART</v>
      </c>
      <c r="T606" t="str">
        <f>IFERROR(VLOOKUP(S606,Maestro!$A:$H,8,0),"Producción")</f>
        <v>Puzolana</v>
      </c>
      <c r="U606" s="43" t="s">
        <v>182</v>
      </c>
    </row>
    <row r="607" spans="1:21" x14ac:dyDescent="0.3">
      <c r="A607" s="43">
        <v>7105400101</v>
      </c>
      <c r="B607" s="43" t="s">
        <v>535</v>
      </c>
      <c r="C607" s="50"/>
      <c r="D607" s="56">
        <f>Datos!$H$251*Datos!$H$191*(1+Datos!$H$218)</f>
        <v>968.17564358206062</v>
      </c>
      <c r="E607" s="43" t="s">
        <v>556</v>
      </c>
      <c r="F607" s="43" t="s">
        <v>557</v>
      </c>
      <c r="G607" s="43" t="s">
        <v>563</v>
      </c>
      <c r="H607" s="43" t="s">
        <v>564</v>
      </c>
      <c r="I607" s="43" t="s">
        <v>560</v>
      </c>
      <c r="J607" s="43" t="s">
        <v>539</v>
      </c>
      <c r="K607" s="43">
        <v>700060</v>
      </c>
      <c r="L607" s="43">
        <v>1</v>
      </c>
      <c r="M607" s="43" t="s">
        <v>445</v>
      </c>
      <c r="N607" s="51"/>
      <c r="O607" s="51"/>
      <c r="P607" s="43" t="str">
        <f>VLOOKUP(K607,Maestro!J:K,2,0)</f>
        <v>CEMENTO ART</v>
      </c>
      <c r="Q607" s="43" t="str">
        <f>VLOOKUP(P607,Maestro!E:F,2,0)</f>
        <v>Cemento ART</v>
      </c>
      <c r="R607" s="43">
        <f>VLOOKUP(P607,ORD!$A:$C,3,0)</f>
        <v>7</v>
      </c>
      <c r="S607" t="str">
        <f t="shared" si="10"/>
        <v>7105400101CRUDOCemento ART</v>
      </c>
      <c r="T607" t="str">
        <f>IFERROR(VLOOKUP(S607,Maestro!$A:$H,8,0),"Producción")</f>
        <v>Finos Filtro</v>
      </c>
      <c r="U607" s="43" t="s">
        <v>182</v>
      </c>
    </row>
    <row r="608" spans="1:21" x14ac:dyDescent="0.3">
      <c r="A608" s="43">
        <v>7199990001</v>
      </c>
      <c r="B608" s="43" t="s">
        <v>438</v>
      </c>
      <c r="C608" s="50"/>
      <c r="D608" s="56">
        <f>Datos!$H$251*Datos!$H$187*(1+Datos!$H$219)</f>
        <v>26742.068392922025</v>
      </c>
      <c r="E608" s="43" t="s">
        <v>556</v>
      </c>
      <c r="F608" s="43" t="s">
        <v>557</v>
      </c>
      <c r="G608" s="43" t="s">
        <v>567</v>
      </c>
      <c r="H608" s="43" t="s">
        <v>568</v>
      </c>
      <c r="I608" s="43" t="s">
        <v>560</v>
      </c>
      <c r="J608" s="43" t="s">
        <v>463</v>
      </c>
      <c r="K608" s="43">
        <v>700060</v>
      </c>
      <c r="L608" s="43">
        <v>1</v>
      </c>
      <c r="M608" s="43" t="s">
        <v>62</v>
      </c>
      <c r="N608" s="51"/>
      <c r="O608" s="51"/>
      <c r="P608" s="43" t="str">
        <f>VLOOKUP(K608,Maestro!J:K,2,0)</f>
        <v>CEMENTO ART</v>
      </c>
      <c r="Q608" s="43" t="str">
        <f>VLOOKUP(P608,Maestro!E:F,2,0)</f>
        <v>Cemento ART</v>
      </c>
      <c r="R608" s="43">
        <f>VLOOKUP(P608,ORD!$A:$C,3,0)</f>
        <v>7</v>
      </c>
      <c r="S608" t="str">
        <f t="shared" si="10"/>
        <v>7199990001CLINKER001Cemento ART</v>
      </c>
      <c r="T608" t="str">
        <f>IFERROR(VLOOKUP(S608,Maestro!$A:$H,8,0),"Producción")</f>
        <v>Clinker</v>
      </c>
      <c r="U608" s="43" t="s">
        <v>182</v>
      </c>
    </row>
    <row r="609" spans="1:21" x14ac:dyDescent="0.3">
      <c r="A609" s="43">
        <v>7999999995</v>
      </c>
      <c r="B609" s="43" t="s">
        <v>566</v>
      </c>
      <c r="C609" s="50"/>
      <c r="D609" s="56">
        <f>-Datos!$H$251</f>
        <v>-32219.359509544607</v>
      </c>
      <c r="E609" s="43" t="s">
        <v>556</v>
      </c>
      <c r="F609" s="43" t="s">
        <v>557</v>
      </c>
      <c r="G609" s="43" t="s">
        <v>567</v>
      </c>
      <c r="H609" s="43" t="s">
        <v>568</v>
      </c>
      <c r="I609" s="43" t="s">
        <v>560</v>
      </c>
      <c r="J609" s="43" t="s">
        <v>472</v>
      </c>
      <c r="K609" s="43">
        <v>700060</v>
      </c>
      <c r="L609" s="43">
        <v>1</v>
      </c>
      <c r="M609" s="43" t="s">
        <v>468</v>
      </c>
      <c r="N609" s="51"/>
      <c r="O609" s="51"/>
      <c r="P609" s="43" t="str">
        <f>VLOOKUP(K609,Maestro!J:K,2,0)</f>
        <v>CEMENTO ART</v>
      </c>
      <c r="Q609" s="43" t="str">
        <f>VLOOKUP(P609,Maestro!E:F,2,0)</f>
        <v>Cemento ART</v>
      </c>
      <c r="R609" s="43">
        <f>VLOOKUP(P609,ORD!$A:$C,3,0)</f>
        <v>7</v>
      </c>
      <c r="S609" t="str">
        <f t="shared" si="10"/>
        <v>7999999995CEMENTOARTCemento ART</v>
      </c>
      <c r="T609" t="str">
        <f>IFERROR(VLOOKUP(S609,Maestro!$A:$H,8,0),"Producción")</f>
        <v>Producción</v>
      </c>
      <c r="U609" s="43" t="s">
        <v>182</v>
      </c>
    </row>
    <row r="610" spans="1:21" x14ac:dyDescent="0.3">
      <c r="A610" s="43">
        <v>7355250320</v>
      </c>
      <c r="B610" s="43" t="s">
        <v>490</v>
      </c>
      <c r="C610" s="52">
        <f>Datos!$H$120*D610</f>
        <v>48093207.283111013</v>
      </c>
      <c r="D610" s="56">
        <f>Datos!$H$251</f>
        <v>32219.359509544607</v>
      </c>
      <c r="E610" s="57"/>
      <c r="F610" s="58"/>
      <c r="G610" s="43"/>
      <c r="H610" s="43"/>
      <c r="I610" s="43" t="s">
        <v>560</v>
      </c>
      <c r="J610" s="43" t="s">
        <v>802</v>
      </c>
      <c r="K610" s="43">
        <v>700060</v>
      </c>
      <c r="L610" s="43">
        <v>1</v>
      </c>
      <c r="M610" s="43" t="s">
        <v>468</v>
      </c>
      <c r="N610" s="53"/>
      <c r="O610" s="53"/>
      <c r="P610" s="43" t="str">
        <f>VLOOKUP(K610,Maestro!J:K,2,0)</f>
        <v>CEMENTO ART</v>
      </c>
      <c r="Q610" s="43" t="str">
        <f>VLOOKUP(P610,Maestro!E:F,2,0)</f>
        <v>Cemento ART</v>
      </c>
      <c r="R610" s="43">
        <f>VLOOKUP(P610,ORD!$A:$C,3,0)</f>
        <v>7</v>
      </c>
      <c r="S610" t="str">
        <f t="shared" si="10"/>
        <v>7355250320PLACAS Y SEGMENTOSCemento ART</v>
      </c>
      <c r="T610" t="str">
        <f>IFERROR(VLOOKUP(S610,Maestro!$A:$H,8,0),"Producción")</f>
        <v>Placas y Segmentos</v>
      </c>
      <c r="U610" s="43" t="s">
        <v>182</v>
      </c>
    </row>
    <row r="611" spans="1:21" x14ac:dyDescent="0.3">
      <c r="A611" s="43">
        <v>7105330101</v>
      </c>
      <c r="B611" s="43" t="s">
        <v>443</v>
      </c>
      <c r="C611" s="52">
        <f>Datos!$I$77*D611</f>
        <v>0</v>
      </c>
      <c r="D611" s="56">
        <f>Datos!$I$251*Datos!$I$190*(1+Datos!$I$222)</f>
        <v>0</v>
      </c>
      <c r="E611" s="43" t="s">
        <v>556</v>
      </c>
      <c r="F611" s="43" t="s">
        <v>557</v>
      </c>
      <c r="G611" s="43" t="s">
        <v>563</v>
      </c>
      <c r="H611" s="43" t="s">
        <v>564</v>
      </c>
      <c r="I611" s="43" t="s">
        <v>560</v>
      </c>
      <c r="J611" s="43" t="s">
        <v>519</v>
      </c>
      <c r="K611" s="43">
        <v>700060</v>
      </c>
      <c r="L611" s="43">
        <v>2</v>
      </c>
      <c r="M611" s="43" t="s">
        <v>576</v>
      </c>
      <c r="N611" s="51"/>
      <c r="O611" s="51"/>
      <c r="P611" s="43" t="str">
        <f>VLOOKUP(K611,Maestro!J:K,2,0)</f>
        <v>CEMENTO ART</v>
      </c>
      <c r="Q611" s="43" t="str">
        <f>VLOOKUP(P611,Maestro!E:F,2,0)</f>
        <v>Cemento ART</v>
      </c>
      <c r="R611" s="43">
        <f>VLOOKUP(P611,ORD!$A:$C,3,0)</f>
        <v>7</v>
      </c>
      <c r="S611" t="str">
        <f t="shared" si="10"/>
        <v>7105330101SALMARCemento ART</v>
      </c>
      <c r="T611" t="str">
        <f>IFERROR(VLOOKUP(S611,Maestro!$A:$H,8,0),"Producción")</f>
        <v>Sal Marina</v>
      </c>
      <c r="U611" s="43" t="s">
        <v>182</v>
      </c>
    </row>
    <row r="612" spans="1:21" x14ac:dyDescent="0.3">
      <c r="A612" s="43">
        <v>7105330101</v>
      </c>
      <c r="B612" s="43" t="s">
        <v>443</v>
      </c>
      <c r="C612" s="50"/>
      <c r="D612" s="56">
        <f>Datos!$I$251*Datos!$I$188*(1+Datos!$I$210)</f>
        <v>2261.9291920382643</v>
      </c>
      <c r="E612" s="43" t="s">
        <v>556</v>
      </c>
      <c r="F612" s="43" t="s">
        <v>557</v>
      </c>
      <c r="G612" s="43" t="s">
        <v>563</v>
      </c>
      <c r="H612" s="43" t="s">
        <v>564</v>
      </c>
      <c r="I612" s="43" t="s">
        <v>560</v>
      </c>
      <c r="J612" s="43" t="s">
        <v>444</v>
      </c>
      <c r="K612" s="43">
        <v>700060</v>
      </c>
      <c r="L612" s="43">
        <v>2</v>
      </c>
      <c r="M612" s="43" t="s">
        <v>565</v>
      </c>
      <c r="N612" s="51"/>
      <c r="O612" s="51"/>
      <c r="P612" s="43" t="str">
        <f>VLOOKUP(K612,Maestro!J:K,2,0)</f>
        <v>CEMENTO ART</v>
      </c>
      <c r="Q612" s="43" t="str">
        <f>VLOOKUP(P612,Maestro!E:F,2,0)</f>
        <v>Cemento ART</v>
      </c>
      <c r="R612" s="43">
        <f>VLOOKUP(P612,ORD!$A:$C,3,0)</f>
        <v>7</v>
      </c>
      <c r="S612" t="str">
        <f t="shared" si="10"/>
        <v>7105330101CALIZATRICemento ART</v>
      </c>
      <c r="T612" t="str">
        <f>IFERROR(VLOOKUP(S612,Maestro!$A:$H,8,0),"Producción")</f>
        <v>Caliza Triturada</v>
      </c>
      <c r="U612" s="43" t="s">
        <v>182</v>
      </c>
    </row>
    <row r="613" spans="1:21" x14ac:dyDescent="0.3">
      <c r="A613" s="43">
        <v>7105450101</v>
      </c>
      <c r="B613" s="43" t="s">
        <v>466</v>
      </c>
      <c r="C613" s="50">
        <f>Datos!$I$64*D613+Datos!$I$90*D613</f>
        <v>668241889.62966502</v>
      </c>
      <c r="D613" s="56">
        <f>Datos!$I$251*Datos!$I$189*(1+Datos!$I$221)</f>
        <v>2873.7727493008661</v>
      </c>
      <c r="E613" s="43" t="s">
        <v>556</v>
      </c>
      <c r="F613" s="43" t="s">
        <v>557</v>
      </c>
      <c r="G613" s="43" t="s">
        <v>577</v>
      </c>
      <c r="H613" s="43" t="s">
        <v>578</v>
      </c>
      <c r="I613" s="43" t="s">
        <v>560</v>
      </c>
      <c r="J613" s="43" t="s">
        <v>467</v>
      </c>
      <c r="K613" s="43">
        <v>700060</v>
      </c>
      <c r="L613" s="43">
        <v>2</v>
      </c>
      <c r="M613" s="43" t="s">
        <v>579</v>
      </c>
      <c r="N613" s="51"/>
      <c r="O613" s="51"/>
      <c r="P613" s="43" t="str">
        <f>VLOOKUP(K613,Maestro!J:K,2,0)</f>
        <v>CEMENTO ART</v>
      </c>
      <c r="Q613" s="43" t="str">
        <f>VLOOKUP(P613,Maestro!E:F,2,0)</f>
        <v>Cemento ART</v>
      </c>
      <c r="R613" s="43">
        <f>VLOOKUP(P613,ORD!$A:$C,3,0)</f>
        <v>7</v>
      </c>
      <c r="S613" t="str">
        <f t="shared" si="10"/>
        <v>7105450101YESO00001Cemento ART</v>
      </c>
      <c r="T613" t="str">
        <f>IFERROR(VLOOKUP(S613,Maestro!$A:$H,8,0),"Producción")</f>
        <v>Yeso</v>
      </c>
      <c r="U613" s="43" t="s">
        <v>182</v>
      </c>
    </row>
    <row r="614" spans="1:21" x14ac:dyDescent="0.3">
      <c r="A614" s="43">
        <v>7105400101</v>
      </c>
      <c r="B614" s="43" t="s">
        <v>535</v>
      </c>
      <c r="C614" s="50">
        <f>Datos!$I$76*D614</f>
        <v>79917183.865157887</v>
      </c>
      <c r="D614" s="56">
        <f>Datos!$I$251*Datos!$I$194*(1+Datos!$I$229)</f>
        <v>18.17803452518854</v>
      </c>
      <c r="E614" s="43" t="s">
        <v>556</v>
      </c>
      <c r="F614" s="43" t="s">
        <v>557</v>
      </c>
      <c r="G614" s="43" t="s">
        <v>563</v>
      </c>
      <c r="H614" s="43" t="s">
        <v>564</v>
      </c>
      <c r="I614" s="43" t="s">
        <v>560</v>
      </c>
      <c r="J614" s="43" t="s">
        <v>536</v>
      </c>
      <c r="K614" s="43">
        <v>700060</v>
      </c>
      <c r="L614" s="43">
        <v>2</v>
      </c>
      <c r="M614" s="43" t="s">
        <v>580</v>
      </c>
      <c r="N614" s="51"/>
      <c r="O614" s="51"/>
      <c r="P614" s="43" t="str">
        <f>VLOOKUP(K614,Maestro!J:K,2,0)</f>
        <v>CEMENTO ART</v>
      </c>
      <c r="Q614" s="43" t="str">
        <f>VLOOKUP(P614,Maestro!E:F,2,0)</f>
        <v>Cemento ART</v>
      </c>
      <c r="R614" s="43">
        <f>VLOOKUP(P614,ORD!$A:$C,3,0)</f>
        <v>7</v>
      </c>
      <c r="S614" t="str">
        <f t="shared" si="10"/>
        <v>7105400101ADIMOLIENCemento ART</v>
      </c>
      <c r="T614" t="str">
        <f>IFERROR(VLOOKUP(S614,Maestro!$A:$H,8,0),"Producción")</f>
        <v>Aditivo Molienda</v>
      </c>
      <c r="U614" s="43" t="s">
        <v>182</v>
      </c>
    </row>
    <row r="615" spans="1:21" x14ac:dyDescent="0.3">
      <c r="A615" s="43">
        <v>7105400101</v>
      </c>
      <c r="B615" s="43" t="s">
        <v>535</v>
      </c>
      <c r="C615" s="50">
        <f>Datos!$I$93*D615+Datos!$I$90*D615</f>
        <v>0</v>
      </c>
      <c r="D615" s="56">
        <f>Datos!$I$251*Datos!$I$192*(1+Datos!$I$223)</f>
        <v>0</v>
      </c>
      <c r="E615" s="43" t="s">
        <v>556</v>
      </c>
      <c r="F615" s="43" t="s">
        <v>557</v>
      </c>
      <c r="G615" s="43" t="s">
        <v>563</v>
      </c>
      <c r="H615" s="43" t="s">
        <v>564</v>
      </c>
      <c r="I615" s="43" t="s">
        <v>560</v>
      </c>
      <c r="J615" s="43" t="s">
        <v>538</v>
      </c>
      <c r="K615" s="43">
        <v>700060</v>
      </c>
      <c r="L615" s="43">
        <v>2</v>
      </c>
      <c r="M615" s="43" t="s">
        <v>538</v>
      </c>
      <c r="N615" s="51"/>
      <c r="O615" s="51"/>
      <c r="P615" s="43" t="str">
        <f>VLOOKUP(K615,Maestro!J:K,2,0)</f>
        <v>CEMENTO ART</v>
      </c>
      <c r="Q615" s="43" t="str">
        <f>VLOOKUP(P615,Maestro!E:F,2,0)</f>
        <v>Cemento ART</v>
      </c>
      <c r="R615" s="43">
        <f>VLOOKUP(P615,ORD!$A:$C,3,0)</f>
        <v>7</v>
      </c>
      <c r="S615" t="str">
        <f t="shared" si="10"/>
        <v>7105400101PUZOLANACemento ART</v>
      </c>
      <c r="T615" t="str">
        <f>IFERROR(VLOOKUP(S615,Maestro!$A:$H,8,0),"Producción")</f>
        <v>Puzolana</v>
      </c>
      <c r="U615" s="43" t="s">
        <v>182</v>
      </c>
    </row>
    <row r="616" spans="1:21" x14ac:dyDescent="0.3">
      <c r="A616" s="43">
        <v>7105400101</v>
      </c>
      <c r="B616" s="43" t="s">
        <v>535</v>
      </c>
      <c r="C616" s="50"/>
      <c r="D616" s="56">
        <f>Datos!$I$251*Datos!$I$191*(1+Datos!$I$218)</f>
        <v>1092.4816969293058</v>
      </c>
      <c r="E616" s="43" t="s">
        <v>556</v>
      </c>
      <c r="F616" s="43" t="s">
        <v>557</v>
      </c>
      <c r="G616" s="43" t="s">
        <v>563</v>
      </c>
      <c r="H616" s="43" t="s">
        <v>564</v>
      </c>
      <c r="I616" s="43" t="s">
        <v>560</v>
      </c>
      <c r="J616" s="43" t="s">
        <v>539</v>
      </c>
      <c r="K616" s="43">
        <v>700060</v>
      </c>
      <c r="L616" s="43">
        <v>2</v>
      </c>
      <c r="M616" s="43" t="s">
        <v>445</v>
      </c>
      <c r="N616" s="51"/>
      <c r="O616" s="51"/>
      <c r="P616" s="43" t="str">
        <f>VLOOKUP(K616,Maestro!J:K,2,0)</f>
        <v>CEMENTO ART</v>
      </c>
      <c r="Q616" s="43" t="str">
        <f>VLOOKUP(P616,Maestro!E:F,2,0)</f>
        <v>Cemento ART</v>
      </c>
      <c r="R616" s="43">
        <f>VLOOKUP(P616,ORD!$A:$C,3,0)</f>
        <v>7</v>
      </c>
      <c r="S616" t="str">
        <f t="shared" si="10"/>
        <v>7105400101CRUDOCemento ART</v>
      </c>
      <c r="T616" t="str">
        <f>IFERROR(VLOOKUP(S616,Maestro!$A:$H,8,0),"Producción")</f>
        <v>Finos Filtro</v>
      </c>
      <c r="U616" s="43" t="s">
        <v>182</v>
      </c>
    </row>
    <row r="617" spans="1:21" x14ac:dyDescent="0.3">
      <c r="A617" s="43">
        <v>7199990001</v>
      </c>
      <c r="B617" s="43" t="s">
        <v>438</v>
      </c>
      <c r="C617" s="50"/>
      <c r="D617" s="56">
        <f>Datos!$I$251*Datos!$I$187*(1+Datos!$I$219)</f>
        <v>30175.537311812979</v>
      </c>
      <c r="E617" s="43" t="s">
        <v>556</v>
      </c>
      <c r="F617" s="43" t="s">
        <v>557</v>
      </c>
      <c r="G617" s="43" t="s">
        <v>567</v>
      </c>
      <c r="H617" s="43" t="s">
        <v>568</v>
      </c>
      <c r="I617" s="43" t="s">
        <v>560</v>
      </c>
      <c r="J617" s="43" t="s">
        <v>463</v>
      </c>
      <c r="K617" s="43">
        <v>700060</v>
      </c>
      <c r="L617" s="43">
        <v>2</v>
      </c>
      <c r="M617" s="43" t="s">
        <v>62</v>
      </c>
      <c r="N617" s="51"/>
      <c r="O617" s="51"/>
      <c r="P617" s="43" t="str">
        <f>VLOOKUP(K617,Maestro!J:K,2,0)</f>
        <v>CEMENTO ART</v>
      </c>
      <c r="Q617" s="43" t="str">
        <f>VLOOKUP(P617,Maestro!E:F,2,0)</f>
        <v>Cemento ART</v>
      </c>
      <c r="R617" s="43">
        <f>VLOOKUP(P617,ORD!$A:$C,3,0)</f>
        <v>7</v>
      </c>
      <c r="S617" t="str">
        <f t="shared" si="10"/>
        <v>7199990001CLINKER001Cemento ART</v>
      </c>
      <c r="T617" t="str">
        <f>IFERROR(VLOOKUP(S617,Maestro!$A:$H,8,0),"Producción")</f>
        <v>Clinker</v>
      </c>
      <c r="U617" s="43" t="s">
        <v>182</v>
      </c>
    </row>
    <row r="618" spans="1:21" x14ac:dyDescent="0.3">
      <c r="A618" s="43">
        <v>7999999995</v>
      </c>
      <c r="B618" s="43" t="s">
        <v>566</v>
      </c>
      <c r="C618" s="50"/>
      <c r="D618" s="56">
        <f>-Datos!$I$251</f>
        <v>-36356.069050377082</v>
      </c>
      <c r="E618" s="43" t="s">
        <v>556</v>
      </c>
      <c r="F618" s="43" t="s">
        <v>557</v>
      </c>
      <c r="G618" s="43" t="s">
        <v>567</v>
      </c>
      <c r="H618" s="43" t="s">
        <v>568</v>
      </c>
      <c r="I618" s="43" t="s">
        <v>560</v>
      </c>
      <c r="J618" s="43" t="s">
        <v>472</v>
      </c>
      <c r="K618" s="43">
        <v>700060</v>
      </c>
      <c r="L618" s="43">
        <v>2</v>
      </c>
      <c r="M618" s="43" t="s">
        <v>468</v>
      </c>
      <c r="N618" s="51"/>
      <c r="O618" s="51"/>
      <c r="P618" s="43" t="str">
        <f>VLOOKUP(K618,Maestro!J:K,2,0)</f>
        <v>CEMENTO ART</v>
      </c>
      <c r="Q618" s="43" t="str">
        <f>VLOOKUP(P618,Maestro!E:F,2,0)</f>
        <v>Cemento ART</v>
      </c>
      <c r="R618" s="43">
        <f>VLOOKUP(P618,ORD!$A:$C,3,0)</f>
        <v>7</v>
      </c>
      <c r="S618" t="str">
        <f t="shared" si="10"/>
        <v>7999999995CEMENTOARTCemento ART</v>
      </c>
      <c r="T618" t="str">
        <f>IFERROR(VLOOKUP(S618,Maestro!$A:$H,8,0),"Producción")</f>
        <v>Producción</v>
      </c>
      <c r="U618" s="43" t="s">
        <v>182</v>
      </c>
    </row>
    <row r="619" spans="1:21" x14ac:dyDescent="0.3">
      <c r="A619" s="43">
        <v>7355250320</v>
      </c>
      <c r="B619" s="43" t="s">
        <v>490</v>
      </c>
      <c r="C619" s="52">
        <f>Datos!$I$120*D619</f>
        <v>54267992.643395513</v>
      </c>
      <c r="D619" s="56">
        <f>Datos!$I$251</f>
        <v>36356.069050377082</v>
      </c>
      <c r="E619" s="57"/>
      <c r="F619" s="58"/>
      <c r="G619" s="43"/>
      <c r="H619" s="43"/>
      <c r="I619" s="43" t="s">
        <v>560</v>
      </c>
      <c r="J619" s="43" t="s">
        <v>802</v>
      </c>
      <c r="K619" s="43">
        <v>700060</v>
      </c>
      <c r="L619" s="43">
        <v>2</v>
      </c>
      <c r="M619" s="43" t="s">
        <v>468</v>
      </c>
      <c r="N619" s="53"/>
      <c r="O619" s="53"/>
      <c r="P619" s="43" t="str">
        <f>VLOOKUP(K619,Maestro!J:K,2,0)</f>
        <v>CEMENTO ART</v>
      </c>
      <c r="Q619" s="43" t="str">
        <f>VLOOKUP(P619,Maestro!E:F,2,0)</f>
        <v>Cemento ART</v>
      </c>
      <c r="R619" s="43">
        <f>VLOOKUP(P619,ORD!$A:$C,3,0)</f>
        <v>7</v>
      </c>
      <c r="S619" t="str">
        <f t="shared" ref="S619:S682" si="11">A619&amp;J619&amp;Q619</f>
        <v>7355250320PLACAS Y SEGMENTOSCemento ART</v>
      </c>
      <c r="T619" t="str">
        <f>IFERROR(VLOOKUP(S619,Maestro!$A:$H,8,0),"Producción")</f>
        <v>Placas y Segmentos</v>
      </c>
      <c r="U619" s="43" t="s">
        <v>182</v>
      </c>
    </row>
    <row r="620" spans="1:21" x14ac:dyDescent="0.3">
      <c r="A620" s="43">
        <v>7105330101</v>
      </c>
      <c r="B620" s="43" t="s">
        <v>443</v>
      </c>
      <c r="C620" s="52">
        <f>Datos!$J$77*D620</f>
        <v>0</v>
      </c>
      <c r="D620" s="56">
        <f>Datos!$J$251*Datos!$J$190*(1+Datos!$J$222)</f>
        <v>0</v>
      </c>
      <c r="E620" s="43" t="s">
        <v>556</v>
      </c>
      <c r="F620" s="43" t="s">
        <v>557</v>
      </c>
      <c r="G620" s="43" t="s">
        <v>563</v>
      </c>
      <c r="H620" s="43" t="s">
        <v>564</v>
      </c>
      <c r="I620" s="43" t="s">
        <v>560</v>
      </c>
      <c r="J620" s="43" t="s">
        <v>519</v>
      </c>
      <c r="K620" s="43">
        <v>700060</v>
      </c>
      <c r="L620" s="43">
        <v>3</v>
      </c>
      <c r="M620" s="43" t="s">
        <v>576</v>
      </c>
      <c r="N620" s="51"/>
      <c r="O620" s="51"/>
      <c r="P620" s="43" t="str">
        <f>VLOOKUP(K620,Maestro!J:K,2,0)</f>
        <v>CEMENTO ART</v>
      </c>
      <c r="Q620" s="43" t="str">
        <f>VLOOKUP(P620,Maestro!E:F,2,0)</f>
        <v>Cemento ART</v>
      </c>
      <c r="R620" s="43">
        <f>VLOOKUP(P620,ORD!$A:$C,3,0)</f>
        <v>7</v>
      </c>
      <c r="S620" t="str">
        <f t="shared" si="11"/>
        <v>7105330101SALMARCemento ART</v>
      </c>
      <c r="T620" t="str">
        <f>IFERROR(VLOOKUP(S620,Maestro!$A:$H,8,0),"Producción")</f>
        <v>Sal Marina</v>
      </c>
      <c r="U620" s="43" t="s">
        <v>182</v>
      </c>
    </row>
    <row r="621" spans="1:21" x14ac:dyDescent="0.3">
      <c r="A621" s="43">
        <v>7105330101</v>
      </c>
      <c r="B621" s="43" t="s">
        <v>443</v>
      </c>
      <c r="C621" s="50"/>
      <c r="D621" s="56">
        <f>Datos!$J$251*Datos!$J$188*(1+Datos!$J$210)</f>
        <v>2364.4373786563165</v>
      </c>
      <c r="E621" s="43" t="s">
        <v>556</v>
      </c>
      <c r="F621" s="43" t="s">
        <v>557</v>
      </c>
      <c r="G621" s="43" t="s">
        <v>563</v>
      </c>
      <c r="H621" s="43" t="s">
        <v>564</v>
      </c>
      <c r="I621" s="43" t="s">
        <v>560</v>
      </c>
      <c r="J621" s="43" t="s">
        <v>444</v>
      </c>
      <c r="K621" s="43">
        <v>700060</v>
      </c>
      <c r="L621" s="43">
        <v>3</v>
      </c>
      <c r="M621" s="43" t="s">
        <v>565</v>
      </c>
      <c r="N621" s="51"/>
      <c r="O621" s="51"/>
      <c r="P621" s="43" t="str">
        <f>VLOOKUP(K621,Maestro!J:K,2,0)</f>
        <v>CEMENTO ART</v>
      </c>
      <c r="Q621" s="43" t="str">
        <f>VLOOKUP(P621,Maestro!E:F,2,0)</f>
        <v>Cemento ART</v>
      </c>
      <c r="R621" s="43">
        <f>VLOOKUP(P621,ORD!$A:$C,3,0)</f>
        <v>7</v>
      </c>
      <c r="S621" t="str">
        <f t="shared" si="11"/>
        <v>7105330101CALIZATRICemento ART</v>
      </c>
      <c r="T621" t="str">
        <f>IFERROR(VLOOKUP(S621,Maestro!$A:$H,8,0),"Producción")</f>
        <v>Caliza Triturada</v>
      </c>
      <c r="U621" s="43" t="s">
        <v>182</v>
      </c>
    </row>
    <row r="622" spans="1:21" x14ac:dyDescent="0.3">
      <c r="A622" s="43">
        <v>7105450101</v>
      </c>
      <c r="B622" s="43" t="s">
        <v>466</v>
      </c>
      <c r="C622" s="50">
        <f>Datos!$J$64*D622+Datos!$J$90*D622</f>
        <v>699040296.45847154</v>
      </c>
      <c r="D622" s="56">
        <f>Datos!$J$251*Datos!$J$189*(1+Datos!$J$221)</f>
        <v>3004.0090247422518</v>
      </c>
      <c r="E622" s="43" t="s">
        <v>556</v>
      </c>
      <c r="F622" s="43" t="s">
        <v>557</v>
      </c>
      <c r="G622" s="43" t="s">
        <v>577</v>
      </c>
      <c r="H622" s="43" t="s">
        <v>578</v>
      </c>
      <c r="I622" s="43" t="s">
        <v>560</v>
      </c>
      <c r="J622" s="43" t="s">
        <v>467</v>
      </c>
      <c r="K622" s="43">
        <v>700060</v>
      </c>
      <c r="L622" s="43">
        <v>3</v>
      </c>
      <c r="M622" s="43" t="s">
        <v>579</v>
      </c>
      <c r="N622" s="51"/>
      <c r="O622" s="51"/>
      <c r="P622" s="43" t="str">
        <f>VLOOKUP(K622,Maestro!J:K,2,0)</f>
        <v>CEMENTO ART</v>
      </c>
      <c r="Q622" s="43" t="str">
        <f>VLOOKUP(P622,Maestro!E:F,2,0)</f>
        <v>Cemento ART</v>
      </c>
      <c r="R622" s="43">
        <f>VLOOKUP(P622,ORD!$A:$C,3,0)</f>
        <v>7</v>
      </c>
      <c r="S622" t="str">
        <f t="shared" si="11"/>
        <v>7105450101YESO00001Cemento ART</v>
      </c>
      <c r="T622" t="str">
        <f>IFERROR(VLOOKUP(S622,Maestro!$A:$H,8,0),"Producción")</f>
        <v>Yeso</v>
      </c>
      <c r="U622" s="43" t="s">
        <v>182</v>
      </c>
    </row>
    <row r="623" spans="1:21" x14ac:dyDescent="0.3">
      <c r="A623" s="43">
        <v>7105400101</v>
      </c>
      <c r="B623" s="43" t="s">
        <v>535</v>
      </c>
      <c r="C623" s="50">
        <f>Datos!$J$76*D623</f>
        <v>83538944.275021419</v>
      </c>
      <c r="D623" s="56">
        <f>Datos!$J$251*Datos!$J$194*(1+Datos!$J$229)</f>
        <v>19.001843405685936</v>
      </c>
      <c r="E623" s="43" t="s">
        <v>556</v>
      </c>
      <c r="F623" s="43" t="s">
        <v>557</v>
      </c>
      <c r="G623" s="43" t="s">
        <v>563</v>
      </c>
      <c r="H623" s="43" t="s">
        <v>564</v>
      </c>
      <c r="I623" s="43" t="s">
        <v>560</v>
      </c>
      <c r="J623" s="43" t="s">
        <v>536</v>
      </c>
      <c r="K623" s="43">
        <v>700060</v>
      </c>
      <c r="L623" s="43">
        <v>3</v>
      </c>
      <c r="M623" s="43" t="s">
        <v>580</v>
      </c>
      <c r="N623" s="51"/>
      <c r="O623" s="51"/>
      <c r="P623" s="43" t="str">
        <f>VLOOKUP(K623,Maestro!J:K,2,0)</f>
        <v>CEMENTO ART</v>
      </c>
      <c r="Q623" s="43" t="str">
        <f>VLOOKUP(P623,Maestro!E:F,2,0)</f>
        <v>Cemento ART</v>
      </c>
      <c r="R623" s="43">
        <f>VLOOKUP(P623,ORD!$A:$C,3,0)</f>
        <v>7</v>
      </c>
      <c r="S623" t="str">
        <f t="shared" si="11"/>
        <v>7105400101ADIMOLIENCemento ART</v>
      </c>
      <c r="T623" t="str">
        <f>IFERROR(VLOOKUP(S623,Maestro!$A:$H,8,0),"Producción")</f>
        <v>Aditivo Molienda</v>
      </c>
      <c r="U623" s="43" t="s">
        <v>182</v>
      </c>
    </row>
    <row r="624" spans="1:21" x14ac:dyDescent="0.3">
      <c r="A624" s="43">
        <v>7105400101</v>
      </c>
      <c r="B624" s="43" t="s">
        <v>535</v>
      </c>
      <c r="C624" s="50">
        <f>Datos!$J$93*D624+Datos!$J$90*D624</f>
        <v>0</v>
      </c>
      <c r="D624" s="56">
        <f>Datos!$J$251*Datos!$J$192*(1+Datos!$J$223)</f>
        <v>0</v>
      </c>
      <c r="E624" s="43" t="s">
        <v>556</v>
      </c>
      <c r="F624" s="43" t="s">
        <v>557</v>
      </c>
      <c r="G624" s="43" t="s">
        <v>563</v>
      </c>
      <c r="H624" s="43" t="s">
        <v>564</v>
      </c>
      <c r="I624" s="43" t="s">
        <v>560</v>
      </c>
      <c r="J624" s="43" t="s">
        <v>538</v>
      </c>
      <c r="K624" s="43">
        <v>700060</v>
      </c>
      <c r="L624" s="43">
        <v>3</v>
      </c>
      <c r="M624" s="43" t="s">
        <v>538</v>
      </c>
      <c r="N624" s="51"/>
      <c r="O624" s="51"/>
      <c r="P624" s="43" t="str">
        <f>VLOOKUP(K624,Maestro!J:K,2,0)</f>
        <v>CEMENTO ART</v>
      </c>
      <c r="Q624" s="43" t="str">
        <f>VLOOKUP(P624,Maestro!E:F,2,0)</f>
        <v>Cemento ART</v>
      </c>
      <c r="R624" s="43">
        <f>VLOOKUP(P624,ORD!$A:$C,3,0)</f>
        <v>7</v>
      </c>
      <c r="S624" t="str">
        <f t="shared" si="11"/>
        <v>7105400101PUZOLANACemento ART</v>
      </c>
      <c r="T624" t="str">
        <f>IFERROR(VLOOKUP(S624,Maestro!$A:$H,8,0),"Producción")</f>
        <v>Puzolana</v>
      </c>
      <c r="U624" s="43" t="s">
        <v>182</v>
      </c>
    </row>
    <row r="625" spans="1:21" x14ac:dyDescent="0.3">
      <c r="A625" s="43">
        <v>7105400101</v>
      </c>
      <c r="B625" s="43" t="s">
        <v>535</v>
      </c>
      <c r="C625" s="50"/>
      <c r="D625" s="56">
        <f>Datos!$J$251*Datos!$J$191*(1+Datos!$J$218)</f>
        <v>1141.9917868383191</v>
      </c>
      <c r="E625" s="43" t="s">
        <v>556</v>
      </c>
      <c r="F625" s="43" t="s">
        <v>557</v>
      </c>
      <c r="G625" s="43" t="s">
        <v>563</v>
      </c>
      <c r="H625" s="43" t="s">
        <v>564</v>
      </c>
      <c r="I625" s="43" t="s">
        <v>560</v>
      </c>
      <c r="J625" s="43" t="s">
        <v>539</v>
      </c>
      <c r="K625" s="43">
        <v>700060</v>
      </c>
      <c r="L625" s="43">
        <v>3</v>
      </c>
      <c r="M625" s="43" t="s">
        <v>445</v>
      </c>
      <c r="N625" s="51"/>
      <c r="O625" s="51"/>
      <c r="P625" s="43" t="str">
        <f>VLOOKUP(K625,Maestro!J:K,2,0)</f>
        <v>CEMENTO ART</v>
      </c>
      <c r="Q625" s="43" t="str">
        <f>VLOOKUP(P625,Maestro!E:F,2,0)</f>
        <v>Cemento ART</v>
      </c>
      <c r="R625" s="43">
        <f>VLOOKUP(P625,ORD!$A:$C,3,0)</f>
        <v>7</v>
      </c>
      <c r="S625" t="str">
        <f t="shared" si="11"/>
        <v>7105400101CRUDOCemento ART</v>
      </c>
      <c r="T625" t="str">
        <f>IFERROR(VLOOKUP(S625,Maestro!$A:$H,8,0),"Producción")</f>
        <v>Finos Filtro</v>
      </c>
      <c r="U625" s="43" t="s">
        <v>182</v>
      </c>
    </row>
    <row r="626" spans="1:21" x14ac:dyDescent="0.3">
      <c r="A626" s="43">
        <v>7199990001</v>
      </c>
      <c r="B626" s="43" t="s">
        <v>438</v>
      </c>
      <c r="C626" s="50"/>
      <c r="D626" s="56">
        <f>Datos!$J$251*Datos!$J$187*(1+Datos!$J$219)</f>
        <v>31543.060053438658</v>
      </c>
      <c r="E626" s="43" t="s">
        <v>556</v>
      </c>
      <c r="F626" s="43" t="s">
        <v>557</v>
      </c>
      <c r="G626" s="43" t="s">
        <v>567</v>
      </c>
      <c r="H626" s="43" t="s">
        <v>568</v>
      </c>
      <c r="I626" s="43" t="s">
        <v>560</v>
      </c>
      <c r="J626" s="43" t="s">
        <v>463</v>
      </c>
      <c r="K626" s="43">
        <v>700060</v>
      </c>
      <c r="L626" s="43">
        <v>3</v>
      </c>
      <c r="M626" s="43" t="s">
        <v>62</v>
      </c>
      <c r="N626" s="51"/>
      <c r="O626" s="51"/>
      <c r="P626" s="43" t="str">
        <f>VLOOKUP(K626,Maestro!J:K,2,0)</f>
        <v>CEMENTO ART</v>
      </c>
      <c r="Q626" s="43" t="str">
        <f>VLOOKUP(P626,Maestro!E:F,2,0)</f>
        <v>Cemento ART</v>
      </c>
      <c r="R626" s="43">
        <f>VLOOKUP(P626,ORD!$A:$C,3,0)</f>
        <v>7</v>
      </c>
      <c r="S626" t="str">
        <f t="shared" si="11"/>
        <v>7199990001CLINKER001Cemento ART</v>
      </c>
      <c r="T626" t="str">
        <f>IFERROR(VLOOKUP(S626,Maestro!$A:$H,8,0),"Producción")</f>
        <v>Clinker</v>
      </c>
      <c r="U626" s="43" t="s">
        <v>182</v>
      </c>
    </row>
    <row r="627" spans="1:21" x14ac:dyDescent="0.3">
      <c r="A627" s="43">
        <v>7999999995</v>
      </c>
      <c r="B627" s="43" t="s">
        <v>566</v>
      </c>
      <c r="C627" s="50"/>
      <c r="D627" s="56">
        <f>-Datos!$J$251</f>
        <v>-38003.686811371874</v>
      </c>
      <c r="E627" s="43" t="s">
        <v>556</v>
      </c>
      <c r="F627" s="43" t="s">
        <v>557</v>
      </c>
      <c r="G627" s="43" t="s">
        <v>567</v>
      </c>
      <c r="H627" s="43" t="s">
        <v>568</v>
      </c>
      <c r="I627" s="43" t="s">
        <v>560</v>
      </c>
      <c r="J627" s="43" t="s">
        <v>472</v>
      </c>
      <c r="K627" s="43">
        <v>700060</v>
      </c>
      <c r="L627" s="43">
        <v>3</v>
      </c>
      <c r="M627" s="43" t="s">
        <v>468</v>
      </c>
      <c r="N627" s="51"/>
      <c r="O627" s="51"/>
      <c r="P627" s="43" t="str">
        <f>VLOOKUP(K627,Maestro!J:K,2,0)</f>
        <v>CEMENTO ART</v>
      </c>
      <c r="Q627" s="43" t="str">
        <f>VLOOKUP(P627,Maestro!E:F,2,0)</f>
        <v>Cemento ART</v>
      </c>
      <c r="R627" s="43">
        <f>VLOOKUP(P627,ORD!$A:$C,3,0)</f>
        <v>7</v>
      </c>
      <c r="S627" t="str">
        <f t="shared" si="11"/>
        <v>7999999995CEMENTOARTCemento ART</v>
      </c>
      <c r="T627" t="str">
        <f>IFERROR(VLOOKUP(S627,Maestro!$A:$H,8,0),"Producción")</f>
        <v>Producción</v>
      </c>
      <c r="U627" s="43" t="s">
        <v>182</v>
      </c>
    </row>
    <row r="628" spans="1:21" x14ac:dyDescent="0.3">
      <c r="A628" s="43">
        <v>7355250320</v>
      </c>
      <c r="B628" s="43" t="s">
        <v>490</v>
      </c>
      <c r="C628" s="52">
        <f>Datos!$J$120*D628</f>
        <v>56727359.425015859</v>
      </c>
      <c r="D628" s="56">
        <f>Datos!$J$251</f>
        <v>38003.686811371874</v>
      </c>
      <c r="E628" s="57"/>
      <c r="F628" s="58"/>
      <c r="G628" s="43"/>
      <c r="H628" s="43"/>
      <c r="I628" s="43" t="s">
        <v>560</v>
      </c>
      <c r="J628" s="43" t="s">
        <v>802</v>
      </c>
      <c r="K628" s="43">
        <v>700060</v>
      </c>
      <c r="L628" s="43">
        <v>3</v>
      </c>
      <c r="M628" s="43" t="s">
        <v>468</v>
      </c>
      <c r="N628" s="53"/>
      <c r="O628" s="53"/>
      <c r="P628" s="43" t="str">
        <f>VLOOKUP(K628,Maestro!J:K,2,0)</f>
        <v>CEMENTO ART</v>
      </c>
      <c r="Q628" s="43" t="str">
        <f>VLOOKUP(P628,Maestro!E:F,2,0)</f>
        <v>Cemento ART</v>
      </c>
      <c r="R628" s="43">
        <f>VLOOKUP(P628,ORD!$A:$C,3,0)</f>
        <v>7</v>
      </c>
      <c r="S628" t="str">
        <f t="shared" si="11"/>
        <v>7355250320PLACAS Y SEGMENTOSCemento ART</v>
      </c>
      <c r="T628" t="str">
        <f>IFERROR(VLOOKUP(S628,Maestro!$A:$H,8,0),"Producción")</f>
        <v>Placas y Segmentos</v>
      </c>
      <c r="U628" s="43" t="s">
        <v>182</v>
      </c>
    </row>
    <row r="629" spans="1:21" x14ac:dyDescent="0.3">
      <c r="A629" s="43">
        <v>7105330101</v>
      </c>
      <c r="B629" s="43" t="s">
        <v>443</v>
      </c>
      <c r="C629" s="52">
        <f>Datos!$K$77*D629</f>
        <v>0</v>
      </c>
      <c r="D629" s="56">
        <f>Datos!$K$251*Datos!$K$190*(1+Datos!$K$222)</f>
        <v>0</v>
      </c>
      <c r="E629" s="43" t="s">
        <v>556</v>
      </c>
      <c r="F629" s="43" t="s">
        <v>557</v>
      </c>
      <c r="G629" s="43" t="s">
        <v>563</v>
      </c>
      <c r="H629" s="43" t="s">
        <v>564</v>
      </c>
      <c r="I629" s="43" t="s">
        <v>560</v>
      </c>
      <c r="J629" s="43" t="s">
        <v>519</v>
      </c>
      <c r="K629" s="43">
        <v>700060</v>
      </c>
      <c r="L629" s="43">
        <v>4</v>
      </c>
      <c r="M629" s="43" t="s">
        <v>576</v>
      </c>
      <c r="N629" s="51"/>
      <c r="O629" s="51"/>
      <c r="P629" s="43" t="str">
        <f>VLOOKUP(K629,Maestro!J:K,2,0)</f>
        <v>CEMENTO ART</v>
      </c>
      <c r="Q629" s="43" t="str">
        <f>VLOOKUP(P629,Maestro!E:F,2,0)</f>
        <v>Cemento ART</v>
      </c>
      <c r="R629" s="43">
        <f>VLOOKUP(P629,ORD!$A:$C,3,0)</f>
        <v>7</v>
      </c>
      <c r="S629" t="str">
        <f t="shared" si="11"/>
        <v>7105330101SALMARCemento ART</v>
      </c>
      <c r="T629" t="str">
        <f>IFERROR(VLOOKUP(S629,Maestro!$A:$H,8,0),"Producción")</f>
        <v>Sal Marina</v>
      </c>
      <c r="U629" s="43" t="s">
        <v>182</v>
      </c>
    </row>
    <row r="630" spans="1:21" x14ac:dyDescent="0.3">
      <c r="A630" s="43">
        <v>7105330101</v>
      </c>
      <c r="B630" s="43" t="s">
        <v>443</v>
      </c>
      <c r="C630" s="50"/>
      <c r="D630" s="56">
        <f>Datos!$K$251*Datos!$K$188*(1+Datos!$K$210)</f>
        <v>2177.025264114081</v>
      </c>
      <c r="E630" s="43" t="s">
        <v>556</v>
      </c>
      <c r="F630" s="43" t="s">
        <v>557</v>
      </c>
      <c r="G630" s="43" t="s">
        <v>563</v>
      </c>
      <c r="H630" s="43" t="s">
        <v>564</v>
      </c>
      <c r="I630" s="43" t="s">
        <v>560</v>
      </c>
      <c r="J630" s="43" t="s">
        <v>444</v>
      </c>
      <c r="K630" s="43">
        <v>700060</v>
      </c>
      <c r="L630" s="43">
        <v>4</v>
      </c>
      <c r="M630" s="43" t="s">
        <v>565</v>
      </c>
      <c r="N630" s="51"/>
      <c r="O630" s="51"/>
      <c r="P630" s="43" t="str">
        <f>VLOOKUP(K630,Maestro!J:K,2,0)</f>
        <v>CEMENTO ART</v>
      </c>
      <c r="Q630" s="43" t="str">
        <f>VLOOKUP(P630,Maestro!E:F,2,0)</f>
        <v>Cemento ART</v>
      </c>
      <c r="R630" s="43">
        <f>VLOOKUP(P630,ORD!$A:$C,3,0)</f>
        <v>7</v>
      </c>
      <c r="S630" t="str">
        <f t="shared" si="11"/>
        <v>7105330101CALIZATRICemento ART</v>
      </c>
      <c r="T630" t="str">
        <f>IFERROR(VLOOKUP(S630,Maestro!$A:$H,8,0),"Producción")</f>
        <v>Caliza Triturada</v>
      </c>
      <c r="U630" s="43" t="s">
        <v>182</v>
      </c>
    </row>
    <row r="631" spans="1:21" x14ac:dyDescent="0.3">
      <c r="A631" s="43">
        <v>7105450101</v>
      </c>
      <c r="B631" s="43" t="s">
        <v>466</v>
      </c>
      <c r="C631" s="50">
        <f>Datos!$K$64*D631+Datos!$K$90*D631</f>
        <v>643652337.07739651</v>
      </c>
      <c r="D631" s="56">
        <f>Datos!$K$251*Datos!$K$189*(1+Datos!$K$221)</f>
        <v>2765.9026200165558</v>
      </c>
      <c r="E631" s="43" t="s">
        <v>556</v>
      </c>
      <c r="F631" s="43" t="s">
        <v>557</v>
      </c>
      <c r="G631" s="43" t="s">
        <v>577</v>
      </c>
      <c r="H631" s="43" t="s">
        <v>578</v>
      </c>
      <c r="I631" s="43" t="s">
        <v>560</v>
      </c>
      <c r="J631" s="43" t="s">
        <v>467</v>
      </c>
      <c r="K631" s="43">
        <v>700060</v>
      </c>
      <c r="L631" s="43">
        <v>4</v>
      </c>
      <c r="M631" s="43" t="s">
        <v>579</v>
      </c>
      <c r="N631" s="51"/>
      <c r="O631" s="51"/>
      <c r="P631" s="43" t="str">
        <f>VLOOKUP(K631,Maestro!J:K,2,0)</f>
        <v>CEMENTO ART</v>
      </c>
      <c r="Q631" s="43" t="str">
        <f>VLOOKUP(P631,Maestro!E:F,2,0)</f>
        <v>Cemento ART</v>
      </c>
      <c r="R631" s="43">
        <f>VLOOKUP(P631,ORD!$A:$C,3,0)</f>
        <v>7</v>
      </c>
      <c r="S631" t="str">
        <f t="shared" si="11"/>
        <v>7105450101YESO00001Cemento ART</v>
      </c>
      <c r="T631" t="str">
        <f>IFERROR(VLOOKUP(S631,Maestro!$A:$H,8,0),"Producción")</f>
        <v>Yeso</v>
      </c>
      <c r="U631" s="43" t="s">
        <v>182</v>
      </c>
    </row>
    <row r="632" spans="1:21" x14ac:dyDescent="0.3">
      <c r="A632" s="43">
        <v>7105400101</v>
      </c>
      <c r="B632" s="43" t="s">
        <v>535</v>
      </c>
      <c r="C632" s="50">
        <f>Datos!$K$76*D632</f>
        <v>76917407.018617123</v>
      </c>
      <c r="D632" s="56">
        <f>Datos!$K$251*Datos!$K$194*(1+Datos!$K$229)</f>
        <v>17.495702585460954</v>
      </c>
      <c r="E632" s="43" t="s">
        <v>556</v>
      </c>
      <c r="F632" s="43" t="s">
        <v>557</v>
      </c>
      <c r="G632" s="43" t="s">
        <v>563</v>
      </c>
      <c r="H632" s="43" t="s">
        <v>564</v>
      </c>
      <c r="I632" s="43" t="s">
        <v>560</v>
      </c>
      <c r="J632" s="43" t="s">
        <v>536</v>
      </c>
      <c r="K632" s="43">
        <v>700060</v>
      </c>
      <c r="L632" s="43">
        <v>4</v>
      </c>
      <c r="M632" s="43" t="s">
        <v>580</v>
      </c>
      <c r="N632" s="51"/>
      <c r="O632" s="51"/>
      <c r="P632" s="43" t="str">
        <f>VLOOKUP(K632,Maestro!J:K,2,0)</f>
        <v>CEMENTO ART</v>
      </c>
      <c r="Q632" s="43" t="str">
        <f>VLOOKUP(P632,Maestro!E:F,2,0)</f>
        <v>Cemento ART</v>
      </c>
      <c r="R632" s="43">
        <f>VLOOKUP(P632,ORD!$A:$C,3,0)</f>
        <v>7</v>
      </c>
      <c r="S632" t="str">
        <f t="shared" si="11"/>
        <v>7105400101ADIMOLIENCemento ART</v>
      </c>
      <c r="T632" t="str">
        <f>IFERROR(VLOOKUP(S632,Maestro!$A:$H,8,0),"Producción")</f>
        <v>Aditivo Molienda</v>
      </c>
      <c r="U632" s="43" t="s">
        <v>182</v>
      </c>
    </row>
    <row r="633" spans="1:21" x14ac:dyDescent="0.3">
      <c r="A633" s="43">
        <v>7105400101</v>
      </c>
      <c r="B633" s="43" t="s">
        <v>535</v>
      </c>
      <c r="C633" s="50">
        <f>Datos!$K$93*D633+Datos!$K$90*D633</f>
        <v>0</v>
      </c>
      <c r="D633" s="56">
        <f>Datos!$K$251*Datos!$K$192*(1+Datos!$K$223)</f>
        <v>0</v>
      </c>
      <c r="E633" s="43" t="s">
        <v>556</v>
      </c>
      <c r="F633" s="43" t="s">
        <v>557</v>
      </c>
      <c r="G633" s="43" t="s">
        <v>563</v>
      </c>
      <c r="H633" s="43" t="s">
        <v>564</v>
      </c>
      <c r="I633" s="43" t="s">
        <v>560</v>
      </c>
      <c r="J633" s="43" t="s">
        <v>538</v>
      </c>
      <c r="K633" s="43">
        <v>700060</v>
      </c>
      <c r="L633" s="43">
        <v>4</v>
      </c>
      <c r="M633" s="43" t="s">
        <v>538</v>
      </c>
      <c r="N633" s="51"/>
      <c r="O633" s="51"/>
      <c r="P633" s="43" t="str">
        <f>VLOOKUP(K633,Maestro!J:K,2,0)</f>
        <v>CEMENTO ART</v>
      </c>
      <c r="Q633" s="43" t="str">
        <f>VLOOKUP(P633,Maestro!E:F,2,0)</f>
        <v>Cemento ART</v>
      </c>
      <c r="R633" s="43">
        <f>VLOOKUP(P633,ORD!$A:$C,3,0)</f>
        <v>7</v>
      </c>
      <c r="S633" t="str">
        <f t="shared" si="11"/>
        <v>7105400101PUZOLANACemento ART</v>
      </c>
      <c r="T633" t="str">
        <f>IFERROR(VLOOKUP(S633,Maestro!$A:$H,8,0),"Producción")</f>
        <v>Puzolana</v>
      </c>
      <c r="U633" s="43" t="s">
        <v>182</v>
      </c>
    </row>
    <row r="634" spans="1:21" x14ac:dyDescent="0.3">
      <c r="A634" s="43">
        <v>7105400101</v>
      </c>
      <c r="B634" s="43" t="s">
        <v>535</v>
      </c>
      <c r="C634" s="50"/>
      <c r="D634" s="56">
        <f>Datos!$K$251*Datos!$K$191*(1+Datos!$K$218)</f>
        <v>1051.4742296836178</v>
      </c>
      <c r="E634" s="43" t="s">
        <v>556</v>
      </c>
      <c r="F634" s="43" t="s">
        <v>557</v>
      </c>
      <c r="G634" s="43" t="s">
        <v>563</v>
      </c>
      <c r="H634" s="43" t="s">
        <v>564</v>
      </c>
      <c r="I634" s="43" t="s">
        <v>560</v>
      </c>
      <c r="J634" s="43" t="s">
        <v>539</v>
      </c>
      <c r="K634" s="43">
        <v>700060</v>
      </c>
      <c r="L634" s="43">
        <v>4</v>
      </c>
      <c r="M634" s="43" t="s">
        <v>445</v>
      </c>
      <c r="N634" s="51"/>
      <c r="O634" s="51"/>
      <c r="P634" s="43" t="str">
        <f>VLOOKUP(K634,Maestro!J:K,2,0)</f>
        <v>CEMENTO ART</v>
      </c>
      <c r="Q634" s="43" t="str">
        <f>VLOOKUP(P634,Maestro!E:F,2,0)</f>
        <v>Cemento ART</v>
      </c>
      <c r="R634" s="43">
        <f>VLOOKUP(P634,ORD!$A:$C,3,0)</f>
        <v>7</v>
      </c>
      <c r="S634" t="str">
        <f t="shared" si="11"/>
        <v>7105400101CRUDOCemento ART</v>
      </c>
      <c r="T634" t="str">
        <f>IFERROR(VLOOKUP(S634,Maestro!$A:$H,8,0),"Producción")</f>
        <v>Finos Filtro</v>
      </c>
      <c r="U634" s="43" t="s">
        <v>182</v>
      </c>
    </row>
    <row r="635" spans="1:21" x14ac:dyDescent="0.3">
      <c r="A635" s="43">
        <v>7199990001</v>
      </c>
      <c r="B635" s="43" t="s">
        <v>438</v>
      </c>
      <c r="C635" s="50"/>
      <c r="D635" s="56">
        <f>Datos!$K$251*Datos!$K$187*(1+Datos!$K$219)</f>
        <v>29042.866291865183</v>
      </c>
      <c r="E635" s="43" t="s">
        <v>556</v>
      </c>
      <c r="F635" s="43" t="s">
        <v>557</v>
      </c>
      <c r="G635" s="43" t="s">
        <v>567</v>
      </c>
      <c r="H635" s="43" t="s">
        <v>568</v>
      </c>
      <c r="I635" s="43" t="s">
        <v>560</v>
      </c>
      <c r="J635" s="43" t="s">
        <v>463</v>
      </c>
      <c r="K635" s="43">
        <v>700060</v>
      </c>
      <c r="L635" s="43">
        <v>4</v>
      </c>
      <c r="M635" s="43" t="s">
        <v>62</v>
      </c>
      <c r="N635" s="51"/>
      <c r="O635" s="51"/>
      <c r="P635" s="43" t="str">
        <f>VLOOKUP(K635,Maestro!J:K,2,0)</f>
        <v>CEMENTO ART</v>
      </c>
      <c r="Q635" s="43" t="str">
        <f>VLOOKUP(P635,Maestro!E:F,2,0)</f>
        <v>Cemento ART</v>
      </c>
      <c r="R635" s="43">
        <f>VLOOKUP(P635,ORD!$A:$C,3,0)</f>
        <v>7</v>
      </c>
      <c r="S635" t="str">
        <f t="shared" si="11"/>
        <v>7199990001CLINKER001Cemento ART</v>
      </c>
      <c r="T635" t="str">
        <f>IFERROR(VLOOKUP(S635,Maestro!$A:$H,8,0),"Producción")</f>
        <v>Clinker</v>
      </c>
      <c r="U635" s="43" t="s">
        <v>182</v>
      </c>
    </row>
    <row r="636" spans="1:21" x14ac:dyDescent="0.3">
      <c r="A636" s="43">
        <v>7999999995</v>
      </c>
      <c r="B636" s="43" t="s">
        <v>566</v>
      </c>
      <c r="C636" s="50"/>
      <c r="D636" s="56">
        <f>-Datos!$K$251</f>
        <v>-34991.405170921906</v>
      </c>
      <c r="E636" s="43" t="s">
        <v>556</v>
      </c>
      <c r="F636" s="43" t="s">
        <v>557</v>
      </c>
      <c r="G636" s="43" t="s">
        <v>567</v>
      </c>
      <c r="H636" s="43" t="s">
        <v>568</v>
      </c>
      <c r="I636" s="43" t="s">
        <v>560</v>
      </c>
      <c r="J636" s="43" t="s">
        <v>472</v>
      </c>
      <c r="K636" s="43">
        <v>700060</v>
      </c>
      <c r="L636" s="43">
        <v>4</v>
      </c>
      <c r="M636" s="43" t="s">
        <v>468</v>
      </c>
      <c r="N636" s="51"/>
      <c r="O636" s="51"/>
      <c r="P636" s="43" t="str">
        <f>VLOOKUP(K636,Maestro!J:K,2,0)</f>
        <v>CEMENTO ART</v>
      </c>
      <c r="Q636" s="43" t="str">
        <f>VLOOKUP(P636,Maestro!E:F,2,0)</f>
        <v>Cemento ART</v>
      </c>
      <c r="R636" s="43">
        <f>VLOOKUP(P636,ORD!$A:$C,3,0)</f>
        <v>7</v>
      </c>
      <c r="S636" t="str">
        <f t="shared" si="11"/>
        <v>7999999995CEMENTOARTCemento ART</v>
      </c>
      <c r="T636" t="str">
        <f>IFERROR(VLOOKUP(S636,Maestro!$A:$H,8,0),"Producción")</f>
        <v>Producción</v>
      </c>
      <c r="U636" s="43" t="s">
        <v>182</v>
      </c>
    </row>
    <row r="637" spans="1:21" x14ac:dyDescent="0.3">
      <c r="A637" s="43">
        <v>7355250320</v>
      </c>
      <c r="B637" s="43" t="s">
        <v>490</v>
      </c>
      <c r="C637" s="52">
        <f>Datos!$K$120*D637</f>
        <v>52230985.582253598</v>
      </c>
      <c r="D637" s="56">
        <f>Datos!$K$251</f>
        <v>34991.405170921906</v>
      </c>
      <c r="E637" s="57"/>
      <c r="F637" s="58"/>
      <c r="G637" s="43"/>
      <c r="H637" s="43"/>
      <c r="I637" s="43" t="s">
        <v>560</v>
      </c>
      <c r="J637" s="43" t="s">
        <v>802</v>
      </c>
      <c r="K637" s="43">
        <v>700060</v>
      </c>
      <c r="L637" s="43">
        <v>4</v>
      </c>
      <c r="M637" s="43" t="s">
        <v>468</v>
      </c>
      <c r="N637" s="53"/>
      <c r="O637" s="53"/>
      <c r="P637" s="43" t="str">
        <f>VLOOKUP(K637,Maestro!J:K,2,0)</f>
        <v>CEMENTO ART</v>
      </c>
      <c r="Q637" s="43" t="str">
        <f>VLOOKUP(P637,Maestro!E:F,2,0)</f>
        <v>Cemento ART</v>
      </c>
      <c r="R637" s="43">
        <f>VLOOKUP(P637,ORD!$A:$C,3,0)</f>
        <v>7</v>
      </c>
      <c r="S637" t="str">
        <f t="shared" si="11"/>
        <v>7355250320PLACAS Y SEGMENTOSCemento ART</v>
      </c>
      <c r="T637" t="str">
        <f>IFERROR(VLOOKUP(S637,Maestro!$A:$H,8,0),"Producción")</f>
        <v>Placas y Segmentos</v>
      </c>
      <c r="U637" s="43" t="s">
        <v>182</v>
      </c>
    </row>
    <row r="638" spans="1:21" x14ac:dyDescent="0.3">
      <c r="A638" s="43">
        <v>7105330101</v>
      </c>
      <c r="B638" s="43" t="s">
        <v>443</v>
      </c>
      <c r="C638" s="52">
        <f>Datos!$L$77*D638</f>
        <v>0</v>
      </c>
      <c r="D638" s="56">
        <f>Datos!$L$251*Datos!$L$190*(1+Datos!$L$222)</f>
        <v>0</v>
      </c>
      <c r="E638" s="43" t="s">
        <v>556</v>
      </c>
      <c r="F638" s="43" t="s">
        <v>557</v>
      </c>
      <c r="G638" s="43" t="s">
        <v>563</v>
      </c>
      <c r="H638" s="43" t="s">
        <v>564</v>
      </c>
      <c r="I638" s="43" t="s">
        <v>560</v>
      </c>
      <c r="J638" s="43" t="s">
        <v>519</v>
      </c>
      <c r="K638" s="43">
        <v>700060</v>
      </c>
      <c r="L638" s="43">
        <v>5</v>
      </c>
      <c r="M638" s="43" t="s">
        <v>576</v>
      </c>
      <c r="N638" s="51"/>
      <c r="O638" s="51"/>
      <c r="P638" s="43" t="str">
        <f>VLOOKUP(K638,Maestro!J:K,2,0)</f>
        <v>CEMENTO ART</v>
      </c>
      <c r="Q638" s="43" t="str">
        <f>VLOOKUP(P638,Maestro!E:F,2,0)</f>
        <v>Cemento ART</v>
      </c>
      <c r="R638" s="43">
        <f>VLOOKUP(P638,ORD!$A:$C,3,0)</f>
        <v>7</v>
      </c>
      <c r="S638" t="str">
        <f t="shared" si="11"/>
        <v>7105330101SALMARCemento ART</v>
      </c>
      <c r="T638" t="str">
        <f>IFERROR(VLOOKUP(S638,Maestro!$A:$H,8,0),"Producción")</f>
        <v>Sal Marina</v>
      </c>
      <c r="U638" s="43" t="s">
        <v>182</v>
      </c>
    </row>
    <row r="639" spans="1:21" x14ac:dyDescent="0.3">
      <c r="A639" s="43">
        <v>7105330101</v>
      </c>
      <c r="B639" s="43" t="s">
        <v>443</v>
      </c>
      <c r="C639" s="50"/>
      <c r="D639" s="56">
        <f>Datos!$L$251*Datos!$L$188*(1+Datos!$L$210)</f>
        <v>2226.2343030758448</v>
      </c>
      <c r="E639" s="43" t="s">
        <v>556</v>
      </c>
      <c r="F639" s="43" t="s">
        <v>557</v>
      </c>
      <c r="G639" s="43" t="s">
        <v>563</v>
      </c>
      <c r="H639" s="43" t="s">
        <v>564</v>
      </c>
      <c r="I639" s="43" t="s">
        <v>560</v>
      </c>
      <c r="J639" s="43" t="s">
        <v>444</v>
      </c>
      <c r="K639" s="43">
        <v>700060</v>
      </c>
      <c r="L639" s="43">
        <v>5</v>
      </c>
      <c r="M639" s="43" t="s">
        <v>565</v>
      </c>
      <c r="N639" s="51"/>
      <c r="O639" s="51"/>
      <c r="P639" s="43" t="str">
        <f>VLOOKUP(K639,Maestro!J:K,2,0)</f>
        <v>CEMENTO ART</v>
      </c>
      <c r="Q639" s="43" t="str">
        <f>VLOOKUP(P639,Maestro!E:F,2,0)</f>
        <v>Cemento ART</v>
      </c>
      <c r="R639" s="43">
        <f>VLOOKUP(P639,ORD!$A:$C,3,0)</f>
        <v>7</v>
      </c>
      <c r="S639" t="str">
        <f t="shared" si="11"/>
        <v>7105330101CALIZATRICemento ART</v>
      </c>
      <c r="T639" t="str">
        <f>IFERROR(VLOOKUP(S639,Maestro!$A:$H,8,0),"Producción")</f>
        <v>Caliza Triturada</v>
      </c>
      <c r="U639" s="43" t="s">
        <v>182</v>
      </c>
    </row>
    <row r="640" spans="1:21" x14ac:dyDescent="0.3">
      <c r="A640" s="43">
        <v>7105450101</v>
      </c>
      <c r="B640" s="43" t="s">
        <v>466</v>
      </c>
      <c r="C640" s="50">
        <f>Datos!$L$64*D640+Datos!$L$90*D640</f>
        <v>657565880.95648229</v>
      </c>
      <c r="D640" s="56">
        <f>Datos!$L$251*Datos!$L$189*(1+Datos!$L$221)</f>
        <v>2828.422523683465</v>
      </c>
      <c r="E640" s="43" t="s">
        <v>556</v>
      </c>
      <c r="F640" s="43" t="s">
        <v>557</v>
      </c>
      <c r="G640" s="43" t="s">
        <v>577</v>
      </c>
      <c r="H640" s="43" t="s">
        <v>578</v>
      </c>
      <c r="I640" s="43" t="s">
        <v>560</v>
      </c>
      <c r="J640" s="43" t="s">
        <v>467</v>
      </c>
      <c r="K640" s="43">
        <v>700060</v>
      </c>
      <c r="L640" s="43">
        <v>5</v>
      </c>
      <c r="M640" s="43" t="s">
        <v>579</v>
      </c>
      <c r="N640" s="51"/>
      <c r="O640" s="51"/>
      <c r="P640" s="43" t="str">
        <f>VLOOKUP(K640,Maestro!J:K,2,0)</f>
        <v>CEMENTO ART</v>
      </c>
      <c r="Q640" s="43" t="str">
        <f>VLOOKUP(P640,Maestro!E:F,2,0)</f>
        <v>Cemento ART</v>
      </c>
      <c r="R640" s="43">
        <f>VLOOKUP(P640,ORD!$A:$C,3,0)</f>
        <v>7</v>
      </c>
      <c r="S640" t="str">
        <f t="shared" si="11"/>
        <v>7105450101YESO00001Cemento ART</v>
      </c>
      <c r="T640" t="str">
        <f>IFERROR(VLOOKUP(S640,Maestro!$A:$H,8,0),"Producción")</f>
        <v>Yeso</v>
      </c>
      <c r="U640" s="43" t="s">
        <v>182</v>
      </c>
    </row>
    <row r="641" spans="1:21" x14ac:dyDescent="0.3">
      <c r="A641" s="43">
        <v>7105400101</v>
      </c>
      <c r="B641" s="43" t="s">
        <v>535</v>
      </c>
      <c r="C641" s="50">
        <f>Datos!$L$76*D641</f>
        <v>78656032.537213147</v>
      </c>
      <c r="D641" s="56">
        <f>Datos!$L$251*Datos!$L$194*(1+Datos!$L$229)</f>
        <v>17.891171909764701</v>
      </c>
      <c r="E641" s="43" t="s">
        <v>556</v>
      </c>
      <c r="F641" s="43" t="s">
        <v>557</v>
      </c>
      <c r="G641" s="43" t="s">
        <v>563</v>
      </c>
      <c r="H641" s="43" t="s">
        <v>564</v>
      </c>
      <c r="I641" s="43" t="s">
        <v>560</v>
      </c>
      <c r="J641" s="43" t="s">
        <v>536</v>
      </c>
      <c r="K641" s="43">
        <v>700060</v>
      </c>
      <c r="L641" s="43">
        <v>5</v>
      </c>
      <c r="M641" s="43" t="s">
        <v>580</v>
      </c>
      <c r="N641" s="51"/>
      <c r="O641" s="51"/>
      <c r="P641" s="43" t="str">
        <f>VLOOKUP(K641,Maestro!J:K,2,0)</f>
        <v>CEMENTO ART</v>
      </c>
      <c r="Q641" s="43" t="str">
        <f>VLOOKUP(P641,Maestro!E:F,2,0)</f>
        <v>Cemento ART</v>
      </c>
      <c r="R641" s="43">
        <f>VLOOKUP(P641,ORD!$A:$C,3,0)</f>
        <v>7</v>
      </c>
      <c r="S641" t="str">
        <f t="shared" si="11"/>
        <v>7105400101ADIMOLIENCemento ART</v>
      </c>
      <c r="T641" t="str">
        <f>IFERROR(VLOOKUP(S641,Maestro!$A:$H,8,0),"Producción")</f>
        <v>Aditivo Molienda</v>
      </c>
      <c r="U641" s="43" t="s">
        <v>182</v>
      </c>
    </row>
    <row r="642" spans="1:21" x14ac:dyDescent="0.3">
      <c r="A642" s="43">
        <v>7105400101</v>
      </c>
      <c r="B642" s="43" t="s">
        <v>535</v>
      </c>
      <c r="C642" s="50">
        <f>Datos!$L$93*D642+Datos!$L$90*D642</f>
        <v>0</v>
      </c>
      <c r="D642" s="56">
        <f>Datos!$L$251*Datos!$L$192*(1+Datos!$L$223)</f>
        <v>0</v>
      </c>
      <c r="E642" s="43" t="s">
        <v>556</v>
      </c>
      <c r="F642" s="43" t="s">
        <v>557</v>
      </c>
      <c r="G642" s="43" t="s">
        <v>563</v>
      </c>
      <c r="H642" s="43" t="s">
        <v>564</v>
      </c>
      <c r="I642" s="43" t="s">
        <v>560</v>
      </c>
      <c r="J642" s="43" t="s">
        <v>538</v>
      </c>
      <c r="K642" s="43">
        <v>700060</v>
      </c>
      <c r="L642" s="43">
        <v>5</v>
      </c>
      <c r="M642" s="43" t="s">
        <v>538</v>
      </c>
      <c r="N642" s="51"/>
      <c r="O642" s="51"/>
      <c r="P642" s="43" t="str">
        <f>VLOOKUP(K642,Maestro!J:K,2,0)</f>
        <v>CEMENTO ART</v>
      </c>
      <c r="Q642" s="43" t="str">
        <f>VLOOKUP(P642,Maestro!E:F,2,0)</f>
        <v>Cemento ART</v>
      </c>
      <c r="R642" s="43">
        <f>VLOOKUP(P642,ORD!$A:$C,3,0)</f>
        <v>7</v>
      </c>
      <c r="S642" t="str">
        <f t="shared" si="11"/>
        <v>7105400101PUZOLANACemento ART</v>
      </c>
      <c r="T642" t="str">
        <f>IFERROR(VLOOKUP(S642,Maestro!$A:$H,8,0),"Producción")</f>
        <v>Puzolana</v>
      </c>
      <c r="U642" s="43" t="s">
        <v>182</v>
      </c>
    </row>
    <row r="643" spans="1:21" x14ac:dyDescent="0.3">
      <c r="A643" s="43">
        <v>7105400101</v>
      </c>
      <c r="B643" s="43" t="s">
        <v>535</v>
      </c>
      <c r="C643" s="50"/>
      <c r="D643" s="56">
        <f>Datos!$L$251*Datos!$L$191*(1+Datos!$L$218)</f>
        <v>1075.2415406049486</v>
      </c>
      <c r="E643" s="43" t="s">
        <v>556</v>
      </c>
      <c r="F643" s="43" t="s">
        <v>557</v>
      </c>
      <c r="G643" s="43" t="s">
        <v>563</v>
      </c>
      <c r="H643" s="43" t="s">
        <v>564</v>
      </c>
      <c r="I643" s="43" t="s">
        <v>560</v>
      </c>
      <c r="J643" s="43" t="s">
        <v>539</v>
      </c>
      <c r="K643" s="43">
        <v>700060</v>
      </c>
      <c r="L643" s="43">
        <v>5</v>
      </c>
      <c r="M643" s="43" t="s">
        <v>445</v>
      </c>
      <c r="N643" s="51"/>
      <c r="O643" s="51"/>
      <c r="P643" s="43" t="str">
        <f>VLOOKUP(K643,Maestro!J:K,2,0)</f>
        <v>CEMENTO ART</v>
      </c>
      <c r="Q643" s="43" t="str">
        <f>VLOOKUP(P643,Maestro!E:F,2,0)</f>
        <v>Cemento ART</v>
      </c>
      <c r="R643" s="43">
        <f>VLOOKUP(P643,ORD!$A:$C,3,0)</f>
        <v>7</v>
      </c>
      <c r="S643" t="str">
        <f t="shared" si="11"/>
        <v>7105400101CRUDOCemento ART</v>
      </c>
      <c r="T643" t="str">
        <f>IFERROR(VLOOKUP(S643,Maestro!$A:$H,8,0),"Producción")</f>
        <v>Finos Filtro</v>
      </c>
      <c r="U643" s="43" t="s">
        <v>182</v>
      </c>
    </row>
    <row r="644" spans="1:21" x14ac:dyDescent="0.3">
      <c r="A644" s="43">
        <v>7199990001</v>
      </c>
      <c r="B644" s="43" t="s">
        <v>438</v>
      </c>
      <c r="C644" s="50"/>
      <c r="D644" s="56">
        <f>Datos!$L$251*Datos!$L$187*(1+Datos!$L$219)</f>
        <v>29699.345370209405</v>
      </c>
      <c r="E644" s="43" t="s">
        <v>556</v>
      </c>
      <c r="F644" s="43" t="s">
        <v>557</v>
      </c>
      <c r="G644" s="43" t="s">
        <v>567</v>
      </c>
      <c r="H644" s="43" t="s">
        <v>568</v>
      </c>
      <c r="I644" s="43" t="s">
        <v>560</v>
      </c>
      <c r="J644" s="43" t="s">
        <v>463</v>
      </c>
      <c r="K644" s="43">
        <v>700060</v>
      </c>
      <c r="L644" s="43">
        <v>5</v>
      </c>
      <c r="M644" s="43" t="s">
        <v>62</v>
      </c>
      <c r="N644" s="51"/>
      <c r="O644" s="51"/>
      <c r="P644" s="43" t="str">
        <f>VLOOKUP(K644,Maestro!J:K,2,0)</f>
        <v>CEMENTO ART</v>
      </c>
      <c r="Q644" s="43" t="str">
        <f>VLOOKUP(P644,Maestro!E:F,2,0)</f>
        <v>Cemento ART</v>
      </c>
      <c r="R644" s="43">
        <f>VLOOKUP(P644,ORD!$A:$C,3,0)</f>
        <v>7</v>
      </c>
      <c r="S644" t="str">
        <f t="shared" si="11"/>
        <v>7199990001CLINKER001Cemento ART</v>
      </c>
      <c r="T644" t="str">
        <f>IFERROR(VLOOKUP(S644,Maestro!$A:$H,8,0),"Producción")</f>
        <v>Clinker</v>
      </c>
      <c r="U644" s="43" t="s">
        <v>182</v>
      </c>
    </row>
    <row r="645" spans="1:21" x14ac:dyDescent="0.3">
      <c r="A645" s="43">
        <v>7999999995</v>
      </c>
      <c r="B645" s="43" t="s">
        <v>566</v>
      </c>
      <c r="C645" s="50"/>
      <c r="D645" s="56">
        <f>-Datos!$L$251</f>
        <v>-35782.3438195294</v>
      </c>
      <c r="E645" s="43" t="s">
        <v>556</v>
      </c>
      <c r="F645" s="43" t="s">
        <v>557</v>
      </c>
      <c r="G645" s="43" t="s">
        <v>567</v>
      </c>
      <c r="H645" s="43" t="s">
        <v>568</v>
      </c>
      <c r="I645" s="43" t="s">
        <v>560</v>
      </c>
      <c r="J645" s="43" t="s">
        <v>472</v>
      </c>
      <c r="K645" s="43">
        <v>700060</v>
      </c>
      <c r="L645" s="43">
        <v>5</v>
      </c>
      <c r="M645" s="43" t="s">
        <v>468</v>
      </c>
      <c r="N645" s="51"/>
      <c r="O645" s="51"/>
      <c r="P645" s="43" t="str">
        <f>VLOOKUP(K645,Maestro!J:K,2,0)</f>
        <v>CEMENTO ART</v>
      </c>
      <c r="Q645" s="43" t="str">
        <f>VLOOKUP(P645,Maestro!E:F,2,0)</f>
        <v>Cemento ART</v>
      </c>
      <c r="R645" s="43">
        <f>VLOOKUP(P645,ORD!$A:$C,3,0)</f>
        <v>7</v>
      </c>
      <c r="S645" t="str">
        <f t="shared" si="11"/>
        <v>7999999995CEMENTOARTCemento ART</v>
      </c>
      <c r="T645" t="str">
        <f>IFERROR(VLOOKUP(S645,Maestro!$A:$H,8,0),"Producción")</f>
        <v>Producción</v>
      </c>
      <c r="U645" s="43" t="s">
        <v>182</v>
      </c>
    </row>
    <row r="646" spans="1:21" x14ac:dyDescent="0.3">
      <c r="A646" s="43">
        <v>7355250320</v>
      </c>
      <c r="B646" s="43" t="s">
        <v>490</v>
      </c>
      <c r="C646" s="52">
        <f>Datos!$L$120*D646</f>
        <v>53411604.22131858</v>
      </c>
      <c r="D646" s="56">
        <f>Datos!$L$251</f>
        <v>35782.3438195294</v>
      </c>
      <c r="E646" s="57"/>
      <c r="F646" s="58"/>
      <c r="G646" s="43"/>
      <c r="H646" s="43"/>
      <c r="I646" s="43" t="s">
        <v>560</v>
      </c>
      <c r="J646" s="43" t="s">
        <v>802</v>
      </c>
      <c r="K646" s="43">
        <v>700060</v>
      </c>
      <c r="L646" s="43">
        <v>5</v>
      </c>
      <c r="M646" s="43" t="s">
        <v>468</v>
      </c>
      <c r="N646" s="53"/>
      <c r="O646" s="53"/>
      <c r="P646" s="43" t="str">
        <f>VLOOKUP(K646,Maestro!J:K,2,0)</f>
        <v>CEMENTO ART</v>
      </c>
      <c r="Q646" s="43" t="str">
        <f>VLOOKUP(P646,Maestro!E:F,2,0)</f>
        <v>Cemento ART</v>
      </c>
      <c r="R646" s="43">
        <f>VLOOKUP(P646,ORD!$A:$C,3,0)</f>
        <v>7</v>
      </c>
      <c r="S646" t="str">
        <f t="shared" si="11"/>
        <v>7355250320PLACAS Y SEGMENTOSCemento ART</v>
      </c>
      <c r="T646" t="str">
        <f>IFERROR(VLOOKUP(S646,Maestro!$A:$H,8,0),"Producción")</f>
        <v>Placas y Segmentos</v>
      </c>
      <c r="U646" s="43" t="s">
        <v>182</v>
      </c>
    </row>
    <row r="647" spans="1:21" x14ac:dyDescent="0.3">
      <c r="A647" s="43">
        <v>7105330101</v>
      </c>
      <c r="B647" s="43" t="s">
        <v>443</v>
      </c>
      <c r="C647" s="52">
        <f>Datos!$M$77*D647</f>
        <v>0</v>
      </c>
      <c r="D647" s="56">
        <f>Datos!$M$251*Datos!$M$190*(1+Datos!$M$222)</f>
        <v>0</v>
      </c>
      <c r="E647" s="43" t="s">
        <v>556</v>
      </c>
      <c r="F647" s="43" t="s">
        <v>557</v>
      </c>
      <c r="G647" s="43" t="s">
        <v>563</v>
      </c>
      <c r="H647" s="43" t="s">
        <v>564</v>
      </c>
      <c r="I647" s="43" t="s">
        <v>560</v>
      </c>
      <c r="J647" s="43" t="s">
        <v>519</v>
      </c>
      <c r="K647" s="43">
        <v>700060</v>
      </c>
      <c r="L647" s="43">
        <v>6</v>
      </c>
      <c r="M647" s="43" t="s">
        <v>576</v>
      </c>
      <c r="N647" s="51"/>
      <c r="O647" s="51"/>
      <c r="P647" s="43" t="str">
        <f>VLOOKUP(K647,Maestro!J:K,2,0)</f>
        <v>CEMENTO ART</v>
      </c>
      <c r="Q647" s="43" t="str">
        <f>VLOOKUP(P647,Maestro!E:F,2,0)</f>
        <v>Cemento ART</v>
      </c>
      <c r="R647" s="43">
        <f>VLOOKUP(P647,ORD!$A:$C,3,0)</f>
        <v>7</v>
      </c>
      <c r="S647" t="str">
        <f t="shared" si="11"/>
        <v>7105330101SALMARCemento ART</v>
      </c>
      <c r="T647" t="str">
        <f>IFERROR(VLOOKUP(S647,Maestro!$A:$H,8,0),"Producción")</f>
        <v>Sal Marina</v>
      </c>
      <c r="U647" s="43" t="s">
        <v>182</v>
      </c>
    </row>
    <row r="648" spans="1:21" x14ac:dyDescent="0.3">
      <c r="A648" s="43">
        <v>7105330101</v>
      </c>
      <c r="B648" s="43" t="s">
        <v>443</v>
      </c>
      <c r="C648" s="50"/>
      <c r="D648" s="56">
        <f>Datos!$M$251*Datos!$M$188*(1+Datos!$M$210)</f>
        <v>2165.6363879917694</v>
      </c>
      <c r="E648" s="43" t="s">
        <v>556</v>
      </c>
      <c r="F648" s="43" t="s">
        <v>557</v>
      </c>
      <c r="G648" s="43" t="s">
        <v>563</v>
      </c>
      <c r="H648" s="43" t="s">
        <v>564</v>
      </c>
      <c r="I648" s="43" t="s">
        <v>560</v>
      </c>
      <c r="J648" s="43" t="s">
        <v>444</v>
      </c>
      <c r="K648" s="43">
        <v>700060</v>
      </c>
      <c r="L648" s="43">
        <v>6</v>
      </c>
      <c r="M648" s="43" t="s">
        <v>565</v>
      </c>
      <c r="N648" s="51"/>
      <c r="O648" s="51"/>
      <c r="P648" s="43" t="str">
        <f>VLOOKUP(K648,Maestro!J:K,2,0)</f>
        <v>CEMENTO ART</v>
      </c>
      <c r="Q648" s="43" t="str">
        <f>VLOOKUP(P648,Maestro!E:F,2,0)</f>
        <v>Cemento ART</v>
      </c>
      <c r="R648" s="43">
        <f>VLOOKUP(P648,ORD!$A:$C,3,0)</f>
        <v>7</v>
      </c>
      <c r="S648" t="str">
        <f t="shared" si="11"/>
        <v>7105330101CALIZATRICemento ART</v>
      </c>
      <c r="T648" t="str">
        <f>IFERROR(VLOOKUP(S648,Maestro!$A:$H,8,0),"Producción")</f>
        <v>Caliza Triturada</v>
      </c>
      <c r="U648" s="43" t="s">
        <v>182</v>
      </c>
    </row>
    <row r="649" spans="1:21" x14ac:dyDescent="0.3">
      <c r="A649" s="43">
        <v>7105450101</v>
      </c>
      <c r="B649" s="43" t="s">
        <v>466</v>
      </c>
      <c r="C649" s="50">
        <f>Datos!$M$64*D649+Datos!$M$90*D649</f>
        <v>641035899.40248966</v>
      </c>
      <c r="D649" s="56">
        <f>Datos!$M$251*Datos!$M$189*(1+Datos!$M$221)</f>
        <v>2751.4330946394289</v>
      </c>
      <c r="E649" s="43" t="s">
        <v>556</v>
      </c>
      <c r="F649" s="43" t="s">
        <v>557</v>
      </c>
      <c r="G649" s="43" t="s">
        <v>577</v>
      </c>
      <c r="H649" s="43" t="s">
        <v>578</v>
      </c>
      <c r="I649" s="43" t="s">
        <v>560</v>
      </c>
      <c r="J649" s="43" t="s">
        <v>467</v>
      </c>
      <c r="K649" s="43">
        <v>700060</v>
      </c>
      <c r="L649" s="43">
        <v>6</v>
      </c>
      <c r="M649" s="43" t="s">
        <v>579</v>
      </c>
      <c r="N649" s="51"/>
      <c r="O649" s="51"/>
      <c r="P649" s="43" t="str">
        <f>VLOOKUP(K649,Maestro!J:K,2,0)</f>
        <v>CEMENTO ART</v>
      </c>
      <c r="Q649" s="43" t="str">
        <f>VLOOKUP(P649,Maestro!E:F,2,0)</f>
        <v>Cemento ART</v>
      </c>
      <c r="R649" s="43">
        <f>VLOOKUP(P649,ORD!$A:$C,3,0)</f>
        <v>7</v>
      </c>
      <c r="S649" t="str">
        <f t="shared" si="11"/>
        <v>7105450101YESO00001Cemento ART</v>
      </c>
      <c r="T649" t="str">
        <f>IFERROR(VLOOKUP(S649,Maestro!$A:$H,8,0),"Producción")</f>
        <v>Yeso</v>
      </c>
      <c r="U649" s="43" t="s">
        <v>182</v>
      </c>
    </row>
    <row r="650" spans="1:21" x14ac:dyDescent="0.3">
      <c r="A650" s="43">
        <v>7105400101</v>
      </c>
      <c r="B650" s="43" t="s">
        <v>535</v>
      </c>
      <c r="C650" s="50">
        <f>Datos!$M$76*D650</f>
        <v>76515021.784681424</v>
      </c>
      <c r="D650" s="56">
        <f>Datos!$M$251*Datos!$M$194*(1+Datos!$M$229)</f>
        <v>17.404175678215939</v>
      </c>
      <c r="E650" s="43" t="s">
        <v>556</v>
      </c>
      <c r="F650" s="43" t="s">
        <v>557</v>
      </c>
      <c r="G650" s="43" t="s">
        <v>563</v>
      </c>
      <c r="H650" s="43" t="s">
        <v>564</v>
      </c>
      <c r="I650" s="43" t="s">
        <v>560</v>
      </c>
      <c r="J650" s="43" t="s">
        <v>536</v>
      </c>
      <c r="K650" s="43">
        <v>700060</v>
      </c>
      <c r="L650" s="43">
        <v>6</v>
      </c>
      <c r="M650" s="43" t="s">
        <v>580</v>
      </c>
      <c r="N650" s="51"/>
      <c r="O650" s="51"/>
      <c r="P650" s="43" t="str">
        <f>VLOOKUP(K650,Maestro!J:K,2,0)</f>
        <v>CEMENTO ART</v>
      </c>
      <c r="Q650" s="43" t="str">
        <f>VLOOKUP(P650,Maestro!E:F,2,0)</f>
        <v>Cemento ART</v>
      </c>
      <c r="R650" s="43">
        <f>VLOOKUP(P650,ORD!$A:$C,3,0)</f>
        <v>7</v>
      </c>
      <c r="S650" t="str">
        <f t="shared" si="11"/>
        <v>7105400101ADIMOLIENCemento ART</v>
      </c>
      <c r="T650" t="str">
        <f>IFERROR(VLOOKUP(S650,Maestro!$A:$H,8,0),"Producción")</f>
        <v>Aditivo Molienda</v>
      </c>
      <c r="U650" s="43" t="s">
        <v>182</v>
      </c>
    </row>
    <row r="651" spans="1:21" x14ac:dyDescent="0.3">
      <c r="A651" s="43">
        <v>7105400101</v>
      </c>
      <c r="B651" s="43" t="s">
        <v>535</v>
      </c>
      <c r="C651" s="50">
        <f>Datos!$M$93*D651+Datos!$M$90*D651</f>
        <v>0</v>
      </c>
      <c r="D651" s="56">
        <f>Datos!$M$251*Datos!$M$192*(1+Datos!$M$223)</f>
        <v>0</v>
      </c>
      <c r="E651" s="43" t="s">
        <v>556</v>
      </c>
      <c r="F651" s="43" t="s">
        <v>557</v>
      </c>
      <c r="G651" s="43" t="s">
        <v>563</v>
      </c>
      <c r="H651" s="43" t="s">
        <v>564</v>
      </c>
      <c r="I651" s="43" t="s">
        <v>560</v>
      </c>
      <c r="J651" s="43" t="s">
        <v>538</v>
      </c>
      <c r="K651" s="43">
        <v>700060</v>
      </c>
      <c r="L651" s="43">
        <v>6</v>
      </c>
      <c r="M651" s="43" t="s">
        <v>538</v>
      </c>
      <c r="N651" s="51"/>
      <c r="O651" s="51"/>
      <c r="P651" s="43" t="str">
        <f>VLOOKUP(K651,Maestro!J:K,2,0)</f>
        <v>CEMENTO ART</v>
      </c>
      <c r="Q651" s="43" t="str">
        <f>VLOOKUP(P651,Maestro!E:F,2,0)</f>
        <v>Cemento ART</v>
      </c>
      <c r="R651" s="43">
        <f>VLOOKUP(P651,ORD!$A:$C,3,0)</f>
        <v>7</v>
      </c>
      <c r="S651" t="str">
        <f t="shared" si="11"/>
        <v>7105400101PUZOLANACemento ART</v>
      </c>
      <c r="T651" t="str">
        <f>IFERROR(VLOOKUP(S651,Maestro!$A:$H,8,0),"Producción")</f>
        <v>Puzolana</v>
      </c>
      <c r="U651" s="43" t="s">
        <v>182</v>
      </c>
    </row>
    <row r="652" spans="1:21" x14ac:dyDescent="0.3">
      <c r="A652" s="43">
        <v>7105400101</v>
      </c>
      <c r="B652" s="43" t="s">
        <v>535</v>
      </c>
      <c r="C652" s="50"/>
      <c r="D652" s="56">
        <f>Datos!$M$251*Datos!$M$191*(1+Datos!$M$218)</f>
        <v>1045.9735540850995</v>
      </c>
      <c r="E652" s="43" t="s">
        <v>556</v>
      </c>
      <c r="F652" s="43" t="s">
        <v>557</v>
      </c>
      <c r="G652" s="43" t="s">
        <v>563</v>
      </c>
      <c r="H652" s="43" t="s">
        <v>564</v>
      </c>
      <c r="I652" s="43" t="s">
        <v>560</v>
      </c>
      <c r="J652" s="43" t="s">
        <v>539</v>
      </c>
      <c r="K652" s="43">
        <v>700060</v>
      </c>
      <c r="L652" s="43">
        <v>6</v>
      </c>
      <c r="M652" s="43" t="s">
        <v>445</v>
      </c>
      <c r="N652" s="51"/>
      <c r="O652" s="51"/>
      <c r="P652" s="43" t="str">
        <f>VLOOKUP(K652,Maestro!J:K,2,0)</f>
        <v>CEMENTO ART</v>
      </c>
      <c r="Q652" s="43" t="str">
        <f>VLOOKUP(P652,Maestro!E:F,2,0)</f>
        <v>Cemento ART</v>
      </c>
      <c r="R652" s="43">
        <f>VLOOKUP(P652,ORD!$A:$C,3,0)</f>
        <v>7</v>
      </c>
      <c r="S652" t="str">
        <f t="shared" si="11"/>
        <v>7105400101CRUDOCemento ART</v>
      </c>
      <c r="T652" t="str">
        <f>IFERROR(VLOOKUP(S652,Maestro!$A:$H,8,0),"Producción")</f>
        <v>Finos Filtro</v>
      </c>
      <c r="U652" s="43" t="s">
        <v>182</v>
      </c>
    </row>
    <row r="653" spans="1:21" x14ac:dyDescent="0.3">
      <c r="A653" s="43">
        <v>7199990001</v>
      </c>
      <c r="B653" s="43" t="s">
        <v>438</v>
      </c>
      <c r="C653" s="50"/>
      <c r="D653" s="56">
        <f>Datos!$M$251*Datos!$M$187*(1+Datos!$M$219)</f>
        <v>28890.931625838461</v>
      </c>
      <c r="E653" s="43" t="s">
        <v>556</v>
      </c>
      <c r="F653" s="43" t="s">
        <v>557</v>
      </c>
      <c r="G653" s="43" t="s">
        <v>567</v>
      </c>
      <c r="H653" s="43" t="s">
        <v>568</v>
      </c>
      <c r="I653" s="43" t="s">
        <v>560</v>
      </c>
      <c r="J653" s="43" t="s">
        <v>463</v>
      </c>
      <c r="K653" s="43">
        <v>700060</v>
      </c>
      <c r="L653" s="43">
        <v>6</v>
      </c>
      <c r="M653" s="43" t="s">
        <v>62</v>
      </c>
      <c r="N653" s="51"/>
      <c r="O653" s="51"/>
      <c r="P653" s="43" t="str">
        <f>VLOOKUP(K653,Maestro!J:K,2,0)</f>
        <v>CEMENTO ART</v>
      </c>
      <c r="Q653" s="43" t="str">
        <f>VLOOKUP(P653,Maestro!E:F,2,0)</f>
        <v>Cemento ART</v>
      </c>
      <c r="R653" s="43">
        <f>VLOOKUP(P653,ORD!$A:$C,3,0)</f>
        <v>7</v>
      </c>
      <c r="S653" t="str">
        <f t="shared" si="11"/>
        <v>7199990001CLINKER001Cemento ART</v>
      </c>
      <c r="T653" t="str">
        <f>IFERROR(VLOOKUP(S653,Maestro!$A:$H,8,0),"Producción")</f>
        <v>Clinker</v>
      </c>
      <c r="U653" s="43" t="s">
        <v>182</v>
      </c>
    </row>
    <row r="654" spans="1:21" x14ac:dyDescent="0.3">
      <c r="A654" s="43">
        <v>7999999995</v>
      </c>
      <c r="B654" s="43" t="s">
        <v>566</v>
      </c>
      <c r="C654" s="50"/>
      <c r="D654" s="56">
        <f>-Datos!$M$251</f>
        <v>-34808.351356431878</v>
      </c>
      <c r="E654" s="43" t="s">
        <v>556</v>
      </c>
      <c r="F654" s="43" t="s">
        <v>557</v>
      </c>
      <c r="G654" s="43" t="s">
        <v>567</v>
      </c>
      <c r="H654" s="43" t="s">
        <v>568</v>
      </c>
      <c r="I654" s="43" t="s">
        <v>560</v>
      </c>
      <c r="J654" s="43" t="s">
        <v>472</v>
      </c>
      <c r="K654" s="43">
        <v>700060</v>
      </c>
      <c r="L654" s="43">
        <v>6</v>
      </c>
      <c r="M654" s="43" t="s">
        <v>468</v>
      </c>
      <c r="N654" s="51"/>
      <c r="O654" s="51"/>
      <c r="P654" s="43" t="str">
        <f>VLOOKUP(K654,Maestro!J:K,2,0)</f>
        <v>CEMENTO ART</v>
      </c>
      <c r="Q654" s="43" t="str">
        <f>VLOOKUP(P654,Maestro!E:F,2,0)</f>
        <v>Cemento ART</v>
      </c>
      <c r="R654" s="43">
        <f>VLOOKUP(P654,ORD!$A:$C,3,0)</f>
        <v>7</v>
      </c>
      <c r="S654" t="str">
        <f t="shared" si="11"/>
        <v>7999999995CEMENTOARTCemento ART</v>
      </c>
      <c r="T654" t="str">
        <f>IFERROR(VLOOKUP(S654,Maestro!$A:$H,8,0),"Producción")</f>
        <v>Producción</v>
      </c>
      <c r="U654" s="43" t="s">
        <v>182</v>
      </c>
    </row>
    <row r="655" spans="1:21" x14ac:dyDescent="0.3">
      <c r="A655" s="43">
        <v>7355250320</v>
      </c>
      <c r="B655" s="43" t="s">
        <v>490</v>
      </c>
      <c r="C655" s="52">
        <f>Datos!$M$120*D655</f>
        <v>51957744.736431539</v>
      </c>
      <c r="D655" s="56">
        <f>Datos!$M$251</f>
        <v>34808.351356431878</v>
      </c>
      <c r="E655" s="57"/>
      <c r="F655" s="58"/>
      <c r="G655" s="43"/>
      <c r="H655" s="43"/>
      <c r="I655" s="43" t="s">
        <v>560</v>
      </c>
      <c r="J655" s="43" t="s">
        <v>802</v>
      </c>
      <c r="K655" s="43">
        <v>700060</v>
      </c>
      <c r="L655" s="43">
        <v>6</v>
      </c>
      <c r="M655" s="43" t="s">
        <v>468</v>
      </c>
      <c r="N655" s="53"/>
      <c r="O655" s="53"/>
      <c r="P655" s="43" t="str">
        <f>VLOOKUP(K655,Maestro!J:K,2,0)</f>
        <v>CEMENTO ART</v>
      </c>
      <c r="Q655" s="43" t="str">
        <f>VLOOKUP(P655,Maestro!E:F,2,0)</f>
        <v>Cemento ART</v>
      </c>
      <c r="R655" s="43">
        <f>VLOOKUP(P655,ORD!$A:$C,3,0)</f>
        <v>7</v>
      </c>
      <c r="S655" t="str">
        <f t="shared" si="11"/>
        <v>7355250320PLACAS Y SEGMENTOSCemento ART</v>
      </c>
      <c r="T655" t="str">
        <f>IFERROR(VLOOKUP(S655,Maestro!$A:$H,8,0),"Producción")</f>
        <v>Placas y Segmentos</v>
      </c>
      <c r="U655" s="43" t="s">
        <v>182</v>
      </c>
    </row>
    <row r="656" spans="1:21" x14ac:dyDescent="0.3">
      <c r="A656" s="43">
        <v>7105330101</v>
      </c>
      <c r="B656" s="43" t="s">
        <v>443</v>
      </c>
      <c r="C656" s="52">
        <f>Datos!$N$77*D656</f>
        <v>0</v>
      </c>
      <c r="D656" s="56">
        <f>Datos!$N$251*Datos!$N$190*(1+Datos!$N$222)</f>
        <v>0</v>
      </c>
      <c r="E656" s="43" t="s">
        <v>556</v>
      </c>
      <c r="F656" s="43" t="s">
        <v>557</v>
      </c>
      <c r="G656" s="43" t="s">
        <v>563</v>
      </c>
      <c r="H656" s="43" t="s">
        <v>564</v>
      </c>
      <c r="I656" s="43" t="s">
        <v>560</v>
      </c>
      <c r="J656" s="43" t="s">
        <v>519</v>
      </c>
      <c r="K656" s="43">
        <v>700060</v>
      </c>
      <c r="L656" s="43">
        <v>7</v>
      </c>
      <c r="M656" s="43" t="s">
        <v>576</v>
      </c>
      <c r="N656" s="51"/>
      <c r="O656" s="51"/>
      <c r="P656" s="43" t="str">
        <f>VLOOKUP(K656,Maestro!J:K,2,0)</f>
        <v>CEMENTO ART</v>
      </c>
      <c r="Q656" s="43" t="str">
        <f>VLOOKUP(P656,Maestro!E:F,2,0)</f>
        <v>Cemento ART</v>
      </c>
      <c r="R656" s="43">
        <f>VLOOKUP(P656,ORD!$A:$C,3,0)</f>
        <v>7</v>
      </c>
      <c r="S656" t="str">
        <f t="shared" si="11"/>
        <v>7105330101SALMARCemento ART</v>
      </c>
      <c r="T656" t="str">
        <f>IFERROR(VLOOKUP(S656,Maestro!$A:$H,8,0),"Producción")</f>
        <v>Sal Marina</v>
      </c>
      <c r="U656" s="43" t="s">
        <v>182</v>
      </c>
    </row>
    <row r="657" spans="1:21" x14ac:dyDescent="0.3">
      <c r="A657" s="43">
        <v>7105330101</v>
      </c>
      <c r="B657" s="43" t="s">
        <v>443</v>
      </c>
      <c r="C657" s="50"/>
      <c r="D657" s="56">
        <f>Datos!$N$251*Datos!$N$188*(1+Datos!$N$210)</f>
        <v>2505.8258360969648</v>
      </c>
      <c r="E657" s="43" t="s">
        <v>556</v>
      </c>
      <c r="F657" s="43" t="s">
        <v>557</v>
      </c>
      <c r="G657" s="43" t="s">
        <v>563</v>
      </c>
      <c r="H657" s="43" t="s">
        <v>564</v>
      </c>
      <c r="I657" s="43" t="s">
        <v>560</v>
      </c>
      <c r="J657" s="43" t="s">
        <v>444</v>
      </c>
      <c r="K657" s="43">
        <v>700060</v>
      </c>
      <c r="L657" s="43">
        <v>7</v>
      </c>
      <c r="M657" s="43" t="s">
        <v>565</v>
      </c>
      <c r="N657" s="51"/>
      <c r="O657" s="51"/>
      <c r="P657" s="43" t="str">
        <f>VLOOKUP(K657,Maestro!J:K,2,0)</f>
        <v>CEMENTO ART</v>
      </c>
      <c r="Q657" s="43" t="str">
        <f>VLOOKUP(P657,Maestro!E:F,2,0)</f>
        <v>Cemento ART</v>
      </c>
      <c r="R657" s="43">
        <f>VLOOKUP(P657,ORD!$A:$C,3,0)</f>
        <v>7</v>
      </c>
      <c r="S657" t="str">
        <f t="shared" si="11"/>
        <v>7105330101CALIZATRICemento ART</v>
      </c>
      <c r="T657" t="str">
        <f>IFERROR(VLOOKUP(S657,Maestro!$A:$H,8,0),"Producción")</f>
        <v>Caliza Triturada</v>
      </c>
      <c r="U657" s="43" t="s">
        <v>182</v>
      </c>
    </row>
    <row r="658" spans="1:21" x14ac:dyDescent="0.3">
      <c r="A658" s="43">
        <v>7105450101</v>
      </c>
      <c r="B658" s="43" t="s">
        <v>466</v>
      </c>
      <c r="C658" s="50">
        <f>Datos!$N$64*D658+Datos!$N$90*D658</f>
        <v>740328007.31682599</v>
      </c>
      <c r="D658" s="56">
        <f>Datos!$N$251*Datos!$N$189*(1+Datos!$N$221)</f>
        <v>3183.642541781076</v>
      </c>
      <c r="E658" s="43" t="s">
        <v>556</v>
      </c>
      <c r="F658" s="43" t="s">
        <v>557</v>
      </c>
      <c r="G658" s="43" t="s">
        <v>577</v>
      </c>
      <c r="H658" s="43" t="s">
        <v>578</v>
      </c>
      <c r="I658" s="43" t="s">
        <v>560</v>
      </c>
      <c r="J658" s="43" t="s">
        <v>467</v>
      </c>
      <c r="K658" s="43">
        <v>700060</v>
      </c>
      <c r="L658" s="43">
        <v>7</v>
      </c>
      <c r="M658" s="43" t="s">
        <v>579</v>
      </c>
      <c r="N658" s="51"/>
      <c r="O658" s="51"/>
      <c r="P658" s="43" t="str">
        <f>VLOOKUP(K658,Maestro!J:K,2,0)</f>
        <v>CEMENTO ART</v>
      </c>
      <c r="Q658" s="43" t="str">
        <f>VLOOKUP(P658,Maestro!E:F,2,0)</f>
        <v>Cemento ART</v>
      </c>
      <c r="R658" s="43">
        <f>VLOOKUP(P658,ORD!$A:$C,3,0)</f>
        <v>7</v>
      </c>
      <c r="S658" t="str">
        <f t="shared" si="11"/>
        <v>7105450101YESO00001Cemento ART</v>
      </c>
      <c r="T658" t="str">
        <f>IFERROR(VLOOKUP(S658,Maestro!$A:$H,8,0),"Producción")</f>
        <v>Yeso</v>
      </c>
      <c r="U658" s="43" t="s">
        <v>182</v>
      </c>
    </row>
    <row r="659" spans="1:21" x14ac:dyDescent="0.3">
      <c r="A659" s="43">
        <v>7105400101</v>
      </c>
      <c r="B659" s="43" t="s">
        <v>535</v>
      </c>
      <c r="C659" s="50">
        <f>Datos!$N$76*D659</f>
        <v>88534400.096303478</v>
      </c>
      <c r="D659" s="56">
        <f>Datos!$N$251*Datos!$N$194*(1+Datos!$N$229)</f>
        <v>20.138114280064297</v>
      </c>
      <c r="E659" s="43" t="s">
        <v>556</v>
      </c>
      <c r="F659" s="43" t="s">
        <v>557</v>
      </c>
      <c r="G659" s="43" t="s">
        <v>563</v>
      </c>
      <c r="H659" s="43" t="s">
        <v>564</v>
      </c>
      <c r="I659" s="43" t="s">
        <v>560</v>
      </c>
      <c r="J659" s="43" t="s">
        <v>536</v>
      </c>
      <c r="K659" s="43">
        <v>700060</v>
      </c>
      <c r="L659" s="43">
        <v>7</v>
      </c>
      <c r="M659" s="43" t="s">
        <v>580</v>
      </c>
      <c r="N659" s="51"/>
      <c r="O659" s="51"/>
      <c r="P659" s="43" t="str">
        <f>VLOOKUP(K659,Maestro!J:K,2,0)</f>
        <v>CEMENTO ART</v>
      </c>
      <c r="Q659" s="43" t="str">
        <f>VLOOKUP(P659,Maestro!E:F,2,0)</f>
        <v>Cemento ART</v>
      </c>
      <c r="R659" s="43">
        <f>VLOOKUP(P659,ORD!$A:$C,3,0)</f>
        <v>7</v>
      </c>
      <c r="S659" t="str">
        <f t="shared" si="11"/>
        <v>7105400101ADIMOLIENCemento ART</v>
      </c>
      <c r="T659" t="str">
        <f>IFERROR(VLOOKUP(S659,Maestro!$A:$H,8,0),"Producción")</f>
        <v>Aditivo Molienda</v>
      </c>
      <c r="U659" s="43" t="s">
        <v>182</v>
      </c>
    </row>
    <row r="660" spans="1:21" x14ac:dyDescent="0.3">
      <c r="A660" s="43">
        <v>7105400101</v>
      </c>
      <c r="B660" s="43" t="s">
        <v>535</v>
      </c>
      <c r="C660" s="50">
        <f>Datos!$N$93*D660+Datos!$N$90*D660</f>
        <v>0</v>
      </c>
      <c r="D660" s="56">
        <f>Datos!$N$251*Datos!$N$192*(1+Datos!$N$223)</f>
        <v>0</v>
      </c>
      <c r="E660" s="43" t="s">
        <v>556</v>
      </c>
      <c r="F660" s="43" t="s">
        <v>557</v>
      </c>
      <c r="G660" s="43" t="s">
        <v>563</v>
      </c>
      <c r="H660" s="43" t="s">
        <v>564</v>
      </c>
      <c r="I660" s="43" t="s">
        <v>560</v>
      </c>
      <c r="J660" s="43" t="s">
        <v>538</v>
      </c>
      <c r="K660" s="43">
        <v>700060</v>
      </c>
      <c r="L660" s="43">
        <v>7</v>
      </c>
      <c r="M660" s="43" t="s">
        <v>538</v>
      </c>
      <c r="N660" s="51"/>
      <c r="O660" s="51"/>
      <c r="P660" s="43" t="str">
        <f>VLOOKUP(K660,Maestro!J:K,2,0)</f>
        <v>CEMENTO ART</v>
      </c>
      <c r="Q660" s="43" t="str">
        <f>VLOOKUP(P660,Maestro!E:F,2,0)</f>
        <v>Cemento ART</v>
      </c>
      <c r="R660" s="43">
        <f>VLOOKUP(P660,ORD!$A:$C,3,0)</f>
        <v>7</v>
      </c>
      <c r="S660" t="str">
        <f t="shared" si="11"/>
        <v>7105400101PUZOLANACemento ART</v>
      </c>
      <c r="T660" t="str">
        <f>IFERROR(VLOOKUP(S660,Maestro!$A:$H,8,0),"Producción")</f>
        <v>Puzolana</v>
      </c>
      <c r="U660" s="43" t="s">
        <v>182</v>
      </c>
    </row>
    <row r="661" spans="1:21" x14ac:dyDescent="0.3">
      <c r="A661" s="43">
        <v>7105400101</v>
      </c>
      <c r="B661" s="43" t="s">
        <v>535</v>
      </c>
      <c r="C661" s="50"/>
      <c r="D661" s="56">
        <f>Datos!$N$251*Datos!$N$191*(1+Datos!$N$218)</f>
        <v>1210.280530117584</v>
      </c>
      <c r="E661" s="43" t="s">
        <v>556</v>
      </c>
      <c r="F661" s="43" t="s">
        <v>557</v>
      </c>
      <c r="G661" s="43" t="s">
        <v>563</v>
      </c>
      <c r="H661" s="43" t="s">
        <v>564</v>
      </c>
      <c r="I661" s="43" t="s">
        <v>560</v>
      </c>
      <c r="J661" s="43" t="s">
        <v>539</v>
      </c>
      <c r="K661" s="43">
        <v>700060</v>
      </c>
      <c r="L661" s="43">
        <v>7</v>
      </c>
      <c r="M661" s="43" t="s">
        <v>445</v>
      </c>
      <c r="N661" s="51"/>
      <c r="O661" s="51"/>
      <c r="P661" s="43" t="str">
        <f>VLOOKUP(K661,Maestro!J:K,2,0)</f>
        <v>CEMENTO ART</v>
      </c>
      <c r="Q661" s="43" t="str">
        <f>VLOOKUP(P661,Maestro!E:F,2,0)</f>
        <v>Cemento ART</v>
      </c>
      <c r="R661" s="43">
        <f>VLOOKUP(P661,ORD!$A:$C,3,0)</f>
        <v>7</v>
      </c>
      <c r="S661" t="str">
        <f t="shared" si="11"/>
        <v>7105400101CRUDOCemento ART</v>
      </c>
      <c r="T661" t="str">
        <f>IFERROR(VLOOKUP(S661,Maestro!$A:$H,8,0),"Producción")</f>
        <v>Finos Filtro</v>
      </c>
      <c r="U661" s="43" t="s">
        <v>182</v>
      </c>
    </row>
    <row r="662" spans="1:21" x14ac:dyDescent="0.3">
      <c r="A662" s="43">
        <v>7199990001</v>
      </c>
      <c r="B662" s="43" t="s">
        <v>438</v>
      </c>
      <c r="C662" s="50"/>
      <c r="D662" s="56">
        <f>Datos!$N$251*Datos!$N$187*(1+Datos!$N$219)</f>
        <v>33429.269704906736</v>
      </c>
      <c r="E662" s="43" t="s">
        <v>556</v>
      </c>
      <c r="F662" s="43" t="s">
        <v>557</v>
      </c>
      <c r="G662" s="43" t="s">
        <v>567</v>
      </c>
      <c r="H662" s="43" t="s">
        <v>568</v>
      </c>
      <c r="I662" s="43" t="s">
        <v>560</v>
      </c>
      <c r="J662" s="43" t="s">
        <v>463</v>
      </c>
      <c r="K662" s="43">
        <v>700060</v>
      </c>
      <c r="L662" s="43">
        <v>7</v>
      </c>
      <c r="M662" s="43" t="s">
        <v>62</v>
      </c>
      <c r="N662" s="51"/>
      <c r="O662" s="51"/>
      <c r="P662" s="43" t="str">
        <f>VLOOKUP(K662,Maestro!J:K,2,0)</f>
        <v>CEMENTO ART</v>
      </c>
      <c r="Q662" s="43" t="str">
        <f>VLOOKUP(P662,Maestro!E:F,2,0)</f>
        <v>Cemento ART</v>
      </c>
      <c r="R662" s="43">
        <f>VLOOKUP(P662,ORD!$A:$C,3,0)</f>
        <v>7</v>
      </c>
      <c r="S662" t="str">
        <f t="shared" si="11"/>
        <v>7199990001CLINKER001Cemento ART</v>
      </c>
      <c r="T662" t="str">
        <f>IFERROR(VLOOKUP(S662,Maestro!$A:$H,8,0),"Producción")</f>
        <v>Clinker</v>
      </c>
      <c r="U662" s="43" t="s">
        <v>182</v>
      </c>
    </row>
    <row r="663" spans="1:21" x14ac:dyDescent="0.3">
      <c r="A663" s="43">
        <v>7999999995</v>
      </c>
      <c r="B663" s="43" t="s">
        <v>566</v>
      </c>
      <c r="C663" s="50"/>
      <c r="D663" s="56">
        <f>-Datos!$N$251</f>
        <v>-40276.228560128591</v>
      </c>
      <c r="E663" s="43" t="s">
        <v>556</v>
      </c>
      <c r="F663" s="43" t="s">
        <v>557</v>
      </c>
      <c r="G663" s="43" t="s">
        <v>567</v>
      </c>
      <c r="H663" s="43" t="s">
        <v>568</v>
      </c>
      <c r="I663" s="43" t="s">
        <v>560</v>
      </c>
      <c r="J663" s="43" t="s">
        <v>472</v>
      </c>
      <c r="K663" s="43">
        <v>700060</v>
      </c>
      <c r="L663" s="43">
        <v>7</v>
      </c>
      <c r="M663" s="43" t="s">
        <v>468</v>
      </c>
      <c r="N663" s="51"/>
      <c r="O663" s="51"/>
      <c r="P663" s="43" t="str">
        <f>VLOOKUP(K663,Maestro!J:K,2,0)</f>
        <v>CEMENTO ART</v>
      </c>
      <c r="Q663" s="43" t="str">
        <f>VLOOKUP(P663,Maestro!E:F,2,0)</f>
        <v>Cemento ART</v>
      </c>
      <c r="R663" s="43">
        <f>VLOOKUP(P663,ORD!$A:$C,3,0)</f>
        <v>7</v>
      </c>
      <c r="S663" t="str">
        <f t="shared" si="11"/>
        <v>7999999995CEMENTOARTCemento ART</v>
      </c>
      <c r="T663" t="str">
        <f>IFERROR(VLOOKUP(S663,Maestro!$A:$H,8,0),"Producción")</f>
        <v>Producción</v>
      </c>
      <c r="U663" s="43" t="s">
        <v>182</v>
      </c>
    </row>
    <row r="664" spans="1:21" x14ac:dyDescent="0.3">
      <c r="A664" s="43">
        <v>7355250320</v>
      </c>
      <c r="B664" s="43" t="s">
        <v>490</v>
      </c>
      <c r="C664" s="52">
        <f>Datos!$N$120*D664</f>
        <v>60119538.011002444</v>
      </c>
      <c r="D664" s="56">
        <f>Datos!$N$251</f>
        <v>40276.228560128591</v>
      </c>
      <c r="E664" s="57"/>
      <c r="F664" s="58"/>
      <c r="G664" s="43"/>
      <c r="H664" s="43"/>
      <c r="I664" s="43" t="s">
        <v>560</v>
      </c>
      <c r="J664" s="43" t="s">
        <v>802</v>
      </c>
      <c r="K664" s="43">
        <v>700060</v>
      </c>
      <c r="L664" s="43">
        <v>7</v>
      </c>
      <c r="M664" s="43" t="s">
        <v>468</v>
      </c>
      <c r="N664" s="53"/>
      <c r="O664" s="53"/>
      <c r="P664" s="43" t="str">
        <f>VLOOKUP(K664,Maestro!J:K,2,0)</f>
        <v>CEMENTO ART</v>
      </c>
      <c r="Q664" s="43" t="str">
        <f>VLOOKUP(P664,Maestro!E:F,2,0)</f>
        <v>Cemento ART</v>
      </c>
      <c r="R664" s="43">
        <f>VLOOKUP(P664,ORD!$A:$C,3,0)</f>
        <v>7</v>
      </c>
      <c r="S664" t="str">
        <f t="shared" si="11"/>
        <v>7355250320PLACAS Y SEGMENTOSCemento ART</v>
      </c>
      <c r="T664" t="str">
        <f>IFERROR(VLOOKUP(S664,Maestro!$A:$H,8,0),"Producción")</f>
        <v>Placas y Segmentos</v>
      </c>
      <c r="U664" s="43" t="s">
        <v>182</v>
      </c>
    </row>
    <row r="665" spans="1:21" x14ac:dyDescent="0.3">
      <c r="A665" s="43">
        <v>7105330101</v>
      </c>
      <c r="B665" s="43" t="s">
        <v>443</v>
      </c>
      <c r="C665" s="52">
        <f>Datos!$O$77*D665</f>
        <v>0</v>
      </c>
      <c r="D665" s="56">
        <f>Datos!$O$251*Datos!$O$190*(1+Datos!$O$222)</f>
        <v>0</v>
      </c>
      <c r="E665" s="43" t="s">
        <v>556</v>
      </c>
      <c r="F665" s="43" t="s">
        <v>557</v>
      </c>
      <c r="G665" s="43" t="s">
        <v>563</v>
      </c>
      <c r="H665" s="43" t="s">
        <v>564</v>
      </c>
      <c r="I665" s="43" t="s">
        <v>560</v>
      </c>
      <c r="J665" s="43" t="s">
        <v>519</v>
      </c>
      <c r="K665" s="43">
        <v>700060</v>
      </c>
      <c r="L665" s="43">
        <v>8</v>
      </c>
      <c r="M665" s="43" t="s">
        <v>576</v>
      </c>
      <c r="N665" s="51"/>
      <c r="O665" s="51"/>
      <c r="P665" s="43" t="str">
        <f>VLOOKUP(K665,Maestro!J:K,2,0)</f>
        <v>CEMENTO ART</v>
      </c>
      <c r="Q665" s="43" t="str">
        <f>VLOOKUP(P665,Maestro!E:F,2,0)</f>
        <v>Cemento ART</v>
      </c>
      <c r="R665" s="43">
        <f>VLOOKUP(P665,ORD!$A:$C,3,0)</f>
        <v>7</v>
      </c>
      <c r="S665" t="str">
        <f t="shared" si="11"/>
        <v>7105330101SALMARCemento ART</v>
      </c>
      <c r="T665" t="str">
        <f>IFERROR(VLOOKUP(S665,Maestro!$A:$H,8,0),"Producción")</f>
        <v>Sal Marina</v>
      </c>
      <c r="U665" s="43" t="s">
        <v>182</v>
      </c>
    </row>
    <row r="666" spans="1:21" x14ac:dyDescent="0.3">
      <c r="A666" s="43">
        <v>7105330101</v>
      </c>
      <c r="B666" s="43" t="s">
        <v>443</v>
      </c>
      <c r="C666" s="50"/>
      <c r="D666" s="56">
        <f>Datos!$O$251*Datos!$O$188*(1+Datos!$O$210)</f>
        <v>2307.0294826069885</v>
      </c>
      <c r="E666" s="43" t="s">
        <v>556</v>
      </c>
      <c r="F666" s="43" t="s">
        <v>557</v>
      </c>
      <c r="G666" s="43" t="s">
        <v>563</v>
      </c>
      <c r="H666" s="43" t="s">
        <v>564</v>
      </c>
      <c r="I666" s="43" t="s">
        <v>560</v>
      </c>
      <c r="J666" s="43" t="s">
        <v>444</v>
      </c>
      <c r="K666" s="43">
        <v>700060</v>
      </c>
      <c r="L666" s="43">
        <v>8</v>
      </c>
      <c r="M666" s="43" t="s">
        <v>565</v>
      </c>
      <c r="N666" s="51"/>
      <c r="O666" s="51"/>
      <c r="P666" s="43" t="str">
        <f>VLOOKUP(K666,Maestro!J:K,2,0)</f>
        <v>CEMENTO ART</v>
      </c>
      <c r="Q666" s="43" t="str">
        <f>VLOOKUP(P666,Maestro!E:F,2,0)</f>
        <v>Cemento ART</v>
      </c>
      <c r="R666" s="43">
        <f>VLOOKUP(P666,ORD!$A:$C,3,0)</f>
        <v>7</v>
      </c>
      <c r="S666" t="str">
        <f t="shared" si="11"/>
        <v>7105330101CALIZATRICemento ART</v>
      </c>
      <c r="T666" t="str">
        <f>IFERROR(VLOOKUP(S666,Maestro!$A:$H,8,0),"Producción")</f>
        <v>Caliza Triturada</v>
      </c>
      <c r="U666" s="43" t="s">
        <v>182</v>
      </c>
    </row>
    <row r="667" spans="1:21" x14ac:dyDescent="0.3">
      <c r="A667" s="43">
        <v>7105450101</v>
      </c>
      <c r="B667" s="43" t="s">
        <v>466</v>
      </c>
      <c r="C667" s="50">
        <f>Datos!$O$64*D667+Datos!$O$90*D667</f>
        <v>681388502.04083765</v>
      </c>
      <c r="D667" s="56">
        <f>Datos!$O$251*Datos!$O$189*(1+Datos!$O$221)</f>
        <v>2931.0725031915522</v>
      </c>
      <c r="E667" s="43" t="s">
        <v>556</v>
      </c>
      <c r="F667" s="43" t="s">
        <v>557</v>
      </c>
      <c r="G667" s="43" t="s">
        <v>577</v>
      </c>
      <c r="H667" s="43" t="s">
        <v>578</v>
      </c>
      <c r="I667" s="43" t="s">
        <v>560</v>
      </c>
      <c r="J667" s="43" t="s">
        <v>467</v>
      </c>
      <c r="K667" s="43">
        <v>700060</v>
      </c>
      <c r="L667" s="43">
        <v>8</v>
      </c>
      <c r="M667" s="43" t="s">
        <v>579</v>
      </c>
      <c r="N667" s="51"/>
      <c r="O667" s="51"/>
      <c r="P667" s="43" t="str">
        <f>VLOOKUP(K667,Maestro!J:K,2,0)</f>
        <v>CEMENTO ART</v>
      </c>
      <c r="Q667" s="43" t="str">
        <f>VLOOKUP(P667,Maestro!E:F,2,0)</f>
        <v>Cemento ART</v>
      </c>
      <c r="R667" s="43">
        <f>VLOOKUP(P667,ORD!$A:$C,3,0)</f>
        <v>7</v>
      </c>
      <c r="S667" t="str">
        <f t="shared" si="11"/>
        <v>7105450101YESO00001Cemento ART</v>
      </c>
      <c r="T667" t="str">
        <f>IFERROR(VLOOKUP(S667,Maestro!$A:$H,8,0),"Producción")</f>
        <v>Yeso</v>
      </c>
      <c r="U667" s="43" t="s">
        <v>182</v>
      </c>
    </row>
    <row r="668" spans="1:21" x14ac:dyDescent="0.3">
      <c r="A668" s="43">
        <v>7105400101</v>
      </c>
      <c r="B668" s="43" t="s">
        <v>535</v>
      </c>
      <c r="C668" s="50">
        <f>Datos!$O$76*D668</f>
        <v>81510641.443953663</v>
      </c>
      <c r="D668" s="56">
        <f>Datos!$O$251*Datos!$O$194*(1+Datos!$O$229)</f>
        <v>18.540483819330916</v>
      </c>
      <c r="E668" s="43" t="s">
        <v>556</v>
      </c>
      <c r="F668" s="43" t="s">
        <v>557</v>
      </c>
      <c r="G668" s="43" t="s">
        <v>563</v>
      </c>
      <c r="H668" s="43" t="s">
        <v>564</v>
      </c>
      <c r="I668" s="43" t="s">
        <v>560</v>
      </c>
      <c r="J668" s="43" t="s">
        <v>536</v>
      </c>
      <c r="K668" s="43">
        <v>700060</v>
      </c>
      <c r="L668" s="43">
        <v>8</v>
      </c>
      <c r="M668" s="43" t="s">
        <v>580</v>
      </c>
      <c r="N668" s="51"/>
      <c r="O668" s="51"/>
      <c r="P668" s="43" t="str">
        <f>VLOOKUP(K668,Maestro!J:K,2,0)</f>
        <v>CEMENTO ART</v>
      </c>
      <c r="Q668" s="43" t="str">
        <f>VLOOKUP(P668,Maestro!E:F,2,0)</f>
        <v>Cemento ART</v>
      </c>
      <c r="R668" s="43">
        <f>VLOOKUP(P668,ORD!$A:$C,3,0)</f>
        <v>7</v>
      </c>
      <c r="S668" t="str">
        <f t="shared" si="11"/>
        <v>7105400101ADIMOLIENCemento ART</v>
      </c>
      <c r="T668" t="str">
        <f>IFERROR(VLOOKUP(S668,Maestro!$A:$H,8,0),"Producción")</f>
        <v>Aditivo Molienda</v>
      </c>
      <c r="U668" s="43" t="s">
        <v>182</v>
      </c>
    </row>
    <row r="669" spans="1:21" x14ac:dyDescent="0.3">
      <c r="A669" s="43">
        <v>7105400101</v>
      </c>
      <c r="B669" s="43" t="s">
        <v>535</v>
      </c>
      <c r="C669" s="50">
        <f>Datos!$O$93*D669+Datos!$O$90*D669</f>
        <v>0</v>
      </c>
      <c r="D669" s="56">
        <f>Datos!$O$251*Datos!$O$192*(1+Datos!$O$223)</f>
        <v>0</v>
      </c>
      <c r="E669" s="43" t="s">
        <v>556</v>
      </c>
      <c r="F669" s="43" t="s">
        <v>557</v>
      </c>
      <c r="G669" s="43" t="s">
        <v>563</v>
      </c>
      <c r="H669" s="43" t="s">
        <v>564</v>
      </c>
      <c r="I669" s="43" t="s">
        <v>560</v>
      </c>
      <c r="J669" s="43" t="s">
        <v>538</v>
      </c>
      <c r="K669" s="43">
        <v>700060</v>
      </c>
      <c r="L669" s="43">
        <v>8</v>
      </c>
      <c r="M669" s="43" t="s">
        <v>538</v>
      </c>
      <c r="N669" s="51"/>
      <c r="O669" s="51"/>
      <c r="P669" s="43" t="str">
        <f>VLOOKUP(K669,Maestro!J:K,2,0)</f>
        <v>CEMENTO ART</v>
      </c>
      <c r="Q669" s="43" t="str">
        <f>VLOOKUP(P669,Maestro!E:F,2,0)</f>
        <v>Cemento ART</v>
      </c>
      <c r="R669" s="43">
        <f>VLOOKUP(P669,ORD!$A:$C,3,0)</f>
        <v>7</v>
      </c>
      <c r="S669" t="str">
        <f t="shared" si="11"/>
        <v>7105400101PUZOLANACemento ART</v>
      </c>
      <c r="T669" t="str">
        <f>IFERROR(VLOOKUP(S669,Maestro!$A:$H,8,0),"Producción")</f>
        <v>Puzolana</v>
      </c>
      <c r="U669" s="43" t="s">
        <v>182</v>
      </c>
    </row>
    <row r="670" spans="1:21" x14ac:dyDescent="0.3">
      <c r="A670" s="43">
        <v>7105400101</v>
      </c>
      <c r="B670" s="43" t="s">
        <v>535</v>
      </c>
      <c r="C670" s="50"/>
      <c r="D670" s="56">
        <f>Datos!$O$251*Datos!$O$191*(1+Datos!$O$218)</f>
        <v>1114.2645370579685</v>
      </c>
      <c r="E670" s="43" t="s">
        <v>556</v>
      </c>
      <c r="F670" s="43" t="s">
        <v>557</v>
      </c>
      <c r="G670" s="43" t="s">
        <v>563</v>
      </c>
      <c r="H670" s="43" t="s">
        <v>564</v>
      </c>
      <c r="I670" s="43" t="s">
        <v>560</v>
      </c>
      <c r="J670" s="43" t="s">
        <v>539</v>
      </c>
      <c r="K670" s="43">
        <v>700060</v>
      </c>
      <c r="L670" s="43">
        <v>8</v>
      </c>
      <c r="M670" s="43" t="s">
        <v>445</v>
      </c>
      <c r="N670" s="51"/>
      <c r="O670" s="51"/>
      <c r="P670" s="43" t="str">
        <f>VLOOKUP(K670,Maestro!J:K,2,0)</f>
        <v>CEMENTO ART</v>
      </c>
      <c r="Q670" s="43" t="str">
        <f>VLOOKUP(P670,Maestro!E:F,2,0)</f>
        <v>Cemento ART</v>
      </c>
      <c r="R670" s="43">
        <f>VLOOKUP(P670,ORD!$A:$C,3,0)</f>
        <v>7</v>
      </c>
      <c r="S670" t="str">
        <f t="shared" si="11"/>
        <v>7105400101CRUDOCemento ART</v>
      </c>
      <c r="T670" t="str">
        <f>IFERROR(VLOOKUP(S670,Maestro!$A:$H,8,0),"Producción")</f>
        <v>Finos Filtro</v>
      </c>
      <c r="U670" s="43" t="s">
        <v>182</v>
      </c>
    </row>
    <row r="671" spans="1:21" x14ac:dyDescent="0.3">
      <c r="A671" s="43">
        <v>7199990001</v>
      </c>
      <c r="B671" s="43" t="s">
        <v>438</v>
      </c>
      <c r="C671" s="50"/>
      <c r="D671" s="56">
        <f>Datos!$O$251*Datos!$O$187*(1+Datos!$O$219)</f>
        <v>30777.203140089321</v>
      </c>
      <c r="E671" s="43" t="s">
        <v>556</v>
      </c>
      <c r="F671" s="43" t="s">
        <v>557</v>
      </c>
      <c r="G671" s="43" t="s">
        <v>567</v>
      </c>
      <c r="H671" s="43" t="s">
        <v>568</v>
      </c>
      <c r="I671" s="43" t="s">
        <v>560</v>
      </c>
      <c r="J671" s="43" t="s">
        <v>463</v>
      </c>
      <c r="K671" s="43">
        <v>700060</v>
      </c>
      <c r="L671" s="43">
        <v>8</v>
      </c>
      <c r="M671" s="43" t="s">
        <v>62</v>
      </c>
      <c r="N671" s="51"/>
      <c r="O671" s="51"/>
      <c r="P671" s="43" t="str">
        <f>VLOOKUP(K671,Maestro!J:K,2,0)</f>
        <v>CEMENTO ART</v>
      </c>
      <c r="Q671" s="43" t="str">
        <f>VLOOKUP(P671,Maestro!E:F,2,0)</f>
        <v>Cemento ART</v>
      </c>
      <c r="R671" s="43">
        <f>VLOOKUP(P671,ORD!$A:$C,3,0)</f>
        <v>7</v>
      </c>
      <c r="S671" t="str">
        <f t="shared" si="11"/>
        <v>7199990001CLINKER001Cemento ART</v>
      </c>
      <c r="T671" t="str">
        <f>IFERROR(VLOOKUP(S671,Maestro!$A:$H,8,0),"Producción")</f>
        <v>Clinker</v>
      </c>
      <c r="U671" s="43" t="s">
        <v>182</v>
      </c>
    </row>
    <row r="672" spans="1:21" x14ac:dyDescent="0.3">
      <c r="A672" s="43">
        <v>7999999995</v>
      </c>
      <c r="B672" s="43" t="s">
        <v>566</v>
      </c>
      <c r="C672" s="50"/>
      <c r="D672" s="56">
        <f>-Datos!$O$251</f>
        <v>-37080.96763866183</v>
      </c>
      <c r="E672" s="43" t="s">
        <v>556</v>
      </c>
      <c r="F672" s="43" t="s">
        <v>557</v>
      </c>
      <c r="G672" s="43" t="s">
        <v>567</v>
      </c>
      <c r="H672" s="43" t="s">
        <v>568</v>
      </c>
      <c r="I672" s="43" t="s">
        <v>560</v>
      </c>
      <c r="J672" s="43" t="s">
        <v>472</v>
      </c>
      <c r="K672" s="43">
        <v>700060</v>
      </c>
      <c r="L672" s="43">
        <v>8</v>
      </c>
      <c r="M672" s="43" t="s">
        <v>468</v>
      </c>
      <c r="N672" s="51"/>
      <c r="O672" s="51"/>
      <c r="P672" s="43" t="str">
        <f>VLOOKUP(K672,Maestro!J:K,2,0)</f>
        <v>CEMENTO ART</v>
      </c>
      <c r="Q672" s="43" t="str">
        <f>VLOOKUP(P672,Maestro!E:F,2,0)</f>
        <v>Cemento ART</v>
      </c>
      <c r="R672" s="43">
        <f>VLOOKUP(P672,ORD!$A:$C,3,0)</f>
        <v>7</v>
      </c>
      <c r="S672" t="str">
        <f t="shared" si="11"/>
        <v>7999999995CEMENTOARTCemento ART</v>
      </c>
      <c r="T672" t="str">
        <f>IFERROR(VLOOKUP(S672,Maestro!$A:$H,8,0),"Producción")</f>
        <v>Producción</v>
      </c>
      <c r="U672" s="43" t="s">
        <v>182</v>
      </c>
    </row>
    <row r="673" spans="1:21" x14ac:dyDescent="0.3">
      <c r="A673" s="43">
        <v>7355250320</v>
      </c>
      <c r="B673" s="43" t="s">
        <v>490</v>
      </c>
      <c r="C673" s="52">
        <f>Datos!$O$120*D673</f>
        <v>55350034.577074714</v>
      </c>
      <c r="D673" s="56">
        <f>Datos!$O$251</f>
        <v>37080.96763866183</v>
      </c>
      <c r="E673" s="57"/>
      <c r="F673" s="58"/>
      <c r="G673" s="43"/>
      <c r="H673" s="43"/>
      <c r="I673" s="43" t="s">
        <v>560</v>
      </c>
      <c r="J673" s="43" t="s">
        <v>802</v>
      </c>
      <c r="K673" s="43">
        <v>700060</v>
      </c>
      <c r="L673" s="43">
        <v>8</v>
      </c>
      <c r="M673" s="43" t="s">
        <v>468</v>
      </c>
      <c r="N673" s="53"/>
      <c r="O673" s="53"/>
      <c r="P673" s="43" t="str">
        <f>VLOOKUP(K673,Maestro!J:K,2,0)</f>
        <v>CEMENTO ART</v>
      </c>
      <c r="Q673" s="43" t="str">
        <f>VLOOKUP(P673,Maestro!E:F,2,0)</f>
        <v>Cemento ART</v>
      </c>
      <c r="R673" s="43">
        <f>VLOOKUP(P673,ORD!$A:$C,3,0)</f>
        <v>7</v>
      </c>
      <c r="S673" t="str">
        <f t="shared" si="11"/>
        <v>7355250320PLACAS Y SEGMENTOSCemento ART</v>
      </c>
      <c r="T673" t="str">
        <f>IFERROR(VLOOKUP(S673,Maestro!$A:$H,8,0),"Producción")</f>
        <v>Placas y Segmentos</v>
      </c>
      <c r="U673" s="43" t="s">
        <v>182</v>
      </c>
    </row>
    <row r="674" spans="1:21" x14ac:dyDescent="0.3">
      <c r="A674" s="43">
        <v>7105330101</v>
      </c>
      <c r="B674" s="43" t="s">
        <v>443</v>
      </c>
      <c r="C674" s="52">
        <f>Datos!$P$77*D674</f>
        <v>0</v>
      </c>
      <c r="D674" s="56">
        <f>Datos!$P$251*Datos!$P$190*(1+Datos!$P$222)</f>
        <v>0</v>
      </c>
      <c r="E674" s="43" t="s">
        <v>556</v>
      </c>
      <c r="F674" s="43" t="s">
        <v>557</v>
      </c>
      <c r="G674" s="43" t="s">
        <v>563</v>
      </c>
      <c r="H674" s="43" t="s">
        <v>564</v>
      </c>
      <c r="I674" s="43" t="s">
        <v>560</v>
      </c>
      <c r="J674" s="43" t="s">
        <v>519</v>
      </c>
      <c r="K674" s="43">
        <v>700060</v>
      </c>
      <c r="L674" s="43">
        <v>9</v>
      </c>
      <c r="M674" s="43" t="s">
        <v>576</v>
      </c>
      <c r="N674" s="51"/>
      <c r="O674" s="51"/>
      <c r="P674" s="43" t="str">
        <f>VLOOKUP(K674,Maestro!J:K,2,0)</f>
        <v>CEMENTO ART</v>
      </c>
      <c r="Q674" s="43" t="str">
        <f>VLOOKUP(P674,Maestro!E:F,2,0)</f>
        <v>Cemento ART</v>
      </c>
      <c r="R674" s="43">
        <f>VLOOKUP(P674,ORD!$A:$C,3,0)</f>
        <v>7</v>
      </c>
      <c r="S674" t="str">
        <f t="shared" si="11"/>
        <v>7105330101SALMARCemento ART</v>
      </c>
      <c r="T674" t="str">
        <f>IFERROR(VLOOKUP(S674,Maestro!$A:$H,8,0),"Producción")</f>
        <v>Sal Marina</v>
      </c>
      <c r="U674" s="43" t="s">
        <v>182</v>
      </c>
    </row>
    <row r="675" spans="1:21" x14ac:dyDescent="0.3">
      <c r="A675" s="43">
        <v>7105330101</v>
      </c>
      <c r="B675" s="43" t="s">
        <v>443</v>
      </c>
      <c r="C675" s="50"/>
      <c r="D675" s="56">
        <f>Datos!$P$251*Datos!$P$188*(1+Datos!$P$210)</f>
        <v>2448.7595028505707</v>
      </c>
      <c r="E675" s="43" t="s">
        <v>556</v>
      </c>
      <c r="F675" s="43" t="s">
        <v>557</v>
      </c>
      <c r="G675" s="43" t="s">
        <v>563</v>
      </c>
      <c r="H675" s="43" t="s">
        <v>564</v>
      </c>
      <c r="I675" s="43" t="s">
        <v>560</v>
      </c>
      <c r="J675" s="43" t="s">
        <v>444</v>
      </c>
      <c r="K675" s="43">
        <v>700060</v>
      </c>
      <c r="L675" s="43">
        <v>9</v>
      </c>
      <c r="M675" s="43" t="s">
        <v>565</v>
      </c>
      <c r="N675" s="51"/>
      <c r="O675" s="51"/>
      <c r="P675" s="43" t="str">
        <f>VLOOKUP(K675,Maestro!J:K,2,0)</f>
        <v>CEMENTO ART</v>
      </c>
      <c r="Q675" s="43" t="str">
        <f>VLOOKUP(P675,Maestro!E:F,2,0)</f>
        <v>Cemento ART</v>
      </c>
      <c r="R675" s="43">
        <f>VLOOKUP(P675,ORD!$A:$C,3,0)</f>
        <v>7</v>
      </c>
      <c r="S675" t="str">
        <f t="shared" si="11"/>
        <v>7105330101CALIZATRICemento ART</v>
      </c>
      <c r="T675" t="str">
        <f>IFERROR(VLOOKUP(S675,Maestro!$A:$H,8,0),"Producción")</f>
        <v>Caliza Triturada</v>
      </c>
      <c r="U675" s="43" t="s">
        <v>182</v>
      </c>
    </row>
    <row r="676" spans="1:21" x14ac:dyDescent="0.3">
      <c r="A676" s="43">
        <v>7105450101</v>
      </c>
      <c r="B676" s="43" t="s">
        <v>466</v>
      </c>
      <c r="C676" s="50">
        <f>Datos!$P$64*D676+Datos!$P$90*D676</f>
        <v>723628363.18937826</v>
      </c>
      <c r="D676" s="56">
        <f>Datos!$P$251*Datos!$P$189*(1+Datos!$P$221)</f>
        <v>3111.1399745197955</v>
      </c>
      <c r="E676" s="43" t="s">
        <v>556</v>
      </c>
      <c r="F676" s="43" t="s">
        <v>557</v>
      </c>
      <c r="G676" s="43" t="s">
        <v>577</v>
      </c>
      <c r="H676" s="43" t="s">
        <v>578</v>
      </c>
      <c r="I676" s="43" t="s">
        <v>560</v>
      </c>
      <c r="J676" s="43" t="s">
        <v>467</v>
      </c>
      <c r="K676" s="43">
        <v>700060</v>
      </c>
      <c r="L676" s="43">
        <v>9</v>
      </c>
      <c r="M676" s="43" t="s">
        <v>579</v>
      </c>
      <c r="N676" s="51"/>
      <c r="O676" s="51"/>
      <c r="P676" s="43" t="str">
        <f>VLOOKUP(K676,Maestro!J:K,2,0)</f>
        <v>CEMENTO ART</v>
      </c>
      <c r="Q676" s="43" t="str">
        <f>VLOOKUP(P676,Maestro!E:F,2,0)</f>
        <v>Cemento ART</v>
      </c>
      <c r="R676" s="43">
        <f>VLOOKUP(P676,ORD!$A:$C,3,0)</f>
        <v>7</v>
      </c>
      <c r="S676" t="str">
        <f t="shared" si="11"/>
        <v>7105450101YESO00001Cemento ART</v>
      </c>
      <c r="T676" t="str">
        <f>IFERROR(VLOOKUP(S676,Maestro!$A:$H,8,0),"Producción")</f>
        <v>Yeso</v>
      </c>
      <c r="U676" s="43" t="s">
        <v>182</v>
      </c>
    </row>
    <row r="677" spans="1:21" x14ac:dyDescent="0.3">
      <c r="A677" s="43">
        <v>7105400101</v>
      </c>
      <c r="B677" s="43" t="s">
        <v>535</v>
      </c>
      <c r="C677" s="50">
        <f>Datos!$P$76*D677</f>
        <v>86518165.166131839</v>
      </c>
      <c r="D677" s="56">
        <f>Datos!$P$251*Datos!$P$194*(1+Datos!$P$229)</f>
        <v>19.67949966930184</v>
      </c>
      <c r="E677" s="43" t="s">
        <v>556</v>
      </c>
      <c r="F677" s="43" t="s">
        <v>557</v>
      </c>
      <c r="G677" s="43" t="s">
        <v>563</v>
      </c>
      <c r="H677" s="43" t="s">
        <v>564</v>
      </c>
      <c r="I677" s="43" t="s">
        <v>560</v>
      </c>
      <c r="J677" s="43" t="s">
        <v>536</v>
      </c>
      <c r="K677" s="43">
        <v>700060</v>
      </c>
      <c r="L677" s="43">
        <v>9</v>
      </c>
      <c r="M677" s="43" t="s">
        <v>580</v>
      </c>
      <c r="N677" s="51"/>
      <c r="O677" s="51"/>
      <c r="P677" s="43" t="str">
        <f>VLOOKUP(K677,Maestro!J:K,2,0)</f>
        <v>CEMENTO ART</v>
      </c>
      <c r="Q677" s="43" t="str">
        <f>VLOOKUP(P677,Maestro!E:F,2,0)</f>
        <v>Cemento ART</v>
      </c>
      <c r="R677" s="43">
        <f>VLOOKUP(P677,ORD!$A:$C,3,0)</f>
        <v>7</v>
      </c>
      <c r="S677" t="str">
        <f t="shared" si="11"/>
        <v>7105400101ADIMOLIENCemento ART</v>
      </c>
      <c r="T677" t="str">
        <f>IFERROR(VLOOKUP(S677,Maestro!$A:$H,8,0),"Producción")</f>
        <v>Aditivo Molienda</v>
      </c>
      <c r="U677" s="43" t="s">
        <v>182</v>
      </c>
    </row>
    <row r="678" spans="1:21" x14ac:dyDescent="0.3">
      <c r="A678" s="43">
        <v>7105400101</v>
      </c>
      <c r="B678" s="43" t="s">
        <v>535</v>
      </c>
      <c r="C678" s="50">
        <f>Datos!$P$93*D678+Datos!$P$90*D678</f>
        <v>0</v>
      </c>
      <c r="D678" s="56">
        <f>Datos!$P$251*Datos!$P$192*(1+Datos!$P$223)</f>
        <v>0</v>
      </c>
      <c r="E678" s="43" t="s">
        <v>556</v>
      </c>
      <c r="F678" s="43" t="s">
        <v>557</v>
      </c>
      <c r="G678" s="43" t="s">
        <v>563</v>
      </c>
      <c r="H678" s="43" t="s">
        <v>564</v>
      </c>
      <c r="I678" s="43" t="s">
        <v>560</v>
      </c>
      <c r="J678" s="43" t="s">
        <v>538</v>
      </c>
      <c r="K678" s="43">
        <v>700060</v>
      </c>
      <c r="L678" s="43">
        <v>9</v>
      </c>
      <c r="M678" s="43" t="s">
        <v>538</v>
      </c>
      <c r="N678" s="51"/>
      <c r="O678" s="51"/>
      <c r="P678" s="43" t="str">
        <f>VLOOKUP(K678,Maestro!J:K,2,0)</f>
        <v>CEMENTO ART</v>
      </c>
      <c r="Q678" s="43" t="str">
        <f>VLOOKUP(P678,Maestro!E:F,2,0)</f>
        <v>Cemento ART</v>
      </c>
      <c r="R678" s="43">
        <f>VLOOKUP(P678,ORD!$A:$C,3,0)</f>
        <v>7</v>
      </c>
      <c r="S678" t="str">
        <f t="shared" si="11"/>
        <v>7105400101PUZOLANACemento ART</v>
      </c>
      <c r="T678" t="str">
        <f>IFERROR(VLOOKUP(S678,Maestro!$A:$H,8,0),"Producción")</f>
        <v>Puzolana</v>
      </c>
      <c r="U678" s="43" t="s">
        <v>182</v>
      </c>
    </row>
    <row r="679" spans="1:21" x14ac:dyDescent="0.3">
      <c r="A679" s="43">
        <v>7105400101</v>
      </c>
      <c r="B679" s="43" t="s">
        <v>535</v>
      </c>
      <c r="C679" s="50"/>
      <c r="D679" s="56">
        <f>Datos!$P$251*Datos!$P$191*(1+Datos!$P$218)</f>
        <v>1182.7182506253712</v>
      </c>
      <c r="E679" s="43" t="s">
        <v>556</v>
      </c>
      <c r="F679" s="43" t="s">
        <v>557</v>
      </c>
      <c r="G679" s="43" t="s">
        <v>563</v>
      </c>
      <c r="H679" s="43" t="s">
        <v>564</v>
      </c>
      <c r="I679" s="43" t="s">
        <v>560</v>
      </c>
      <c r="J679" s="43" t="s">
        <v>539</v>
      </c>
      <c r="K679" s="43">
        <v>700060</v>
      </c>
      <c r="L679" s="43">
        <v>9</v>
      </c>
      <c r="M679" s="43" t="s">
        <v>445</v>
      </c>
      <c r="N679" s="51"/>
      <c r="O679" s="51"/>
      <c r="P679" s="43" t="str">
        <f>VLOOKUP(K679,Maestro!J:K,2,0)</f>
        <v>CEMENTO ART</v>
      </c>
      <c r="Q679" s="43" t="str">
        <f>VLOOKUP(P679,Maestro!E:F,2,0)</f>
        <v>Cemento ART</v>
      </c>
      <c r="R679" s="43">
        <f>VLOOKUP(P679,ORD!$A:$C,3,0)</f>
        <v>7</v>
      </c>
      <c r="S679" t="str">
        <f t="shared" si="11"/>
        <v>7105400101CRUDOCemento ART</v>
      </c>
      <c r="T679" t="str">
        <f>IFERROR(VLOOKUP(S679,Maestro!$A:$H,8,0),"Producción")</f>
        <v>Finos Filtro</v>
      </c>
      <c r="U679" s="43" t="s">
        <v>182</v>
      </c>
    </row>
    <row r="680" spans="1:21" x14ac:dyDescent="0.3">
      <c r="A680" s="43">
        <v>7199990001</v>
      </c>
      <c r="B680" s="43" t="s">
        <v>438</v>
      </c>
      <c r="C680" s="50"/>
      <c r="D680" s="56">
        <f>Datos!$P$251*Datos!$P$187*(1+Datos!$P$219)</f>
        <v>32667.969451041059</v>
      </c>
      <c r="E680" s="43" t="s">
        <v>556</v>
      </c>
      <c r="F680" s="43" t="s">
        <v>557</v>
      </c>
      <c r="G680" s="43" t="s">
        <v>567</v>
      </c>
      <c r="H680" s="43" t="s">
        <v>568</v>
      </c>
      <c r="I680" s="43" t="s">
        <v>560</v>
      </c>
      <c r="J680" s="43" t="s">
        <v>463</v>
      </c>
      <c r="K680" s="43">
        <v>700060</v>
      </c>
      <c r="L680" s="43">
        <v>9</v>
      </c>
      <c r="M680" s="43" t="s">
        <v>62</v>
      </c>
      <c r="N680" s="51"/>
      <c r="O680" s="51"/>
      <c r="P680" s="43" t="str">
        <f>VLOOKUP(K680,Maestro!J:K,2,0)</f>
        <v>CEMENTO ART</v>
      </c>
      <c r="Q680" s="43" t="str">
        <f>VLOOKUP(P680,Maestro!E:F,2,0)</f>
        <v>Cemento ART</v>
      </c>
      <c r="R680" s="43">
        <f>VLOOKUP(P680,ORD!$A:$C,3,0)</f>
        <v>7</v>
      </c>
      <c r="S680" t="str">
        <f t="shared" si="11"/>
        <v>7199990001CLINKER001Cemento ART</v>
      </c>
      <c r="T680" t="str">
        <f>IFERROR(VLOOKUP(S680,Maestro!$A:$H,8,0),"Producción")</f>
        <v>Clinker</v>
      </c>
      <c r="U680" s="43" t="s">
        <v>182</v>
      </c>
    </row>
    <row r="681" spans="1:21" x14ac:dyDescent="0.3">
      <c r="A681" s="43">
        <v>7999999995</v>
      </c>
      <c r="B681" s="43" t="s">
        <v>566</v>
      </c>
      <c r="C681" s="50"/>
      <c r="D681" s="56">
        <f>-Datos!$P$251</f>
        <v>-39358.99933860368</v>
      </c>
      <c r="E681" s="43" t="s">
        <v>556</v>
      </c>
      <c r="F681" s="43" t="s">
        <v>557</v>
      </c>
      <c r="G681" s="43" t="s">
        <v>567</v>
      </c>
      <c r="H681" s="43" t="s">
        <v>568</v>
      </c>
      <c r="I681" s="43" t="s">
        <v>560</v>
      </c>
      <c r="J681" s="43" t="s">
        <v>472</v>
      </c>
      <c r="K681" s="43">
        <v>700060</v>
      </c>
      <c r="L681" s="43">
        <v>9</v>
      </c>
      <c r="M681" s="43" t="s">
        <v>468</v>
      </c>
      <c r="N681" s="51"/>
      <c r="O681" s="51"/>
      <c r="P681" s="43" t="str">
        <f>VLOOKUP(K681,Maestro!J:K,2,0)</f>
        <v>CEMENTO ART</v>
      </c>
      <c r="Q681" s="43" t="str">
        <f>VLOOKUP(P681,Maestro!E:F,2,0)</f>
        <v>Cemento ART</v>
      </c>
      <c r="R681" s="43">
        <f>VLOOKUP(P681,ORD!$A:$C,3,0)</f>
        <v>7</v>
      </c>
      <c r="S681" t="str">
        <f t="shared" si="11"/>
        <v>7999999995CEMENTOARTCemento ART</v>
      </c>
      <c r="T681" t="str">
        <f>IFERROR(VLOOKUP(S681,Maestro!$A:$H,8,0),"Producción")</f>
        <v>Producción</v>
      </c>
      <c r="U681" s="43" t="s">
        <v>182</v>
      </c>
    </row>
    <row r="682" spans="1:21" x14ac:dyDescent="0.3">
      <c r="A682" s="43">
        <v>7355250320</v>
      </c>
      <c r="B682" s="43" t="s">
        <v>490</v>
      </c>
      <c r="C682" s="52">
        <f>Datos!$P$120*D682</f>
        <v>58750407.90573588</v>
      </c>
      <c r="D682" s="56">
        <f>Datos!$P$251</f>
        <v>39358.99933860368</v>
      </c>
      <c r="E682" s="57"/>
      <c r="F682" s="58"/>
      <c r="G682" s="43"/>
      <c r="H682" s="43"/>
      <c r="I682" s="43" t="s">
        <v>560</v>
      </c>
      <c r="J682" s="43" t="s">
        <v>802</v>
      </c>
      <c r="K682" s="43">
        <v>700060</v>
      </c>
      <c r="L682" s="43">
        <v>9</v>
      </c>
      <c r="M682" s="43" t="s">
        <v>468</v>
      </c>
      <c r="N682" s="53"/>
      <c r="O682" s="53"/>
      <c r="P682" s="43" t="str">
        <f>VLOOKUP(K682,Maestro!J:K,2,0)</f>
        <v>CEMENTO ART</v>
      </c>
      <c r="Q682" s="43" t="str">
        <f>VLOOKUP(P682,Maestro!E:F,2,0)</f>
        <v>Cemento ART</v>
      </c>
      <c r="R682" s="43">
        <f>VLOOKUP(P682,ORD!$A:$C,3,0)</f>
        <v>7</v>
      </c>
      <c r="S682" t="str">
        <f t="shared" si="11"/>
        <v>7355250320PLACAS Y SEGMENTOSCemento ART</v>
      </c>
      <c r="T682" t="str">
        <f>IFERROR(VLOOKUP(S682,Maestro!$A:$H,8,0),"Producción")</f>
        <v>Placas y Segmentos</v>
      </c>
      <c r="U682" s="43" t="s">
        <v>182</v>
      </c>
    </row>
    <row r="683" spans="1:21" x14ac:dyDescent="0.3">
      <c r="A683" s="43">
        <v>7105330101</v>
      </c>
      <c r="B683" s="43" t="s">
        <v>443</v>
      </c>
      <c r="C683" s="52">
        <f>Datos!$Q$77*D683</f>
        <v>0</v>
      </c>
      <c r="D683" s="56">
        <f>Datos!$Q$251*Datos!$Q$190*(1+Datos!$Q$222)</f>
        <v>0</v>
      </c>
      <c r="E683" s="43" t="s">
        <v>556</v>
      </c>
      <c r="F683" s="43" t="s">
        <v>557</v>
      </c>
      <c r="G683" s="43" t="s">
        <v>563</v>
      </c>
      <c r="H683" s="43" t="s">
        <v>564</v>
      </c>
      <c r="I683" s="43" t="s">
        <v>560</v>
      </c>
      <c r="J683" s="43" t="s">
        <v>519</v>
      </c>
      <c r="K683" s="43">
        <v>700060</v>
      </c>
      <c r="L683" s="43">
        <v>10</v>
      </c>
      <c r="M683" s="43" t="s">
        <v>576</v>
      </c>
      <c r="N683" s="51"/>
      <c r="O683" s="51"/>
      <c r="P683" s="43" t="str">
        <f>VLOOKUP(K683,Maestro!J:K,2,0)</f>
        <v>CEMENTO ART</v>
      </c>
      <c r="Q683" s="43" t="str">
        <f>VLOOKUP(P683,Maestro!E:F,2,0)</f>
        <v>Cemento ART</v>
      </c>
      <c r="R683" s="43">
        <f>VLOOKUP(P683,ORD!$A:$C,3,0)</f>
        <v>7</v>
      </c>
      <c r="S683" t="str">
        <f t="shared" ref="S683:S746" si="12">A683&amp;J683&amp;Q683</f>
        <v>7105330101SALMARCemento ART</v>
      </c>
      <c r="T683" t="str">
        <f>IFERROR(VLOOKUP(S683,Maestro!$A:$H,8,0),"Producción")</f>
        <v>Sal Marina</v>
      </c>
      <c r="U683" s="43" t="s">
        <v>182</v>
      </c>
    </row>
    <row r="684" spans="1:21" x14ac:dyDescent="0.3">
      <c r="A684" s="43">
        <v>7105330101</v>
      </c>
      <c r="B684" s="43" t="s">
        <v>443</v>
      </c>
      <c r="C684" s="50"/>
      <c r="D684" s="56">
        <f>Datos!$Q$251*Datos!$Q$188*(1+Datos!$Q$210)</f>
        <v>2480.5278849911192</v>
      </c>
      <c r="E684" s="43" t="s">
        <v>556</v>
      </c>
      <c r="F684" s="43" t="s">
        <v>557</v>
      </c>
      <c r="G684" s="43" t="s">
        <v>563</v>
      </c>
      <c r="H684" s="43" t="s">
        <v>564</v>
      </c>
      <c r="I684" s="43" t="s">
        <v>560</v>
      </c>
      <c r="J684" s="43" t="s">
        <v>444</v>
      </c>
      <c r="K684" s="43">
        <v>700060</v>
      </c>
      <c r="L684" s="43">
        <v>10</v>
      </c>
      <c r="M684" s="43" t="s">
        <v>565</v>
      </c>
      <c r="N684" s="51"/>
      <c r="O684" s="51"/>
      <c r="P684" s="43" t="str">
        <f>VLOOKUP(K684,Maestro!J:K,2,0)</f>
        <v>CEMENTO ART</v>
      </c>
      <c r="Q684" s="43" t="str">
        <f>VLOOKUP(P684,Maestro!E:F,2,0)</f>
        <v>Cemento ART</v>
      </c>
      <c r="R684" s="43">
        <f>VLOOKUP(P684,ORD!$A:$C,3,0)</f>
        <v>7</v>
      </c>
      <c r="S684" t="str">
        <f t="shared" si="12"/>
        <v>7105330101CALIZATRICemento ART</v>
      </c>
      <c r="T684" t="str">
        <f>IFERROR(VLOOKUP(S684,Maestro!$A:$H,8,0),"Producción")</f>
        <v>Caliza Triturada</v>
      </c>
      <c r="U684" s="43" t="s">
        <v>182</v>
      </c>
    </row>
    <row r="685" spans="1:21" x14ac:dyDescent="0.3">
      <c r="A685" s="43">
        <v>7105450101</v>
      </c>
      <c r="B685" s="43" t="s">
        <v>466</v>
      </c>
      <c r="C685" s="50">
        <f>Datos!$Q$64*D685+Datos!$Q$90*D685</f>
        <v>733407416.76809192</v>
      </c>
      <c r="D685" s="56">
        <f>Datos!$Q$251*Datos!$Q$189*(1+Datos!$Q$221)</f>
        <v>3151.5015876092916</v>
      </c>
      <c r="E685" s="43" t="s">
        <v>556</v>
      </c>
      <c r="F685" s="43" t="s">
        <v>557</v>
      </c>
      <c r="G685" s="43" t="s">
        <v>577</v>
      </c>
      <c r="H685" s="43" t="s">
        <v>578</v>
      </c>
      <c r="I685" s="43" t="s">
        <v>560</v>
      </c>
      <c r="J685" s="43" t="s">
        <v>467</v>
      </c>
      <c r="K685" s="43">
        <v>700060</v>
      </c>
      <c r="L685" s="43">
        <v>10</v>
      </c>
      <c r="M685" s="43" t="s">
        <v>579</v>
      </c>
      <c r="N685" s="51"/>
      <c r="O685" s="51"/>
      <c r="P685" s="43" t="str">
        <f>VLOOKUP(K685,Maestro!J:K,2,0)</f>
        <v>CEMENTO ART</v>
      </c>
      <c r="Q685" s="43" t="str">
        <f>VLOOKUP(P685,Maestro!E:F,2,0)</f>
        <v>Cemento ART</v>
      </c>
      <c r="R685" s="43">
        <f>VLOOKUP(P685,ORD!$A:$C,3,0)</f>
        <v>7</v>
      </c>
      <c r="S685" t="str">
        <f t="shared" si="12"/>
        <v>7105450101YESO00001Cemento ART</v>
      </c>
      <c r="T685" t="str">
        <f>IFERROR(VLOOKUP(S685,Maestro!$A:$H,8,0),"Producción")</f>
        <v>Yeso</v>
      </c>
      <c r="U685" s="43" t="s">
        <v>182</v>
      </c>
    </row>
    <row r="686" spans="1:21" x14ac:dyDescent="0.3">
      <c r="A686" s="43">
        <v>7105400101</v>
      </c>
      <c r="B686" s="43" t="s">
        <v>535</v>
      </c>
      <c r="C686" s="50">
        <f>Datos!$Q$76*D686</f>
        <v>87640587.408862188</v>
      </c>
      <c r="D686" s="56">
        <f>Datos!$Q$251*Datos!$Q$194*(1+Datos!$Q$229)</f>
        <v>19.93480684221997</v>
      </c>
      <c r="E686" s="43" t="s">
        <v>556</v>
      </c>
      <c r="F686" s="43" t="s">
        <v>557</v>
      </c>
      <c r="G686" s="43" t="s">
        <v>563</v>
      </c>
      <c r="H686" s="43" t="s">
        <v>564</v>
      </c>
      <c r="I686" s="43" t="s">
        <v>560</v>
      </c>
      <c r="J686" s="43" t="s">
        <v>536</v>
      </c>
      <c r="K686" s="43">
        <v>700060</v>
      </c>
      <c r="L686" s="43">
        <v>10</v>
      </c>
      <c r="M686" s="43" t="s">
        <v>580</v>
      </c>
      <c r="N686" s="51"/>
      <c r="O686" s="51"/>
      <c r="P686" s="43" t="str">
        <f>VLOOKUP(K686,Maestro!J:K,2,0)</f>
        <v>CEMENTO ART</v>
      </c>
      <c r="Q686" s="43" t="str">
        <f>VLOOKUP(P686,Maestro!E:F,2,0)</f>
        <v>Cemento ART</v>
      </c>
      <c r="R686" s="43">
        <f>VLOOKUP(P686,ORD!$A:$C,3,0)</f>
        <v>7</v>
      </c>
      <c r="S686" t="str">
        <f t="shared" si="12"/>
        <v>7105400101ADIMOLIENCemento ART</v>
      </c>
      <c r="T686" t="str">
        <f>IFERROR(VLOOKUP(S686,Maestro!$A:$H,8,0),"Producción")</f>
        <v>Aditivo Molienda</v>
      </c>
      <c r="U686" s="43" t="s">
        <v>182</v>
      </c>
    </row>
    <row r="687" spans="1:21" x14ac:dyDescent="0.3">
      <c r="A687" s="43">
        <v>7105400101</v>
      </c>
      <c r="B687" s="43" t="s">
        <v>535</v>
      </c>
      <c r="C687" s="50">
        <f>Datos!$Q$93*D687+Datos!$Q$90*D687</f>
        <v>0</v>
      </c>
      <c r="D687" s="56">
        <f>Datos!$Q$251*Datos!$Q$192*(1+Datos!$Q$223)</f>
        <v>0</v>
      </c>
      <c r="E687" s="43" t="s">
        <v>556</v>
      </c>
      <c r="F687" s="43" t="s">
        <v>557</v>
      </c>
      <c r="G687" s="43" t="s">
        <v>563</v>
      </c>
      <c r="H687" s="43" t="s">
        <v>564</v>
      </c>
      <c r="I687" s="43" t="s">
        <v>560</v>
      </c>
      <c r="J687" s="43" t="s">
        <v>538</v>
      </c>
      <c r="K687" s="43">
        <v>700060</v>
      </c>
      <c r="L687" s="43">
        <v>10</v>
      </c>
      <c r="M687" s="43" t="s">
        <v>538</v>
      </c>
      <c r="N687" s="51"/>
      <c r="O687" s="51"/>
      <c r="P687" s="43" t="str">
        <f>VLOOKUP(K687,Maestro!J:K,2,0)</f>
        <v>CEMENTO ART</v>
      </c>
      <c r="Q687" s="43" t="str">
        <f>VLOOKUP(P687,Maestro!E:F,2,0)</f>
        <v>Cemento ART</v>
      </c>
      <c r="R687" s="43">
        <f>VLOOKUP(P687,ORD!$A:$C,3,0)</f>
        <v>7</v>
      </c>
      <c r="S687" t="str">
        <f t="shared" si="12"/>
        <v>7105400101PUZOLANACemento ART</v>
      </c>
      <c r="T687" t="str">
        <f>IFERROR(VLOOKUP(S687,Maestro!$A:$H,8,0),"Producción")</f>
        <v>Puzolana</v>
      </c>
      <c r="U687" s="43" t="s">
        <v>182</v>
      </c>
    </row>
    <row r="688" spans="1:21" x14ac:dyDescent="0.3">
      <c r="A688" s="43">
        <v>7105400101</v>
      </c>
      <c r="B688" s="43" t="s">
        <v>535</v>
      </c>
      <c r="C688" s="50"/>
      <c r="D688" s="56">
        <f>Datos!$Q$251*Datos!$Q$191*(1+Datos!$Q$218)</f>
        <v>1198.0619564105777</v>
      </c>
      <c r="E688" s="43" t="s">
        <v>556</v>
      </c>
      <c r="F688" s="43" t="s">
        <v>557</v>
      </c>
      <c r="G688" s="43" t="s">
        <v>563</v>
      </c>
      <c r="H688" s="43" t="s">
        <v>564</v>
      </c>
      <c r="I688" s="43" t="s">
        <v>560</v>
      </c>
      <c r="J688" s="43" t="s">
        <v>539</v>
      </c>
      <c r="K688" s="43">
        <v>700060</v>
      </c>
      <c r="L688" s="43">
        <v>10</v>
      </c>
      <c r="M688" s="43" t="s">
        <v>445</v>
      </c>
      <c r="N688" s="51"/>
      <c r="O688" s="51"/>
      <c r="P688" s="43" t="str">
        <f>VLOOKUP(K688,Maestro!J:K,2,0)</f>
        <v>CEMENTO ART</v>
      </c>
      <c r="Q688" s="43" t="str">
        <f>VLOOKUP(P688,Maestro!E:F,2,0)</f>
        <v>Cemento ART</v>
      </c>
      <c r="R688" s="43">
        <f>VLOOKUP(P688,ORD!$A:$C,3,0)</f>
        <v>7</v>
      </c>
      <c r="S688" t="str">
        <f t="shared" si="12"/>
        <v>7105400101CRUDOCemento ART</v>
      </c>
      <c r="T688" t="str">
        <f>IFERROR(VLOOKUP(S688,Maestro!$A:$H,8,0),"Producción")</f>
        <v>Finos Filtro</v>
      </c>
      <c r="U688" s="43" t="s">
        <v>182</v>
      </c>
    </row>
    <row r="689" spans="1:21" x14ac:dyDescent="0.3">
      <c r="A689" s="43">
        <v>7199990001</v>
      </c>
      <c r="B689" s="43" t="s">
        <v>438</v>
      </c>
      <c r="C689" s="50"/>
      <c r="D689" s="56">
        <f>Datos!$Q$251*Datos!$Q$187*(1+Datos!$Q$219)</f>
        <v>33091.77935808515</v>
      </c>
      <c r="E689" s="43" t="s">
        <v>556</v>
      </c>
      <c r="F689" s="43" t="s">
        <v>557</v>
      </c>
      <c r="G689" s="43" t="s">
        <v>567</v>
      </c>
      <c r="H689" s="43" t="s">
        <v>568</v>
      </c>
      <c r="I689" s="43" t="s">
        <v>560</v>
      </c>
      <c r="J689" s="43" t="s">
        <v>463</v>
      </c>
      <c r="K689" s="43">
        <v>700060</v>
      </c>
      <c r="L689" s="43">
        <v>10</v>
      </c>
      <c r="M689" s="43" t="s">
        <v>62</v>
      </c>
      <c r="N689" s="51"/>
      <c r="O689" s="51"/>
      <c r="P689" s="43" t="str">
        <f>VLOOKUP(K689,Maestro!J:K,2,0)</f>
        <v>CEMENTO ART</v>
      </c>
      <c r="Q689" s="43" t="str">
        <f>VLOOKUP(P689,Maestro!E:F,2,0)</f>
        <v>Cemento ART</v>
      </c>
      <c r="R689" s="43">
        <f>VLOOKUP(P689,ORD!$A:$C,3,0)</f>
        <v>7</v>
      </c>
      <c r="S689" t="str">
        <f t="shared" si="12"/>
        <v>7199990001CLINKER001Cemento ART</v>
      </c>
      <c r="T689" t="str">
        <f>IFERROR(VLOOKUP(S689,Maestro!$A:$H,8,0),"Producción")</f>
        <v>Clinker</v>
      </c>
      <c r="U689" s="43" t="s">
        <v>182</v>
      </c>
    </row>
    <row r="690" spans="1:21" x14ac:dyDescent="0.3">
      <c r="A690" s="43">
        <v>7999999995</v>
      </c>
      <c r="B690" s="43" t="s">
        <v>566</v>
      </c>
      <c r="C690" s="50"/>
      <c r="D690" s="56">
        <f>-Datos!$Q$251</f>
        <v>-39869.613684439937</v>
      </c>
      <c r="E690" s="43" t="s">
        <v>556</v>
      </c>
      <c r="F690" s="43" t="s">
        <v>557</v>
      </c>
      <c r="G690" s="43" t="s">
        <v>567</v>
      </c>
      <c r="H690" s="43" t="s">
        <v>568</v>
      </c>
      <c r="I690" s="43" t="s">
        <v>560</v>
      </c>
      <c r="J690" s="43" t="s">
        <v>472</v>
      </c>
      <c r="K690" s="43">
        <v>700060</v>
      </c>
      <c r="L690" s="43">
        <v>10</v>
      </c>
      <c r="M690" s="43" t="s">
        <v>468</v>
      </c>
      <c r="N690" s="51"/>
      <c r="O690" s="51"/>
      <c r="P690" s="43" t="str">
        <f>VLOOKUP(K690,Maestro!J:K,2,0)</f>
        <v>CEMENTO ART</v>
      </c>
      <c r="Q690" s="43" t="str">
        <f>VLOOKUP(P690,Maestro!E:F,2,0)</f>
        <v>Cemento ART</v>
      </c>
      <c r="R690" s="43">
        <f>VLOOKUP(P690,ORD!$A:$C,3,0)</f>
        <v>7</v>
      </c>
      <c r="S690" t="str">
        <f t="shared" si="12"/>
        <v>7999999995CEMENTOARTCemento ART</v>
      </c>
      <c r="T690" t="str">
        <f>IFERROR(VLOOKUP(S690,Maestro!$A:$H,8,0),"Producción")</f>
        <v>Producción</v>
      </c>
      <c r="U690" s="43" t="s">
        <v>182</v>
      </c>
    </row>
    <row r="691" spans="1:21" x14ac:dyDescent="0.3">
      <c r="A691" s="43">
        <v>7355250320</v>
      </c>
      <c r="B691" s="43" t="s">
        <v>490</v>
      </c>
      <c r="C691" s="52">
        <f>Datos!$Q$120*D691</f>
        <v>59512591.945079014</v>
      </c>
      <c r="D691" s="56">
        <f>Datos!$Q$251</f>
        <v>39869.613684439937</v>
      </c>
      <c r="E691" s="57"/>
      <c r="F691" s="58"/>
      <c r="G691" s="43"/>
      <c r="H691" s="43"/>
      <c r="I691" s="43" t="s">
        <v>560</v>
      </c>
      <c r="J691" s="43" t="s">
        <v>802</v>
      </c>
      <c r="K691" s="43">
        <v>700060</v>
      </c>
      <c r="L691" s="43">
        <v>10</v>
      </c>
      <c r="M691" s="43" t="s">
        <v>468</v>
      </c>
      <c r="N691" s="53"/>
      <c r="O691" s="53"/>
      <c r="P691" s="43" t="str">
        <f>VLOOKUP(K691,Maestro!J:K,2,0)</f>
        <v>CEMENTO ART</v>
      </c>
      <c r="Q691" s="43" t="str">
        <f>VLOOKUP(P691,Maestro!E:F,2,0)</f>
        <v>Cemento ART</v>
      </c>
      <c r="R691" s="43">
        <f>VLOOKUP(P691,ORD!$A:$C,3,0)</f>
        <v>7</v>
      </c>
      <c r="S691" t="str">
        <f t="shared" si="12"/>
        <v>7355250320PLACAS Y SEGMENTOSCemento ART</v>
      </c>
      <c r="T691" t="str">
        <f>IFERROR(VLOOKUP(S691,Maestro!$A:$H,8,0),"Producción")</f>
        <v>Placas y Segmentos</v>
      </c>
      <c r="U691" s="43" t="s">
        <v>182</v>
      </c>
    </row>
    <row r="692" spans="1:21" x14ac:dyDescent="0.3">
      <c r="A692" s="43">
        <v>7105330101</v>
      </c>
      <c r="B692" s="43" t="s">
        <v>443</v>
      </c>
      <c r="C692" s="52">
        <f>Datos!$R$77*D692</f>
        <v>0</v>
      </c>
      <c r="D692" s="56">
        <f>Datos!$R$251*Datos!$R$190*(1+Datos!$R$222)</f>
        <v>0</v>
      </c>
      <c r="E692" s="43" t="s">
        <v>556</v>
      </c>
      <c r="F692" s="43" t="s">
        <v>557</v>
      </c>
      <c r="G692" s="43" t="s">
        <v>563</v>
      </c>
      <c r="H692" s="43" t="s">
        <v>564</v>
      </c>
      <c r="I692" s="43" t="s">
        <v>560</v>
      </c>
      <c r="J692" s="43" t="s">
        <v>519</v>
      </c>
      <c r="K692" s="43">
        <v>700060</v>
      </c>
      <c r="L692" s="43">
        <v>11</v>
      </c>
      <c r="M692" s="43" t="s">
        <v>576</v>
      </c>
      <c r="N692" s="51"/>
      <c r="O692" s="51"/>
      <c r="P692" s="43" t="str">
        <f>VLOOKUP(K692,Maestro!J:K,2,0)</f>
        <v>CEMENTO ART</v>
      </c>
      <c r="Q692" s="43" t="str">
        <f>VLOOKUP(P692,Maestro!E:F,2,0)</f>
        <v>Cemento ART</v>
      </c>
      <c r="R692" s="43">
        <f>VLOOKUP(P692,ORD!$A:$C,3,0)</f>
        <v>7</v>
      </c>
      <c r="S692" t="str">
        <f t="shared" si="12"/>
        <v>7105330101SALMARCemento ART</v>
      </c>
      <c r="T692" t="str">
        <f>IFERROR(VLOOKUP(S692,Maestro!$A:$H,8,0),"Producción")</f>
        <v>Sal Marina</v>
      </c>
      <c r="U692" s="43" t="s">
        <v>182</v>
      </c>
    </row>
    <row r="693" spans="1:21" x14ac:dyDescent="0.3">
      <c r="A693" s="43">
        <v>7105330101</v>
      </c>
      <c r="B693" s="43" t="s">
        <v>443</v>
      </c>
      <c r="C693" s="50"/>
      <c r="D693" s="56">
        <f>Datos!$R$251*Datos!$R$188*(1+Datos!$R$210)</f>
        <v>2271.3018750596048</v>
      </c>
      <c r="E693" s="43" t="s">
        <v>556</v>
      </c>
      <c r="F693" s="43" t="s">
        <v>557</v>
      </c>
      <c r="G693" s="43" t="s">
        <v>563</v>
      </c>
      <c r="H693" s="43" t="s">
        <v>564</v>
      </c>
      <c r="I693" s="43" t="s">
        <v>560</v>
      </c>
      <c r="J693" s="43" t="s">
        <v>444</v>
      </c>
      <c r="K693" s="43">
        <v>700060</v>
      </c>
      <c r="L693" s="43">
        <v>11</v>
      </c>
      <c r="M693" s="43" t="s">
        <v>565</v>
      </c>
      <c r="N693" s="51"/>
      <c r="O693" s="51"/>
      <c r="P693" s="43" t="str">
        <f>VLOOKUP(K693,Maestro!J:K,2,0)</f>
        <v>CEMENTO ART</v>
      </c>
      <c r="Q693" s="43" t="str">
        <f>VLOOKUP(P693,Maestro!E:F,2,0)</f>
        <v>Cemento ART</v>
      </c>
      <c r="R693" s="43">
        <f>VLOOKUP(P693,ORD!$A:$C,3,0)</f>
        <v>7</v>
      </c>
      <c r="S693" t="str">
        <f t="shared" si="12"/>
        <v>7105330101CALIZATRICemento ART</v>
      </c>
      <c r="T693" t="str">
        <f>IFERROR(VLOOKUP(S693,Maestro!$A:$H,8,0),"Producción")</f>
        <v>Caliza Triturada</v>
      </c>
      <c r="U693" s="43" t="s">
        <v>182</v>
      </c>
    </row>
    <row r="694" spans="1:21" x14ac:dyDescent="0.3">
      <c r="A694" s="43">
        <v>7105450101</v>
      </c>
      <c r="B694" s="43" t="s">
        <v>466</v>
      </c>
      <c r="C694" s="50">
        <f>Datos!$R$64*D694+Datos!$R$90*D694</f>
        <v>670884905.64972734</v>
      </c>
      <c r="D694" s="56">
        <f>Datos!$R$251*Datos!$R$189*(1+Datos!$R$221)</f>
        <v>2885.6807087318562</v>
      </c>
      <c r="E694" s="43" t="s">
        <v>556</v>
      </c>
      <c r="F694" s="43" t="s">
        <v>557</v>
      </c>
      <c r="G694" s="43" t="s">
        <v>577</v>
      </c>
      <c r="H694" s="43" t="s">
        <v>578</v>
      </c>
      <c r="I694" s="43" t="s">
        <v>560</v>
      </c>
      <c r="J694" s="43" t="s">
        <v>467</v>
      </c>
      <c r="K694" s="43">
        <v>700060</v>
      </c>
      <c r="L694" s="43">
        <v>11</v>
      </c>
      <c r="M694" s="43" t="s">
        <v>579</v>
      </c>
      <c r="N694" s="51"/>
      <c r="O694" s="51"/>
      <c r="P694" s="43" t="str">
        <f>VLOOKUP(K694,Maestro!J:K,2,0)</f>
        <v>CEMENTO ART</v>
      </c>
      <c r="Q694" s="43" t="str">
        <f>VLOOKUP(P694,Maestro!E:F,2,0)</f>
        <v>Cemento ART</v>
      </c>
      <c r="R694" s="43">
        <f>VLOOKUP(P694,ORD!$A:$C,3,0)</f>
        <v>7</v>
      </c>
      <c r="S694" t="str">
        <f t="shared" si="12"/>
        <v>7105450101YESO00001Cemento ART</v>
      </c>
      <c r="T694" t="str">
        <f>IFERROR(VLOOKUP(S694,Maestro!$A:$H,8,0),"Producción")</f>
        <v>Yeso</v>
      </c>
      <c r="U694" s="43" t="s">
        <v>182</v>
      </c>
    </row>
    <row r="695" spans="1:21" x14ac:dyDescent="0.3">
      <c r="A695" s="43">
        <v>7105400101</v>
      </c>
      <c r="B695" s="43" t="s">
        <v>535</v>
      </c>
      <c r="C695" s="50">
        <f>Datos!$R$76*D695</f>
        <v>80248334.121745437</v>
      </c>
      <c r="D695" s="56">
        <f>Datos!$R$251*Datos!$R$194*(1+Datos!$R$229)</f>
        <v>18.253358260412121</v>
      </c>
      <c r="E695" s="43" t="s">
        <v>556</v>
      </c>
      <c r="F695" s="43" t="s">
        <v>557</v>
      </c>
      <c r="G695" s="43" t="s">
        <v>563</v>
      </c>
      <c r="H695" s="43" t="s">
        <v>564</v>
      </c>
      <c r="I695" s="43" t="s">
        <v>560</v>
      </c>
      <c r="J695" s="43" t="s">
        <v>536</v>
      </c>
      <c r="K695" s="43">
        <v>700060</v>
      </c>
      <c r="L695" s="43">
        <v>11</v>
      </c>
      <c r="M695" s="43" t="s">
        <v>580</v>
      </c>
      <c r="N695" s="51"/>
      <c r="O695" s="51"/>
      <c r="P695" s="43" t="str">
        <f>VLOOKUP(K695,Maestro!J:K,2,0)</f>
        <v>CEMENTO ART</v>
      </c>
      <c r="Q695" s="43" t="str">
        <f>VLOOKUP(P695,Maestro!E:F,2,0)</f>
        <v>Cemento ART</v>
      </c>
      <c r="R695" s="43">
        <f>VLOOKUP(P695,ORD!$A:$C,3,0)</f>
        <v>7</v>
      </c>
      <c r="S695" t="str">
        <f t="shared" si="12"/>
        <v>7105400101ADIMOLIENCemento ART</v>
      </c>
      <c r="T695" t="str">
        <f>IFERROR(VLOOKUP(S695,Maestro!$A:$H,8,0),"Producción")</f>
        <v>Aditivo Molienda</v>
      </c>
      <c r="U695" s="43" t="s">
        <v>182</v>
      </c>
    </row>
    <row r="696" spans="1:21" x14ac:dyDescent="0.3">
      <c r="A696" s="43">
        <v>7105400101</v>
      </c>
      <c r="B696" s="43" t="s">
        <v>535</v>
      </c>
      <c r="C696" s="50">
        <f>Datos!$R$93*D696+Datos!$R$90*D696</f>
        <v>0</v>
      </c>
      <c r="D696" s="56">
        <f>Datos!$R$251*Datos!$R$192*(1+Datos!$R$223)</f>
        <v>0</v>
      </c>
      <c r="E696" s="43" t="s">
        <v>556</v>
      </c>
      <c r="F696" s="43" t="s">
        <v>557</v>
      </c>
      <c r="G696" s="43" t="s">
        <v>563</v>
      </c>
      <c r="H696" s="43" t="s">
        <v>564</v>
      </c>
      <c r="I696" s="43" t="s">
        <v>560</v>
      </c>
      <c r="J696" s="43" t="s">
        <v>538</v>
      </c>
      <c r="K696" s="43">
        <v>700060</v>
      </c>
      <c r="L696" s="43">
        <v>11</v>
      </c>
      <c r="M696" s="43" t="s">
        <v>538</v>
      </c>
      <c r="N696" s="51"/>
      <c r="O696" s="51"/>
      <c r="P696" s="43" t="str">
        <f>VLOOKUP(K696,Maestro!J:K,2,0)</f>
        <v>CEMENTO ART</v>
      </c>
      <c r="Q696" s="43" t="str">
        <f>VLOOKUP(P696,Maestro!E:F,2,0)</f>
        <v>Cemento ART</v>
      </c>
      <c r="R696" s="43">
        <f>VLOOKUP(P696,ORD!$A:$C,3,0)</f>
        <v>7</v>
      </c>
      <c r="S696" t="str">
        <f t="shared" si="12"/>
        <v>7105400101PUZOLANACemento ART</v>
      </c>
      <c r="T696" t="str">
        <f>IFERROR(VLOOKUP(S696,Maestro!$A:$H,8,0),"Producción")</f>
        <v>Puzolana</v>
      </c>
      <c r="U696" s="43" t="s">
        <v>182</v>
      </c>
    </row>
    <row r="697" spans="1:21" x14ac:dyDescent="0.3">
      <c r="A697" s="43">
        <v>7105400101</v>
      </c>
      <c r="B697" s="43" t="s">
        <v>535</v>
      </c>
      <c r="C697" s="50"/>
      <c r="D697" s="56">
        <f>Datos!$R$251*Datos!$R$191*(1+Datos!$R$218)</f>
        <v>1097.0085780925078</v>
      </c>
      <c r="E697" s="43" t="s">
        <v>556</v>
      </c>
      <c r="F697" s="43" t="s">
        <v>557</v>
      </c>
      <c r="G697" s="43" t="s">
        <v>563</v>
      </c>
      <c r="H697" s="43" t="s">
        <v>564</v>
      </c>
      <c r="I697" s="43" t="s">
        <v>560</v>
      </c>
      <c r="J697" s="43" t="s">
        <v>539</v>
      </c>
      <c r="K697" s="43">
        <v>700060</v>
      </c>
      <c r="L697" s="43">
        <v>11</v>
      </c>
      <c r="M697" s="43" t="s">
        <v>445</v>
      </c>
      <c r="N697" s="51"/>
      <c r="O697" s="51"/>
      <c r="P697" s="43" t="str">
        <f>VLOOKUP(K697,Maestro!J:K,2,0)</f>
        <v>CEMENTO ART</v>
      </c>
      <c r="Q697" s="43" t="str">
        <f>VLOOKUP(P697,Maestro!E:F,2,0)</f>
        <v>Cemento ART</v>
      </c>
      <c r="R697" s="43">
        <f>VLOOKUP(P697,ORD!$A:$C,3,0)</f>
        <v>7</v>
      </c>
      <c r="S697" t="str">
        <f t="shared" si="12"/>
        <v>7105400101CRUDOCemento ART</v>
      </c>
      <c r="T697" t="str">
        <f>IFERROR(VLOOKUP(S697,Maestro!$A:$H,8,0),"Producción")</f>
        <v>Finos Filtro</v>
      </c>
      <c r="U697" s="43" t="s">
        <v>182</v>
      </c>
    </row>
    <row r="698" spans="1:21" x14ac:dyDescent="0.3">
      <c r="A698" s="43">
        <v>7199990001</v>
      </c>
      <c r="B698" s="43" t="s">
        <v>438</v>
      </c>
      <c r="C698" s="50"/>
      <c r="D698" s="56">
        <f>Datos!$R$251*Datos!$R$187*(1+Datos!$R$219)</f>
        <v>30300.574712284124</v>
      </c>
      <c r="E698" s="43" t="s">
        <v>556</v>
      </c>
      <c r="F698" s="43" t="s">
        <v>557</v>
      </c>
      <c r="G698" s="43" t="s">
        <v>567</v>
      </c>
      <c r="H698" s="43" t="s">
        <v>568</v>
      </c>
      <c r="I698" s="43" t="s">
        <v>560</v>
      </c>
      <c r="J698" s="43" t="s">
        <v>463</v>
      </c>
      <c r="K698" s="43">
        <v>700060</v>
      </c>
      <c r="L698" s="43">
        <v>11</v>
      </c>
      <c r="M698" s="43" t="s">
        <v>62</v>
      </c>
      <c r="N698" s="51"/>
      <c r="O698" s="51"/>
      <c r="P698" s="43" t="str">
        <f>VLOOKUP(K698,Maestro!J:K,2,0)</f>
        <v>CEMENTO ART</v>
      </c>
      <c r="Q698" s="43" t="str">
        <f>VLOOKUP(P698,Maestro!E:F,2,0)</f>
        <v>Cemento ART</v>
      </c>
      <c r="R698" s="43">
        <f>VLOOKUP(P698,ORD!$A:$C,3,0)</f>
        <v>7</v>
      </c>
      <c r="S698" t="str">
        <f t="shared" si="12"/>
        <v>7199990001CLINKER001Cemento ART</v>
      </c>
      <c r="T698" t="str">
        <f>IFERROR(VLOOKUP(S698,Maestro!$A:$H,8,0),"Producción")</f>
        <v>Clinker</v>
      </c>
      <c r="U698" s="43" t="s">
        <v>182</v>
      </c>
    </row>
    <row r="699" spans="1:21" x14ac:dyDescent="0.3">
      <c r="A699" s="43">
        <v>7999999995</v>
      </c>
      <c r="B699" s="43" t="s">
        <v>566</v>
      </c>
      <c r="C699" s="50"/>
      <c r="D699" s="56">
        <f>-Datos!$R$251</f>
        <v>-36506.716520824244</v>
      </c>
      <c r="E699" s="43" t="s">
        <v>556</v>
      </c>
      <c r="F699" s="43" t="s">
        <v>557</v>
      </c>
      <c r="G699" s="43" t="s">
        <v>567</v>
      </c>
      <c r="H699" s="43" t="s">
        <v>568</v>
      </c>
      <c r="I699" s="43" t="s">
        <v>560</v>
      </c>
      <c r="J699" s="43" t="s">
        <v>472</v>
      </c>
      <c r="K699" s="43">
        <v>700060</v>
      </c>
      <c r="L699" s="43">
        <v>11</v>
      </c>
      <c r="M699" s="43" t="s">
        <v>468</v>
      </c>
      <c r="N699" s="51"/>
      <c r="O699" s="51"/>
      <c r="P699" s="43" t="str">
        <f>VLOOKUP(K699,Maestro!J:K,2,0)</f>
        <v>CEMENTO ART</v>
      </c>
      <c r="Q699" s="43" t="str">
        <f>VLOOKUP(P699,Maestro!E:F,2,0)</f>
        <v>Cemento ART</v>
      </c>
      <c r="R699" s="43">
        <f>VLOOKUP(P699,ORD!$A:$C,3,0)</f>
        <v>7</v>
      </c>
      <c r="S699" t="str">
        <f t="shared" si="12"/>
        <v>7999999995CEMENTOARTCemento ART</v>
      </c>
      <c r="T699" t="str">
        <f>IFERROR(VLOOKUP(S699,Maestro!$A:$H,8,0),"Producción")</f>
        <v>Producción</v>
      </c>
      <c r="U699" s="43" t="s">
        <v>182</v>
      </c>
    </row>
    <row r="700" spans="1:21" x14ac:dyDescent="0.3">
      <c r="A700" s="43">
        <v>7355250320</v>
      </c>
      <c r="B700" s="43" t="s">
        <v>490</v>
      </c>
      <c r="C700" s="52">
        <f>Datos!$R$120*D700</f>
        <v>54492861.173781581</v>
      </c>
      <c r="D700" s="56">
        <f>Datos!$R$251</f>
        <v>36506.716520824244</v>
      </c>
      <c r="E700" s="57"/>
      <c r="F700" s="58"/>
      <c r="G700" s="43"/>
      <c r="H700" s="43"/>
      <c r="I700" s="43" t="s">
        <v>560</v>
      </c>
      <c r="J700" s="43" t="s">
        <v>802</v>
      </c>
      <c r="K700" s="43">
        <v>700060</v>
      </c>
      <c r="L700" s="43">
        <v>11</v>
      </c>
      <c r="M700" s="43" t="s">
        <v>468</v>
      </c>
      <c r="N700" s="53"/>
      <c r="O700" s="53"/>
      <c r="P700" s="43" t="str">
        <f>VLOOKUP(K700,Maestro!J:K,2,0)</f>
        <v>CEMENTO ART</v>
      </c>
      <c r="Q700" s="43" t="str">
        <f>VLOOKUP(P700,Maestro!E:F,2,0)</f>
        <v>Cemento ART</v>
      </c>
      <c r="R700" s="43">
        <f>VLOOKUP(P700,ORD!$A:$C,3,0)</f>
        <v>7</v>
      </c>
      <c r="S700" t="str">
        <f t="shared" si="12"/>
        <v>7355250320PLACAS Y SEGMENTOSCemento ART</v>
      </c>
      <c r="T700" t="str">
        <f>IFERROR(VLOOKUP(S700,Maestro!$A:$H,8,0),"Producción")</f>
        <v>Placas y Segmentos</v>
      </c>
      <c r="U700" s="43" t="s">
        <v>182</v>
      </c>
    </row>
    <row r="701" spans="1:21" x14ac:dyDescent="0.3">
      <c r="A701" s="43">
        <v>7105330101</v>
      </c>
      <c r="B701" s="43" t="s">
        <v>443</v>
      </c>
      <c r="C701" s="52">
        <f>Datos!$S$77*D701</f>
        <v>0</v>
      </c>
      <c r="D701" s="56">
        <f>Datos!$S$251*Datos!$S$190*(1+Datos!$S$222)</f>
        <v>0</v>
      </c>
      <c r="E701" s="43" t="s">
        <v>556</v>
      </c>
      <c r="F701" s="43" t="s">
        <v>557</v>
      </c>
      <c r="G701" s="43" t="s">
        <v>563</v>
      </c>
      <c r="H701" s="43" t="s">
        <v>564</v>
      </c>
      <c r="I701" s="43" t="s">
        <v>560</v>
      </c>
      <c r="J701" s="43" t="s">
        <v>519</v>
      </c>
      <c r="K701" s="43">
        <v>700060</v>
      </c>
      <c r="L701" s="43">
        <v>12</v>
      </c>
      <c r="M701" s="43" t="s">
        <v>576</v>
      </c>
      <c r="N701" s="51"/>
      <c r="O701" s="51"/>
      <c r="P701" s="43" t="str">
        <f>VLOOKUP(K701,Maestro!J:K,2,0)</f>
        <v>CEMENTO ART</v>
      </c>
      <c r="Q701" s="43" t="str">
        <f>VLOOKUP(P701,Maestro!E:F,2,0)</f>
        <v>Cemento ART</v>
      </c>
      <c r="R701" s="43">
        <f>VLOOKUP(P701,ORD!$A:$C,3,0)</f>
        <v>7</v>
      </c>
      <c r="S701" t="str">
        <f t="shared" si="12"/>
        <v>7105330101SALMARCemento ART</v>
      </c>
      <c r="T701" t="str">
        <f>IFERROR(VLOOKUP(S701,Maestro!$A:$H,8,0),"Producción")</f>
        <v>Sal Marina</v>
      </c>
      <c r="U701" s="43" t="s">
        <v>182</v>
      </c>
    </row>
    <row r="702" spans="1:21" x14ac:dyDescent="0.3">
      <c r="A702" s="43">
        <v>7105330101</v>
      </c>
      <c r="B702" s="43" t="s">
        <v>443</v>
      </c>
      <c r="C702" s="50"/>
      <c r="D702" s="56">
        <f>Datos!$S$251*Datos!$S$188*(1+Datos!$S$210)</f>
        <v>2214.4759788776105</v>
      </c>
      <c r="E702" s="43" t="s">
        <v>556</v>
      </c>
      <c r="F702" s="43" t="s">
        <v>557</v>
      </c>
      <c r="G702" s="43" t="s">
        <v>563</v>
      </c>
      <c r="H702" s="43" t="s">
        <v>564</v>
      </c>
      <c r="I702" s="43" t="s">
        <v>560</v>
      </c>
      <c r="J702" s="43" t="s">
        <v>444</v>
      </c>
      <c r="K702" s="43">
        <v>700060</v>
      </c>
      <c r="L702" s="43">
        <v>12</v>
      </c>
      <c r="M702" s="43" t="s">
        <v>565</v>
      </c>
      <c r="N702" s="51"/>
      <c r="O702" s="51"/>
      <c r="P702" s="43" t="str">
        <f>VLOOKUP(K702,Maestro!J:K,2,0)</f>
        <v>CEMENTO ART</v>
      </c>
      <c r="Q702" s="43" t="str">
        <f>VLOOKUP(P702,Maestro!E:F,2,0)</f>
        <v>Cemento ART</v>
      </c>
      <c r="R702" s="43">
        <f>VLOOKUP(P702,ORD!$A:$C,3,0)</f>
        <v>7</v>
      </c>
      <c r="S702" t="str">
        <f t="shared" si="12"/>
        <v>7105330101CALIZATRICemento ART</v>
      </c>
      <c r="T702" t="str">
        <f>IFERROR(VLOOKUP(S702,Maestro!$A:$H,8,0),"Producción")</f>
        <v>Caliza Triturada</v>
      </c>
      <c r="U702" s="43" t="s">
        <v>182</v>
      </c>
    </row>
    <row r="703" spans="1:21" x14ac:dyDescent="0.3">
      <c r="A703" s="43">
        <v>7105450101</v>
      </c>
      <c r="B703" s="43" t="s">
        <v>466</v>
      </c>
      <c r="C703" s="50">
        <f>Datos!$S$64*D703+Datos!$S$90*D703</f>
        <v>654800921.20656407</v>
      </c>
      <c r="D703" s="56">
        <f>Datos!$S$251*Datos!$S$189*(1+Datos!$S$221)</f>
        <v>2813.4836158797766</v>
      </c>
      <c r="E703" s="43" t="s">
        <v>556</v>
      </c>
      <c r="F703" s="43" t="s">
        <v>557</v>
      </c>
      <c r="G703" s="43" t="s">
        <v>577</v>
      </c>
      <c r="H703" s="43" t="s">
        <v>578</v>
      </c>
      <c r="I703" s="43" t="s">
        <v>560</v>
      </c>
      <c r="J703" s="43" t="s">
        <v>467</v>
      </c>
      <c r="K703" s="43">
        <v>700060</v>
      </c>
      <c r="L703" s="43">
        <v>12</v>
      </c>
      <c r="M703" s="43" t="s">
        <v>579</v>
      </c>
      <c r="N703" s="51"/>
      <c r="O703" s="51"/>
      <c r="P703" s="43" t="str">
        <f>VLOOKUP(K703,Maestro!J:K,2,0)</f>
        <v>CEMENTO ART</v>
      </c>
      <c r="Q703" s="43" t="str">
        <f>VLOOKUP(P703,Maestro!E:F,2,0)</f>
        <v>Cemento ART</v>
      </c>
      <c r="R703" s="43">
        <f>VLOOKUP(P703,ORD!$A:$C,3,0)</f>
        <v>7</v>
      </c>
      <c r="S703" t="str">
        <f t="shared" si="12"/>
        <v>7105450101YESO00001Cemento ART</v>
      </c>
      <c r="T703" t="str">
        <f>IFERROR(VLOOKUP(S703,Maestro!$A:$H,8,0),"Producción")</f>
        <v>Yeso</v>
      </c>
      <c r="U703" s="43" t="s">
        <v>182</v>
      </c>
    </row>
    <row r="704" spans="1:21" x14ac:dyDescent="0.3">
      <c r="A704" s="43">
        <v>7105400101</v>
      </c>
      <c r="B704" s="43" t="s">
        <v>535</v>
      </c>
      <c r="C704" s="50">
        <f>Datos!$S$76*D704</f>
        <v>78240594.175922245</v>
      </c>
      <c r="D704" s="56">
        <f>Datos!$S$251*Datos!$S$194*(1+Datos!$S$229)</f>
        <v>17.796675926430556</v>
      </c>
      <c r="E704" s="43" t="s">
        <v>556</v>
      </c>
      <c r="F704" s="43" t="s">
        <v>557</v>
      </c>
      <c r="G704" s="43" t="s">
        <v>563</v>
      </c>
      <c r="H704" s="43" t="s">
        <v>564</v>
      </c>
      <c r="I704" s="43" t="s">
        <v>560</v>
      </c>
      <c r="J704" s="43" t="s">
        <v>536</v>
      </c>
      <c r="K704" s="43">
        <v>700060</v>
      </c>
      <c r="L704" s="43">
        <v>12</v>
      </c>
      <c r="M704" s="43" t="s">
        <v>580</v>
      </c>
      <c r="N704" s="51"/>
      <c r="O704" s="51"/>
      <c r="P704" s="43" t="str">
        <f>VLOOKUP(K704,Maestro!J:K,2,0)</f>
        <v>CEMENTO ART</v>
      </c>
      <c r="Q704" s="43" t="str">
        <f>VLOOKUP(P704,Maestro!E:F,2,0)</f>
        <v>Cemento ART</v>
      </c>
      <c r="R704" s="43">
        <f>VLOOKUP(P704,ORD!$A:$C,3,0)</f>
        <v>7</v>
      </c>
      <c r="S704" t="str">
        <f t="shared" si="12"/>
        <v>7105400101ADIMOLIENCemento ART</v>
      </c>
      <c r="T704" t="str">
        <f>IFERROR(VLOOKUP(S704,Maestro!$A:$H,8,0),"Producción")</f>
        <v>Aditivo Molienda</v>
      </c>
      <c r="U704" s="43" t="s">
        <v>182</v>
      </c>
    </row>
    <row r="705" spans="1:21" x14ac:dyDescent="0.3">
      <c r="A705" s="43">
        <v>7105400101</v>
      </c>
      <c r="B705" s="43" t="s">
        <v>535</v>
      </c>
      <c r="C705" s="50">
        <f>Datos!$S$93*D705+Datos!$S$90*D705</f>
        <v>0</v>
      </c>
      <c r="D705" s="56">
        <f>Datos!$S$251*Datos!$S$192*(1+Datos!$S$223)</f>
        <v>0</v>
      </c>
      <c r="E705" s="43" t="s">
        <v>556</v>
      </c>
      <c r="F705" s="43" t="s">
        <v>557</v>
      </c>
      <c r="G705" s="43" t="s">
        <v>563</v>
      </c>
      <c r="H705" s="43" t="s">
        <v>564</v>
      </c>
      <c r="I705" s="43" t="s">
        <v>560</v>
      </c>
      <c r="J705" s="43" t="s">
        <v>538</v>
      </c>
      <c r="K705" s="43">
        <v>700060</v>
      </c>
      <c r="L705" s="43">
        <v>12</v>
      </c>
      <c r="M705" s="43" t="s">
        <v>538</v>
      </c>
      <c r="N705" s="51"/>
      <c r="O705" s="51"/>
      <c r="P705" s="43" t="str">
        <f>VLOOKUP(K705,Maestro!J:K,2,0)</f>
        <v>CEMENTO ART</v>
      </c>
      <c r="Q705" s="43" t="str">
        <f>VLOOKUP(P705,Maestro!E:F,2,0)</f>
        <v>Cemento ART</v>
      </c>
      <c r="R705" s="43">
        <f>VLOOKUP(P705,ORD!$A:$C,3,0)</f>
        <v>7</v>
      </c>
      <c r="S705" t="str">
        <f t="shared" si="12"/>
        <v>7105400101PUZOLANACemento ART</v>
      </c>
      <c r="T705" t="str">
        <f>IFERROR(VLOOKUP(S705,Maestro!$A:$H,8,0),"Producción")</f>
        <v>Puzolana</v>
      </c>
      <c r="U705" s="43" t="s">
        <v>182</v>
      </c>
    </row>
    <row r="706" spans="1:21" x14ac:dyDescent="0.3">
      <c r="A706" s="43">
        <v>7105400101</v>
      </c>
      <c r="B706" s="43" t="s">
        <v>535</v>
      </c>
      <c r="C706" s="50"/>
      <c r="D706" s="56">
        <f>Datos!$S$251*Datos!$S$191*(1+Datos!$S$218)</f>
        <v>1069.5624265025499</v>
      </c>
      <c r="E706" s="43" t="s">
        <v>556</v>
      </c>
      <c r="F706" s="43" t="s">
        <v>557</v>
      </c>
      <c r="G706" s="43" t="s">
        <v>563</v>
      </c>
      <c r="H706" s="43" t="s">
        <v>564</v>
      </c>
      <c r="I706" s="43" t="s">
        <v>560</v>
      </c>
      <c r="J706" s="43" t="s">
        <v>539</v>
      </c>
      <c r="K706" s="43">
        <v>700060</v>
      </c>
      <c r="L706" s="43">
        <v>12</v>
      </c>
      <c r="M706" s="43" t="s">
        <v>445</v>
      </c>
      <c r="N706" s="51"/>
      <c r="O706" s="51"/>
      <c r="P706" s="43" t="str">
        <f>VLOOKUP(K706,Maestro!J:K,2,0)</f>
        <v>CEMENTO ART</v>
      </c>
      <c r="Q706" s="43" t="str">
        <f>VLOOKUP(P706,Maestro!E:F,2,0)</f>
        <v>Cemento ART</v>
      </c>
      <c r="R706" s="43">
        <f>VLOOKUP(P706,ORD!$A:$C,3,0)</f>
        <v>7</v>
      </c>
      <c r="S706" t="str">
        <f t="shared" si="12"/>
        <v>7105400101CRUDOCemento ART</v>
      </c>
      <c r="T706" t="str">
        <f>IFERROR(VLOOKUP(S706,Maestro!$A:$H,8,0),"Producción")</f>
        <v>Finos Filtro</v>
      </c>
      <c r="U706" s="43" t="s">
        <v>182</v>
      </c>
    </row>
    <row r="707" spans="1:21" x14ac:dyDescent="0.3">
      <c r="A707" s="43">
        <v>7199990001</v>
      </c>
      <c r="B707" s="43" t="s">
        <v>438</v>
      </c>
      <c r="C707" s="50"/>
      <c r="D707" s="56">
        <f>Datos!$S$251*Datos!$S$187*(1+Datos!$S$219)</f>
        <v>29542.482037874724</v>
      </c>
      <c r="E707" s="43" t="s">
        <v>556</v>
      </c>
      <c r="F707" s="43" t="s">
        <v>557</v>
      </c>
      <c r="G707" s="43" t="s">
        <v>567</v>
      </c>
      <c r="H707" s="43" t="s">
        <v>568</v>
      </c>
      <c r="I707" s="43" t="s">
        <v>560</v>
      </c>
      <c r="J707" s="43" t="s">
        <v>463</v>
      </c>
      <c r="K707" s="43">
        <v>700060</v>
      </c>
      <c r="L707" s="43">
        <v>12</v>
      </c>
      <c r="M707" s="43" t="s">
        <v>62</v>
      </c>
      <c r="N707" s="51"/>
      <c r="O707" s="51"/>
      <c r="P707" s="43" t="str">
        <f>VLOOKUP(K707,Maestro!J:K,2,0)</f>
        <v>CEMENTO ART</v>
      </c>
      <c r="Q707" s="43" t="str">
        <f>VLOOKUP(P707,Maestro!E:F,2,0)</f>
        <v>Cemento ART</v>
      </c>
      <c r="R707" s="43">
        <f>VLOOKUP(P707,ORD!$A:$C,3,0)</f>
        <v>7</v>
      </c>
      <c r="S707" t="str">
        <f t="shared" si="12"/>
        <v>7199990001CLINKER001Cemento ART</v>
      </c>
      <c r="T707" t="str">
        <f>IFERROR(VLOOKUP(S707,Maestro!$A:$H,8,0),"Producción")</f>
        <v>Clinker</v>
      </c>
      <c r="U707" s="43" t="s">
        <v>182</v>
      </c>
    </row>
    <row r="708" spans="1:21" x14ac:dyDescent="0.3">
      <c r="A708" s="43">
        <v>7999999995</v>
      </c>
      <c r="B708" s="43" t="s">
        <v>566</v>
      </c>
      <c r="C708" s="50"/>
      <c r="D708" s="56">
        <f>-Datos!$S$251</f>
        <v>-35593.351852861109</v>
      </c>
      <c r="E708" s="43" t="s">
        <v>556</v>
      </c>
      <c r="F708" s="43" t="s">
        <v>557</v>
      </c>
      <c r="G708" s="43" t="s">
        <v>567</v>
      </c>
      <c r="H708" s="43" t="s">
        <v>568</v>
      </c>
      <c r="I708" s="43" t="s">
        <v>560</v>
      </c>
      <c r="J708" s="43" t="s">
        <v>472</v>
      </c>
      <c r="K708" s="43">
        <v>700060</v>
      </c>
      <c r="L708" s="43">
        <v>12</v>
      </c>
      <c r="M708" s="43" t="s">
        <v>468</v>
      </c>
      <c r="N708" s="51"/>
      <c r="O708" s="51"/>
      <c r="P708" s="43" t="str">
        <f>VLOOKUP(K708,Maestro!J:K,2,0)</f>
        <v>CEMENTO ART</v>
      </c>
      <c r="Q708" s="43" t="str">
        <f>VLOOKUP(P708,Maestro!E:F,2,0)</f>
        <v>Cemento ART</v>
      </c>
      <c r="R708" s="43">
        <f>VLOOKUP(P708,ORD!$A:$C,3,0)</f>
        <v>7</v>
      </c>
      <c r="S708" t="str">
        <f t="shared" si="12"/>
        <v>7999999995CEMENTOARTCemento ART</v>
      </c>
      <c r="T708" t="str">
        <f>IFERROR(VLOOKUP(S708,Maestro!$A:$H,8,0),"Producción")</f>
        <v>Producción</v>
      </c>
      <c r="U708" s="43" t="s">
        <v>182</v>
      </c>
    </row>
    <row r="709" spans="1:21" x14ac:dyDescent="0.3">
      <c r="A709" s="43">
        <v>7355250320</v>
      </c>
      <c r="B709" s="43" t="s">
        <v>490</v>
      </c>
      <c r="C709" s="52">
        <f>Datos!$S$120*D709</f>
        <v>53129499.611972503</v>
      </c>
      <c r="D709" s="56">
        <f>Datos!$S$251</f>
        <v>35593.351852861109</v>
      </c>
      <c r="E709" s="57"/>
      <c r="F709" s="58"/>
      <c r="G709" s="43"/>
      <c r="H709" s="43"/>
      <c r="I709" s="43" t="s">
        <v>560</v>
      </c>
      <c r="J709" s="43" t="s">
        <v>802</v>
      </c>
      <c r="K709" s="43">
        <v>700060</v>
      </c>
      <c r="L709" s="43">
        <v>12</v>
      </c>
      <c r="M709" s="43" t="s">
        <v>468</v>
      </c>
      <c r="N709" s="53"/>
      <c r="O709" s="53"/>
      <c r="P709" s="43" t="str">
        <f>VLOOKUP(K709,Maestro!J:K,2,0)</f>
        <v>CEMENTO ART</v>
      </c>
      <c r="Q709" s="43" t="str">
        <f>VLOOKUP(P709,Maestro!E:F,2,0)</f>
        <v>Cemento ART</v>
      </c>
      <c r="R709" s="43">
        <f>VLOOKUP(P709,ORD!$A:$C,3,0)</f>
        <v>7</v>
      </c>
      <c r="S709" t="str">
        <f t="shared" si="12"/>
        <v>7355250320PLACAS Y SEGMENTOSCemento ART</v>
      </c>
      <c r="T709" t="str">
        <f>IFERROR(VLOOKUP(S709,Maestro!$A:$H,8,0),"Producción")</f>
        <v>Placas y Segmentos</v>
      </c>
      <c r="U709" s="43" t="s">
        <v>182</v>
      </c>
    </row>
    <row r="710" spans="1:21" x14ac:dyDescent="0.3">
      <c r="A710" s="43">
        <v>7105330101</v>
      </c>
      <c r="B710" s="43" t="s">
        <v>443</v>
      </c>
      <c r="C710" s="52"/>
      <c r="D710" s="52"/>
      <c r="E710" s="43" t="s">
        <v>556</v>
      </c>
      <c r="F710" s="43" t="s">
        <v>557</v>
      </c>
      <c r="G710" s="43" t="s">
        <v>563</v>
      </c>
      <c r="H710" s="43" t="s">
        <v>564</v>
      </c>
      <c r="I710" s="43" t="s">
        <v>560</v>
      </c>
      <c r="J710" s="43" t="s">
        <v>444</v>
      </c>
      <c r="K710" s="43">
        <v>700090</v>
      </c>
      <c r="L710" s="43">
        <v>1</v>
      </c>
      <c r="M710" s="43" t="s">
        <v>565</v>
      </c>
      <c r="N710" s="51"/>
      <c r="O710" s="51"/>
      <c r="P710" s="43" t="str">
        <f>VLOOKUP(K710,Maestro!J:K,2,0)</f>
        <v>CEMENTO UG TP</v>
      </c>
      <c r="Q710" s="43" t="str">
        <f>VLOOKUP(P710,Maestro!E:F,2,0)</f>
        <v>Cemento UG TP</v>
      </c>
      <c r="R710" s="43">
        <f>VLOOKUP(P710,ORD!$A:$C,3,0)</f>
        <v>15</v>
      </c>
      <c r="S710" t="str">
        <f t="shared" si="12"/>
        <v>7105330101CALIZATRICemento UG TP</v>
      </c>
      <c r="T710" t="str">
        <f>IFERROR(VLOOKUP(S710,Maestro!$A:$H,8,0),"Producción")</f>
        <v>Caliza Triturada</v>
      </c>
      <c r="U710" s="43" t="s">
        <v>182</v>
      </c>
    </row>
    <row r="711" spans="1:21" x14ac:dyDescent="0.3">
      <c r="A711" s="43">
        <v>7105450101</v>
      </c>
      <c r="B711" s="43" t="s">
        <v>466</v>
      </c>
      <c r="C711" s="52"/>
      <c r="D711" s="52"/>
      <c r="E711" s="43" t="s">
        <v>556</v>
      </c>
      <c r="F711" s="43" t="s">
        <v>557</v>
      </c>
      <c r="G711" s="43" t="s">
        <v>577</v>
      </c>
      <c r="H711" s="43" t="s">
        <v>578</v>
      </c>
      <c r="I711" s="43" t="s">
        <v>560</v>
      </c>
      <c r="J711" s="43" t="s">
        <v>467</v>
      </c>
      <c r="K711" s="43">
        <v>700090</v>
      </c>
      <c r="L711" s="43">
        <v>1</v>
      </c>
      <c r="M711" s="43" t="s">
        <v>579</v>
      </c>
      <c r="N711" s="51"/>
      <c r="O711" s="51"/>
      <c r="P711" s="43" t="str">
        <f>VLOOKUP(K711,Maestro!J:K,2,0)</f>
        <v>CEMENTO UG TP</v>
      </c>
      <c r="Q711" s="43" t="str">
        <f>VLOOKUP(P711,Maestro!E:F,2,0)</f>
        <v>Cemento UG TP</v>
      </c>
      <c r="R711" s="43">
        <f>VLOOKUP(P711,ORD!$A:$C,3,0)</f>
        <v>15</v>
      </c>
      <c r="S711" t="str">
        <f t="shared" si="12"/>
        <v>7105450101YESO00001Cemento UG TP</v>
      </c>
      <c r="T711" t="str">
        <f>IFERROR(VLOOKUP(S711,Maestro!$A:$H,8,0),"Producción")</f>
        <v>Yeso</v>
      </c>
      <c r="U711" s="43" t="s">
        <v>182</v>
      </c>
    </row>
    <row r="712" spans="1:21" x14ac:dyDescent="0.3">
      <c r="A712" s="43">
        <v>7199990001</v>
      </c>
      <c r="B712" s="43" t="s">
        <v>438</v>
      </c>
      <c r="C712" s="52"/>
      <c r="D712" s="52"/>
      <c r="E712" s="43" t="s">
        <v>556</v>
      </c>
      <c r="F712" s="43" t="s">
        <v>557</v>
      </c>
      <c r="G712" s="43" t="s">
        <v>567</v>
      </c>
      <c r="H712" s="43" t="s">
        <v>568</v>
      </c>
      <c r="I712" s="43" t="s">
        <v>560</v>
      </c>
      <c r="J712" s="43" t="s">
        <v>463</v>
      </c>
      <c r="K712" s="43">
        <v>700090</v>
      </c>
      <c r="L712" s="43">
        <v>1</v>
      </c>
      <c r="M712" s="43" t="s">
        <v>62</v>
      </c>
      <c r="N712" s="51"/>
      <c r="O712" s="51"/>
      <c r="P712" s="43" t="str">
        <f>VLOOKUP(K712,Maestro!J:K,2,0)</f>
        <v>CEMENTO UG TP</v>
      </c>
      <c r="Q712" s="43" t="str">
        <f>VLOOKUP(P712,Maestro!E:F,2,0)</f>
        <v>Cemento UG TP</v>
      </c>
      <c r="R712" s="43">
        <f>VLOOKUP(P712,ORD!$A:$C,3,0)</f>
        <v>15</v>
      </c>
      <c r="S712" t="str">
        <f t="shared" si="12"/>
        <v>7199990001CLINKER001Cemento UG TP</v>
      </c>
      <c r="T712" t="str">
        <f>IFERROR(VLOOKUP(S712,Maestro!$A:$H,8,0),"Producción")</f>
        <v>Clinker</v>
      </c>
      <c r="U712" s="43" t="s">
        <v>182</v>
      </c>
    </row>
    <row r="713" spans="1:21" x14ac:dyDescent="0.3">
      <c r="A713" s="43">
        <v>7999999995</v>
      </c>
      <c r="B713" s="43" t="s">
        <v>566</v>
      </c>
      <c r="C713" s="52"/>
      <c r="D713" s="166"/>
      <c r="E713" s="43" t="s">
        <v>556</v>
      </c>
      <c r="F713" s="43" t="s">
        <v>557</v>
      </c>
      <c r="G713" s="43" t="s">
        <v>567</v>
      </c>
      <c r="H713" s="43" t="s">
        <v>568</v>
      </c>
      <c r="I713" s="43" t="s">
        <v>560</v>
      </c>
      <c r="J713" s="43" t="s">
        <v>476</v>
      </c>
      <c r="K713" s="43">
        <v>700090</v>
      </c>
      <c r="L713" s="43">
        <v>1</v>
      </c>
      <c r="M713" s="43" t="s">
        <v>464</v>
      </c>
      <c r="N713" s="51"/>
      <c r="O713" s="51"/>
      <c r="P713" s="43" t="str">
        <f>VLOOKUP(K713,Maestro!J:K,2,0)</f>
        <v>CEMENTO UG TP</v>
      </c>
      <c r="Q713" s="43" t="str">
        <f>VLOOKUP(P713,Maestro!E:F,2,0)</f>
        <v>Cemento UG TP</v>
      </c>
      <c r="R713" s="43">
        <f>VLOOKUP(P713,ORD!$A:$C,3,0)</f>
        <v>15</v>
      </c>
      <c r="S713" t="str">
        <f t="shared" si="12"/>
        <v>7999999995CEMENTOUG1Cemento UG TP</v>
      </c>
      <c r="T713" t="str">
        <f>IFERROR(VLOOKUP(S713,Maestro!$A:$H,8,0),"Producción")</f>
        <v>Producción</v>
      </c>
      <c r="U713" s="43" t="s">
        <v>182</v>
      </c>
    </row>
    <row r="714" spans="1:21" x14ac:dyDescent="0.3">
      <c r="A714" s="43">
        <v>7355250320</v>
      </c>
      <c r="B714" s="43" t="s">
        <v>490</v>
      </c>
      <c r="C714" s="49"/>
      <c r="D714" s="52"/>
      <c r="E714" s="59"/>
      <c r="F714" s="58"/>
      <c r="G714" s="43"/>
      <c r="H714" s="43"/>
      <c r="I714" s="43" t="s">
        <v>560</v>
      </c>
      <c r="J714" s="43" t="s">
        <v>802</v>
      </c>
      <c r="K714" s="43">
        <v>700090</v>
      </c>
      <c r="L714" s="43">
        <v>1</v>
      </c>
      <c r="M714" s="43" t="s">
        <v>464</v>
      </c>
      <c r="N714" s="53"/>
      <c r="O714" s="53"/>
      <c r="P714" s="43" t="str">
        <f>VLOOKUP(K714,Maestro!J:K,2,0)</f>
        <v>CEMENTO UG TP</v>
      </c>
      <c r="Q714" s="43" t="str">
        <f>VLOOKUP(P714,Maestro!E:F,2,0)</f>
        <v>Cemento UG TP</v>
      </c>
      <c r="R714" s="43">
        <f>VLOOKUP(P714,ORD!$A:$C,3,0)</f>
        <v>15</v>
      </c>
      <c r="S714" t="str">
        <f t="shared" si="12"/>
        <v>7355250320PLACAS Y SEGMENTOSCemento UG TP</v>
      </c>
      <c r="T714" t="str">
        <f>IFERROR(VLOOKUP(S714,Maestro!$A:$H,8,0),"Producción")</f>
        <v>Placas y Segmentos</v>
      </c>
      <c r="U714" s="43" t="s">
        <v>182</v>
      </c>
    </row>
    <row r="715" spans="1:21" x14ac:dyDescent="0.3">
      <c r="A715" s="43">
        <v>7105330101</v>
      </c>
      <c r="B715" s="43" t="s">
        <v>443</v>
      </c>
      <c r="C715" s="52"/>
      <c r="D715" s="52"/>
      <c r="E715" s="43" t="s">
        <v>556</v>
      </c>
      <c r="F715" s="43" t="s">
        <v>557</v>
      </c>
      <c r="G715" s="43" t="s">
        <v>563</v>
      </c>
      <c r="H715" s="43" t="s">
        <v>564</v>
      </c>
      <c r="I715" s="43" t="s">
        <v>560</v>
      </c>
      <c r="J715" s="43" t="s">
        <v>519</v>
      </c>
      <c r="K715" s="43">
        <v>700090</v>
      </c>
      <c r="L715" s="43">
        <v>1</v>
      </c>
      <c r="M715" s="43" t="s">
        <v>576</v>
      </c>
      <c r="N715" s="51"/>
      <c r="O715" s="51"/>
      <c r="P715" s="43" t="str">
        <f>VLOOKUP(K715,Maestro!J:K,2,0)</f>
        <v>CEMENTO UG TP</v>
      </c>
      <c r="Q715" s="43" t="str">
        <f>VLOOKUP(P715,Maestro!E:F,2,0)</f>
        <v>Cemento UG TP</v>
      </c>
      <c r="R715" s="43">
        <f>VLOOKUP(P715,ORD!$A:$C,3,0)</f>
        <v>15</v>
      </c>
      <c r="S715" t="str">
        <f t="shared" si="12"/>
        <v>7105330101SALMARCemento UG TP</v>
      </c>
      <c r="T715" t="str">
        <f>IFERROR(VLOOKUP(S715,Maestro!$A:$H,8,0),"Producción")</f>
        <v>Sal Marina</v>
      </c>
      <c r="U715" s="43" t="s">
        <v>182</v>
      </c>
    </row>
    <row r="716" spans="1:21" x14ac:dyDescent="0.3">
      <c r="A716" s="43">
        <v>7105330101</v>
      </c>
      <c r="B716" s="43" t="s">
        <v>443</v>
      </c>
      <c r="C716" s="52"/>
      <c r="D716" s="52"/>
      <c r="E716" s="43" t="s">
        <v>556</v>
      </c>
      <c r="F716" s="43" t="s">
        <v>557</v>
      </c>
      <c r="G716" s="43" t="s">
        <v>563</v>
      </c>
      <c r="H716" s="43" t="s">
        <v>564</v>
      </c>
      <c r="I716" s="43" t="s">
        <v>560</v>
      </c>
      <c r="J716" s="43" t="s">
        <v>444</v>
      </c>
      <c r="K716" s="43">
        <v>700090</v>
      </c>
      <c r="L716" s="43">
        <v>2</v>
      </c>
      <c r="M716" s="43" t="s">
        <v>565</v>
      </c>
      <c r="N716" s="51"/>
      <c r="O716" s="51"/>
      <c r="P716" s="43" t="str">
        <f>VLOOKUP(K716,Maestro!J:K,2,0)</f>
        <v>CEMENTO UG TP</v>
      </c>
      <c r="Q716" s="43" t="str">
        <f>VLOOKUP(P716,Maestro!E:F,2,0)</f>
        <v>Cemento UG TP</v>
      </c>
      <c r="R716" s="43">
        <f>VLOOKUP(P716,ORD!$A:$C,3,0)</f>
        <v>15</v>
      </c>
      <c r="S716" t="str">
        <f t="shared" si="12"/>
        <v>7105330101CALIZATRICemento UG TP</v>
      </c>
      <c r="T716" t="str">
        <f>IFERROR(VLOOKUP(S716,Maestro!$A:$H,8,0),"Producción")</f>
        <v>Caliza Triturada</v>
      </c>
      <c r="U716" s="43" t="s">
        <v>182</v>
      </c>
    </row>
    <row r="717" spans="1:21" x14ac:dyDescent="0.3">
      <c r="A717" s="43">
        <v>7105450101</v>
      </c>
      <c r="B717" s="43" t="s">
        <v>466</v>
      </c>
      <c r="C717" s="52"/>
      <c r="D717" s="52"/>
      <c r="E717" s="43" t="s">
        <v>556</v>
      </c>
      <c r="F717" s="43" t="s">
        <v>557</v>
      </c>
      <c r="G717" s="43" t="s">
        <v>577</v>
      </c>
      <c r="H717" s="43" t="s">
        <v>578</v>
      </c>
      <c r="I717" s="43" t="s">
        <v>560</v>
      </c>
      <c r="J717" s="43" t="s">
        <v>467</v>
      </c>
      <c r="K717" s="43">
        <v>700090</v>
      </c>
      <c r="L717" s="43">
        <v>2</v>
      </c>
      <c r="M717" s="43" t="s">
        <v>579</v>
      </c>
      <c r="N717" s="51"/>
      <c r="O717" s="51"/>
      <c r="P717" s="43" t="str">
        <f>VLOOKUP(K717,Maestro!J:K,2,0)</f>
        <v>CEMENTO UG TP</v>
      </c>
      <c r="Q717" s="43" t="str">
        <f>VLOOKUP(P717,Maestro!E:F,2,0)</f>
        <v>Cemento UG TP</v>
      </c>
      <c r="R717" s="43">
        <f>VLOOKUP(P717,ORD!$A:$C,3,0)</f>
        <v>15</v>
      </c>
      <c r="S717" t="str">
        <f t="shared" si="12"/>
        <v>7105450101YESO00001Cemento UG TP</v>
      </c>
      <c r="T717" t="str">
        <f>IFERROR(VLOOKUP(S717,Maestro!$A:$H,8,0),"Producción")</f>
        <v>Yeso</v>
      </c>
      <c r="U717" s="43" t="s">
        <v>182</v>
      </c>
    </row>
    <row r="718" spans="1:21" x14ac:dyDescent="0.3">
      <c r="A718" s="43">
        <v>7199990001</v>
      </c>
      <c r="B718" s="43" t="s">
        <v>438</v>
      </c>
      <c r="C718" s="52"/>
      <c r="D718" s="52"/>
      <c r="E718" s="43" t="s">
        <v>556</v>
      </c>
      <c r="F718" s="43" t="s">
        <v>557</v>
      </c>
      <c r="G718" s="43" t="s">
        <v>567</v>
      </c>
      <c r="H718" s="43" t="s">
        <v>568</v>
      </c>
      <c r="I718" s="43" t="s">
        <v>560</v>
      </c>
      <c r="J718" s="43" t="s">
        <v>463</v>
      </c>
      <c r="K718" s="43">
        <v>700090</v>
      </c>
      <c r="L718" s="43">
        <v>2</v>
      </c>
      <c r="M718" s="43" t="s">
        <v>62</v>
      </c>
      <c r="N718" s="51"/>
      <c r="O718" s="51"/>
      <c r="P718" s="43" t="str">
        <f>VLOOKUP(K718,Maestro!J:K,2,0)</f>
        <v>CEMENTO UG TP</v>
      </c>
      <c r="Q718" s="43" t="str">
        <f>VLOOKUP(P718,Maestro!E:F,2,0)</f>
        <v>Cemento UG TP</v>
      </c>
      <c r="R718" s="43">
        <f>VLOOKUP(P718,ORD!$A:$C,3,0)</f>
        <v>15</v>
      </c>
      <c r="S718" t="str">
        <f t="shared" si="12"/>
        <v>7199990001CLINKER001Cemento UG TP</v>
      </c>
      <c r="T718" t="str">
        <f>IFERROR(VLOOKUP(S718,Maestro!$A:$H,8,0),"Producción")</f>
        <v>Clinker</v>
      </c>
      <c r="U718" s="43" t="s">
        <v>182</v>
      </c>
    </row>
    <row r="719" spans="1:21" x14ac:dyDescent="0.3">
      <c r="A719" s="43">
        <v>7999999995</v>
      </c>
      <c r="B719" s="43" t="s">
        <v>566</v>
      </c>
      <c r="C719" s="52"/>
      <c r="D719" s="166"/>
      <c r="E719" s="43" t="s">
        <v>556</v>
      </c>
      <c r="F719" s="43" t="s">
        <v>557</v>
      </c>
      <c r="G719" s="43" t="s">
        <v>567</v>
      </c>
      <c r="H719" s="43" t="s">
        <v>568</v>
      </c>
      <c r="I719" s="43" t="s">
        <v>560</v>
      </c>
      <c r="J719" s="43" t="s">
        <v>476</v>
      </c>
      <c r="K719" s="43">
        <v>700090</v>
      </c>
      <c r="L719" s="43">
        <v>2</v>
      </c>
      <c r="M719" s="43" t="s">
        <v>464</v>
      </c>
      <c r="N719" s="51"/>
      <c r="O719" s="51"/>
      <c r="P719" s="43" t="str">
        <f>VLOOKUP(K719,Maestro!J:K,2,0)</f>
        <v>CEMENTO UG TP</v>
      </c>
      <c r="Q719" s="43" t="str">
        <f>VLOOKUP(P719,Maestro!E:F,2,0)</f>
        <v>Cemento UG TP</v>
      </c>
      <c r="R719" s="43">
        <f>VLOOKUP(P719,ORD!$A:$C,3,0)</f>
        <v>15</v>
      </c>
      <c r="S719" t="str">
        <f t="shared" si="12"/>
        <v>7999999995CEMENTOUG1Cemento UG TP</v>
      </c>
      <c r="T719" t="str">
        <f>IFERROR(VLOOKUP(S719,Maestro!$A:$H,8,0),"Producción")</f>
        <v>Producción</v>
      </c>
      <c r="U719" s="43" t="s">
        <v>182</v>
      </c>
    </row>
    <row r="720" spans="1:21" x14ac:dyDescent="0.3">
      <c r="A720" s="43">
        <v>7355250320</v>
      </c>
      <c r="B720" s="43" t="s">
        <v>490</v>
      </c>
      <c r="C720" s="49"/>
      <c r="D720" s="52"/>
      <c r="E720" s="59"/>
      <c r="F720" s="58"/>
      <c r="G720" s="43"/>
      <c r="H720" s="43"/>
      <c r="I720" s="43" t="s">
        <v>560</v>
      </c>
      <c r="J720" s="43" t="s">
        <v>802</v>
      </c>
      <c r="K720" s="43">
        <v>700090</v>
      </c>
      <c r="L720" s="43">
        <v>2</v>
      </c>
      <c r="M720" s="43" t="s">
        <v>464</v>
      </c>
      <c r="N720" s="53"/>
      <c r="O720" s="53"/>
      <c r="P720" s="43" t="str">
        <f>VLOOKUP(K720,Maestro!J:K,2,0)</f>
        <v>CEMENTO UG TP</v>
      </c>
      <c r="Q720" s="43" t="str">
        <f>VLOOKUP(P720,Maestro!E:F,2,0)</f>
        <v>Cemento UG TP</v>
      </c>
      <c r="R720" s="43">
        <f>VLOOKUP(P720,ORD!$A:$C,3,0)</f>
        <v>15</v>
      </c>
      <c r="S720" t="str">
        <f t="shared" si="12"/>
        <v>7355250320PLACAS Y SEGMENTOSCemento UG TP</v>
      </c>
      <c r="T720" t="str">
        <f>IFERROR(VLOOKUP(S720,Maestro!$A:$H,8,0),"Producción")</f>
        <v>Placas y Segmentos</v>
      </c>
      <c r="U720" s="43" t="s">
        <v>182</v>
      </c>
    </row>
    <row r="721" spans="1:21" x14ac:dyDescent="0.3">
      <c r="A721" s="43">
        <v>7105330101</v>
      </c>
      <c r="B721" s="43" t="s">
        <v>443</v>
      </c>
      <c r="C721" s="52"/>
      <c r="D721" s="52"/>
      <c r="E721" s="43" t="s">
        <v>556</v>
      </c>
      <c r="F721" s="43" t="s">
        <v>557</v>
      </c>
      <c r="G721" s="43" t="s">
        <v>563</v>
      </c>
      <c r="H721" s="43" t="s">
        <v>564</v>
      </c>
      <c r="I721" s="43" t="s">
        <v>560</v>
      </c>
      <c r="J721" s="43" t="s">
        <v>519</v>
      </c>
      <c r="K721" s="43">
        <v>700090</v>
      </c>
      <c r="L721" s="43">
        <v>2</v>
      </c>
      <c r="M721" s="43" t="s">
        <v>576</v>
      </c>
      <c r="N721" s="51"/>
      <c r="O721" s="51"/>
      <c r="P721" s="43" t="str">
        <f>VLOOKUP(K721,Maestro!J:K,2,0)</f>
        <v>CEMENTO UG TP</v>
      </c>
      <c r="Q721" s="43" t="str">
        <f>VLOOKUP(P721,Maestro!E:F,2,0)</f>
        <v>Cemento UG TP</v>
      </c>
      <c r="R721" s="43">
        <f>VLOOKUP(P721,ORD!$A:$C,3,0)</f>
        <v>15</v>
      </c>
      <c r="S721" t="str">
        <f t="shared" si="12"/>
        <v>7105330101SALMARCemento UG TP</v>
      </c>
      <c r="T721" t="str">
        <f>IFERROR(VLOOKUP(S721,Maestro!$A:$H,8,0),"Producción")</f>
        <v>Sal Marina</v>
      </c>
      <c r="U721" s="43" t="s">
        <v>182</v>
      </c>
    </row>
    <row r="722" spans="1:21" x14ac:dyDescent="0.3">
      <c r="A722" s="43">
        <v>7105330101</v>
      </c>
      <c r="B722" s="43" t="s">
        <v>443</v>
      </c>
      <c r="C722" s="52"/>
      <c r="D722" s="52"/>
      <c r="E722" s="43" t="s">
        <v>556</v>
      </c>
      <c r="F722" s="43" t="s">
        <v>557</v>
      </c>
      <c r="G722" s="43" t="s">
        <v>563</v>
      </c>
      <c r="H722" s="43" t="s">
        <v>564</v>
      </c>
      <c r="I722" s="43" t="s">
        <v>560</v>
      </c>
      <c r="J722" s="43" t="s">
        <v>444</v>
      </c>
      <c r="K722" s="43">
        <v>700090</v>
      </c>
      <c r="L722" s="43">
        <v>3</v>
      </c>
      <c r="M722" s="43" t="s">
        <v>565</v>
      </c>
      <c r="N722" s="51"/>
      <c r="O722" s="51"/>
      <c r="P722" s="43" t="str">
        <f>VLOOKUP(K722,Maestro!J:K,2,0)</f>
        <v>CEMENTO UG TP</v>
      </c>
      <c r="Q722" s="43" t="str">
        <f>VLOOKUP(P722,Maestro!E:F,2,0)</f>
        <v>Cemento UG TP</v>
      </c>
      <c r="R722" s="43">
        <f>VLOOKUP(P722,ORD!$A:$C,3,0)</f>
        <v>15</v>
      </c>
      <c r="S722" t="str">
        <f t="shared" si="12"/>
        <v>7105330101CALIZATRICemento UG TP</v>
      </c>
      <c r="T722" t="str">
        <f>IFERROR(VLOOKUP(S722,Maestro!$A:$H,8,0),"Producción")</f>
        <v>Caliza Triturada</v>
      </c>
      <c r="U722" s="43" t="s">
        <v>182</v>
      </c>
    </row>
    <row r="723" spans="1:21" x14ac:dyDescent="0.3">
      <c r="A723" s="43">
        <v>7105450101</v>
      </c>
      <c r="B723" s="43" t="s">
        <v>466</v>
      </c>
      <c r="C723" s="52"/>
      <c r="D723" s="52"/>
      <c r="E723" s="43" t="s">
        <v>556</v>
      </c>
      <c r="F723" s="43" t="s">
        <v>557</v>
      </c>
      <c r="G723" s="43" t="s">
        <v>577</v>
      </c>
      <c r="H723" s="43" t="s">
        <v>578</v>
      </c>
      <c r="I723" s="43" t="s">
        <v>560</v>
      </c>
      <c r="J723" s="43" t="s">
        <v>467</v>
      </c>
      <c r="K723" s="43">
        <v>700090</v>
      </c>
      <c r="L723" s="43">
        <v>3</v>
      </c>
      <c r="M723" s="43" t="s">
        <v>579</v>
      </c>
      <c r="N723" s="51"/>
      <c r="O723" s="51"/>
      <c r="P723" s="43" t="str">
        <f>VLOOKUP(K723,Maestro!J:K,2,0)</f>
        <v>CEMENTO UG TP</v>
      </c>
      <c r="Q723" s="43" t="str">
        <f>VLOOKUP(P723,Maestro!E:F,2,0)</f>
        <v>Cemento UG TP</v>
      </c>
      <c r="R723" s="43">
        <f>VLOOKUP(P723,ORD!$A:$C,3,0)</f>
        <v>15</v>
      </c>
      <c r="S723" t="str">
        <f t="shared" si="12"/>
        <v>7105450101YESO00001Cemento UG TP</v>
      </c>
      <c r="T723" t="str">
        <f>IFERROR(VLOOKUP(S723,Maestro!$A:$H,8,0),"Producción")</f>
        <v>Yeso</v>
      </c>
      <c r="U723" s="43" t="s">
        <v>182</v>
      </c>
    </row>
    <row r="724" spans="1:21" x14ac:dyDescent="0.3">
      <c r="A724" s="43">
        <v>7199990001</v>
      </c>
      <c r="B724" s="43" t="s">
        <v>438</v>
      </c>
      <c r="C724" s="52"/>
      <c r="D724" s="52"/>
      <c r="E724" s="43" t="s">
        <v>556</v>
      </c>
      <c r="F724" s="43" t="s">
        <v>557</v>
      </c>
      <c r="G724" s="43" t="s">
        <v>567</v>
      </c>
      <c r="H724" s="43" t="s">
        <v>568</v>
      </c>
      <c r="I724" s="43" t="s">
        <v>560</v>
      </c>
      <c r="J724" s="43" t="s">
        <v>463</v>
      </c>
      <c r="K724" s="43">
        <v>700090</v>
      </c>
      <c r="L724" s="43">
        <v>3</v>
      </c>
      <c r="M724" s="43" t="s">
        <v>62</v>
      </c>
      <c r="N724" s="51"/>
      <c r="O724" s="51"/>
      <c r="P724" s="43" t="str">
        <f>VLOOKUP(K724,Maestro!J:K,2,0)</f>
        <v>CEMENTO UG TP</v>
      </c>
      <c r="Q724" s="43" t="str">
        <f>VLOOKUP(P724,Maestro!E:F,2,0)</f>
        <v>Cemento UG TP</v>
      </c>
      <c r="R724" s="43">
        <f>VLOOKUP(P724,ORD!$A:$C,3,0)</f>
        <v>15</v>
      </c>
      <c r="S724" t="str">
        <f t="shared" si="12"/>
        <v>7199990001CLINKER001Cemento UG TP</v>
      </c>
      <c r="T724" t="str">
        <f>IFERROR(VLOOKUP(S724,Maestro!$A:$H,8,0),"Producción")</f>
        <v>Clinker</v>
      </c>
      <c r="U724" s="43" t="s">
        <v>182</v>
      </c>
    </row>
    <row r="725" spans="1:21" x14ac:dyDescent="0.3">
      <c r="A725" s="43">
        <v>7999999995</v>
      </c>
      <c r="B725" s="43" t="s">
        <v>566</v>
      </c>
      <c r="C725" s="52"/>
      <c r="D725" s="166"/>
      <c r="E725" s="43" t="s">
        <v>556</v>
      </c>
      <c r="F725" s="43" t="s">
        <v>557</v>
      </c>
      <c r="G725" s="43" t="s">
        <v>567</v>
      </c>
      <c r="H725" s="43" t="s">
        <v>568</v>
      </c>
      <c r="I725" s="43" t="s">
        <v>560</v>
      </c>
      <c r="J725" s="43" t="s">
        <v>476</v>
      </c>
      <c r="K725" s="43">
        <v>700090</v>
      </c>
      <c r="L725" s="43">
        <v>3</v>
      </c>
      <c r="M725" s="43" t="s">
        <v>464</v>
      </c>
      <c r="N725" s="51"/>
      <c r="O725" s="51"/>
      <c r="P725" s="43" t="str">
        <f>VLOOKUP(K725,Maestro!J:K,2,0)</f>
        <v>CEMENTO UG TP</v>
      </c>
      <c r="Q725" s="43" t="str">
        <f>VLOOKUP(P725,Maestro!E:F,2,0)</f>
        <v>Cemento UG TP</v>
      </c>
      <c r="R725" s="43">
        <f>VLOOKUP(P725,ORD!$A:$C,3,0)</f>
        <v>15</v>
      </c>
      <c r="S725" t="str">
        <f t="shared" si="12"/>
        <v>7999999995CEMENTOUG1Cemento UG TP</v>
      </c>
      <c r="T725" t="str">
        <f>IFERROR(VLOOKUP(S725,Maestro!$A:$H,8,0),"Producción")</f>
        <v>Producción</v>
      </c>
      <c r="U725" s="43" t="s">
        <v>182</v>
      </c>
    </row>
    <row r="726" spans="1:21" x14ac:dyDescent="0.3">
      <c r="A726" s="43">
        <v>7355250320</v>
      </c>
      <c r="B726" s="43" t="s">
        <v>490</v>
      </c>
      <c r="C726" s="49"/>
      <c r="D726" s="52"/>
      <c r="E726" s="59"/>
      <c r="F726" s="58"/>
      <c r="G726" s="43"/>
      <c r="H726" s="43"/>
      <c r="I726" s="43" t="s">
        <v>560</v>
      </c>
      <c r="J726" s="43" t="s">
        <v>802</v>
      </c>
      <c r="K726" s="43">
        <v>700090</v>
      </c>
      <c r="L726" s="43">
        <v>3</v>
      </c>
      <c r="M726" s="43" t="s">
        <v>464</v>
      </c>
      <c r="N726" s="53"/>
      <c r="O726" s="53"/>
      <c r="P726" s="43" t="str">
        <f>VLOOKUP(K726,Maestro!J:K,2,0)</f>
        <v>CEMENTO UG TP</v>
      </c>
      <c r="Q726" s="43" t="str">
        <f>VLOOKUP(P726,Maestro!E:F,2,0)</f>
        <v>Cemento UG TP</v>
      </c>
      <c r="R726" s="43">
        <f>VLOOKUP(P726,ORD!$A:$C,3,0)</f>
        <v>15</v>
      </c>
      <c r="S726" t="str">
        <f t="shared" si="12"/>
        <v>7355250320PLACAS Y SEGMENTOSCemento UG TP</v>
      </c>
      <c r="T726" t="str">
        <f>IFERROR(VLOOKUP(S726,Maestro!$A:$H,8,0),"Producción")</f>
        <v>Placas y Segmentos</v>
      </c>
      <c r="U726" s="43" t="s">
        <v>182</v>
      </c>
    </row>
    <row r="727" spans="1:21" x14ac:dyDescent="0.3">
      <c r="A727" s="43">
        <v>7105330101</v>
      </c>
      <c r="B727" s="43" t="s">
        <v>443</v>
      </c>
      <c r="C727" s="52"/>
      <c r="D727" s="52"/>
      <c r="E727" s="43" t="s">
        <v>556</v>
      </c>
      <c r="F727" s="43" t="s">
        <v>557</v>
      </c>
      <c r="G727" s="43" t="s">
        <v>563</v>
      </c>
      <c r="H727" s="43" t="s">
        <v>564</v>
      </c>
      <c r="I727" s="43" t="s">
        <v>560</v>
      </c>
      <c r="J727" s="43" t="s">
        <v>519</v>
      </c>
      <c r="K727" s="43">
        <v>700090</v>
      </c>
      <c r="L727" s="43">
        <v>3</v>
      </c>
      <c r="M727" s="43" t="s">
        <v>576</v>
      </c>
      <c r="N727" s="51"/>
      <c r="O727" s="51"/>
      <c r="P727" s="43" t="str">
        <f>VLOOKUP(K727,Maestro!J:K,2,0)</f>
        <v>CEMENTO UG TP</v>
      </c>
      <c r="Q727" s="43" t="str">
        <f>VLOOKUP(P727,Maestro!E:F,2,0)</f>
        <v>Cemento UG TP</v>
      </c>
      <c r="R727" s="43">
        <f>VLOOKUP(P727,ORD!$A:$C,3,0)</f>
        <v>15</v>
      </c>
      <c r="S727" t="str">
        <f t="shared" si="12"/>
        <v>7105330101SALMARCemento UG TP</v>
      </c>
      <c r="T727" t="str">
        <f>IFERROR(VLOOKUP(S727,Maestro!$A:$H,8,0),"Producción")</f>
        <v>Sal Marina</v>
      </c>
      <c r="U727" s="43" t="s">
        <v>182</v>
      </c>
    </row>
    <row r="728" spans="1:21" x14ac:dyDescent="0.3">
      <c r="A728" s="43">
        <v>7105330101</v>
      </c>
      <c r="B728" s="43" t="s">
        <v>443</v>
      </c>
      <c r="C728" s="52"/>
      <c r="D728" s="52"/>
      <c r="E728" s="43" t="s">
        <v>556</v>
      </c>
      <c r="F728" s="43" t="s">
        <v>557</v>
      </c>
      <c r="G728" s="43" t="s">
        <v>563</v>
      </c>
      <c r="H728" s="43" t="s">
        <v>564</v>
      </c>
      <c r="I728" s="43" t="s">
        <v>560</v>
      </c>
      <c r="J728" s="43" t="s">
        <v>444</v>
      </c>
      <c r="K728" s="43">
        <v>700090</v>
      </c>
      <c r="L728" s="43">
        <v>4</v>
      </c>
      <c r="M728" s="43" t="s">
        <v>565</v>
      </c>
      <c r="N728" s="51"/>
      <c r="O728" s="51"/>
      <c r="P728" s="43" t="str">
        <f>VLOOKUP(K728,Maestro!J:K,2,0)</f>
        <v>CEMENTO UG TP</v>
      </c>
      <c r="Q728" s="43" t="str">
        <f>VLOOKUP(P728,Maestro!E:F,2,0)</f>
        <v>Cemento UG TP</v>
      </c>
      <c r="R728" s="43">
        <f>VLOOKUP(P728,ORD!$A:$C,3,0)</f>
        <v>15</v>
      </c>
      <c r="S728" t="str">
        <f t="shared" si="12"/>
        <v>7105330101CALIZATRICemento UG TP</v>
      </c>
      <c r="T728" t="str">
        <f>IFERROR(VLOOKUP(S728,Maestro!$A:$H,8,0),"Producción")</f>
        <v>Caliza Triturada</v>
      </c>
      <c r="U728" s="43" t="s">
        <v>182</v>
      </c>
    </row>
    <row r="729" spans="1:21" x14ac:dyDescent="0.3">
      <c r="A729" s="43">
        <v>7105450101</v>
      </c>
      <c r="B729" s="43" t="s">
        <v>466</v>
      </c>
      <c r="C729" s="52"/>
      <c r="D729" s="52"/>
      <c r="E729" s="43" t="s">
        <v>556</v>
      </c>
      <c r="F729" s="43" t="s">
        <v>557</v>
      </c>
      <c r="G729" s="43" t="s">
        <v>577</v>
      </c>
      <c r="H729" s="43" t="s">
        <v>578</v>
      </c>
      <c r="I729" s="43" t="s">
        <v>560</v>
      </c>
      <c r="J729" s="43" t="s">
        <v>467</v>
      </c>
      <c r="K729" s="43">
        <v>700090</v>
      </c>
      <c r="L729" s="43">
        <v>4</v>
      </c>
      <c r="M729" s="43" t="s">
        <v>579</v>
      </c>
      <c r="N729" s="51"/>
      <c r="O729" s="51"/>
      <c r="P729" s="43" t="str">
        <f>VLOOKUP(K729,Maestro!J:K,2,0)</f>
        <v>CEMENTO UG TP</v>
      </c>
      <c r="Q729" s="43" t="str">
        <f>VLOOKUP(P729,Maestro!E:F,2,0)</f>
        <v>Cemento UG TP</v>
      </c>
      <c r="R729" s="43">
        <f>VLOOKUP(P729,ORD!$A:$C,3,0)</f>
        <v>15</v>
      </c>
      <c r="S729" t="str">
        <f t="shared" si="12"/>
        <v>7105450101YESO00001Cemento UG TP</v>
      </c>
      <c r="T729" t="str">
        <f>IFERROR(VLOOKUP(S729,Maestro!$A:$H,8,0),"Producción")</f>
        <v>Yeso</v>
      </c>
      <c r="U729" s="43" t="s">
        <v>182</v>
      </c>
    </row>
    <row r="730" spans="1:21" x14ac:dyDescent="0.3">
      <c r="A730" s="43">
        <v>7199990001</v>
      </c>
      <c r="B730" s="43" t="s">
        <v>438</v>
      </c>
      <c r="C730" s="52"/>
      <c r="D730" s="52"/>
      <c r="E730" s="43" t="s">
        <v>556</v>
      </c>
      <c r="F730" s="43" t="s">
        <v>557</v>
      </c>
      <c r="G730" s="43" t="s">
        <v>567</v>
      </c>
      <c r="H730" s="43" t="s">
        <v>568</v>
      </c>
      <c r="I730" s="43" t="s">
        <v>560</v>
      </c>
      <c r="J730" s="43" t="s">
        <v>463</v>
      </c>
      <c r="K730" s="43">
        <v>700090</v>
      </c>
      <c r="L730" s="43">
        <v>4</v>
      </c>
      <c r="M730" s="43" t="s">
        <v>62</v>
      </c>
      <c r="N730" s="51"/>
      <c r="O730" s="51"/>
      <c r="P730" s="43" t="str">
        <f>VLOOKUP(K730,Maestro!J:K,2,0)</f>
        <v>CEMENTO UG TP</v>
      </c>
      <c r="Q730" s="43" t="str">
        <f>VLOOKUP(P730,Maestro!E:F,2,0)</f>
        <v>Cemento UG TP</v>
      </c>
      <c r="R730" s="43">
        <f>VLOOKUP(P730,ORD!$A:$C,3,0)</f>
        <v>15</v>
      </c>
      <c r="S730" t="str">
        <f t="shared" si="12"/>
        <v>7199990001CLINKER001Cemento UG TP</v>
      </c>
      <c r="T730" t="str">
        <f>IFERROR(VLOOKUP(S730,Maestro!$A:$H,8,0),"Producción")</f>
        <v>Clinker</v>
      </c>
      <c r="U730" s="43" t="s">
        <v>182</v>
      </c>
    </row>
    <row r="731" spans="1:21" x14ac:dyDescent="0.3">
      <c r="A731" s="43">
        <v>7999999995</v>
      </c>
      <c r="B731" s="43" t="s">
        <v>566</v>
      </c>
      <c r="C731" s="52"/>
      <c r="D731" s="166"/>
      <c r="E731" s="43" t="s">
        <v>556</v>
      </c>
      <c r="F731" s="43" t="s">
        <v>557</v>
      </c>
      <c r="G731" s="43" t="s">
        <v>567</v>
      </c>
      <c r="H731" s="43" t="s">
        <v>568</v>
      </c>
      <c r="I731" s="43" t="s">
        <v>560</v>
      </c>
      <c r="J731" s="43" t="s">
        <v>476</v>
      </c>
      <c r="K731" s="43">
        <v>700090</v>
      </c>
      <c r="L731" s="43">
        <v>4</v>
      </c>
      <c r="M731" s="43" t="s">
        <v>464</v>
      </c>
      <c r="N731" s="51"/>
      <c r="O731" s="51"/>
      <c r="P731" s="43" t="str">
        <f>VLOOKUP(K731,Maestro!J:K,2,0)</f>
        <v>CEMENTO UG TP</v>
      </c>
      <c r="Q731" s="43" t="str">
        <f>VLOOKUP(P731,Maestro!E:F,2,0)</f>
        <v>Cemento UG TP</v>
      </c>
      <c r="R731" s="43">
        <f>VLOOKUP(P731,ORD!$A:$C,3,0)</f>
        <v>15</v>
      </c>
      <c r="S731" t="str">
        <f t="shared" si="12"/>
        <v>7999999995CEMENTOUG1Cemento UG TP</v>
      </c>
      <c r="T731" t="str">
        <f>IFERROR(VLOOKUP(S731,Maestro!$A:$H,8,0),"Producción")</f>
        <v>Producción</v>
      </c>
      <c r="U731" s="43" t="s">
        <v>182</v>
      </c>
    </row>
    <row r="732" spans="1:21" x14ac:dyDescent="0.3">
      <c r="A732" s="43">
        <v>7355250320</v>
      </c>
      <c r="B732" s="43" t="s">
        <v>490</v>
      </c>
      <c r="C732" s="49"/>
      <c r="D732" s="52"/>
      <c r="E732" s="59"/>
      <c r="F732" s="58"/>
      <c r="G732" s="43"/>
      <c r="H732" s="43"/>
      <c r="I732" s="43" t="s">
        <v>560</v>
      </c>
      <c r="J732" s="43" t="s">
        <v>802</v>
      </c>
      <c r="K732" s="43">
        <v>700090</v>
      </c>
      <c r="L732" s="43">
        <v>4</v>
      </c>
      <c r="M732" s="43" t="s">
        <v>464</v>
      </c>
      <c r="N732" s="53"/>
      <c r="O732" s="53"/>
      <c r="P732" s="43" t="str">
        <f>VLOOKUP(K732,Maestro!J:K,2,0)</f>
        <v>CEMENTO UG TP</v>
      </c>
      <c r="Q732" s="43" t="str">
        <f>VLOOKUP(P732,Maestro!E:F,2,0)</f>
        <v>Cemento UG TP</v>
      </c>
      <c r="R732" s="43">
        <f>VLOOKUP(P732,ORD!$A:$C,3,0)</f>
        <v>15</v>
      </c>
      <c r="S732" t="str">
        <f t="shared" si="12"/>
        <v>7355250320PLACAS Y SEGMENTOSCemento UG TP</v>
      </c>
      <c r="T732" t="str">
        <f>IFERROR(VLOOKUP(S732,Maestro!$A:$H,8,0),"Producción")</f>
        <v>Placas y Segmentos</v>
      </c>
      <c r="U732" s="43" t="s">
        <v>182</v>
      </c>
    </row>
    <row r="733" spans="1:21" x14ac:dyDescent="0.3">
      <c r="A733" s="43">
        <v>7105330101</v>
      </c>
      <c r="B733" s="43" t="s">
        <v>443</v>
      </c>
      <c r="C733" s="52"/>
      <c r="D733" s="52"/>
      <c r="E733" s="43" t="s">
        <v>556</v>
      </c>
      <c r="F733" s="43" t="s">
        <v>557</v>
      </c>
      <c r="G733" s="43" t="s">
        <v>563</v>
      </c>
      <c r="H733" s="43" t="s">
        <v>564</v>
      </c>
      <c r="I733" s="43" t="s">
        <v>560</v>
      </c>
      <c r="J733" s="43" t="s">
        <v>519</v>
      </c>
      <c r="K733" s="43">
        <v>700090</v>
      </c>
      <c r="L733" s="43">
        <v>4</v>
      </c>
      <c r="M733" s="43" t="s">
        <v>576</v>
      </c>
      <c r="N733" s="51"/>
      <c r="O733" s="51"/>
      <c r="P733" s="43" t="str">
        <f>VLOOKUP(K733,Maestro!J:K,2,0)</f>
        <v>CEMENTO UG TP</v>
      </c>
      <c r="Q733" s="43" t="str">
        <f>VLOOKUP(P733,Maestro!E:F,2,0)</f>
        <v>Cemento UG TP</v>
      </c>
      <c r="R733" s="43">
        <f>VLOOKUP(P733,ORD!$A:$C,3,0)</f>
        <v>15</v>
      </c>
      <c r="S733" t="str">
        <f t="shared" si="12"/>
        <v>7105330101SALMARCemento UG TP</v>
      </c>
      <c r="T733" t="str">
        <f>IFERROR(VLOOKUP(S733,Maestro!$A:$H,8,0),"Producción")</f>
        <v>Sal Marina</v>
      </c>
      <c r="U733" s="43" t="s">
        <v>182</v>
      </c>
    </row>
    <row r="734" spans="1:21" x14ac:dyDescent="0.3">
      <c r="A734" s="43">
        <v>7105330101</v>
      </c>
      <c r="B734" s="43" t="s">
        <v>443</v>
      </c>
      <c r="C734" s="52"/>
      <c r="D734" s="52"/>
      <c r="E734" s="43" t="s">
        <v>556</v>
      </c>
      <c r="F734" s="43" t="s">
        <v>557</v>
      </c>
      <c r="G734" s="43" t="s">
        <v>563</v>
      </c>
      <c r="H734" s="43" t="s">
        <v>564</v>
      </c>
      <c r="I734" s="43" t="s">
        <v>560</v>
      </c>
      <c r="J734" s="43" t="s">
        <v>444</v>
      </c>
      <c r="K734" s="43">
        <v>700090</v>
      </c>
      <c r="L734" s="43">
        <v>5</v>
      </c>
      <c r="M734" s="43" t="s">
        <v>565</v>
      </c>
      <c r="N734" s="51"/>
      <c r="O734" s="51"/>
      <c r="P734" s="43" t="str">
        <f>VLOOKUP(K734,Maestro!J:K,2,0)</f>
        <v>CEMENTO UG TP</v>
      </c>
      <c r="Q734" s="43" t="str">
        <f>VLOOKUP(P734,Maestro!E:F,2,0)</f>
        <v>Cemento UG TP</v>
      </c>
      <c r="R734" s="43">
        <f>VLOOKUP(P734,ORD!$A:$C,3,0)</f>
        <v>15</v>
      </c>
      <c r="S734" t="str">
        <f t="shared" si="12"/>
        <v>7105330101CALIZATRICemento UG TP</v>
      </c>
      <c r="T734" t="str">
        <f>IFERROR(VLOOKUP(S734,Maestro!$A:$H,8,0),"Producción")</f>
        <v>Caliza Triturada</v>
      </c>
      <c r="U734" s="43" t="s">
        <v>182</v>
      </c>
    </row>
    <row r="735" spans="1:21" x14ac:dyDescent="0.3">
      <c r="A735" s="43">
        <v>7105450101</v>
      </c>
      <c r="B735" s="43" t="s">
        <v>466</v>
      </c>
      <c r="C735" s="52"/>
      <c r="D735" s="52"/>
      <c r="E735" s="43" t="s">
        <v>556</v>
      </c>
      <c r="F735" s="43" t="s">
        <v>557</v>
      </c>
      <c r="G735" s="43" t="s">
        <v>577</v>
      </c>
      <c r="H735" s="43" t="s">
        <v>578</v>
      </c>
      <c r="I735" s="43" t="s">
        <v>560</v>
      </c>
      <c r="J735" s="43" t="s">
        <v>467</v>
      </c>
      <c r="K735" s="43">
        <v>700090</v>
      </c>
      <c r="L735" s="43">
        <v>5</v>
      </c>
      <c r="M735" s="43" t="s">
        <v>579</v>
      </c>
      <c r="N735" s="51"/>
      <c r="O735" s="51"/>
      <c r="P735" s="43" t="str">
        <f>VLOOKUP(K735,Maestro!J:K,2,0)</f>
        <v>CEMENTO UG TP</v>
      </c>
      <c r="Q735" s="43" t="str">
        <f>VLOOKUP(P735,Maestro!E:F,2,0)</f>
        <v>Cemento UG TP</v>
      </c>
      <c r="R735" s="43">
        <f>VLOOKUP(P735,ORD!$A:$C,3,0)</f>
        <v>15</v>
      </c>
      <c r="S735" t="str">
        <f t="shared" si="12"/>
        <v>7105450101YESO00001Cemento UG TP</v>
      </c>
      <c r="T735" t="str">
        <f>IFERROR(VLOOKUP(S735,Maestro!$A:$H,8,0),"Producción")</f>
        <v>Yeso</v>
      </c>
      <c r="U735" s="43" t="s">
        <v>182</v>
      </c>
    </row>
    <row r="736" spans="1:21" x14ac:dyDescent="0.3">
      <c r="A736" s="43">
        <v>7199990001</v>
      </c>
      <c r="B736" s="43" t="s">
        <v>438</v>
      </c>
      <c r="C736" s="52"/>
      <c r="D736" s="52"/>
      <c r="E736" s="43" t="s">
        <v>556</v>
      </c>
      <c r="F736" s="43" t="s">
        <v>557</v>
      </c>
      <c r="G736" s="43" t="s">
        <v>567</v>
      </c>
      <c r="H736" s="43" t="s">
        <v>568</v>
      </c>
      <c r="I736" s="43" t="s">
        <v>560</v>
      </c>
      <c r="J736" s="43" t="s">
        <v>463</v>
      </c>
      <c r="K736" s="43">
        <v>700090</v>
      </c>
      <c r="L736" s="43">
        <v>5</v>
      </c>
      <c r="M736" s="43" t="s">
        <v>62</v>
      </c>
      <c r="N736" s="51"/>
      <c r="O736" s="51"/>
      <c r="P736" s="43" t="str">
        <f>VLOOKUP(K736,Maestro!J:K,2,0)</f>
        <v>CEMENTO UG TP</v>
      </c>
      <c r="Q736" s="43" t="str">
        <f>VLOOKUP(P736,Maestro!E:F,2,0)</f>
        <v>Cemento UG TP</v>
      </c>
      <c r="R736" s="43">
        <f>VLOOKUP(P736,ORD!$A:$C,3,0)</f>
        <v>15</v>
      </c>
      <c r="S736" t="str">
        <f t="shared" si="12"/>
        <v>7199990001CLINKER001Cemento UG TP</v>
      </c>
      <c r="T736" t="str">
        <f>IFERROR(VLOOKUP(S736,Maestro!$A:$H,8,0),"Producción")</f>
        <v>Clinker</v>
      </c>
      <c r="U736" s="43" t="s">
        <v>182</v>
      </c>
    </row>
    <row r="737" spans="1:21" x14ac:dyDescent="0.3">
      <c r="A737" s="43">
        <v>7999999995</v>
      </c>
      <c r="B737" s="43" t="s">
        <v>566</v>
      </c>
      <c r="C737" s="52"/>
      <c r="D737" s="166"/>
      <c r="E737" s="43" t="s">
        <v>556</v>
      </c>
      <c r="F737" s="43" t="s">
        <v>557</v>
      </c>
      <c r="G737" s="43" t="s">
        <v>567</v>
      </c>
      <c r="H737" s="43" t="s">
        <v>568</v>
      </c>
      <c r="I737" s="43" t="s">
        <v>560</v>
      </c>
      <c r="J737" s="43" t="s">
        <v>476</v>
      </c>
      <c r="K737" s="43">
        <v>700090</v>
      </c>
      <c r="L737" s="43">
        <v>5</v>
      </c>
      <c r="M737" s="43" t="s">
        <v>464</v>
      </c>
      <c r="N737" s="51"/>
      <c r="O737" s="51"/>
      <c r="P737" s="43" t="str">
        <f>VLOOKUP(K737,Maestro!J:K,2,0)</f>
        <v>CEMENTO UG TP</v>
      </c>
      <c r="Q737" s="43" t="str">
        <f>VLOOKUP(P737,Maestro!E:F,2,0)</f>
        <v>Cemento UG TP</v>
      </c>
      <c r="R737" s="43">
        <f>VLOOKUP(P737,ORD!$A:$C,3,0)</f>
        <v>15</v>
      </c>
      <c r="S737" t="str">
        <f t="shared" si="12"/>
        <v>7999999995CEMENTOUG1Cemento UG TP</v>
      </c>
      <c r="T737" t="str">
        <f>IFERROR(VLOOKUP(S737,Maestro!$A:$H,8,0),"Producción")</f>
        <v>Producción</v>
      </c>
      <c r="U737" s="43" t="s">
        <v>182</v>
      </c>
    </row>
    <row r="738" spans="1:21" x14ac:dyDescent="0.3">
      <c r="A738" s="43">
        <v>7355250320</v>
      </c>
      <c r="B738" s="43" t="s">
        <v>490</v>
      </c>
      <c r="C738" s="49"/>
      <c r="D738" s="52"/>
      <c r="E738" s="59"/>
      <c r="F738" s="58"/>
      <c r="G738" s="43"/>
      <c r="H738" s="43"/>
      <c r="I738" s="43" t="s">
        <v>560</v>
      </c>
      <c r="J738" s="43" t="s">
        <v>802</v>
      </c>
      <c r="K738" s="43">
        <v>700090</v>
      </c>
      <c r="L738" s="43">
        <v>5</v>
      </c>
      <c r="M738" s="43" t="s">
        <v>464</v>
      </c>
      <c r="N738" s="53"/>
      <c r="O738" s="53"/>
      <c r="P738" s="43" t="str">
        <f>VLOOKUP(K738,Maestro!J:K,2,0)</f>
        <v>CEMENTO UG TP</v>
      </c>
      <c r="Q738" s="43" t="str">
        <f>VLOOKUP(P738,Maestro!E:F,2,0)</f>
        <v>Cemento UG TP</v>
      </c>
      <c r="R738" s="43">
        <f>VLOOKUP(P738,ORD!$A:$C,3,0)</f>
        <v>15</v>
      </c>
      <c r="S738" t="str">
        <f t="shared" si="12"/>
        <v>7355250320PLACAS Y SEGMENTOSCemento UG TP</v>
      </c>
      <c r="T738" t="str">
        <f>IFERROR(VLOOKUP(S738,Maestro!$A:$H,8,0),"Producción")</f>
        <v>Placas y Segmentos</v>
      </c>
      <c r="U738" s="43" t="s">
        <v>182</v>
      </c>
    </row>
    <row r="739" spans="1:21" x14ac:dyDescent="0.3">
      <c r="A739" s="43">
        <v>7105330101</v>
      </c>
      <c r="B739" s="43" t="s">
        <v>443</v>
      </c>
      <c r="C739" s="52"/>
      <c r="D739" s="52"/>
      <c r="E739" s="43" t="s">
        <v>556</v>
      </c>
      <c r="F739" s="43" t="s">
        <v>557</v>
      </c>
      <c r="G739" s="43" t="s">
        <v>563</v>
      </c>
      <c r="H739" s="43" t="s">
        <v>564</v>
      </c>
      <c r="I739" s="43" t="s">
        <v>560</v>
      </c>
      <c r="J739" s="43" t="s">
        <v>519</v>
      </c>
      <c r="K739" s="43">
        <v>700090</v>
      </c>
      <c r="L739" s="43">
        <v>5</v>
      </c>
      <c r="M739" s="43" t="s">
        <v>576</v>
      </c>
      <c r="N739" s="51"/>
      <c r="O739" s="51"/>
      <c r="P739" s="43" t="str">
        <f>VLOOKUP(K739,Maestro!J:K,2,0)</f>
        <v>CEMENTO UG TP</v>
      </c>
      <c r="Q739" s="43" t="str">
        <f>VLOOKUP(P739,Maestro!E:F,2,0)</f>
        <v>Cemento UG TP</v>
      </c>
      <c r="R739" s="43">
        <f>VLOOKUP(P739,ORD!$A:$C,3,0)</f>
        <v>15</v>
      </c>
      <c r="S739" t="str">
        <f t="shared" si="12"/>
        <v>7105330101SALMARCemento UG TP</v>
      </c>
      <c r="T739" t="str">
        <f>IFERROR(VLOOKUP(S739,Maestro!$A:$H,8,0),"Producción")</f>
        <v>Sal Marina</v>
      </c>
      <c r="U739" s="43" t="s">
        <v>182</v>
      </c>
    </row>
    <row r="740" spans="1:21" x14ac:dyDescent="0.3">
      <c r="A740" s="43">
        <v>7105330101</v>
      </c>
      <c r="B740" s="43" t="s">
        <v>443</v>
      </c>
      <c r="C740" s="52"/>
      <c r="D740" s="52"/>
      <c r="E740" s="43" t="s">
        <v>556</v>
      </c>
      <c r="F740" s="43" t="s">
        <v>557</v>
      </c>
      <c r="G740" s="43" t="s">
        <v>563</v>
      </c>
      <c r="H740" s="43" t="s">
        <v>564</v>
      </c>
      <c r="I740" s="43" t="s">
        <v>560</v>
      </c>
      <c r="J740" s="43" t="s">
        <v>444</v>
      </c>
      <c r="K740" s="43">
        <v>700090</v>
      </c>
      <c r="L740" s="43">
        <v>6</v>
      </c>
      <c r="M740" s="43" t="s">
        <v>565</v>
      </c>
      <c r="N740" s="51"/>
      <c r="O740" s="51"/>
      <c r="P740" s="43" t="str">
        <f>VLOOKUP(K740,Maestro!J:K,2,0)</f>
        <v>CEMENTO UG TP</v>
      </c>
      <c r="Q740" s="43" t="str">
        <f>VLOOKUP(P740,Maestro!E:F,2,0)</f>
        <v>Cemento UG TP</v>
      </c>
      <c r="R740" s="43">
        <f>VLOOKUP(P740,ORD!$A:$C,3,0)</f>
        <v>15</v>
      </c>
      <c r="S740" t="str">
        <f t="shared" si="12"/>
        <v>7105330101CALIZATRICemento UG TP</v>
      </c>
      <c r="T740" t="str">
        <f>IFERROR(VLOOKUP(S740,Maestro!$A:$H,8,0),"Producción")</f>
        <v>Caliza Triturada</v>
      </c>
      <c r="U740" s="43" t="s">
        <v>182</v>
      </c>
    </row>
    <row r="741" spans="1:21" x14ac:dyDescent="0.3">
      <c r="A741" s="43">
        <v>7105450101</v>
      </c>
      <c r="B741" s="43" t="s">
        <v>466</v>
      </c>
      <c r="C741" s="52"/>
      <c r="D741" s="52"/>
      <c r="E741" s="43" t="s">
        <v>556</v>
      </c>
      <c r="F741" s="43" t="s">
        <v>557</v>
      </c>
      <c r="G741" s="43" t="s">
        <v>577</v>
      </c>
      <c r="H741" s="43" t="s">
        <v>578</v>
      </c>
      <c r="I741" s="43" t="s">
        <v>560</v>
      </c>
      <c r="J741" s="43" t="s">
        <v>467</v>
      </c>
      <c r="K741" s="43">
        <v>700090</v>
      </c>
      <c r="L741" s="43">
        <v>6</v>
      </c>
      <c r="M741" s="43" t="s">
        <v>579</v>
      </c>
      <c r="N741" s="51"/>
      <c r="O741" s="51"/>
      <c r="P741" s="43" t="str">
        <f>VLOOKUP(K741,Maestro!J:K,2,0)</f>
        <v>CEMENTO UG TP</v>
      </c>
      <c r="Q741" s="43" t="str">
        <f>VLOOKUP(P741,Maestro!E:F,2,0)</f>
        <v>Cemento UG TP</v>
      </c>
      <c r="R741" s="43">
        <f>VLOOKUP(P741,ORD!$A:$C,3,0)</f>
        <v>15</v>
      </c>
      <c r="S741" t="str">
        <f t="shared" si="12"/>
        <v>7105450101YESO00001Cemento UG TP</v>
      </c>
      <c r="T741" t="str">
        <f>IFERROR(VLOOKUP(S741,Maestro!$A:$H,8,0),"Producción")</f>
        <v>Yeso</v>
      </c>
      <c r="U741" s="43" t="s">
        <v>182</v>
      </c>
    </row>
    <row r="742" spans="1:21" x14ac:dyDescent="0.3">
      <c r="A742" s="43">
        <v>7199990001</v>
      </c>
      <c r="B742" s="43" t="s">
        <v>438</v>
      </c>
      <c r="C742" s="52"/>
      <c r="D742" s="52"/>
      <c r="E742" s="43" t="s">
        <v>556</v>
      </c>
      <c r="F742" s="43" t="s">
        <v>557</v>
      </c>
      <c r="G742" s="43" t="s">
        <v>567</v>
      </c>
      <c r="H742" s="43" t="s">
        <v>568</v>
      </c>
      <c r="I742" s="43" t="s">
        <v>560</v>
      </c>
      <c r="J742" s="43" t="s">
        <v>463</v>
      </c>
      <c r="K742" s="43">
        <v>700090</v>
      </c>
      <c r="L742" s="43">
        <v>6</v>
      </c>
      <c r="M742" s="43" t="s">
        <v>62</v>
      </c>
      <c r="N742" s="51"/>
      <c r="O742" s="51"/>
      <c r="P742" s="43" t="str">
        <f>VLOOKUP(K742,Maestro!J:K,2,0)</f>
        <v>CEMENTO UG TP</v>
      </c>
      <c r="Q742" s="43" t="str">
        <f>VLOOKUP(P742,Maestro!E:F,2,0)</f>
        <v>Cemento UG TP</v>
      </c>
      <c r="R742" s="43">
        <f>VLOOKUP(P742,ORD!$A:$C,3,0)</f>
        <v>15</v>
      </c>
      <c r="S742" t="str">
        <f t="shared" si="12"/>
        <v>7199990001CLINKER001Cemento UG TP</v>
      </c>
      <c r="T742" t="str">
        <f>IFERROR(VLOOKUP(S742,Maestro!$A:$H,8,0),"Producción")</f>
        <v>Clinker</v>
      </c>
      <c r="U742" s="43" t="s">
        <v>182</v>
      </c>
    </row>
    <row r="743" spans="1:21" x14ac:dyDescent="0.3">
      <c r="A743" s="43">
        <v>7999999995</v>
      </c>
      <c r="B743" s="43" t="s">
        <v>566</v>
      </c>
      <c r="C743" s="52"/>
      <c r="D743" s="166"/>
      <c r="E743" s="43" t="s">
        <v>556</v>
      </c>
      <c r="F743" s="43" t="s">
        <v>557</v>
      </c>
      <c r="G743" s="43" t="s">
        <v>567</v>
      </c>
      <c r="H743" s="43" t="s">
        <v>568</v>
      </c>
      <c r="I743" s="43" t="s">
        <v>560</v>
      </c>
      <c r="J743" s="43" t="s">
        <v>476</v>
      </c>
      <c r="K743" s="43">
        <v>700090</v>
      </c>
      <c r="L743" s="43">
        <v>6</v>
      </c>
      <c r="M743" s="43" t="s">
        <v>464</v>
      </c>
      <c r="N743" s="51"/>
      <c r="O743" s="51"/>
      <c r="P743" s="43" t="str">
        <f>VLOOKUP(K743,Maestro!J:K,2,0)</f>
        <v>CEMENTO UG TP</v>
      </c>
      <c r="Q743" s="43" t="str">
        <f>VLOOKUP(P743,Maestro!E:F,2,0)</f>
        <v>Cemento UG TP</v>
      </c>
      <c r="R743" s="43">
        <f>VLOOKUP(P743,ORD!$A:$C,3,0)</f>
        <v>15</v>
      </c>
      <c r="S743" t="str">
        <f t="shared" si="12"/>
        <v>7999999995CEMENTOUG1Cemento UG TP</v>
      </c>
      <c r="T743" t="str">
        <f>IFERROR(VLOOKUP(S743,Maestro!$A:$H,8,0),"Producción")</f>
        <v>Producción</v>
      </c>
      <c r="U743" s="43" t="s">
        <v>182</v>
      </c>
    </row>
    <row r="744" spans="1:21" x14ac:dyDescent="0.3">
      <c r="A744" s="43">
        <v>7355250320</v>
      </c>
      <c r="B744" s="43" t="s">
        <v>490</v>
      </c>
      <c r="C744" s="49"/>
      <c r="D744" s="52"/>
      <c r="E744" s="59"/>
      <c r="F744" s="58"/>
      <c r="G744" s="43"/>
      <c r="H744" s="43"/>
      <c r="I744" s="43" t="s">
        <v>560</v>
      </c>
      <c r="J744" s="43" t="s">
        <v>802</v>
      </c>
      <c r="K744" s="43">
        <v>700090</v>
      </c>
      <c r="L744" s="43">
        <v>6</v>
      </c>
      <c r="M744" s="43" t="s">
        <v>464</v>
      </c>
      <c r="N744" s="53"/>
      <c r="O744" s="53"/>
      <c r="P744" s="43" t="str">
        <f>VLOOKUP(K744,Maestro!J:K,2,0)</f>
        <v>CEMENTO UG TP</v>
      </c>
      <c r="Q744" s="43" t="str">
        <f>VLOOKUP(P744,Maestro!E:F,2,0)</f>
        <v>Cemento UG TP</v>
      </c>
      <c r="R744" s="43">
        <f>VLOOKUP(P744,ORD!$A:$C,3,0)</f>
        <v>15</v>
      </c>
      <c r="S744" t="str">
        <f t="shared" si="12"/>
        <v>7355250320PLACAS Y SEGMENTOSCemento UG TP</v>
      </c>
      <c r="T744" t="str">
        <f>IFERROR(VLOOKUP(S744,Maestro!$A:$H,8,0),"Producción")</f>
        <v>Placas y Segmentos</v>
      </c>
      <c r="U744" s="43" t="s">
        <v>182</v>
      </c>
    </row>
    <row r="745" spans="1:21" x14ac:dyDescent="0.3">
      <c r="A745" s="43">
        <v>7105330101</v>
      </c>
      <c r="B745" s="43" t="s">
        <v>443</v>
      </c>
      <c r="C745" s="52"/>
      <c r="D745" s="52"/>
      <c r="E745" s="43" t="s">
        <v>556</v>
      </c>
      <c r="F745" s="43" t="s">
        <v>557</v>
      </c>
      <c r="G745" s="43" t="s">
        <v>563</v>
      </c>
      <c r="H745" s="43" t="s">
        <v>564</v>
      </c>
      <c r="I745" s="43" t="s">
        <v>560</v>
      </c>
      <c r="J745" s="43" t="s">
        <v>519</v>
      </c>
      <c r="K745" s="43">
        <v>700090</v>
      </c>
      <c r="L745" s="43">
        <v>6</v>
      </c>
      <c r="M745" s="43" t="s">
        <v>576</v>
      </c>
      <c r="N745" s="51"/>
      <c r="O745" s="51"/>
      <c r="P745" s="43" t="str">
        <f>VLOOKUP(K745,Maestro!J:K,2,0)</f>
        <v>CEMENTO UG TP</v>
      </c>
      <c r="Q745" s="43" t="str">
        <f>VLOOKUP(P745,Maestro!E:F,2,0)</f>
        <v>Cemento UG TP</v>
      </c>
      <c r="R745" s="43">
        <f>VLOOKUP(P745,ORD!$A:$C,3,0)</f>
        <v>15</v>
      </c>
      <c r="S745" t="str">
        <f t="shared" si="12"/>
        <v>7105330101SALMARCemento UG TP</v>
      </c>
      <c r="T745" t="str">
        <f>IFERROR(VLOOKUP(S745,Maestro!$A:$H,8,0),"Producción")</f>
        <v>Sal Marina</v>
      </c>
      <c r="U745" s="43" t="s">
        <v>182</v>
      </c>
    </row>
    <row r="746" spans="1:21" x14ac:dyDescent="0.3">
      <c r="A746" s="43">
        <v>7105330101</v>
      </c>
      <c r="B746" s="43" t="s">
        <v>443</v>
      </c>
      <c r="C746" s="52"/>
      <c r="D746" s="52"/>
      <c r="E746" s="43" t="s">
        <v>556</v>
      </c>
      <c r="F746" s="43" t="s">
        <v>557</v>
      </c>
      <c r="G746" s="43" t="s">
        <v>563</v>
      </c>
      <c r="H746" s="43" t="s">
        <v>564</v>
      </c>
      <c r="I746" s="43" t="s">
        <v>560</v>
      </c>
      <c r="J746" s="43" t="s">
        <v>444</v>
      </c>
      <c r="K746" s="43">
        <v>700090</v>
      </c>
      <c r="L746" s="43">
        <v>7</v>
      </c>
      <c r="M746" s="43" t="s">
        <v>565</v>
      </c>
      <c r="N746" s="51"/>
      <c r="O746" s="51"/>
      <c r="P746" s="43" t="str">
        <f>VLOOKUP(K746,Maestro!J:K,2,0)</f>
        <v>CEMENTO UG TP</v>
      </c>
      <c r="Q746" s="43" t="str">
        <f>VLOOKUP(P746,Maestro!E:F,2,0)</f>
        <v>Cemento UG TP</v>
      </c>
      <c r="R746" s="43">
        <f>VLOOKUP(P746,ORD!$A:$C,3,0)</f>
        <v>15</v>
      </c>
      <c r="S746" t="str">
        <f t="shared" si="12"/>
        <v>7105330101CALIZATRICemento UG TP</v>
      </c>
      <c r="T746" t="str">
        <f>IFERROR(VLOOKUP(S746,Maestro!$A:$H,8,0),"Producción")</f>
        <v>Caliza Triturada</v>
      </c>
      <c r="U746" s="43" t="s">
        <v>182</v>
      </c>
    </row>
    <row r="747" spans="1:21" x14ac:dyDescent="0.3">
      <c r="A747" s="43">
        <v>7105450101</v>
      </c>
      <c r="B747" s="43" t="s">
        <v>466</v>
      </c>
      <c r="C747" s="52"/>
      <c r="D747" s="52"/>
      <c r="E747" s="43" t="s">
        <v>556</v>
      </c>
      <c r="F747" s="43" t="s">
        <v>557</v>
      </c>
      <c r="G747" s="43" t="s">
        <v>577</v>
      </c>
      <c r="H747" s="43" t="s">
        <v>578</v>
      </c>
      <c r="I747" s="43" t="s">
        <v>560</v>
      </c>
      <c r="J747" s="43" t="s">
        <v>467</v>
      </c>
      <c r="K747" s="43">
        <v>700090</v>
      </c>
      <c r="L747" s="43">
        <v>7</v>
      </c>
      <c r="M747" s="43" t="s">
        <v>579</v>
      </c>
      <c r="N747" s="51"/>
      <c r="O747" s="51"/>
      <c r="P747" s="43" t="str">
        <f>VLOOKUP(K747,Maestro!J:K,2,0)</f>
        <v>CEMENTO UG TP</v>
      </c>
      <c r="Q747" s="43" t="str">
        <f>VLOOKUP(P747,Maestro!E:F,2,0)</f>
        <v>Cemento UG TP</v>
      </c>
      <c r="R747" s="43">
        <f>VLOOKUP(P747,ORD!$A:$C,3,0)</f>
        <v>15</v>
      </c>
      <c r="S747" t="str">
        <f t="shared" ref="S747:S810" si="13">A747&amp;J747&amp;Q747</f>
        <v>7105450101YESO00001Cemento UG TP</v>
      </c>
      <c r="T747" t="str">
        <f>IFERROR(VLOOKUP(S747,Maestro!$A:$H,8,0),"Producción")</f>
        <v>Yeso</v>
      </c>
      <c r="U747" s="43" t="s">
        <v>182</v>
      </c>
    </row>
    <row r="748" spans="1:21" x14ac:dyDescent="0.3">
      <c r="A748" s="43">
        <v>7199990001</v>
      </c>
      <c r="B748" s="43" t="s">
        <v>438</v>
      </c>
      <c r="C748" s="52"/>
      <c r="D748" s="52"/>
      <c r="E748" s="43" t="s">
        <v>556</v>
      </c>
      <c r="F748" s="43" t="s">
        <v>557</v>
      </c>
      <c r="G748" s="43" t="s">
        <v>567</v>
      </c>
      <c r="H748" s="43" t="s">
        <v>568</v>
      </c>
      <c r="I748" s="43" t="s">
        <v>560</v>
      </c>
      <c r="J748" s="43" t="s">
        <v>463</v>
      </c>
      <c r="K748" s="43">
        <v>700090</v>
      </c>
      <c r="L748" s="43">
        <v>7</v>
      </c>
      <c r="M748" s="43" t="s">
        <v>62</v>
      </c>
      <c r="N748" s="51"/>
      <c r="O748" s="51"/>
      <c r="P748" s="43" t="str">
        <f>VLOOKUP(K748,Maestro!J:K,2,0)</f>
        <v>CEMENTO UG TP</v>
      </c>
      <c r="Q748" s="43" t="str">
        <f>VLOOKUP(P748,Maestro!E:F,2,0)</f>
        <v>Cemento UG TP</v>
      </c>
      <c r="R748" s="43">
        <f>VLOOKUP(P748,ORD!$A:$C,3,0)</f>
        <v>15</v>
      </c>
      <c r="S748" t="str">
        <f t="shared" si="13"/>
        <v>7199990001CLINKER001Cemento UG TP</v>
      </c>
      <c r="T748" t="str">
        <f>IFERROR(VLOOKUP(S748,Maestro!$A:$H,8,0),"Producción")</f>
        <v>Clinker</v>
      </c>
      <c r="U748" s="43" t="s">
        <v>182</v>
      </c>
    </row>
    <row r="749" spans="1:21" x14ac:dyDescent="0.3">
      <c r="A749" s="43">
        <v>7999999995</v>
      </c>
      <c r="B749" s="43" t="s">
        <v>566</v>
      </c>
      <c r="C749" s="52"/>
      <c r="D749" s="166"/>
      <c r="E749" s="43" t="s">
        <v>556</v>
      </c>
      <c r="F749" s="43" t="s">
        <v>557</v>
      </c>
      <c r="G749" s="43" t="s">
        <v>567</v>
      </c>
      <c r="H749" s="43" t="s">
        <v>568</v>
      </c>
      <c r="I749" s="43" t="s">
        <v>560</v>
      </c>
      <c r="J749" s="43" t="s">
        <v>476</v>
      </c>
      <c r="K749" s="43">
        <v>700090</v>
      </c>
      <c r="L749" s="43">
        <v>7</v>
      </c>
      <c r="M749" s="43" t="s">
        <v>464</v>
      </c>
      <c r="N749" s="51"/>
      <c r="O749" s="51"/>
      <c r="P749" s="43" t="str">
        <f>VLOOKUP(K749,Maestro!J:K,2,0)</f>
        <v>CEMENTO UG TP</v>
      </c>
      <c r="Q749" s="43" t="str">
        <f>VLOOKUP(P749,Maestro!E:F,2,0)</f>
        <v>Cemento UG TP</v>
      </c>
      <c r="R749" s="43">
        <f>VLOOKUP(P749,ORD!$A:$C,3,0)</f>
        <v>15</v>
      </c>
      <c r="S749" t="str">
        <f t="shared" si="13"/>
        <v>7999999995CEMENTOUG1Cemento UG TP</v>
      </c>
      <c r="T749" t="str">
        <f>IFERROR(VLOOKUP(S749,Maestro!$A:$H,8,0),"Producción")</f>
        <v>Producción</v>
      </c>
      <c r="U749" s="43" t="s">
        <v>182</v>
      </c>
    </row>
    <row r="750" spans="1:21" x14ac:dyDescent="0.3">
      <c r="A750" s="43">
        <v>7355250320</v>
      </c>
      <c r="B750" s="43" t="s">
        <v>490</v>
      </c>
      <c r="C750" s="49"/>
      <c r="D750" s="52"/>
      <c r="E750" s="59"/>
      <c r="F750" s="58"/>
      <c r="G750" s="43"/>
      <c r="H750" s="43"/>
      <c r="I750" s="43" t="s">
        <v>560</v>
      </c>
      <c r="J750" s="43" t="s">
        <v>802</v>
      </c>
      <c r="K750" s="43">
        <v>700090</v>
      </c>
      <c r="L750" s="43">
        <v>7</v>
      </c>
      <c r="M750" s="43" t="s">
        <v>464</v>
      </c>
      <c r="N750" s="53"/>
      <c r="O750" s="53"/>
      <c r="P750" s="43" t="str">
        <f>VLOOKUP(K750,Maestro!J:K,2,0)</f>
        <v>CEMENTO UG TP</v>
      </c>
      <c r="Q750" s="43" t="str">
        <f>VLOOKUP(P750,Maestro!E:F,2,0)</f>
        <v>Cemento UG TP</v>
      </c>
      <c r="R750" s="43">
        <f>VLOOKUP(P750,ORD!$A:$C,3,0)</f>
        <v>15</v>
      </c>
      <c r="S750" t="str">
        <f t="shared" si="13"/>
        <v>7355250320PLACAS Y SEGMENTOSCemento UG TP</v>
      </c>
      <c r="T750" t="str">
        <f>IFERROR(VLOOKUP(S750,Maestro!$A:$H,8,0),"Producción")</f>
        <v>Placas y Segmentos</v>
      </c>
      <c r="U750" s="43" t="s">
        <v>182</v>
      </c>
    </row>
    <row r="751" spans="1:21" x14ac:dyDescent="0.3">
      <c r="A751" s="43">
        <v>7105330101</v>
      </c>
      <c r="B751" s="43" t="s">
        <v>443</v>
      </c>
      <c r="C751" s="52"/>
      <c r="D751" s="52"/>
      <c r="E751" s="43" t="s">
        <v>556</v>
      </c>
      <c r="F751" s="43" t="s">
        <v>557</v>
      </c>
      <c r="G751" s="43" t="s">
        <v>563</v>
      </c>
      <c r="H751" s="43" t="s">
        <v>564</v>
      </c>
      <c r="I751" s="43" t="s">
        <v>560</v>
      </c>
      <c r="J751" s="43" t="s">
        <v>519</v>
      </c>
      <c r="K751" s="43">
        <v>700090</v>
      </c>
      <c r="L751" s="43">
        <v>7</v>
      </c>
      <c r="M751" s="43" t="s">
        <v>576</v>
      </c>
      <c r="N751" s="51"/>
      <c r="O751" s="51"/>
      <c r="P751" s="43" t="str">
        <f>VLOOKUP(K751,Maestro!J:K,2,0)</f>
        <v>CEMENTO UG TP</v>
      </c>
      <c r="Q751" s="43" t="str">
        <f>VLOOKUP(P751,Maestro!E:F,2,0)</f>
        <v>Cemento UG TP</v>
      </c>
      <c r="R751" s="43">
        <f>VLOOKUP(P751,ORD!$A:$C,3,0)</f>
        <v>15</v>
      </c>
      <c r="S751" t="str">
        <f t="shared" si="13"/>
        <v>7105330101SALMARCemento UG TP</v>
      </c>
      <c r="T751" t="str">
        <f>IFERROR(VLOOKUP(S751,Maestro!$A:$H,8,0),"Producción")</f>
        <v>Sal Marina</v>
      </c>
      <c r="U751" s="43" t="s">
        <v>182</v>
      </c>
    </row>
    <row r="752" spans="1:21" x14ac:dyDescent="0.3">
      <c r="A752" s="43">
        <v>7105330101</v>
      </c>
      <c r="B752" s="43" t="s">
        <v>443</v>
      </c>
      <c r="C752" s="52"/>
      <c r="D752" s="52"/>
      <c r="E752" s="43" t="s">
        <v>556</v>
      </c>
      <c r="F752" s="43" t="s">
        <v>557</v>
      </c>
      <c r="G752" s="43" t="s">
        <v>563</v>
      </c>
      <c r="H752" s="43" t="s">
        <v>564</v>
      </c>
      <c r="I752" s="43" t="s">
        <v>560</v>
      </c>
      <c r="J752" s="43" t="s">
        <v>444</v>
      </c>
      <c r="K752" s="43">
        <v>700090</v>
      </c>
      <c r="L752" s="43">
        <v>8</v>
      </c>
      <c r="M752" s="43" t="s">
        <v>565</v>
      </c>
      <c r="N752" s="51"/>
      <c r="O752" s="51"/>
      <c r="P752" s="43" t="str">
        <f>VLOOKUP(K752,Maestro!J:K,2,0)</f>
        <v>CEMENTO UG TP</v>
      </c>
      <c r="Q752" s="43" t="str">
        <f>VLOOKUP(P752,Maestro!E:F,2,0)</f>
        <v>Cemento UG TP</v>
      </c>
      <c r="R752" s="43">
        <f>VLOOKUP(P752,ORD!$A:$C,3,0)</f>
        <v>15</v>
      </c>
      <c r="S752" t="str">
        <f t="shared" si="13"/>
        <v>7105330101CALIZATRICemento UG TP</v>
      </c>
      <c r="T752" t="str">
        <f>IFERROR(VLOOKUP(S752,Maestro!$A:$H,8,0),"Producción")</f>
        <v>Caliza Triturada</v>
      </c>
      <c r="U752" s="43" t="s">
        <v>182</v>
      </c>
    </row>
    <row r="753" spans="1:21" x14ac:dyDescent="0.3">
      <c r="A753" s="43">
        <v>7105450101</v>
      </c>
      <c r="B753" s="43" t="s">
        <v>466</v>
      </c>
      <c r="C753" s="52"/>
      <c r="D753" s="52"/>
      <c r="E753" s="43" t="s">
        <v>556</v>
      </c>
      <c r="F753" s="43" t="s">
        <v>557</v>
      </c>
      <c r="G753" s="43" t="s">
        <v>577</v>
      </c>
      <c r="H753" s="43" t="s">
        <v>578</v>
      </c>
      <c r="I753" s="43" t="s">
        <v>560</v>
      </c>
      <c r="J753" s="43" t="s">
        <v>467</v>
      </c>
      <c r="K753" s="43">
        <v>700090</v>
      </c>
      <c r="L753" s="43">
        <v>8</v>
      </c>
      <c r="M753" s="43" t="s">
        <v>579</v>
      </c>
      <c r="N753" s="51"/>
      <c r="O753" s="51"/>
      <c r="P753" s="43" t="str">
        <f>VLOOKUP(K753,Maestro!J:K,2,0)</f>
        <v>CEMENTO UG TP</v>
      </c>
      <c r="Q753" s="43" t="str">
        <f>VLOOKUP(P753,Maestro!E:F,2,0)</f>
        <v>Cemento UG TP</v>
      </c>
      <c r="R753" s="43">
        <f>VLOOKUP(P753,ORD!$A:$C,3,0)</f>
        <v>15</v>
      </c>
      <c r="S753" t="str">
        <f t="shared" si="13"/>
        <v>7105450101YESO00001Cemento UG TP</v>
      </c>
      <c r="T753" t="str">
        <f>IFERROR(VLOOKUP(S753,Maestro!$A:$H,8,0),"Producción")</f>
        <v>Yeso</v>
      </c>
      <c r="U753" s="43" t="s">
        <v>182</v>
      </c>
    </row>
    <row r="754" spans="1:21" x14ac:dyDescent="0.3">
      <c r="A754" s="43">
        <v>7199990001</v>
      </c>
      <c r="B754" s="43" t="s">
        <v>438</v>
      </c>
      <c r="C754" s="52"/>
      <c r="D754" s="52"/>
      <c r="E754" s="43" t="s">
        <v>556</v>
      </c>
      <c r="F754" s="43" t="s">
        <v>557</v>
      </c>
      <c r="G754" s="43" t="s">
        <v>567</v>
      </c>
      <c r="H754" s="43" t="s">
        <v>568</v>
      </c>
      <c r="I754" s="43" t="s">
        <v>560</v>
      </c>
      <c r="J754" s="43" t="s">
        <v>463</v>
      </c>
      <c r="K754" s="43">
        <v>700090</v>
      </c>
      <c r="L754" s="43">
        <v>8</v>
      </c>
      <c r="M754" s="43" t="s">
        <v>62</v>
      </c>
      <c r="N754" s="51"/>
      <c r="O754" s="51"/>
      <c r="P754" s="43" t="str">
        <f>VLOOKUP(K754,Maestro!J:K,2,0)</f>
        <v>CEMENTO UG TP</v>
      </c>
      <c r="Q754" s="43" t="str">
        <f>VLOOKUP(P754,Maestro!E:F,2,0)</f>
        <v>Cemento UG TP</v>
      </c>
      <c r="R754" s="43">
        <f>VLOOKUP(P754,ORD!$A:$C,3,0)</f>
        <v>15</v>
      </c>
      <c r="S754" t="str">
        <f t="shared" si="13"/>
        <v>7199990001CLINKER001Cemento UG TP</v>
      </c>
      <c r="T754" t="str">
        <f>IFERROR(VLOOKUP(S754,Maestro!$A:$H,8,0),"Producción")</f>
        <v>Clinker</v>
      </c>
      <c r="U754" s="43" t="s">
        <v>182</v>
      </c>
    </row>
    <row r="755" spans="1:21" x14ac:dyDescent="0.3">
      <c r="A755" s="43">
        <v>7999999995</v>
      </c>
      <c r="B755" s="43" t="s">
        <v>566</v>
      </c>
      <c r="C755" s="52"/>
      <c r="D755" s="166"/>
      <c r="E755" s="43" t="s">
        <v>556</v>
      </c>
      <c r="F755" s="43" t="s">
        <v>557</v>
      </c>
      <c r="G755" s="43" t="s">
        <v>567</v>
      </c>
      <c r="H755" s="43" t="s">
        <v>568</v>
      </c>
      <c r="I755" s="43" t="s">
        <v>560</v>
      </c>
      <c r="J755" s="43" t="s">
        <v>476</v>
      </c>
      <c r="K755" s="43">
        <v>700090</v>
      </c>
      <c r="L755" s="43">
        <v>8</v>
      </c>
      <c r="M755" s="43" t="s">
        <v>464</v>
      </c>
      <c r="N755" s="51"/>
      <c r="O755" s="51"/>
      <c r="P755" s="43" t="str">
        <f>VLOOKUP(K755,Maestro!J:K,2,0)</f>
        <v>CEMENTO UG TP</v>
      </c>
      <c r="Q755" s="43" t="str">
        <f>VLOOKUP(P755,Maestro!E:F,2,0)</f>
        <v>Cemento UG TP</v>
      </c>
      <c r="R755" s="43">
        <f>VLOOKUP(P755,ORD!$A:$C,3,0)</f>
        <v>15</v>
      </c>
      <c r="S755" t="str">
        <f t="shared" si="13"/>
        <v>7999999995CEMENTOUG1Cemento UG TP</v>
      </c>
      <c r="T755" t="str">
        <f>IFERROR(VLOOKUP(S755,Maestro!$A:$H,8,0),"Producción")</f>
        <v>Producción</v>
      </c>
      <c r="U755" s="43" t="s">
        <v>182</v>
      </c>
    </row>
    <row r="756" spans="1:21" x14ac:dyDescent="0.3">
      <c r="A756" s="43">
        <v>7355250320</v>
      </c>
      <c r="B756" s="43" t="s">
        <v>490</v>
      </c>
      <c r="C756" s="49"/>
      <c r="D756" s="52"/>
      <c r="E756" s="59"/>
      <c r="F756" s="58"/>
      <c r="G756" s="43"/>
      <c r="H756" s="43"/>
      <c r="I756" s="43" t="s">
        <v>560</v>
      </c>
      <c r="J756" s="43" t="s">
        <v>802</v>
      </c>
      <c r="K756" s="43">
        <v>700090</v>
      </c>
      <c r="L756" s="43">
        <v>8</v>
      </c>
      <c r="M756" s="43" t="s">
        <v>464</v>
      </c>
      <c r="N756" s="53"/>
      <c r="O756" s="53"/>
      <c r="P756" s="43" t="str">
        <f>VLOOKUP(K756,Maestro!J:K,2,0)</f>
        <v>CEMENTO UG TP</v>
      </c>
      <c r="Q756" s="43" t="str">
        <f>VLOOKUP(P756,Maestro!E:F,2,0)</f>
        <v>Cemento UG TP</v>
      </c>
      <c r="R756" s="43">
        <f>VLOOKUP(P756,ORD!$A:$C,3,0)</f>
        <v>15</v>
      </c>
      <c r="S756" t="str">
        <f t="shared" si="13"/>
        <v>7355250320PLACAS Y SEGMENTOSCemento UG TP</v>
      </c>
      <c r="T756" t="str">
        <f>IFERROR(VLOOKUP(S756,Maestro!$A:$H,8,0),"Producción")</f>
        <v>Placas y Segmentos</v>
      </c>
      <c r="U756" s="43" t="s">
        <v>182</v>
      </c>
    </row>
    <row r="757" spans="1:21" x14ac:dyDescent="0.3">
      <c r="A757" s="43">
        <v>7105330101</v>
      </c>
      <c r="B757" s="43" t="s">
        <v>443</v>
      </c>
      <c r="C757" s="52"/>
      <c r="D757" s="52"/>
      <c r="E757" s="43" t="s">
        <v>556</v>
      </c>
      <c r="F757" s="43" t="s">
        <v>557</v>
      </c>
      <c r="G757" s="43" t="s">
        <v>563</v>
      </c>
      <c r="H757" s="43" t="s">
        <v>564</v>
      </c>
      <c r="I757" s="43" t="s">
        <v>560</v>
      </c>
      <c r="J757" s="43" t="s">
        <v>519</v>
      </c>
      <c r="K757" s="43">
        <v>700090</v>
      </c>
      <c r="L757" s="43">
        <v>8</v>
      </c>
      <c r="M757" s="43" t="s">
        <v>576</v>
      </c>
      <c r="N757" s="51"/>
      <c r="O757" s="51"/>
      <c r="P757" s="43" t="str">
        <f>VLOOKUP(K757,Maestro!J:K,2,0)</f>
        <v>CEMENTO UG TP</v>
      </c>
      <c r="Q757" s="43" t="str">
        <f>VLOOKUP(P757,Maestro!E:F,2,0)</f>
        <v>Cemento UG TP</v>
      </c>
      <c r="R757" s="43">
        <f>VLOOKUP(P757,ORD!$A:$C,3,0)</f>
        <v>15</v>
      </c>
      <c r="S757" t="str">
        <f t="shared" si="13"/>
        <v>7105330101SALMARCemento UG TP</v>
      </c>
      <c r="T757" t="str">
        <f>IFERROR(VLOOKUP(S757,Maestro!$A:$H,8,0),"Producción")</f>
        <v>Sal Marina</v>
      </c>
      <c r="U757" s="43" t="s">
        <v>182</v>
      </c>
    </row>
    <row r="758" spans="1:21" x14ac:dyDescent="0.3">
      <c r="A758" s="43">
        <v>7105330101</v>
      </c>
      <c r="B758" s="43" t="s">
        <v>443</v>
      </c>
      <c r="C758" s="52"/>
      <c r="D758" s="52"/>
      <c r="E758" s="43" t="s">
        <v>556</v>
      </c>
      <c r="F758" s="43" t="s">
        <v>557</v>
      </c>
      <c r="G758" s="43" t="s">
        <v>563</v>
      </c>
      <c r="H758" s="43" t="s">
        <v>564</v>
      </c>
      <c r="I758" s="43" t="s">
        <v>560</v>
      </c>
      <c r="J758" s="43" t="s">
        <v>444</v>
      </c>
      <c r="K758" s="43">
        <v>700090</v>
      </c>
      <c r="L758" s="43">
        <v>9</v>
      </c>
      <c r="M758" s="43" t="s">
        <v>565</v>
      </c>
      <c r="N758" s="51"/>
      <c r="O758" s="51"/>
      <c r="P758" s="43" t="str">
        <f>VLOOKUP(K758,Maestro!J:K,2,0)</f>
        <v>CEMENTO UG TP</v>
      </c>
      <c r="Q758" s="43" t="str">
        <f>VLOOKUP(P758,Maestro!E:F,2,0)</f>
        <v>Cemento UG TP</v>
      </c>
      <c r="R758" s="43">
        <f>VLOOKUP(P758,ORD!$A:$C,3,0)</f>
        <v>15</v>
      </c>
      <c r="S758" t="str">
        <f t="shared" si="13"/>
        <v>7105330101CALIZATRICemento UG TP</v>
      </c>
      <c r="T758" t="str">
        <f>IFERROR(VLOOKUP(S758,Maestro!$A:$H,8,0),"Producción")</f>
        <v>Caliza Triturada</v>
      </c>
      <c r="U758" s="43" t="s">
        <v>182</v>
      </c>
    </row>
    <row r="759" spans="1:21" x14ac:dyDescent="0.3">
      <c r="A759" s="43">
        <v>7105450101</v>
      </c>
      <c r="B759" s="43" t="s">
        <v>466</v>
      </c>
      <c r="C759" s="52"/>
      <c r="D759" s="52"/>
      <c r="E759" s="43" t="s">
        <v>556</v>
      </c>
      <c r="F759" s="43" t="s">
        <v>557</v>
      </c>
      <c r="G759" s="43" t="s">
        <v>577</v>
      </c>
      <c r="H759" s="43" t="s">
        <v>578</v>
      </c>
      <c r="I759" s="43" t="s">
        <v>560</v>
      </c>
      <c r="J759" s="43" t="s">
        <v>467</v>
      </c>
      <c r="K759" s="43">
        <v>700090</v>
      </c>
      <c r="L759" s="43">
        <v>9</v>
      </c>
      <c r="M759" s="43" t="s">
        <v>579</v>
      </c>
      <c r="N759" s="51"/>
      <c r="O759" s="51"/>
      <c r="P759" s="43" t="str">
        <f>VLOOKUP(K759,Maestro!J:K,2,0)</f>
        <v>CEMENTO UG TP</v>
      </c>
      <c r="Q759" s="43" t="str">
        <f>VLOOKUP(P759,Maestro!E:F,2,0)</f>
        <v>Cemento UG TP</v>
      </c>
      <c r="R759" s="43">
        <f>VLOOKUP(P759,ORD!$A:$C,3,0)</f>
        <v>15</v>
      </c>
      <c r="S759" t="str">
        <f t="shared" si="13"/>
        <v>7105450101YESO00001Cemento UG TP</v>
      </c>
      <c r="T759" t="str">
        <f>IFERROR(VLOOKUP(S759,Maestro!$A:$H,8,0),"Producción")</f>
        <v>Yeso</v>
      </c>
      <c r="U759" s="43" t="s">
        <v>182</v>
      </c>
    </row>
    <row r="760" spans="1:21" x14ac:dyDescent="0.3">
      <c r="A760" s="43">
        <v>7199990001</v>
      </c>
      <c r="B760" s="43" t="s">
        <v>438</v>
      </c>
      <c r="C760" s="52"/>
      <c r="D760" s="52"/>
      <c r="E760" s="43" t="s">
        <v>556</v>
      </c>
      <c r="F760" s="43" t="s">
        <v>557</v>
      </c>
      <c r="G760" s="43" t="s">
        <v>567</v>
      </c>
      <c r="H760" s="43" t="s">
        <v>568</v>
      </c>
      <c r="I760" s="43" t="s">
        <v>560</v>
      </c>
      <c r="J760" s="43" t="s">
        <v>463</v>
      </c>
      <c r="K760" s="43">
        <v>700090</v>
      </c>
      <c r="L760" s="43">
        <v>9</v>
      </c>
      <c r="M760" s="43" t="s">
        <v>62</v>
      </c>
      <c r="N760" s="51"/>
      <c r="O760" s="51"/>
      <c r="P760" s="43" t="str">
        <f>VLOOKUP(K760,Maestro!J:K,2,0)</f>
        <v>CEMENTO UG TP</v>
      </c>
      <c r="Q760" s="43" t="str">
        <f>VLOOKUP(P760,Maestro!E:F,2,0)</f>
        <v>Cemento UG TP</v>
      </c>
      <c r="R760" s="43">
        <f>VLOOKUP(P760,ORD!$A:$C,3,0)</f>
        <v>15</v>
      </c>
      <c r="S760" t="str">
        <f t="shared" si="13"/>
        <v>7199990001CLINKER001Cemento UG TP</v>
      </c>
      <c r="T760" t="str">
        <f>IFERROR(VLOOKUP(S760,Maestro!$A:$H,8,0),"Producción")</f>
        <v>Clinker</v>
      </c>
      <c r="U760" s="43" t="s">
        <v>182</v>
      </c>
    </row>
    <row r="761" spans="1:21" x14ac:dyDescent="0.3">
      <c r="A761" s="43">
        <v>7999999995</v>
      </c>
      <c r="B761" s="43" t="s">
        <v>566</v>
      </c>
      <c r="C761" s="52"/>
      <c r="D761" s="166"/>
      <c r="E761" s="43" t="s">
        <v>556</v>
      </c>
      <c r="F761" s="43" t="s">
        <v>557</v>
      </c>
      <c r="G761" s="43" t="s">
        <v>567</v>
      </c>
      <c r="H761" s="43" t="s">
        <v>568</v>
      </c>
      <c r="I761" s="43" t="s">
        <v>560</v>
      </c>
      <c r="J761" s="43" t="s">
        <v>476</v>
      </c>
      <c r="K761" s="43">
        <v>700090</v>
      </c>
      <c r="L761" s="43">
        <v>9</v>
      </c>
      <c r="M761" s="43" t="s">
        <v>464</v>
      </c>
      <c r="N761" s="51"/>
      <c r="O761" s="51"/>
      <c r="P761" s="43" t="str">
        <f>VLOOKUP(K761,Maestro!J:K,2,0)</f>
        <v>CEMENTO UG TP</v>
      </c>
      <c r="Q761" s="43" t="str">
        <f>VLOOKUP(P761,Maestro!E:F,2,0)</f>
        <v>Cemento UG TP</v>
      </c>
      <c r="R761" s="43">
        <f>VLOOKUP(P761,ORD!$A:$C,3,0)</f>
        <v>15</v>
      </c>
      <c r="S761" t="str">
        <f t="shared" si="13"/>
        <v>7999999995CEMENTOUG1Cemento UG TP</v>
      </c>
      <c r="T761" t="str">
        <f>IFERROR(VLOOKUP(S761,Maestro!$A:$H,8,0),"Producción")</f>
        <v>Producción</v>
      </c>
      <c r="U761" s="43" t="s">
        <v>182</v>
      </c>
    </row>
    <row r="762" spans="1:21" x14ac:dyDescent="0.3">
      <c r="A762" s="43">
        <v>7355250320</v>
      </c>
      <c r="B762" s="43" t="s">
        <v>490</v>
      </c>
      <c r="C762" s="49"/>
      <c r="D762" s="52"/>
      <c r="E762" s="59"/>
      <c r="F762" s="58"/>
      <c r="G762" s="43"/>
      <c r="H762" s="43"/>
      <c r="I762" s="43" t="s">
        <v>560</v>
      </c>
      <c r="J762" s="43" t="s">
        <v>802</v>
      </c>
      <c r="K762" s="43">
        <v>700090</v>
      </c>
      <c r="L762" s="43">
        <v>9</v>
      </c>
      <c r="M762" s="43" t="s">
        <v>464</v>
      </c>
      <c r="N762" s="53"/>
      <c r="O762" s="53"/>
      <c r="P762" s="43" t="str">
        <f>VLOOKUP(K762,Maestro!J:K,2,0)</f>
        <v>CEMENTO UG TP</v>
      </c>
      <c r="Q762" s="43" t="str">
        <f>VLOOKUP(P762,Maestro!E:F,2,0)</f>
        <v>Cemento UG TP</v>
      </c>
      <c r="R762" s="43">
        <f>VLOOKUP(P762,ORD!$A:$C,3,0)</f>
        <v>15</v>
      </c>
      <c r="S762" t="str">
        <f t="shared" si="13"/>
        <v>7355250320PLACAS Y SEGMENTOSCemento UG TP</v>
      </c>
      <c r="T762" t="str">
        <f>IFERROR(VLOOKUP(S762,Maestro!$A:$H,8,0),"Producción")</f>
        <v>Placas y Segmentos</v>
      </c>
      <c r="U762" s="43" t="s">
        <v>182</v>
      </c>
    </row>
    <row r="763" spans="1:21" x14ac:dyDescent="0.3">
      <c r="A763" s="43">
        <v>7105330101</v>
      </c>
      <c r="B763" s="43" t="s">
        <v>443</v>
      </c>
      <c r="C763" s="52"/>
      <c r="D763" s="52"/>
      <c r="E763" s="43" t="s">
        <v>556</v>
      </c>
      <c r="F763" s="43" t="s">
        <v>557</v>
      </c>
      <c r="G763" s="43" t="s">
        <v>563</v>
      </c>
      <c r="H763" s="43" t="s">
        <v>564</v>
      </c>
      <c r="I763" s="43" t="s">
        <v>560</v>
      </c>
      <c r="J763" s="43" t="s">
        <v>519</v>
      </c>
      <c r="K763" s="43">
        <v>700090</v>
      </c>
      <c r="L763" s="43">
        <v>9</v>
      </c>
      <c r="M763" s="43" t="s">
        <v>576</v>
      </c>
      <c r="N763" s="51"/>
      <c r="O763" s="51"/>
      <c r="P763" s="43" t="str">
        <f>VLOOKUP(K763,Maestro!J:K,2,0)</f>
        <v>CEMENTO UG TP</v>
      </c>
      <c r="Q763" s="43" t="str">
        <f>VLOOKUP(P763,Maestro!E:F,2,0)</f>
        <v>Cemento UG TP</v>
      </c>
      <c r="R763" s="43">
        <f>VLOOKUP(P763,ORD!$A:$C,3,0)</f>
        <v>15</v>
      </c>
      <c r="S763" t="str">
        <f t="shared" si="13"/>
        <v>7105330101SALMARCemento UG TP</v>
      </c>
      <c r="T763" t="str">
        <f>IFERROR(VLOOKUP(S763,Maestro!$A:$H,8,0),"Producción")</f>
        <v>Sal Marina</v>
      </c>
      <c r="U763" s="43" t="s">
        <v>182</v>
      </c>
    </row>
    <row r="764" spans="1:21" x14ac:dyDescent="0.3">
      <c r="A764" s="43">
        <v>7105330101</v>
      </c>
      <c r="B764" s="43" t="s">
        <v>443</v>
      </c>
      <c r="C764" s="52"/>
      <c r="D764" s="52"/>
      <c r="E764" s="43" t="s">
        <v>556</v>
      </c>
      <c r="F764" s="43" t="s">
        <v>557</v>
      </c>
      <c r="G764" s="43" t="s">
        <v>563</v>
      </c>
      <c r="H764" s="43" t="s">
        <v>564</v>
      </c>
      <c r="I764" s="43" t="s">
        <v>560</v>
      </c>
      <c r="J764" s="43" t="s">
        <v>444</v>
      </c>
      <c r="K764" s="43">
        <v>700090</v>
      </c>
      <c r="L764" s="43">
        <v>10</v>
      </c>
      <c r="M764" s="43" t="s">
        <v>565</v>
      </c>
      <c r="N764" s="51"/>
      <c r="O764" s="51"/>
      <c r="P764" s="43" t="str">
        <f>VLOOKUP(K764,Maestro!J:K,2,0)</f>
        <v>CEMENTO UG TP</v>
      </c>
      <c r="Q764" s="43" t="str">
        <f>VLOOKUP(P764,Maestro!E:F,2,0)</f>
        <v>Cemento UG TP</v>
      </c>
      <c r="R764" s="43">
        <f>VLOOKUP(P764,ORD!$A:$C,3,0)</f>
        <v>15</v>
      </c>
      <c r="S764" t="str">
        <f t="shared" si="13"/>
        <v>7105330101CALIZATRICemento UG TP</v>
      </c>
      <c r="T764" t="str">
        <f>IFERROR(VLOOKUP(S764,Maestro!$A:$H,8,0),"Producción")</f>
        <v>Caliza Triturada</v>
      </c>
      <c r="U764" s="43" t="s">
        <v>182</v>
      </c>
    </row>
    <row r="765" spans="1:21" x14ac:dyDescent="0.3">
      <c r="A765" s="43">
        <v>7105450101</v>
      </c>
      <c r="B765" s="43" t="s">
        <v>466</v>
      </c>
      <c r="C765" s="52"/>
      <c r="D765" s="52"/>
      <c r="E765" s="43" t="s">
        <v>556</v>
      </c>
      <c r="F765" s="43" t="s">
        <v>557</v>
      </c>
      <c r="G765" s="43" t="s">
        <v>577</v>
      </c>
      <c r="H765" s="43" t="s">
        <v>578</v>
      </c>
      <c r="I765" s="43" t="s">
        <v>560</v>
      </c>
      <c r="J765" s="43" t="s">
        <v>467</v>
      </c>
      <c r="K765" s="43">
        <v>700090</v>
      </c>
      <c r="L765" s="43">
        <v>10</v>
      </c>
      <c r="M765" s="43" t="s">
        <v>579</v>
      </c>
      <c r="N765" s="51"/>
      <c r="O765" s="51"/>
      <c r="P765" s="43" t="str">
        <f>VLOOKUP(K765,Maestro!J:K,2,0)</f>
        <v>CEMENTO UG TP</v>
      </c>
      <c r="Q765" s="43" t="str">
        <f>VLOOKUP(P765,Maestro!E:F,2,0)</f>
        <v>Cemento UG TP</v>
      </c>
      <c r="R765" s="43">
        <f>VLOOKUP(P765,ORD!$A:$C,3,0)</f>
        <v>15</v>
      </c>
      <c r="S765" t="str">
        <f t="shared" si="13"/>
        <v>7105450101YESO00001Cemento UG TP</v>
      </c>
      <c r="T765" t="str">
        <f>IFERROR(VLOOKUP(S765,Maestro!$A:$H,8,0),"Producción")</f>
        <v>Yeso</v>
      </c>
      <c r="U765" s="43" t="s">
        <v>182</v>
      </c>
    </row>
    <row r="766" spans="1:21" x14ac:dyDescent="0.3">
      <c r="A766" s="43">
        <v>7199990001</v>
      </c>
      <c r="B766" s="43" t="s">
        <v>438</v>
      </c>
      <c r="C766" s="52"/>
      <c r="D766" s="52"/>
      <c r="E766" s="43" t="s">
        <v>556</v>
      </c>
      <c r="F766" s="43" t="s">
        <v>557</v>
      </c>
      <c r="G766" s="43" t="s">
        <v>567</v>
      </c>
      <c r="H766" s="43" t="s">
        <v>568</v>
      </c>
      <c r="I766" s="43" t="s">
        <v>560</v>
      </c>
      <c r="J766" s="43" t="s">
        <v>463</v>
      </c>
      <c r="K766" s="43">
        <v>700090</v>
      </c>
      <c r="L766" s="43">
        <v>10</v>
      </c>
      <c r="M766" s="43" t="s">
        <v>62</v>
      </c>
      <c r="N766" s="51"/>
      <c r="O766" s="51"/>
      <c r="P766" s="43" t="str">
        <f>VLOOKUP(K766,Maestro!J:K,2,0)</f>
        <v>CEMENTO UG TP</v>
      </c>
      <c r="Q766" s="43" t="str">
        <f>VLOOKUP(P766,Maestro!E:F,2,0)</f>
        <v>Cemento UG TP</v>
      </c>
      <c r="R766" s="43">
        <f>VLOOKUP(P766,ORD!$A:$C,3,0)</f>
        <v>15</v>
      </c>
      <c r="S766" t="str">
        <f t="shared" si="13"/>
        <v>7199990001CLINKER001Cemento UG TP</v>
      </c>
      <c r="T766" t="str">
        <f>IFERROR(VLOOKUP(S766,Maestro!$A:$H,8,0),"Producción")</f>
        <v>Clinker</v>
      </c>
      <c r="U766" s="43" t="s">
        <v>182</v>
      </c>
    </row>
    <row r="767" spans="1:21" x14ac:dyDescent="0.3">
      <c r="A767" s="43">
        <v>7999999995</v>
      </c>
      <c r="B767" s="43" t="s">
        <v>566</v>
      </c>
      <c r="C767" s="52"/>
      <c r="D767" s="166"/>
      <c r="E767" s="43" t="s">
        <v>556</v>
      </c>
      <c r="F767" s="43" t="s">
        <v>557</v>
      </c>
      <c r="G767" s="43" t="s">
        <v>567</v>
      </c>
      <c r="H767" s="43" t="s">
        <v>568</v>
      </c>
      <c r="I767" s="43" t="s">
        <v>560</v>
      </c>
      <c r="J767" s="43" t="s">
        <v>476</v>
      </c>
      <c r="K767" s="43">
        <v>700090</v>
      </c>
      <c r="L767" s="43">
        <v>10</v>
      </c>
      <c r="M767" s="43" t="s">
        <v>464</v>
      </c>
      <c r="N767" s="51"/>
      <c r="O767" s="51"/>
      <c r="P767" s="43" t="str">
        <f>VLOOKUP(K767,Maestro!J:K,2,0)</f>
        <v>CEMENTO UG TP</v>
      </c>
      <c r="Q767" s="43" t="str">
        <f>VLOOKUP(P767,Maestro!E:F,2,0)</f>
        <v>Cemento UG TP</v>
      </c>
      <c r="R767" s="43">
        <f>VLOOKUP(P767,ORD!$A:$C,3,0)</f>
        <v>15</v>
      </c>
      <c r="S767" t="str">
        <f t="shared" si="13"/>
        <v>7999999995CEMENTOUG1Cemento UG TP</v>
      </c>
      <c r="T767" t="str">
        <f>IFERROR(VLOOKUP(S767,Maestro!$A:$H,8,0),"Producción")</f>
        <v>Producción</v>
      </c>
      <c r="U767" s="43" t="s">
        <v>182</v>
      </c>
    </row>
    <row r="768" spans="1:21" x14ac:dyDescent="0.3">
      <c r="A768" s="43">
        <v>7355250320</v>
      </c>
      <c r="B768" s="43" t="s">
        <v>490</v>
      </c>
      <c r="C768" s="49"/>
      <c r="D768" s="52"/>
      <c r="E768" s="59"/>
      <c r="F768" s="58"/>
      <c r="G768" s="43"/>
      <c r="H768" s="43"/>
      <c r="I768" s="43" t="s">
        <v>560</v>
      </c>
      <c r="J768" s="43" t="s">
        <v>802</v>
      </c>
      <c r="K768" s="43">
        <v>700090</v>
      </c>
      <c r="L768" s="43">
        <v>10</v>
      </c>
      <c r="M768" s="43" t="s">
        <v>464</v>
      </c>
      <c r="N768" s="53"/>
      <c r="O768" s="53"/>
      <c r="P768" s="43" t="str">
        <f>VLOOKUP(K768,Maestro!J:K,2,0)</f>
        <v>CEMENTO UG TP</v>
      </c>
      <c r="Q768" s="43" t="str">
        <f>VLOOKUP(P768,Maestro!E:F,2,0)</f>
        <v>Cemento UG TP</v>
      </c>
      <c r="R768" s="43">
        <f>VLOOKUP(P768,ORD!$A:$C,3,0)</f>
        <v>15</v>
      </c>
      <c r="S768" t="str">
        <f t="shared" si="13"/>
        <v>7355250320PLACAS Y SEGMENTOSCemento UG TP</v>
      </c>
      <c r="T768" t="str">
        <f>IFERROR(VLOOKUP(S768,Maestro!$A:$H,8,0),"Producción")</f>
        <v>Placas y Segmentos</v>
      </c>
      <c r="U768" s="43" t="s">
        <v>182</v>
      </c>
    </row>
    <row r="769" spans="1:21" x14ac:dyDescent="0.3">
      <c r="A769" s="43">
        <v>7105330101</v>
      </c>
      <c r="B769" s="43" t="s">
        <v>443</v>
      </c>
      <c r="C769" s="52"/>
      <c r="D769" s="52"/>
      <c r="E769" s="43" t="s">
        <v>556</v>
      </c>
      <c r="F769" s="43" t="s">
        <v>557</v>
      </c>
      <c r="G769" s="43" t="s">
        <v>563</v>
      </c>
      <c r="H769" s="43" t="s">
        <v>564</v>
      </c>
      <c r="I769" s="43" t="s">
        <v>560</v>
      </c>
      <c r="J769" s="43" t="s">
        <v>519</v>
      </c>
      <c r="K769" s="43">
        <v>700090</v>
      </c>
      <c r="L769" s="43">
        <v>10</v>
      </c>
      <c r="M769" s="43" t="s">
        <v>576</v>
      </c>
      <c r="N769" s="51"/>
      <c r="O769" s="51"/>
      <c r="P769" s="43" t="str">
        <f>VLOOKUP(K769,Maestro!J:K,2,0)</f>
        <v>CEMENTO UG TP</v>
      </c>
      <c r="Q769" s="43" t="str">
        <f>VLOOKUP(P769,Maestro!E:F,2,0)</f>
        <v>Cemento UG TP</v>
      </c>
      <c r="R769" s="43">
        <f>VLOOKUP(P769,ORD!$A:$C,3,0)</f>
        <v>15</v>
      </c>
      <c r="S769" t="str">
        <f t="shared" si="13"/>
        <v>7105330101SALMARCemento UG TP</v>
      </c>
      <c r="T769" t="str">
        <f>IFERROR(VLOOKUP(S769,Maestro!$A:$H,8,0),"Producción")</f>
        <v>Sal Marina</v>
      </c>
      <c r="U769" s="43" t="s">
        <v>182</v>
      </c>
    </row>
    <row r="770" spans="1:21" x14ac:dyDescent="0.3">
      <c r="A770" s="43">
        <v>7105330101</v>
      </c>
      <c r="B770" s="43" t="s">
        <v>443</v>
      </c>
      <c r="C770" s="52"/>
      <c r="D770" s="52"/>
      <c r="E770" s="43" t="s">
        <v>556</v>
      </c>
      <c r="F770" s="43" t="s">
        <v>557</v>
      </c>
      <c r="G770" s="43" t="s">
        <v>563</v>
      </c>
      <c r="H770" s="43" t="s">
        <v>564</v>
      </c>
      <c r="I770" s="43" t="s">
        <v>560</v>
      </c>
      <c r="J770" s="43" t="s">
        <v>444</v>
      </c>
      <c r="K770" s="43">
        <v>700090</v>
      </c>
      <c r="L770" s="43">
        <v>11</v>
      </c>
      <c r="M770" s="43" t="s">
        <v>565</v>
      </c>
      <c r="N770" s="51"/>
      <c r="O770" s="51"/>
      <c r="P770" s="43" t="str">
        <f>VLOOKUP(K770,Maestro!J:K,2,0)</f>
        <v>CEMENTO UG TP</v>
      </c>
      <c r="Q770" s="43" t="str">
        <f>VLOOKUP(P770,Maestro!E:F,2,0)</f>
        <v>Cemento UG TP</v>
      </c>
      <c r="R770" s="43">
        <f>VLOOKUP(P770,ORD!$A:$C,3,0)</f>
        <v>15</v>
      </c>
      <c r="S770" t="str">
        <f t="shared" si="13"/>
        <v>7105330101CALIZATRICemento UG TP</v>
      </c>
      <c r="T770" t="str">
        <f>IFERROR(VLOOKUP(S770,Maestro!$A:$H,8,0),"Producción")</f>
        <v>Caliza Triturada</v>
      </c>
      <c r="U770" s="43" t="s">
        <v>182</v>
      </c>
    </row>
    <row r="771" spans="1:21" x14ac:dyDescent="0.3">
      <c r="A771" s="43">
        <v>7105450101</v>
      </c>
      <c r="B771" s="43" t="s">
        <v>466</v>
      </c>
      <c r="C771" s="52"/>
      <c r="D771" s="52"/>
      <c r="E771" s="43" t="s">
        <v>556</v>
      </c>
      <c r="F771" s="43" t="s">
        <v>557</v>
      </c>
      <c r="G771" s="43" t="s">
        <v>577</v>
      </c>
      <c r="H771" s="43" t="s">
        <v>578</v>
      </c>
      <c r="I771" s="43" t="s">
        <v>560</v>
      </c>
      <c r="J771" s="43" t="s">
        <v>467</v>
      </c>
      <c r="K771" s="43">
        <v>700090</v>
      </c>
      <c r="L771" s="43">
        <v>11</v>
      </c>
      <c r="M771" s="43" t="s">
        <v>579</v>
      </c>
      <c r="N771" s="51"/>
      <c r="O771" s="51"/>
      <c r="P771" s="43" t="str">
        <f>VLOOKUP(K771,Maestro!J:K,2,0)</f>
        <v>CEMENTO UG TP</v>
      </c>
      <c r="Q771" s="43" t="str">
        <f>VLOOKUP(P771,Maestro!E:F,2,0)</f>
        <v>Cemento UG TP</v>
      </c>
      <c r="R771" s="43">
        <f>VLOOKUP(P771,ORD!$A:$C,3,0)</f>
        <v>15</v>
      </c>
      <c r="S771" t="str">
        <f t="shared" si="13"/>
        <v>7105450101YESO00001Cemento UG TP</v>
      </c>
      <c r="T771" t="str">
        <f>IFERROR(VLOOKUP(S771,Maestro!$A:$H,8,0),"Producción")</f>
        <v>Yeso</v>
      </c>
      <c r="U771" s="43" t="s">
        <v>182</v>
      </c>
    </row>
    <row r="772" spans="1:21" x14ac:dyDescent="0.3">
      <c r="A772" s="43">
        <v>7199990001</v>
      </c>
      <c r="B772" s="43" t="s">
        <v>438</v>
      </c>
      <c r="C772" s="52"/>
      <c r="D772" s="52"/>
      <c r="E772" s="43" t="s">
        <v>556</v>
      </c>
      <c r="F772" s="43" t="s">
        <v>557</v>
      </c>
      <c r="G772" s="43" t="s">
        <v>567</v>
      </c>
      <c r="H772" s="43" t="s">
        <v>568</v>
      </c>
      <c r="I772" s="43" t="s">
        <v>560</v>
      </c>
      <c r="J772" s="43" t="s">
        <v>463</v>
      </c>
      <c r="K772" s="43">
        <v>700090</v>
      </c>
      <c r="L772" s="43">
        <v>11</v>
      </c>
      <c r="M772" s="43" t="s">
        <v>62</v>
      </c>
      <c r="N772" s="51"/>
      <c r="O772" s="51"/>
      <c r="P772" s="43" t="str">
        <f>VLOOKUP(K772,Maestro!J:K,2,0)</f>
        <v>CEMENTO UG TP</v>
      </c>
      <c r="Q772" s="43" t="str">
        <f>VLOOKUP(P772,Maestro!E:F,2,0)</f>
        <v>Cemento UG TP</v>
      </c>
      <c r="R772" s="43">
        <f>VLOOKUP(P772,ORD!$A:$C,3,0)</f>
        <v>15</v>
      </c>
      <c r="S772" t="str">
        <f t="shared" si="13"/>
        <v>7199990001CLINKER001Cemento UG TP</v>
      </c>
      <c r="T772" t="str">
        <f>IFERROR(VLOOKUP(S772,Maestro!$A:$H,8,0),"Producción")</f>
        <v>Clinker</v>
      </c>
      <c r="U772" s="43" t="s">
        <v>182</v>
      </c>
    </row>
    <row r="773" spans="1:21" x14ac:dyDescent="0.3">
      <c r="A773" s="43">
        <v>7999999995</v>
      </c>
      <c r="B773" s="43" t="s">
        <v>566</v>
      </c>
      <c r="C773" s="52"/>
      <c r="D773" s="166"/>
      <c r="E773" s="43" t="s">
        <v>556</v>
      </c>
      <c r="F773" s="43" t="s">
        <v>557</v>
      </c>
      <c r="G773" s="43" t="s">
        <v>567</v>
      </c>
      <c r="H773" s="43" t="s">
        <v>568</v>
      </c>
      <c r="I773" s="43" t="s">
        <v>560</v>
      </c>
      <c r="J773" s="43" t="s">
        <v>476</v>
      </c>
      <c r="K773" s="43">
        <v>700090</v>
      </c>
      <c r="L773" s="43">
        <v>11</v>
      </c>
      <c r="M773" s="43" t="s">
        <v>464</v>
      </c>
      <c r="N773" s="51"/>
      <c r="O773" s="51"/>
      <c r="P773" s="43" t="str">
        <f>VLOOKUP(K773,Maestro!J:K,2,0)</f>
        <v>CEMENTO UG TP</v>
      </c>
      <c r="Q773" s="43" t="str">
        <f>VLOOKUP(P773,Maestro!E:F,2,0)</f>
        <v>Cemento UG TP</v>
      </c>
      <c r="R773" s="43">
        <f>VLOOKUP(P773,ORD!$A:$C,3,0)</f>
        <v>15</v>
      </c>
      <c r="S773" t="str">
        <f t="shared" si="13"/>
        <v>7999999995CEMENTOUG1Cemento UG TP</v>
      </c>
      <c r="T773" t="str">
        <f>IFERROR(VLOOKUP(S773,Maestro!$A:$H,8,0),"Producción")</f>
        <v>Producción</v>
      </c>
      <c r="U773" s="43" t="s">
        <v>182</v>
      </c>
    </row>
    <row r="774" spans="1:21" x14ac:dyDescent="0.3">
      <c r="A774" s="43">
        <v>7355250320</v>
      </c>
      <c r="B774" s="43" t="s">
        <v>490</v>
      </c>
      <c r="C774" s="49"/>
      <c r="D774" s="52"/>
      <c r="E774" s="59"/>
      <c r="F774" s="58"/>
      <c r="G774" s="43"/>
      <c r="H774" s="43"/>
      <c r="I774" s="43" t="s">
        <v>560</v>
      </c>
      <c r="J774" s="43" t="s">
        <v>802</v>
      </c>
      <c r="K774" s="43">
        <v>700090</v>
      </c>
      <c r="L774" s="43">
        <v>11</v>
      </c>
      <c r="M774" s="43" t="s">
        <v>464</v>
      </c>
      <c r="N774" s="53"/>
      <c r="O774" s="53"/>
      <c r="P774" s="43" t="str">
        <f>VLOOKUP(K774,Maestro!J:K,2,0)</f>
        <v>CEMENTO UG TP</v>
      </c>
      <c r="Q774" s="43" t="str">
        <f>VLOOKUP(P774,Maestro!E:F,2,0)</f>
        <v>Cemento UG TP</v>
      </c>
      <c r="R774" s="43">
        <f>VLOOKUP(P774,ORD!$A:$C,3,0)</f>
        <v>15</v>
      </c>
      <c r="S774" t="str">
        <f t="shared" si="13"/>
        <v>7355250320PLACAS Y SEGMENTOSCemento UG TP</v>
      </c>
      <c r="T774" t="str">
        <f>IFERROR(VLOOKUP(S774,Maestro!$A:$H,8,0),"Producción")</f>
        <v>Placas y Segmentos</v>
      </c>
      <c r="U774" s="43" t="s">
        <v>182</v>
      </c>
    </row>
    <row r="775" spans="1:21" x14ac:dyDescent="0.3">
      <c r="A775" s="43">
        <v>7105330101</v>
      </c>
      <c r="B775" s="43" t="s">
        <v>443</v>
      </c>
      <c r="C775" s="52"/>
      <c r="D775" s="52"/>
      <c r="E775" s="43" t="s">
        <v>556</v>
      </c>
      <c r="F775" s="43" t="s">
        <v>557</v>
      </c>
      <c r="G775" s="43" t="s">
        <v>563</v>
      </c>
      <c r="H775" s="43" t="s">
        <v>564</v>
      </c>
      <c r="I775" s="43" t="s">
        <v>560</v>
      </c>
      <c r="J775" s="43" t="s">
        <v>519</v>
      </c>
      <c r="K775" s="43">
        <v>700090</v>
      </c>
      <c r="L775" s="43">
        <v>11</v>
      </c>
      <c r="M775" s="43" t="s">
        <v>576</v>
      </c>
      <c r="N775" s="51"/>
      <c r="O775" s="51"/>
      <c r="P775" s="43" t="str">
        <f>VLOOKUP(K775,Maestro!J:K,2,0)</f>
        <v>CEMENTO UG TP</v>
      </c>
      <c r="Q775" s="43" t="str">
        <f>VLOOKUP(P775,Maestro!E:F,2,0)</f>
        <v>Cemento UG TP</v>
      </c>
      <c r="R775" s="43">
        <f>VLOOKUP(P775,ORD!$A:$C,3,0)</f>
        <v>15</v>
      </c>
      <c r="S775" t="str">
        <f t="shared" si="13"/>
        <v>7105330101SALMARCemento UG TP</v>
      </c>
      <c r="T775" t="str">
        <f>IFERROR(VLOOKUP(S775,Maestro!$A:$H,8,0),"Producción")</f>
        <v>Sal Marina</v>
      </c>
      <c r="U775" s="43" t="s">
        <v>182</v>
      </c>
    </row>
    <row r="776" spans="1:21" x14ac:dyDescent="0.3">
      <c r="A776" s="43">
        <v>7105330101</v>
      </c>
      <c r="B776" s="43" t="s">
        <v>443</v>
      </c>
      <c r="C776" s="52"/>
      <c r="D776" s="52"/>
      <c r="E776" s="43" t="s">
        <v>556</v>
      </c>
      <c r="F776" s="43" t="s">
        <v>557</v>
      </c>
      <c r="G776" s="43" t="s">
        <v>563</v>
      </c>
      <c r="H776" s="43" t="s">
        <v>564</v>
      </c>
      <c r="I776" s="43" t="s">
        <v>560</v>
      </c>
      <c r="J776" s="43" t="s">
        <v>444</v>
      </c>
      <c r="K776" s="43">
        <v>700090</v>
      </c>
      <c r="L776" s="43">
        <v>12</v>
      </c>
      <c r="M776" s="43" t="s">
        <v>565</v>
      </c>
      <c r="N776" s="51"/>
      <c r="O776" s="51"/>
      <c r="P776" s="43" t="str">
        <f>VLOOKUP(K776,Maestro!J:K,2,0)</f>
        <v>CEMENTO UG TP</v>
      </c>
      <c r="Q776" s="43" t="str">
        <f>VLOOKUP(P776,Maestro!E:F,2,0)</f>
        <v>Cemento UG TP</v>
      </c>
      <c r="R776" s="43">
        <f>VLOOKUP(P776,ORD!$A:$C,3,0)</f>
        <v>15</v>
      </c>
      <c r="S776" t="str">
        <f t="shared" si="13"/>
        <v>7105330101CALIZATRICemento UG TP</v>
      </c>
      <c r="T776" t="str">
        <f>IFERROR(VLOOKUP(S776,Maestro!$A:$H,8,0),"Producción")</f>
        <v>Caliza Triturada</v>
      </c>
      <c r="U776" s="43" t="s">
        <v>182</v>
      </c>
    </row>
    <row r="777" spans="1:21" x14ac:dyDescent="0.3">
      <c r="A777" s="43">
        <v>7105450101</v>
      </c>
      <c r="B777" s="43" t="s">
        <v>466</v>
      </c>
      <c r="C777" s="52"/>
      <c r="D777" s="52"/>
      <c r="E777" s="43" t="s">
        <v>556</v>
      </c>
      <c r="F777" s="43" t="s">
        <v>557</v>
      </c>
      <c r="G777" s="43" t="s">
        <v>577</v>
      </c>
      <c r="H777" s="43" t="s">
        <v>578</v>
      </c>
      <c r="I777" s="43" t="s">
        <v>560</v>
      </c>
      <c r="J777" s="43" t="s">
        <v>467</v>
      </c>
      <c r="K777" s="43">
        <v>700090</v>
      </c>
      <c r="L777" s="43">
        <v>12</v>
      </c>
      <c r="M777" s="43" t="s">
        <v>579</v>
      </c>
      <c r="N777" s="51"/>
      <c r="O777" s="51"/>
      <c r="P777" s="43" t="str">
        <f>VLOOKUP(K777,Maestro!J:K,2,0)</f>
        <v>CEMENTO UG TP</v>
      </c>
      <c r="Q777" s="43" t="str">
        <f>VLOOKUP(P777,Maestro!E:F,2,0)</f>
        <v>Cemento UG TP</v>
      </c>
      <c r="R777" s="43">
        <f>VLOOKUP(P777,ORD!$A:$C,3,0)</f>
        <v>15</v>
      </c>
      <c r="S777" t="str">
        <f t="shared" si="13"/>
        <v>7105450101YESO00001Cemento UG TP</v>
      </c>
      <c r="T777" t="str">
        <f>IFERROR(VLOOKUP(S777,Maestro!$A:$H,8,0),"Producción")</f>
        <v>Yeso</v>
      </c>
      <c r="U777" s="43" t="s">
        <v>182</v>
      </c>
    </row>
    <row r="778" spans="1:21" x14ac:dyDescent="0.3">
      <c r="A778" s="43">
        <v>7199990001</v>
      </c>
      <c r="B778" s="43" t="s">
        <v>438</v>
      </c>
      <c r="C778" s="52"/>
      <c r="D778" s="52"/>
      <c r="E778" s="43" t="s">
        <v>556</v>
      </c>
      <c r="F778" s="43" t="s">
        <v>557</v>
      </c>
      <c r="G778" s="43" t="s">
        <v>567</v>
      </c>
      <c r="H778" s="43" t="s">
        <v>568</v>
      </c>
      <c r="I778" s="43" t="s">
        <v>560</v>
      </c>
      <c r="J778" s="43" t="s">
        <v>463</v>
      </c>
      <c r="K778" s="43">
        <v>700090</v>
      </c>
      <c r="L778" s="43">
        <v>12</v>
      </c>
      <c r="M778" s="43" t="s">
        <v>62</v>
      </c>
      <c r="N778" s="51"/>
      <c r="O778" s="51"/>
      <c r="P778" s="43" t="str">
        <f>VLOOKUP(K778,Maestro!J:K,2,0)</f>
        <v>CEMENTO UG TP</v>
      </c>
      <c r="Q778" s="43" t="str">
        <f>VLOOKUP(P778,Maestro!E:F,2,0)</f>
        <v>Cemento UG TP</v>
      </c>
      <c r="R778" s="43">
        <f>VLOOKUP(P778,ORD!$A:$C,3,0)</f>
        <v>15</v>
      </c>
      <c r="S778" t="str">
        <f t="shared" si="13"/>
        <v>7199990001CLINKER001Cemento UG TP</v>
      </c>
      <c r="T778" t="str">
        <f>IFERROR(VLOOKUP(S778,Maestro!$A:$H,8,0),"Producción")</f>
        <v>Clinker</v>
      </c>
      <c r="U778" s="43" t="s">
        <v>182</v>
      </c>
    </row>
    <row r="779" spans="1:21" x14ac:dyDescent="0.3">
      <c r="A779" s="43">
        <v>7999999995</v>
      </c>
      <c r="B779" s="43" t="s">
        <v>566</v>
      </c>
      <c r="C779" s="52"/>
      <c r="D779" s="166"/>
      <c r="E779" s="43" t="s">
        <v>556</v>
      </c>
      <c r="F779" s="43" t="s">
        <v>557</v>
      </c>
      <c r="G779" s="43" t="s">
        <v>567</v>
      </c>
      <c r="H779" s="43" t="s">
        <v>568</v>
      </c>
      <c r="I779" s="43" t="s">
        <v>560</v>
      </c>
      <c r="J779" s="43" t="s">
        <v>476</v>
      </c>
      <c r="K779" s="43">
        <v>700090</v>
      </c>
      <c r="L779" s="43">
        <v>12</v>
      </c>
      <c r="M779" s="43" t="s">
        <v>464</v>
      </c>
      <c r="N779" s="51"/>
      <c r="O779" s="51"/>
      <c r="P779" s="43" t="str">
        <f>VLOOKUP(K779,Maestro!J:K,2,0)</f>
        <v>CEMENTO UG TP</v>
      </c>
      <c r="Q779" s="43" t="str">
        <f>VLOOKUP(P779,Maestro!E:F,2,0)</f>
        <v>Cemento UG TP</v>
      </c>
      <c r="R779" s="43">
        <f>VLOOKUP(P779,ORD!$A:$C,3,0)</f>
        <v>15</v>
      </c>
      <c r="S779" t="str">
        <f t="shared" si="13"/>
        <v>7999999995CEMENTOUG1Cemento UG TP</v>
      </c>
      <c r="T779" t="str">
        <f>IFERROR(VLOOKUP(S779,Maestro!$A:$H,8,0),"Producción")</f>
        <v>Producción</v>
      </c>
      <c r="U779" s="43" t="s">
        <v>182</v>
      </c>
    </row>
    <row r="780" spans="1:21" x14ac:dyDescent="0.3">
      <c r="A780" s="43">
        <v>7355250320</v>
      </c>
      <c r="B780" s="43" t="s">
        <v>490</v>
      </c>
      <c r="C780" s="49"/>
      <c r="D780" s="52"/>
      <c r="E780" s="59"/>
      <c r="F780" s="58"/>
      <c r="G780" s="43"/>
      <c r="H780" s="43"/>
      <c r="I780" s="43" t="s">
        <v>560</v>
      </c>
      <c r="J780" s="43" t="s">
        <v>802</v>
      </c>
      <c r="K780" s="43">
        <v>700090</v>
      </c>
      <c r="L780" s="43">
        <v>12</v>
      </c>
      <c r="M780" s="43" t="s">
        <v>464</v>
      </c>
      <c r="N780" s="53"/>
      <c r="O780" s="53"/>
      <c r="P780" s="43" t="str">
        <f>VLOOKUP(K780,Maestro!J:K,2,0)</f>
        <v>CEMENTO UG TP</v>
      </c>
      <c r="Q780" s="43" t="str">
        <f>VLOOKUP(P780,Maestro!E:F,2,0)</f>
        <v>Cemento UG TP</v>
      </c>
      <c r="R780" s="43">
        <f>VLOOKUP(P780,ORD!$A:$C,3,0)</f>
        <v>15</v>
      </c>
      <c r="S780" t="str">
        <f t="shared" si="13"/>
        <v>7355250320PLACAS Y SEGMENTOSCemento UG TP</v>
      </c>
      <c r="T780" t="str">
        <f>IFERROR(VLOOKUP(S780,Maestro!$A:$H,8,0),"Producción")</f>
        <v>Placas y Segmentos</v>
      </c>
      <c r="U780" s="43" t="s">
        <v>182</v>
      </c>
    </row>
    <row r="781" spans="1:21" x14ac:dyDescent="0.3">
      <c r="A781" s="43">
        <v>7105330101</v>
      </c>
      <c r="B781" s="43" t="s">
        <v>443</v>
      </c>
      <c r="C781" s="52"/>
      <c r="D781" s="52"/>
      <c r="E781" s="43" t="s">
        <v>556</v>
      </c>
      <c r="F781" s="43" t="s">
        <v>557</v>
      </c>
      <c r="G781" s="43" t="s">
        <v>563</v>
      </c>
      <c r="H781" s="43" t="s">
        <v>564</v>
      </c>
      <c r="I781" s="43" t="s">
        <v>560</v>
      </c>
      <c r="J781" s="43" t="s">
        <v>519</v>
      </c>
      <c r="K781" s="43">
        <v>700090</v>
      </c>
      <c r="L781" s="43">
        <v>12</v>
      </c>
      <c r="M781" s="43" t="s">
        <v>576</v>
      </c>
      <c r="N781" s="51"/>
      <c r="O781" s="51"/>
      <c r="P781" s="43" t="str">
        <f>VLOOKUP(K781,Maestro!J:K,2,0)</f>
        <v>CEMENTO UG TP</v>
      </c>
      <c r="Q781" s="43" t="str">
        <f>VLOOKUP(P781,Maestro!E:F,2,0)</f>
        <v>Cemento UG TP</v>
      </c>
      <c r="R781" s="43">
        <f>VLOOKUP(P781,ORD!$A:$C,3,0)</f>
        <v>15</v>
      </c>
      <c r="S781" t="str">
        <f t="shared" si="13"/>
        <v>7105330101SALMARCemento UG TP</v>
      </c>
      <c r="T781" t="str">
        <f>IFERROR(VLOOKUP(S781,Maestro!$A:$H,8,0),"Producción")</f>
        <v>Sal Marina</v>
      </c>
      <c r="U781" s="43" t="s">
        <v>182</v>
      </c>
    </row>
    <row r="782" spans="1:21" x14ac:dyDescent="0.3">
      <c r="A782" s="43">
        <v>7105450101</v>
      </c>
      <c r="B782" s="43" t="s">
        <v>466</v>
      </c>
      <c r="C782" s="52"/>
      <c r="D782" s="52"/>
      <c r="E782" s="43" t="s">
        <v>556</v>
      </c>
      <c r="F782" s="43" t="s">
        <v>557</v>
      </c>
      <c r="G782" s="43" t="s">
        <v>577</v>
      </c>
      <c r="H782" s="43" t="s">
        <v>578</v>
      </c>
      <c r="I782" s="43" t="s">
        <v>560</v>
      </c>
      <c r="J782" s="43" t="s">
        <v>467</v>
      </c>
      <c r="K782" s="43">
        <v>700091</v>
      </c>
      <c r="L782" s="43">
        <v>1</v>
      </c>
      <c r="M782" s="43" t="s">
        <v>579</v>
      </c>
      <c r="N782" s="51"/>
      <c r="O782" s="51"/>
      <c r="P782" s="43" t="str">
        <f>VLOOKUP(K782,Maestro!J:K,2,0)</f>
        <v>FIBROCEMENTO</v>
      </c>
      <c r="Q782" s="43" t="str">
        <f>VLOOKUP(P782,Maestro!E:F,2,0)</f>
        <v>Fibrocemento</v>
      </c>
      <c r="R782" s="43">
        <f>VLOOKUP(P782,ORD!$A:$C,3,0)</f>
        <v>16</v>
      </c>
      <c r="S782" t="str">
        <f t="shared" si="13"/>
        <v>7105450101YESO00001Fibrocemento</v>
      </c>
      <c r="T782" t="str">
        <f>IFERROR(VLOOKUP(S782,Maestro!$A:$H,8,0),"Producción")</f>
        <v>Yeso</v>
      </c>
      <c r="U782" s="43" t="s">
        <v>182</v>
      </c>
    </row>
    <row r="783" spans="1:21" x14ac:dyDescent="0.3">
      <c r="A783" s="43">
        <v>7199990001</v>
      </c>
      <c r="B783" s="43" t="s">
        <v>438</v>
      </c>
      <c r="C783" s="52"/>
      <c r="D783" s="52"/>
      <c r="E783" s="43" t="s">
        <v>556</v>
      </c>
      <c r="F783" s="43" t="s">
        <v>557</v>
      </c>
      <c r="G783" s="43" t="s">
        <v>567</v>
      </c>
      <c r="H783" s="43" t="s">
        <v>568</v>
      </c>
      <c r="I783" s="43" t="s">
        <v>560</v>
      </c>
      <c r="J783" s="43" t="s">
        <v>463</v>
      </c>
      <c r="K783" s="43">
        <v>700091</v>
      </c>
      <c r="L783" s="43">
        <v>1</v>
      </c>
      <c r="M783" s="43" t="s">
        <v>62</v>
      </c>
      <c r="N783" s="51"/>
      <c r="O783" s="51"/>
      <c r="P783" s="43" t="str">
        <f>VLOOKUP(K783,Maestro!J:K,2,0)</f>
        <v>FIBROCEMENTO</v>
      </c>
      <c r="Q783" s="43" t="str">
        <f>VLOOKUP(P783,Maestro!E:F,2,0)</f>
        <v>Fibrocemento</v>
      </c>
      <c r="R783" s="43">
        <f>VLOOKUP(P783,ORD!$A:$C,3,0)</f>
        <v>16</v>
      </c>
      <c r="S783" t="str">
        <f t="shared" si="13"/>
        <v>7199990001CLINKER001Fibrocemento</v>
      </c>
      <c r="T783" t="str">
        <f>IFERROR(VLOOKUP(S783,Maestro!$A:$H,8,0),"Producción")</f>
        <v>Clinker</v>
      </c>
      <c r="U783" s="43" t="s">
        <v>182</v>
      </c>
    </row>
    <row r="784" spans="1:21" x14ac:dyDescent="0.3">
      <c r="A784" s="43">
        <v>7999999995</v>
      </c>
      <c r="B784" s="43" t="s">
        <v>566</v>
      </c>
      <c r="C784" s="52"/>
      <c r="D784" s="166"/>
      <c r="E784" s="43" t="s">
        <v>556</v>
      </c>
      <c r="F784" s="43" t="s">
        <v>557</v>
      </c>
      <c r="G784" s="43" t="s">
        <v>567</v>
      </c>
      <c r="H784" s="43" t="s">
        <v>568</v>
      </c>
      <c r="I784" s="43" t="s">
        <v>560</v>
      </c>
      <c r="J784" s="43" t="s">
        <v>595</v>
      </c>
      <c r="K784" s="43">
        <v>700091</v>
      </c>
      <c r="L784" s="43">
        <v>1</v>
      </c>
      <c r="M784" s="43" t="s">
        <v>61</v>
      </c>
      <c r="N784" s="51"/>
      <c r="O784" s="51"/>
      <c r="P784" s="43" t="str">
        <f>VLOOKUP(K784,Maestro!J:K,2,0)</f>
        <v>FIBROCEMENTO</v>
      </c>
      <c r="Q784" s="43" t="str">
        <f>VLOOKUP(P784,Maestro!E:F,2,0)</f>
        <v>Fibrocemento</v>
      </c>
      <c r="R784" s="43">
        <f>VLOOKUP(P784,ORD!$A:$C,3,0)</f>
        <v>16</v>
      </c>
      <c r="S784" t="str">
        <f t="shared" si="13"/>
        <v>7999999995CEMENTOFCEFibrocemento</v>
      </c>
      <c r="T784" t="str">
        <f>IFERROR(VLOOKUP(S784,Maestro!$A:$H,8,0),"Producción")</f>
        <v>Producción</v>
      </c>
      <c r="U784" s="43" t="s">
        <v>182</v>
      </c>
    </row>
    <row r="785" spans="1:21" x14ac:dyDescent="0.3">
      <c r="A785" s="43">
        <v>7355250320</v>
      </c>
      <c r="B785" s="43" t="s">
        <v>490</v>
      </c>
      <c r="C785" s="49"/>
      <c r="D785" s="52"/>
      <c r="E785" s="59"/>
      <c r="F785" s="58"/>
      <c r="G785" s="43"/>
      <c r="H785" s="43"/>
      <c r="I785" s="43" t="s">
        <v>560</v>
      </c>
      <c r="J785" s="43" t="s">
        <v>802</v>
      </c>
      <c r="K785" s="43">
        <v>700091</v>
      </c>
      <c r="L785" s="43">
        <v>1</v>
      </c>
      <c r="M785" s="43" t="s">
        <v>61</v>
      </c>
      <c r="N785" s="53"/>
      <c r="O785" s="53"/>
      <c r="P785" s="43" t="str">
        <f>VLOOKUP(K785,Maestro!J:K,2,0)</f>
        <v>FIBROCEMENTO</v>
      </c>
      <c r="Q785" s="43" t="str">
        <f>VLOOKUP(P785,Maestro!E:F,2,0)</f>
        <v>Fibrocemento</v>
      </c>
      <c r="R785" s="43">
        <f>VLOOKUP(P785,ORD!$A:$C,3,0)</f>
        <v>16</v>
      </c>
      <c r="S785" t="str">
        <f t="shared" si="13"/>
        <v>7355250320PLACAS Y SEGMENTOSFibrocemento</v>
      </c>
      <c r="T785" t="str">
        <f>IFERROR(VLOOKUP(S785,Maestro!$A:$H,8,0),"Producción")</f>
        <v>Placas y Segmentos</v>
      </c>
      <c r="U785" s="43" t="s">
        <v>182</v>
      </c>
    </row>
    <row r="786" spans="1:21" x14ac:dyDescent="0.3">
      <c r="A786" s="43">
        <v>7105450101</v>
      </c>
      <c r="B786" s="43" t="s">
        <v>466</v>
      </c>
      <c r="C786" s="52"/>
      <c r="D786" s="52"/>
      <c r="E786" s="43" t="s">
        <v>556</v>
      </c>
      <c r="F786" s="43" t="s">
        <v>557</v>
      </c>
      <c r="G786" s="43" t="s">
        <v>577</v>
      </c>
      <c r="H786" s="43" t="s">
        <v>578</v>
      </c>
      <c r="I786" s="43" t="s">
        <v>560</v>
      </c>
      <c r="J786" s="43" t="s">
        <v>467</v>
      </c>
      <c r="K786" s="43">
        <v>700091</v>
      </c>
      <c r="L786" s="43">
        <v>2</v>
      </c>
      <c r="M786" s="43" t="s">
        <v>579</v>
      </c>
      <c r="N786" s="51"/>
      <c r="O786" s="51"/>
      <c r="P786" s="43" t="str">
        <f>VLOOKUP(K786,Maestro!J:K,2,0)</f>
        <v>FIBROCEMENTO</v>
      </c>
      <c r="Q786" s="43" t="str">
        <f>VLOOKUP(P786,Maestro!E:F,2,0)</f>
        <v>Fibrocemento</v>
      </c>
      <c r="R786" s="43">
        <f>VLOOKUP(P786,ORD!$A:$C,3,0)</f>
        <v>16</v>
      </c>
      <c r="S786" t="str">
        <f t="shared" si="13"/>
        <v>7105450101YESO00001Fibrocemento</v>
      </c>
      <c r="T786" t="str">
        <f>IFERROR(VLOOKUP(S786,Maestro!$A:$H,8,0),"Producción")</f>
        <v>Yeso</v>
      </c>
      <c r="U786" s="43" t="s">
        <v>182</v>
      </c>
    </row>
    <row r="787" spans="1:21" x14ac:dyDescent="0.3">
      <c r="A787" s="43">
        <v>7199990001</v>
      </c>
      <c r="B787" s="43" t="s">
        <v>438</v>
      </c>
      <c r="C787" s="52"/>
      <c r="D787" s="52"/>
      <c r="E787" s="43" t="s">
        <v>556</v>
      </c>
      <c r="F787" s="43" t="s">
        <v>557</v>
      </c>
      <c r="G787" s="43" t="s">
        <v>567</v>
      </c>
      <c r="H787" s="43" t="s">
        <v>568</v>
      </c>
      <c r="I787" s="43" t="s">
        <v>560</v>
      </c>
      <c r="J787" s="43" t="s">
        <v>463</v>
      </c>
      <c r="K787" s="43">
        <v>700091</v>
      </c>
      <c r="L787" s="43">
        <v>2</v>
      </c>
      <c r="M787" s="43" t="s">
        <v>62</v>
      </c>
      <c r="N787" s="51"/>
      <c r="O787" s="51"/>
      <c r="P787" s="43" t="str">
        <f>VLOOKUP(K787,Maestro!J:K,2,0)</f>
        <v>FIBROCEMENTO</v>
      </c>
      <c r="Q787" s="43" t="str">
        <f>VLOOKUP(P787,Maestro!E:F,2,0)</f>
        <v>Fibrocemento</v>
      </c>
      <c r="R787" s="43">
        <f>VLOOKUP(P787,ORD!$A:$C,3,0)</f>
        <v>16</v>
      </c>
      <c r="S787" t="str">
        <f t="shared" si="13"/>
        <v>7199990001CLINKER001Fibrocemento</v>
      </c>
      <c r="T787" t="str">
        <f>IFERROR(VLOOKUP(S787,Maestro!$A:$H,8,0),"Producción")</f>
        <v>Clinker</v>
      </c>
      <c r="U787" s="43" t="s">
        <v>182</v>
      </c>
    </row>
    <row r="788" spans="1:21" x14ac:dyDescent="0.3">
      <c r="A788" s="43">
        <v>7999999995</v>
      </c>
      <c r="B788" s="43" t="s">
        <v>566</v>
      </c>
      <c r="C788" s="52"/>
      <c r="D788" s="166"/>
      <c r="E788" s="43" t="s">
        <v>556</v>
      </c>
      <c r="F788" s="43" t="s">
        <v>557</v>
      </c>
      <c r="G788" s="43" t="s">
        <v>567</v>
      </c>
      <c r="H788" s="43" t="s">
        <v>568</v>
      </c>
      <c r="I788" s="43" t="s">
        <v>560</v>
      </c>
      <c r="J788" s="43" t="s">
        <v>595</v>
      </c>
      <c r="K788" s="43">
        <v>700091</v>
      </c>
      <c r="L788" s="43">
        <v>2</v>
      </c>
      <c r="M788" s="43" t="s">
        <v>61</v>
      </c>
      <c r="N788" s="51"/>
      <c r="O788" s="51"/>
      <c r="P788" s="43" t="str">
        <f>VLOOKUP(K788,Maestro!J:K,2,0)</f>
        <v>FIBROCEMENTO</v>
      </c>
      <c r="Q788" s="43" t="str">
        <f>VLOOKUP(P788,Maestro!E:F,2,0)</f>
        <v>Fibrocemento</v>
      </c>
      <c r="R788" s="43">
        <f>VLOOKUP(P788,ORD!$A:$C,3,0)</f>
        <v>16</v>
      </c>
      <c r="S788" t="str">
        <f t="shared" si="13"/>
        <v>7999999995CEMENTOFCEFibrocemento</v>
      </c>
      <c r="T788" t="str">
        <f>IFERROR(VLOOKUP(S788,Maestro!$A:$H,8,0),"Producción")</f>
        <v>Producción</v>
      </c>
      <c r="U788" s="43" t="s">
        <v>182</v>
      </c>
    </row>
    <row r="789" spans="1:21" x14ac:dyDescent="0.3">
      <c r="A789" s="43">
        <v>7355250320</v>
      </c>
      <c r="B789" s="43" t="s">
        <v>490</v>
      </c>
      <c r="C789" s="49"/>
      <c r="D789" s="52"/>
      <c r="E789" s="59"/>
      <c r="F789" s="58"/>
      <c r="G789" s="43"/>
      <c r="H789" s="43"/>
      <c r="I789" s="43" t="s">
        <v>560</v>
      </c>
      <c r="J789" s="43" t="s">
        <v>802</v>
      </c>
      <c r="K789" s="43">
        <v>700091</v>
      </c>
      <c r="L789" s="43">
        <v>2</v>
      </c>
      <c r="M789" s="43" t="s">
        <v>61</v>
      </c>
      <c r="N789" s="53"/>
      <c r="O789" s="53"/>
      <c r="P789" s="43" t="str">
        <f>VLOOKUP(K789,Maestro!J:K,2,0)</f>
        <v>FIBROCEMENTO</v>
      </c>
      <c r="Q789" s="43" t="str">
        <f>VLOOKUP(P789,Maestro!E:F,2,0)</f>
        <v>Fibrocemento</v>
      </c>
      <c r="R789" s="43">
        <f>VLOOKUP(P789,ORD!$A:$C,3,0)</f>
        <v>16</v>
      </c>
      <c r="S789" t="str">
        <f t="shared" si="13"/>
        <v>7355250320PLACAS Y SEGMENTOSFibrocemento</v>
      </c>
      <c r="T789" t="str">
        <f>IFERROR(VLOOKUP(S789,Maestro!$A:$H,8,0),"Producción")</f>
        <v>Placas y Segmentos</v>
      </c>
      <c r="U789" s="43" t="s">
        <v>182</v>
      </c>
    </row>
    <row r="790" spans="1:21" x14ac:dyDescent="0.3">
      <c r="A790" s="43">
        <v>7105450101</v>
      </c>
      <c r="B790" s="43" t="s">
        <v>466</v>
      </c>
      <c r="C790" s="52"/>
      <c r="D790" s="52"/>
      <c r="E790" s="43" t="s">
        <v>556</v>
      </c>
      <c r="F790" s="43" t="s">
        <v>557</v>
      </c>
      <c r="G790" s="43" t="s">
        <v>577</v>
      </c>
      <c r="H790" s="43" t="s">
        <v>578</v>
      </c>
      <c r="I790" s="43" t="s">
        <v>560</v>
      </c>
      <c r="J790" s="43" t="s">
        <v>467</v>
      </c>
      <c r="K790" s="43">
        <v>700091</v>
      </c>
      <c r="L790" s="43">
        <v>3</v>
      </c>
      <c r="M790" s="43" t="s">
        <v>579</v>
      </c>
      <c r="N790" s="51"/>
      <c r="O790" s="51"/>
      <c r="P790" s="43" t="str">
        <f>VLOOKUP(K790,Maestro!J:K,2,0)</f>
        <v>FIBROCEMENTO</v>
      </c>
      <c r="Q790" s="43" t="str">
        <f>VLOOKUP(P790,Maestro!E:F,2,0)</f>
        <v>Fibrocemento</v>
      </c>
      <c r="R790" s="43">
        <f>VLOOKUP(P790,ORD!$A:$C,3,0)</f>
        <v>16</v>
      </c>
      <c r="S790" t="str">
        <f t="shared" si="13"/>
        <v>7105450101YESO00001Fibrocemento</v>
      </c>
      <c r="T790" t="str">
        <f>IFERROR(VLOOKUP(S790,Maestro!$A:$H,8,0),"Producción")</f>
        <v>Yeso</v>
      </c>
      <c r="U790" s="43" t="s">
        <v>182</v>
      </c>
    </row>
    <row r="791" spans="1:21" x14ac:dyDescent="0.3">
      <c r="A791" s="43">
        <v>7199990001</v>
      </c>
      <c r="B791" s="43" t="s">
        <v>438</v>
      </c>
      <c r="C791" s="52"/>
      <c r="D791" s="52"/>
      <c r="E791" s="43" t="s">
        <v>556</v>
      </c>
      <c r="F791" s="43" t="s">
        <v>557</v>
      </c>
      <c r="G791" s="43" t="s">
        <v>567</v>
      </c>
      <c r="H791" s="43" t="s">
        <v>568</v>
      </c>
      <c r="I791" s="43" t="s">
        <v>560</v>
      </c>
      <c r="J791" s="43" t="s">
        <v>463</v>
      </c>
      <c r="K791" s="43">
        <v>700091</v>
      </c>
      <c r="L791" s="43">
        <v>3</v>
      </c>
      <c r="M791" s="43" t="s">
        <v>62</v>
      </c>
      <c r="N791" s="51"/>
      <c r="O791" s="51"/>
      <c r="P791" s="43" t="str">
        <f>VLOOKUP(K791,Maestro!J:K,2,0)</f>
        <v>FIBROCEMENTO</v>
      </c>
      <c r="Q791" s="43" t="str">
        <f>VLOOKUP(P791,Maestro!E:F,2,0)</f>
        <v>Fibrocemento</v>
      </c>
      <c r="R791" s="43">
        <f>VLOOKUP(P791,ORD!$A:$C,3,0)</f>
        <v>16</v>
      </c>
      <c r="S791" t="str">
        <f t="shared" si="13"/>
        <v>7199990001CLINKER001Fibrocemento</v>
      </c>
      <c r="T791" t="str">
        <f>IFERROR(VLOOKUP(S791,Maestro!$A:$H,8,0),"Producción")</f>
        <v>Clinker</v>
      </c>
      <c r="U791" s="43" t="s">
        <v>182</v>
      </c>
    </row>
    <row r="792" spans="1:21" x14ac:dyDescent="0.3">
      <c r="A792" s="43">
        <v>7999999995</v>
      </c>
      <c r="B792" s="43" t="s">
        <v>566</v>
      </c>
      <c r="C792" s="52"/>
      <c r="D792" s="166"/>
      <c r="E792" s="43" t="s">
        <v>556</v>
      </c>
      <c r="F792" s="43" t="s">
        <v>557</v>
      </c>
      <c r="G792" s="43" t="s">
        <v>567</v>
      </c>
      <c r="H792" s="43" t="s">
        <v>568</v>
      </c>
      <c r="I792" s="43" t="s">
        <v>560</v>
      </c>
      <c r="J792" s="43" t="s">
        <v>595</v>
      </c>
      <c r="K792" s="43">
        <v>700091</v>
      </c>
      <c r="L792" s="43">
        <v>3</v>
      </c>
      <c r="M792" s="43" t="s">
        <v>61</v>
      </c>
      <c r="N792" s="51"/>
      <c r="O792" s="51"/>
      <c r="P792" s="43" t="str">
        <f>VLOOKUP(K792,Maestro!J:K,2,0)</f>
        <v>FIBROCEMENTO</v>
      </c>
      <c r="Q792" s="43" t="str">
        <f>VLOOKUP(P792,Maestro!E:F,2,0)</f>
        <v>Fibrocemento</v>
      </c>
      <c r="R792" s="43">
        <f>VLOOKUP(P792,ORD!$A:$C,3,0)</f>
        <v>16</v>
      </c>
      <c r="S792" t="str">
        <f t="shared" si="13"/>
        <v>7999999995CEMENTOFCEFibrocemento</v>
      </c>
      <c r="T792" t="str">
        <f>IFERROR(VLOOKUP(S792,Maestro!$A:$H,8,0),"Producción")</f>
        <v>Producción</v>
      </c>
      <c r="U792" s="43" t="s">
        <v>182</v>
      </c>
    </row>
    <row r="793" spans="1:21" x14ac:dyDescent="0.3">
      <c r="A793" s="43">
        <v>7355250320</v>
      </c>
      <c r="B793" s="43" t="s">
        <v>490</v>
      </c>
      <c r="C793" s="49"/>
      <c r="D793" s="52"/>
      <c r="E793" s="59"/>
      <c r="F793" s="58"/>
      <c r="G793" s="43"/>
      <c r="H793" s="43"/>
      <c r="I793" s="43" t="s">
        <v>560</v>
      </c>
      <c r="J793" s="43" t="s">
        <v>802</v>
      </c>
      <c r="K793" s="43">
        <v>700091</v>
      </c>
      <c r="L793" s="43">
        <v>3</v>
      </c>
      <c r="M793" s="43" t="s">
        <v>61</v>
      </c>
      <c r="N793" s="53"/>
      <c r="O793" s="53"/>
      <c r="P793" s="43" t="str">
        <f>VLOOKUP(K793,Maestro!J:K,2,0)</f>
        <v>FIBROCEMENTO</v>
      </c>
      <c r="Q793" s="43" t="str">
        <f>VLOOKUP(P793,Maestro!E:F,2,0)</f>
        <v>Fibrocemento</v>
      </c>
      <c r="R793" s="43">
        <f>VLOOKUP(P793,ORD!$A:$C,3,0)</f>
        <v>16</v>
      </c>
      <c r="S793" t="str">
        <f t="shared" si="13"/>
        <v>7355250320PLACAS Y SEGMENTOSFibrocemento</v>
      </c>
      <c r="T793" t="str">
        <f>IFERROR(VLOOKUP(S793,Maestro!$A:$H,8,0),"Producción")</f>
        <v>Placas y Segmentos</v>
      </c>
      <c r="U793" s="43" t="s">
        <v>182</v>
      </c>
    </row>
    <row r="794" spans="1:21" x14ac:dyDescent="0.3">
      <c r="A794" s="43">
        <v>7105450101</v>
      </c>
      <c r="B794" s="43" t="s">
        <v>466</v>
      </c>
      <c r="C794" s="52"/>
      <c r="D794" s="52"/>
      <c r="E794" s="43" t="s">
        <v>556</v>
      </c>
      <c r="F794" s="43" t="s">
        <v>557</v>
      </c>
      <c r="G794" s="43" t="s">
        <v>577</v>
      </c>
      <c r="H794" s="43" t="s">
        <v>578</v>
      </c>
      <c r="I794" s="43" t="s">
        <v>560</v>
      </c>
      <c r="J794" s="43" t="s">
        <v>467</v>
      </c>
      <c r="K794" s="43">
        <v>700091</v>
      </c>
      <c r="L794" s="43">
        <v>4</v>
      </c>
      <c r="M794" s="43" t="s">
        <v>579</v>
      </c>
      <c r="N794" s="51"/>
      <c r="O794" s="51"/>
      <c r="P794" s="43" t="str">
        <f>VLOOKUP(K794,Maestro!J:K,2,0)</f>
        <v>FIBROCEMENTO</v>
      </c>
      <c r="Q794" s="43" t="str">
        <f>VLOOKUP(P794,Maestro!E:F,2,0)</f>
        <v>Fibrocemento</v>
      </c>
      <c r="R794" s="43">
        <f>VLOOKUP(P794,ORD!$A:$C,3,0)</f>
        <v>16</v>
      </c>
      <c r="S794" t="str">
        <f t="shared" si="13"/>
        <v>7105450101YESO00001Fibrocemento</v>
      </c>
      <c r="T794" t="str">
        <f>IFERROR(VLOOKUP(S794,Maestro!$A:$H,8,0),"Producción")</f>
        <v>Yeso</v>
      </c>
      <c r="U794" s="43" t="s">
        <v>182</v>
      </c>
    </row>
    <row r="795" spans="1:21" x14ac:dyDescent="0.3">
      <c r="A795" s="43">
        <v>7199990001</v>
      </c>
      <c r="B795" s="43" t="s">
        <v>438</v>
      </c>
      <c r="C795" s="52"/>
      <c r="D795" s="52"/>
      <c r="E795" s="43" t="s">
        <v>556</v>
      </c>
      <c r="F795" s="43" t="s">
        <v>557</v>
      </c>
      <c r="G795" s="43" t="s">
        <v>567</v>
      </c>
      <c r="H795" s="43" t="s">
        <v>568</v>
      </c>
      <c r="I795" s="43" t="s">
        <v>560</v>
      </c>
      <c r="J795" s="43" t="s">
        <v>463</v>
      </c>
      <c r="K795" s="43">
        <v>700091</v>
      </c>
      <c r="L795" s="43">
        <v>4</v>
      </c>
      <c r="M795" s="43" t="s">
        <v>62</v>
      </c>
      <c r="N795" s="51"/>
      <c r="O795" s="51"/>
      <c r="P795" s="43" t="str">
        <f>VLOOKUP(K795,Maestro!J:K,2,0)</f>
        <v>FIBROCEMENTO</v>
      </c>
      <c r="Q795" s="43" t="str">
        <f>VLOOKUP(P795,Maestro!E:F,2,0)</f>
        <v>Fibrocemento</v>
      </c>
      <c r="R795" s="43">
        <f>VLOOKUP(P795,ORD!$A:$C,3,0)</f>
        <v>16</v>
      </c>
      <c r="S795" t="str">
        <f t="shared" si="13"/>
        <v>7199990001CLINKER001Fibrocemento</v>
      </c>
      <c r="T795" t="str">
        <f>IFERROR(VLOOKUP(S795,Maestro!$A:$H,8,0),"Producción")</f>
        <v>Clinker</v>
      </c>
      <c r="U795" s="43" t="s">
        <v>182</v>
      </c>
    </row>
    <row r="796" spans="1:21" x14ac:dyDescent="0.3">
      <c r="A796" s="43">
        <v>7999999995</v>
      </c>
      <c r="B796" s="43" t="s">
        <v>566</v>
      </c>
      <c r="C796" s="52"/>
      <c r="D796" s="166"/>
      <c r="E796" s="43" t="s">
        <v>556</v>
      </c>
      <c r="F796" s="43" t="s">
        <v>557</v>
      </c>
      <c r="G796" s="43" t="s">
        <v>567</v>
      </c>
      <c r="H796" s="43" t="s">
        <v>568</v>
      </c>
      <c r="I796" s="43" t="s">
        <v>560</v>
      </c>
      <c r="J796" s="43" t="s">
        <v>595</v>
      </c>
      <c r="K796" s="43">
        <v>700091</v>
      </c>
      <c r="L796" s="43">
        <v>4</v>
      </c>
      <c r="M796" s="43" t="s">
        <v>61</v>
      </c>
      <c r="N796" s="51"/>
      <c r="O796" s="51"/>
      <c r="P796" s="43" t="str">
        <f>VLOOKUP(K796,Maestro!J:K,2,0)</f>
        <v>FIBROCEMENTO</v>
      </c>
      <c r="Q796" s="43" t="str">
        <f>VLOOKUP(P796,Maestro!E:F,2,0)</f>
        <v>Fibrocemento</v>
      </c>
      <c r="R796" s="43">
        <f>VLOOKUP(P796,ORD!$A:$C,3,0)</f>
        <v>16</v>
      </c>
      <c r="S796" t="str">
        <f t="shared" si="13"/>
        <v>7999999995CEMENTOFCEFibrocemento</v>
      </c>
      <c r="T796" t="str">
        <f>IFERROR(VLOOKUP(S796,Maestro!$A:$H,8,0),"Producción")</f>
        <v>Producción</v>
      </c>
      <c r="U796" s="43" t="s">
        <v>182</v>
      </c>
    </row>
    <row r="797" spans="1:21" x14ac:dyDescent="0.3">
      <c r="A797" s="43">
        <v>7355250320</v>
      </c>
      <c r="B797" s="43" t="s">
        <v>490</v>
      </c>
      <c r="C797" s="49"/>
      <c r="D797" s="52"/>
      <c r="E797" s="59"/>
      <c r="F797" s="58"/>
      <c r="G797" s="43"/>
      <c r="H797" s="43"/>
      <c r="I797" s="43" t="s">
        <v>560</v>
      </c>
      <c r="J797" s="43" t="s">
        <v>802</v>
      </c>
      <c r="K797" s="43">
        <v>700091</v>
      </c>
      <c r="L797" s="43">
        <v>4</v>
      </c>
      <c r="M797" s="43" t="s">
        <v>61</v>
      </c>
      <c r="N797" s="53"/>
      <c r="O797" s="53"/>
      <c r="P797" s="43" t="str">
        <f>VLOOKUP(K797,Maestro!J:K,2,0)</f>
        <v>FIBROCEMENTO</v>
      </c>
      <c r="Q797" s="43" t="str">
        <f>VLOOKUP(P797,Maestro!E:F,2,0)</f>
        <v>Fibrocemento</v>
      </c>
      <c r="R797" s="43">
        <f>VLOOKUP(P797,ORD!$A:$C,3,0)</f>
        <v>16</v>
      </c>
      <c r="S797" t="str">
        <f t="shared" si="13"/>
        <v>7355250320PLACAS Y SEGMENTOSFibrocemento</v>
      </c>
      <c r="T797" t="str">
        <f>IFERROR(VLOOKUP(S797,Maestro!$A:$H,8,0),"Producción")</f>
        <v>Placas y Segmentos</v>
      </c>
      <c r="U797" s="43" t="s">
        <v>182</v>
      </c>
    </row>
    <row r="798" spans="1:21" x14ac:dyDescent="0.3">
      <c r="A798" s="43">
        <v>7105450101</v>
      </c>
      <c r="B798" s="43" t="s">
        <v>466</v>
      </c>
      <c r="C798" s="52"/>
      <c r="D798" s="52"/>
      <c r="E798" s="43" t="s">
        <v>556</v>
      </c>
      <c r="F798" s="43" t="s">
        <v>557</v>
      </c>
      <c r="G798" s="43" t="s">
        <v>577</v>
      </c>
      <c r="H798" s="43" t="s">
        <v>578</v>
      </c>
      <c r="I798" s="43" t="s">
        <v>560</v>
      </c>
      <c r="J798" s="43" t="s">
        <v>467</v>
      </c>
      <c r="K798" s="43">
        <v>700091</v>
      </c>
      <c r="L798" s="43">
        <v>5</v>
      </c>
      <c r="M798" s="43" t="s">
        <v>579</v>
      </c>
      <c r="N798" s="51"/>
      <c r="O798" s="51"/>
      <c r="P798" s="43" t="str">
        <f>VLOOKUP(K798,Maestro!J:K,2,0)</f>
        <v>FIBROCEMENTO</v>
      </c>
      <c r="Q798" s="43" t="str">
        <f>VLOOKUP(P798,Maestro!E:F,2,0)</f>
        <v>Fibrocemento</v>
      </c>
      <c r="R798" s="43">
        <f>VLOOKUP(P798,ORD!$A:$C,3,0)</f>
        <v>16</v>
      </c>
      <c r="S798" t="str">
        <f t="shared" si="13"/>
        <v>7105450101YESO00001Fibrocemento</v>
      </c>
      <c r="T798" t="str">
        <f>IFERROR(VLOOKUP(S798,Maestro!$A:$H,8,0),"Producción")</f>
        <v>Yeso</v>
      </c>
      <c r="U798" s="43" t="s">
        <v>182</v>
      </c>
    </row>
    <row r="799" spans="1:21" x14ac:dyDescent="0.3">
      <c r="A799" s="43">
        <v>7199990001</v>
      </c>
      <c r="B799" s="43" t="s">
        <v>438</v>
      </c>
      <c r="C799" s="52"/>
      <c r="D799" s="52"/>
      <c r="E799" s="43" t="s">
        <v>556</v>
      </c>
      <c r="F799" s="43" t="s">
        <v>557</v>
      </c>
      <c r="G799" s="43" t="s">
        <v>567</v>
      </c>
      <c r="H799" s="43" t="s">
        <v>568</v>
      </c>
      <c r="I799" s="43" t="s">
        <v>560</v>
      </c>
      <c r="J799" s="43" t="s">
        <v>463</v>
      </c>
      <c r="K799" s="43">
        <v>700091</v>
      </c>
      <c r="L799" s="43">
        <v>5</v>
      </c>
      <c r="M799" s="43" t="s">
        <v>62</v>
      </c>
      <c r="N799" s="51"/>
      <c r="O799" s="51"/>
      <c r="P799" s="43" t="str">
        <f>VLOOKUP(K799,Maestro!J:K,2,0)</f>
        <v>FIBROCEMENTO</v>
      </c>
      <c r="Q799" s="43" t="str">
        <f>VLOOKUP(P799,Maestro!E:F,2,0)</f>
        <v>Fibrocemento</v>
      </c>
      <c r="R799" s="43">
        <f>VLOOKUP(P799,ORD!$A:$C,3,0)</f>
        <v>16</v>
      </c>
      <c r="S799" t="str">
        <f t="shared" si="13"/>
        <v>7199990001CLINKER001Fibrocemento</v>
      </c>
      <c r="T799" t="str">
        <f>IFERROR(VLOOKUP(S799,Maestro!$A:$H,8,0),"Producción")</f>
        <v>Clinker</v>
      </c>
      <c r="U799" s="43" t="s">
        <v>182</v>
      </c>
    </row>
    <row r="800" spans="1:21" x14ac:dyDescent="0.3">
      <c r="A800" s="43">
        <v>7999999995</v>
      </c>
      <c r="B800" s="43" t="s">
        <v>566</v>
      </c>
      <c r="C800" s="52"/>
      <c r="D800" s="166"/>
      <c r="E800" s="43" t="s">
        <v>556</v>
      </c>
      <c r="F800" s="43" t="s">
        <v>557</v>
      </c>
      <c r="G800" s="43" t="s">
        <v>567</v>
      </c>
      <c r="H800" s="43" t="s">
        <v>568</v>
      </c>
      <c r="I800" s="43" t="s">
        <v>560</v>
      </c>
      <c r="J800" s="43" t="s">
        <v>595</v>
      </c>
      <c r="K800" s="43">
        <v>700091</v>
      </c>
      <c r="L800" s="43">
        <v>5</v>
      </c>
      <c r="M800" s="43" t="s">
        <v>61</v>
      </c>
      <c r="N800" s="51"/>
      <c r="O800" s="51"/>
      <c r="P800" s="43" t="str">
        <f>VLOOKUP(K800,Maestro!J:K,2,0)</f>
        <v>FIBROCEMENTO</v>
      </c>
      <c r="Q800" s="43" t="str">
        <f>VLOOKUP(P800,Maestro!E:F,2,0)</f>
        <v>Fibrocemento</v>
      </c>
      <c r="R800" s="43">
        <f>VLOOKUP(P800,ORD!$A:$C,3,0)</f>
        <v>16</v>
      </c>
      <c r="S800" t="str">
        <f t="shared" si="13"/>
        <v>7999999995CEMENTOFCEFibrocemento</v>
      </c>
      <c r="T800" t="str">
        <f>IFERROR(VLOOKUP(S800,Maestro!$A:$H,8,0),"Producción")</f>
        <v>Producción</v>
      </c>
      <c r="U800" s="43" t="s">
        <v>182</v>
      </c>
    </row>
    <row r="801" spans="1:21" x14ac:dyDescent="0.3">
      <c r="A801" s="43">
        <v>7355250320</v>
      </c>
      <c r="B801" s="43" t="s">
        <v>490</v>
      </c>
      <c r="C801" s="49"/>
      <c r="D801" s="52"/>
      <c r="E801" s="59"/>
      <c r="F801" s="58"/>
      <c r="G801" s="43"/>
      <c r="H801" s="43"/>
      <c r="I801" s="43" t="s">
        <v>560</v>
      </c>
      <c r="J801" s="43" t="s">
        <v>802</v>
      </c>
      <c r="K801" s="43">
        <v>700091</v>
      </c>
      <c r="L801" s="43">
        <v>5</v>
      </c>
      <c r="M801" s="43" t="s">
        <v>61</v>
      </c>
      <c r="N801" s="53"/>
      <c r="O801" s="53"/>
      <c r="P801" s="43" t="str">
        <f>VLOOKUP(K801,Maestro!J:K,2,0)</f>
        <v>FIBROCEMENTO</v>
      </c>
      <c r="Q801" s="43" t="str">
        <f>VLOOKUP(P801,Maestro!E:F,2,0)</f>
        <v>Fibrocemento</v>
      </c>
      <c r="R801" s="43">
        <f>VLOOKUP(P801,ORD!$A:$C,3,0)</f>
        <v>16</v>
      </c>
      <c r="S801" t="str">
        <f t="shared" si="13"/>
        <v>7355250320PLACAS Y SEGMENTOSFibrocemento</v>
      </c>
      <c r="T801" t="str">
        <f>IFERROR(VLOOKUP(S801,Maestro!$A:$H,8,0),"Producción")</f>
        <v>Placas y Segmentos</v>
      </c>
      <c r="U801" s="43" t="s">
        <v>182</v>
      </c>
    </row>
    <row r="802" spans="1:21" x14ac:dyDescent="0.3">
      <c r="A802" s="43">
        <v>7105450101</v>
      </c>
      <c r="B802" s="43" t="s">
        <v>466</v>
      </c>
      <c r="C802" s="52"/>
      <c r="D802" s="52"/>
      <c r="E802" s="43" t="s">
        <v>556</v>
      </c>
      <c r="F802" s="43" t="s">
        <v>557</v>
      </c>
      <c r="G802" s="43" t="s">
        <v>577</v>
      </c>
      <c r="H802" s="43" t="s">
        <v>578</v>
      </c>
      <c r="I802" s="43" t="s">
        <v>560</v>
      </c>
      <c r="J802" s="43" t="s">
        <v>467</v>
      </c>
      <c r="K802" s="43">
        <v>700091</v>
      </c>
      <c r="L802" s="43">
        <v>6</v>
      </c>
      <c r="M802" s="43" t="s">
        <v>579</v>
      </c>
      <c r="N802" s="51"/>
      <c r="O802" s="51"/>
      <c r="P802" s="43" t="str">
        <f>VLOOKUP(K802,Maestro!J:K,2,0)</f>
        <v>FIBROCEMENTO</v>
      </c>
      <c r="Q802" s="43" t="str">
        <f>VLOOKUP(P802,Maestro!E:F,2,0)</f>
        <v>Fibrocemento</v>
      </c>
      <c r="R802" s="43">
        <f>VLOOKUP(P802,ORD!$A:$C,3,0)</f>
        <v>16</v>
      </c>
      <c r="S802" t="str">
        <f t="shared" si="13"/>
        <v>7105450101YESO00001Fibrocemento</v>
      </c>
      <c r="T802" t="str">
        <f>IFERROR(VLOOKUP(S802,Maestro!$A:$H,8,0),"Producción")</f>
        <v>Yeso</v>
      </c>
      <c r="U802" s="43" t="s">
        <v>182</v>
      </c>
    </row>
    <row r="803" spans="1:21" x14ac:dyDescent="0.3">
      <c r="A803" s="43">
        <v>7199990001</v>
      </c>
      <c r="B803" s="43" t="s">
        <v>438</v>
      </c>
      <c r="C803" s="52"/>
      <c r="D803" s="52"/>
      <c r="E803" s="43" t="s">
        <v>556</v>
      </c>
      <c r="F803" s="43" t="s">
        <v>557</v>
      </c>
      <c r="G803" s="43" t="s">
        <v>567</v>
      </c>
      <c r="H803" s="43" t="s">
        <v>568</v>
      </c>
      <c r="I803" s="43" t="s">
        <v>560</v>
      </c>
      <c r="J803" s="43" t="s">
        <v>463</v>
      </c>
      <c r="K803" s="43">
        <v>700091</v>
      </c>
      <c r="L803" s="43">
        <v>6</v>
      </c>
      <c r="M803" s="43" t="s">
        <v>62</v>
      </c>
      <c r="N803" s="51"/>
      <c r="O803" s="51"/>
      <c r="P803" s="43" t="str">
        <f>VLOOKUP(K803,Maestro!J:K,2,0)</f>
        <v>FIBROCEMENTO</v>
      </c>
      <c r="Q803" s="43" t="str">
        <f>VLOOKUP(P803,Maestro!E:F,2,0)</f>
        <v>Fibrocemento</v>
      </c>
      <c r="R803" s="43">
        <f>VLOOKUP(P803,ORD!$A:$C,3,0)</f>
        <v>16</v>
      </c>
      <c r="S803" t="str">
        <f t="shared" si="13"/>
        <v>7199990001CLINKER001Fibrocemento</v>
      </c>
      <c r="T803" t="str">
        <f>IFERROR(VLOOKUP(S803,Maestro!$A:$H,8,0),"Producción")</f>
        <v>Clinker</v>
      </c>
      <c r="U803" s="43" t="s">
        <v>182</v>
      </c>
    </row>
    <row r="804" spans="1:21" x14ac:dyDescent="0.3">
      <c r="A804" s="43">
        <v>7999999995</v>
      </c>
      <c r="B804" s="43" t="s">
        <v>566</v>
      </c>
      <c r="C804" s="52"/>
      <c r="D804" s="166"/>
      <c r="E804" s="43" t="s">
        <v>556</v>
      </c>
      <c r="F804" s="43" t="s">
        <v>557</v>
      </c>
      <c r="G804" s="43" t="s">
        <v>567</v>
      </c>
      <c r="H804" s="43" t="s">
        <v>568</v>
      </c>
      <c r="I804" s="43" t="s">
        <v>560</v>
      </c>
      <c r="J804" s="43" t="s">
        <v>595</v>
      </c>
      <c r="K804" s="43">
        <v>700091</v>
      </c>
      <c r="L804" s="43">
        <v>6</v>
      </c>
      <c r="M804" s="43" t="s">
        <v>61</v>
      </c>
      <c r="N804" s="51"/>
      <c r="O804" s="51"/>
      <c r="P804" s="43" t="str">
        <f>VLOOKUP(K804,Maestro!J:K,2,0)</f>
        <v>FIBROCEMENTO</v>
      </c>
      <c r="Q804" s="43" t="str">
        <f>VLOOKUP(P804,Maestro!E:F,2,0)</f>
        <v>Fibrocemento</v>
      </c>
      <c r="R804" s="43">
        <f>VLOOKUP(P804,ORD!$A:$C,3,0)</f>
        <v>16</v>
      </c>
      <c r="S804" t="str">
        <f t="shared" si="13"/>
        <v>7999999995CEMENTOFCEFibrocemento</v>
      </c>
      <c r="T804" t="str">
        <f>IFERROR(VLOOKUP(S804,Maestro!$A:$H,8,0),"Producción")</f>
        <v>Producción</v>
      </c>
      <c r="U804" s="43" t="s">
        <v>182</v>
      </c>
    </row>
    <row r="805" spans="1:21" x14ac:dyDescent="0.3">
      <c r="A805" s="43">
        <v>7355250320</v>
      </c>
      <c r="B805" s="43" t="s">
        <v>490</v>
      </c>
      <c r="C805" s="49"/>
      <c r="D805" s="52"/>
      <c r="E805" s="59"/>
      <c r="F805" s="58"/>
      <c r="G805" s="43"/>
      <c r="H805" s="43"/>
      <c r="I805" s="43" t="s">
        <v>560</v>
      </c>
      <c r="J805" s="43" t="s">
        <v>802</v>
      </c>
      <c r="K805" s="43">
        <v>700091</v>
      </c>
      <c r="L805" s="43">
        <v>6</v>
      </c>
      <c r="M805" s="43" t="s">
        <v>61</v>
      </c>
      <c r="N805" s="53"/>
      <c r="O805" s="53"/>
      <c r="P805" s="43" t="str">
        <f>VLOOKUP(K805,Maestro!J:K,2,0)</f>
        <v>FIBROCEMENTO</v>
      </c>
      <c r="Q805" s="43" t="str">
        <f>VLOOKUP(P805,Maestro!E:F,2,0)</f>
        <v>Fibrocemento</v>
      </c>
      <c r="R805" s="43">
        <f>VLOOKUP(P805,ORD!$A:$C,3,0)</f>
        <v>16</v>
      </c>
      <c r="S805" t="str">
        <f t="shared" si="13"/>
        <v>7355250320PLACAS Y SEGMENTOSFibrocemento</v>
      </c>
      <c r="T805" t="str">
        <f>IFERROR(VLOOKUP(S805,Maestro!$A:$H,8,0),"Producción")</f>
        <v>Placas y Segmentos</v>
      </c>
      <c r="U805" s="43" t="s">
        <v>182</v>
      </c>
    </row>
    <row r="806" spans="1:21" x14ac:dyDescent="0.3">
      <c r="A806" s="43">
        <v>7105450101</v>
      </c>
      <c r="B806" s="43" t="s">
        <v>466</v>
      </c>
      <c r="C806" s="52"/>
      <c r="D806" s="52"/>
      <c r="E806" s="43" t="s">
        <v>556</v>
      </c>
      <c r="F806" s="43" t="s">
        <v>557</v>
      </c>
      <c r="G806" s="43" t="s">
        <v>577</v>
      </c>
      <c r="H806" s="43" t="s">
        <v>578</v>
      </c>
      <c r="I806" s="43" t="s">
        <v>560</v>
      </c>
      <c r="J806" s="43" t="s">
        <v>467</v>
      </c>
      <c r="K806" s="43">
        <v>700091</v>
      </c>
      <c r="L806" s="43">
        <v>7</v>
      </c>
      <c r="M806" s="43" t="s">
        <v>579</v>
      </c>
      <c r="N806" s="51"/>
      <c r="O806" s="51"/>
      <c r="P806" s="43" t="str">
        <f>VLOOKUP(K806,Maestro!J:K,2,0)</f>
        <v>FIBROCEMENTO</v>
      </c>
      <c r="Q806" s="43" t="str">
        <f>VLOOKUP(P806,Maestro!E:F,2,0)</f>
        <v>Fibrocemento</v>
      </c>
      <c r="R806" s="43">
        <f>VLOOKUP(P806,ORD!$A:$C,3,0)</f>
        <v>16</v>
      </c>
      <c r="S806" t="str">
        <f t="shared" si="13"/>
        <v>7105450101YESO00001Fibrocemento</v>
      </c>
      <c r="T806" t="str">
        <f>IFERROR(VLOOKUP(S806,Maestro!$A:$H,8,0),"Producción")</f>
        <v>Yeso</v>
      </c>
      <c r="U806" s="43" t="s">
        <v>182</v>
      </c>
    </row>
    <row r="807" spans="1:21" x14ac:dyDescent="0.3">
      <c r="A807" s="43">
        <v>7199990001</v>
      </c>
      <c r="B807" s="43" t="s">
        <v>438</v>
      </c>
      <c r="C807" s="52"/>
      <c r="D807" s="52"/>
      <c r="E807" s="43" t="s">
        <v>556</v>
      </c>
      <c r="F807" s="43" t="s">
        <v>557</v>
      </c>
      <c r="G807" s="43" t="s">
        <v>567</v>
      </c>
      <c r="H807" s="43" t="s">
        <v>568</v>
      </c>
      <c r="I807" s="43" t="s">
        <v>560</v>
      </c>
      <c r="J807" s="43" t="s">
        <v>463</v>
      </c>
      <c r="K807" s="43">
        <v>700091</v>
      </c>
      <c r="L807" s="43">
        <v>7</v>
      </c>
      <c r="M807" s="43" t="s">
        <v>62</v>
      </c>
      <c r="N807" s="51"/>
      <c r="O807" s="51"/>
      <c r="P807" s="43" t="str">
        <f>VLOOKUP(K807,Maestro!J:K,2,0)</f>
        <v>FIBROCEMENTO</v>
      </c>
      <c r="Q807" s="43" t="str">
        <f>VLOOKUP(P807,Maestro!E:F,2,0)</f>
        <v>Fibrocemento</v>
      </c>
      <c r="R807" s="43">
        <f>VLOOKUP(P807,ORD!$A:$C,3,0)</f>
        <v>16</v>
      </c>
      <c r="S807" t="str">
        <f t="shared" si="13"/>
        <v>7199990001CLINKER001Fibrocemento</v>
      </c>
      <c r="T807" t="str">
        <f>IFERROR(VLOOKUP(S807,Maestro!$A:$H,8,0),"Producción")</f>
        <v>Clinker</v>
      </c>
      <c r="U807" s="43" t="s">
        <v>182</v>
      </c>
    </row>
    <row r="808" spans="1:21" x14ac:dyDescent="0.3">
      <c r="A808" s="43">
        <v>7999999995</v>
      </c>
      <c r="B808" s="43" t="s">
        <v>566</v>
      </c>
      <c r="C808" s="52"/>
      <c r="D808" s="166"/>
      <c r="E808" s="43" t="s">
        <v>556</v>
      </c>
      <c r="F808" s="43" t="s">
        <v>557</v>
      </c>
      <c r="G808" s="43" t="s">
        <v>567</v>
      </c>
      <c r="H808" s="43" t="s">
        <v>568</v>
      </c>
      <c r="I808" s="43" t="s">
        <v>560</v>
      </c>
      <c r="J808" s="43" t="s">
        <v>595</v>
      </c>
      <c r="K808" s="43">
        <v>700091</v>
      </c>
      <c r="L808" s="43">
        <v>7</v>
      </c>
      <c r="M808" s="43" t="s">
        <v>61</v>
      </c>
      <c r="N808" s="51"/>
      <c r="O808" s="51"/>
      <c r="P808" s="43" t="str">
        <f>VLOOKUP(K808,Maestro!J:K,2,0)</f>
        <v>FIBROCEMENTO</v>
      </c>
      <c r="Q808" s="43" t="str">
        <f>VLOOKUP(P808,Maestro!E:F,2,0)</f>
        <v>Fibrocemento</v>
      </c>
      <c r="R808" s="43">
        <f>VLOOKUP(P808,ORD!$A:$C,3,0)</f>
        <v>16</v>
      </c>
      <c r="S808" t="str">
        <f t="shared" si="13"/>
        <v>7999999995CEMENTOFCEFibrocemento</v>
      </c>
      <c r="T808" t="str">
        <f>IFERROR(VLOOKUP(S808,Maestro!$A:$H,8,0),"Producción")</f>
        <v>Producción</v>
      </c>
      <c r="U808" s="43" t="s">
        <v>182</v>
      </c>
    </row>
    <row r="809" spans="1:21" x14ac:dyDescent="0.3">
      <c r="A809" s="43">
        <v>7355250320</v>
      </c>
      <c r="B809" s="43" t="s">
        <v>490</v>
      </c>
      <c r="C809" s="49"/>
      <c r="D809" s="52"/>
      <c r="E809" s="59"/>
      <c r="F809" s="58"/>
      <c r="G809" s="43"/>
      <c r="H809" s="43"/>
      <c r="I809" s="43" t="s">
        <v>560</v>
      </c>
      <c r="J809" s="43" t="s">
        <v>802</v>
      </c>
      <c r="K809" s="43">
        <v>700091</v>
      </c>
      <c r="L809" s="43">
        <v>7</v>
      </c>
      <c r="M809" s="43" t="s">
        <v>61</v>
      </c>
      <c r="N809" s="53"/>
      <c r="O809" s="53"/>
      <c r="P809" s="43" t="str">
        <f>VLOOKUP(K809,Maestro!J:K,2,0)</f>
        <v>FIBROCEMENTO</v>
      </c>
      <c r="Q809" s="43" t="str">
        <f>VLOOKUP(P809,Maestro!E:F,2,0)</f>
        <v>Fibrocemento</v>
      </c>
      <c r="R809" s="43">
        <f>VLOOKUP(P809,ORD!$A:$C,3,0)</f>
        <v>16</v>
      </c>
      <c r="S809" t="str">
        <f t="shared" si="13"/>
        <v>7355250320PLACAS Y SEGMENTOSFibrocemento</v>
      </c>
      <c r="T809" t="str">
        <f>IFERROR(VLOOKUP(S809,Maestro!$A:$H,8,0),"Producción")</f>
        <v>Placas y Segmentos</v>
      </c>
      <c r="U809" s="43" t="s">
        <v>182</v>
      </c>
    </row>
    <row r="810" spans="1:21" x14ac:dyDescent="0.3">
      <c r="A810" s="43">
        <v>7105450101</v>
      </c>
      <c r="B810" s="43" t="s">
        <v>466</v>
      </c>
      <c r="C810" s="52"/>
      <c r="D810" s="52"/>
      <c r="E810" s="43" t="s">
        <v>556</v>
      </c>
      <c r="F810" s="43" t="s">
        <v>557</v>
      </c>
      <c r="G810" s="43" t="s">
        <v>577</v>
      </c>
      <c r="H810" s="43" t="s">
        <v>578</v>
      </c>
      <c r="I810" s="43" t="s">
        <v>560</v>
      </c>
      <c r="J810" s="43" t="s">
        <v>467</v>
      </c>
      <c r="K810" s="43">
        <v>700091</v>
      </c>
      <c r="L810" s="43">
        <v>8</v>
      </c>
      <c r="M810" s="43" t="s">
        <v>579</v>
      </c>
      <c r="N810" s="51"/>
      <c r="O810" s="51"/>
      <c r="P810" s="43" t="str">
        <f>VLOOKUP(K810,Maestro!J:K,2,0)</f>
        <v>FIBROCEMENTO</v>
      </c>
      <c r="Q810" s="43" t="str">
        <f>VLOOKUP(P810,Maestro!E:F,2,0)</f>
        <v>Fibrocemento</v>
      </c>
      <c r="R810" s="43">
        <f>VLOOKUP(P810,ORD!$A:$C,3,0)</f>
        <v>16</v>
      </c>
      <c r="S810" t="str">
        <f t="shared" si="13"/>
        <v>7105450101YESO00001Fibrocemento</v>
      </c>
      <c r="T810" t="str">
        <f>IFERROR(VLOOKUP(S810,Maestro!$A:$H,8,0),"Producción")</f>
        <v>Yeso</v>
      </c>
      <c r="U810" s="43" t="s">
        <v>182</v>
      </c>
    </row>
    <row r="811" spans="1:21" x14ac:dyDescent="0.3">
      <c r="A811" s="43">
        <v>7199990001</v>
      </c>
      <c r="B811" s="43" t="s">
        <v>438</v>
      </c>
      <c r="C811" s="52"/>
      <c r="D811" s="52"/>
      <c r="E811" s="43" t="s">
        <v>556</v>
      </c>
      <c r="F811" s="43" t="s">
        <v>557</v>
      </c>
      <c r="G811" s="43" t="s">
        <v>567</v>
      </c>
      <c r="H811" s="43" t="s">
        <v>568</v>
      </c>
      <c r="I811" s="43" t="s">
        <v>560</v>
      </c>
      <c r="J811" s="43" t="s">
        <v>463</v>
      </c>
      <c r="K811" s="43">
        <v>700091</v>
      </c>
      <c r="L811" s="43">
        <v>8</v>
      </c>
      <c r="M811" s="43" t="s">
        <v>62</v>
      </c>
      <c r="N811" s="51"/>
      <c r="O811" s="51"/>
      <c r="P811" s="43" t="str">
        <f>VLOOKUP(K811,Maestro!J:K,2,0)</f>
        <v>FIBROCEMENTO</v>
      </c>
      <c r="Q811" s="43" t="str">
        <f>VLOOKUP(P811,Maestro!E:F,2,0)</f>
        <v>Fibrocemento</v>
      </c>
      <c r="R811" s="43">
        <f>VLOOKUP(P811,ORD!$A:$C,3,0)</f>
        <v>16</v>
      </c>
      <c r="S811" t="str">
        <f t="shared" ref="S811:S874" si="14">A811&amp;J811&amp;Q811</f>
        <v>7199990001CLINKER001Fibrocemento</v>
      </c>
      <c r="T811" t="str">
        <f>IFERROR(VLOOKUP(S811,Maestro!$A:$H,8,0),"Producción")</f>
        <v>Clinker</v>
      </c>
      <c r="U811" s="43" t="s">
        <v>182</v>
      </c>
    </row>
    <row r="812" spans="1:21" x14ac:dyDescent="0.3">
      <c r="A812" s="43">
        <v>7999999995</v>
      </c>
      <c r="B812" s="43" t="s">
        <v>566</v>
      </c>
      <c r="C812" s="52"/>
      <c r="D812" s="166"/>
      <c r="E812" s="43" t="s">
        <v>556</v>
      </c>
      <c r="F812" s="43" t="s">
        <v>557</v>
      </c>
      <c r="G812" s="43" t="s">
        <v>567</v>
      </c>
      <c r="H812" s="43" t="s">
        <v>568</v>
      </c>
      <c r="I812" s="43" t="s">
        <v>560</v>
      </c>
      <c r="J812" s="43" t="s">
        <v>595</v>
      </c>
      <c r="K812" s="43">
        <v>700091</v>
      </c>
      <c r="L812" s="43">
        <v>8</v>
      </c>
      <c r="M812" s="43" t="s">
        <v>61</v>
      </c>
      <c r="N812" s="51"/>
      <c r="O812" s="51"/>
      <c r="P812" s="43" t="str">
        <f>VLOOKUP(K812,Maestro!J:K,2,0)</f>
        <v>FIBROCEMENTO</v>
      </c>
      <c r="Q812" s="43" t="str">
        <f>VLOOKUP(P812,Maestro!E:F,2,0)</f>
        <v>Fibrocemento</v>
      </c>
      <c r="R812" s="43">
        <f>VLOOKUP(P812,ORD!$A:$C,3,0)</f>
        <v>16</v>
      </c>
      <c r="S812" t="str">
        <f t="shared" si="14"/>
        <v>7999999995CEMENTOFCEFibrocemento</v>
      </c>
      <c r="T812" t="str">
        <f>IFERROR(VLOOKUP(S812,Maestro!$A:$H,8,0),"Producción")</f>
        <v>Producción</v>
      </c>
      <c r="U812" s="43" t="s">
        <v>182</v>
      </c>
    </row>
    <row r="813" spans="1:21" x14ac:dyDescent="0.3">
      <c r="A813" s="43">
        <v>7355250320</v>
      </c>
      <c r="B813" s="43" t="s">
        <v>490</v>
      </c>
      <c r="C813" s="49"/>
      <c r="D813" s="52"/>
      <c r="E813" s="59"/>
      <c r="F813" s="58"/>
      <c r="G813" s="43"/>
      <c r="H813" s="43"/>
      <c r="I813" s="43" t="s">
        <v>560</v>
      </c>
      <c r="J813" s="43" t="s">
        <v>802</v>
      </c>
      <c r="K813" s="43">
        <v>700091</v>
      </c>
      <c r="L813" s="43">
        <v>8</v>
      </c>
      <c r="M813" s="43" t="s">
        <v>61</v>
      </c>
      <c r="N813" s="53"/>
      <c r="O813" s="53"/>
      <c r="P813" s="43" t="str">
        <f>VLOOKUP(K813,Maestro!J:K,2,0)</f>
        <v>FIBROCEMENTO</v>
      </c>
      <c r="Q813" s="43" t="str">
        <f>VLOOKUP(P813,Maestro!E:F,2,0)</f>
        <v>Fibrocemento</v>
      </c>
      <c r="R813" s="43">
        <f>VLOOKUP(P813,ORD!$A:$C,3,0)</f>
        <v>16</v>
      </c>
      <c r="S813" t="str">
        <f t="shared" si="14"/>
        <v>7355250320PLACAS Y SEGMENTOSFibrocemento</v>
      </c>
      <c r="T813" t="str">
        <f>IFERROR(VLOOKUP(S813,Maestro!$A:$H,8,0),"Producción")</f>
        <v>Placas y Segmentos</v>
      </c>
      <c r="U813" s="43" t="s">
        <v>182</v>
      </c>
    </row>
    <row r="814" spans="1:21" x14ac:dyDescent="0.3">
      <c r="A814" s="43">
        <v>7105450101</v>
      </c>
      <c r="B814" s="43" t="s">
        <v>466</v>
      </c>
      <c r="C814" s="52"/>
      <c r="D814" s="52"/>
      <c r="E814" s="43" t="s">
        <v>556</v>
      </c>
      <c r="F814" s="43" t="s">
        <v>557</v>
      </c>
      <c r="G814" s="43" t="s">
        <v>577</v>
      </c>
      <c r="H814" s="43" t="s">
        <v>578</v>
      </c>
      <c r="I814" s="43" t="s">
        <v>560</v>
      </c>
      <c r="J814" s="43" t="s">
        <v>467</v>
      </c>
      <c r="K814" s="43">
        <v>700091</v>
      </c>
      <c r="L814" s="43">
        <v>9</v>
      </c>
      <c r="M814" s="43" t="s">
        <v>579</v>
      </c>
      <c r="N814" s="51"/>
      <c r="O814" s="51"/>
      <c r="P814" s="43" t="str">
        <f>VLOOKUP(K814,Maestro!J:K,2,0)</f>
        <v>FIBROCEMENTO</v>
      </c>
      <c r="Q814" s="43" t="str">
        <f>VLOOKUP(P814,Maestro!E:F,2,0)</f>
        <v>Fibrocemento</v>
      </c>
      <c r="R814" s="43">
        <f>VLOOKUP(P814,ORD!$A:$C,3,0)</f>
        <v>16</v>
      </c>
      <c r="S814" t="str">
        <f t="shared" si="14"/>
        <v>7105450101YESO00001Fibrocemento</v>
      </c>
      <c r="T814" t="str">
        <f>IFERROR(VLOOKUP(S814,Maestro!$A:$H,8,0),"Producción")</f>
        <v>Yeso</v>
      </c>
      <c r="U814" s="43" t="s">
        <v>182</v>
      </c>
    </row>
    <row r="815" spans="1:21" x14ac:dyDescent="0.3">
      <c r="A815" s="43">
        <v>7199990001</v>
      </c>
      <c r="B815" s="43" t="s">
        <v>438</v>
      </c>
      <c r="C815" s="52"/>
      <c r="D815" s="52"/>
      <c r="E815" s="43" t="s">
        <v>556</v>
      </c>
      <c r="F815" s="43" t="s">
        <v>557</v>
      </c>
      <c r="G815" s="43" t="s">
        <v>567</v>
      </c>
      <c r="H815" s="43" t="s">
        <v>568</v>
      </c>
      <c r="I815" s="43" t="s">
        <v>560</v>
      </c>
      <c r="J815" s="43" t="s">
        <v>463</v>
      </c>
      <c r="K815" s="43">
        <v>700091</v>
      </c>
      <c r="L815" s="43">
        <v>9</v>
      </c>
      <c r="M815" s="43" t="s">
        <v>62</v>
      </c>
      <c r="N815" s="51"/>
      <c r="O815" s="51"/>
      <c r="P815" s="43" t="str">
        <f>VLOOKUP(K815,Maestro!J:K,2,0)</f>
        <v>FIBROCEMENTO</v>
      </c>
      <c r="Q815" s="43" t="str">
        <f>VLOOKUP(P815,Maestro!E:F,2,0)</f>
        <v>Fibrocemento</v>
      </c>
      <c r="R815" s="43">
        <f>VLOOKUP(P815,ORD!$A:$C,3,0)</f>
        <v>16</v>
      </c>
      <c r="S815" t="str">
        <f t="shared" si="14"/>
        <v>7199990001CLINKER001Fibrocemento</v>
      </c>
      <c r="T815" t="str">
        <f>IFERROR(VLOOKUP(S815,Maestro!$A:$H,8,0),"Producción")</f>
        <v>Clinker</v>
      </c>
      <c r="U815" s="43" t="s">
        <v>182</v>
      </c>
    </row>
    <row r="816" spans="1:21" x14ac:dyDescent="0.3">
      <c r="A816" s="43">
        <v>7999999995</v>
      </c>
      <c r="B816" s="43" t="s">
        <v>566</v>
      </c>
      <c r="C816" s="52"/>
      <c r="D816" s="166"/>
      <c r="E816" s="43" t="s">
        <v>556</v>
      </c>
      <c r="F816" s="43" t="s">
        <v>557</v>
      </c>
      <c r="G816" s="43" t="s">
        <v>567</v>
      </c>
      <c r="H816" s="43" t="s">
        <v>568</v>
      </c>
      <c r="I816" s="43" t="s">
        <v>560</v>
      </c>
      <c r="J816" s="43" t="s">
        <v>595</v>
      </c>
      <c r="K816" s="43">
        <v>700091</v>
      </c>
      <c r="L816" s="43">
        <v>9</v>
      </c>
      <c r="M816" s="43" t="s">
        <v>61</v>
      </c>
      <c r="N816" s="51"/>
      <c r="O816" s="51"/>
      <c r="P816" s="43" t="str">
        <f>VLOOKUP(K816,Maestro!J:K,2,0)</f>
        <v>FIBROCEMENTO</v>
      </c>
      <c r="Q816" s="43" t="str">
        <f>VLOOKUP(P816,Maestro!E:F,2,0)</f>
        <v>Fibrocemento</v>
      </c>
      <c r="R816" s="43">
        <f>VLOOKUP(P816,ORD!$A:$C,3,0)</f>
        <v>16</v>
      </c>
      <c r="S816" t="str">
        <f t="shared" si="14"/>
        <v>7999999995CEMENTOFCEFibrocemento</v>
      </c>
      <c r="T816" t="str">
        <f>IFERROR(VLOOKUP(S816,Maestro!$A:$H,8,0),"Producción")</f>
        <v>Producción</v>
      </c>
      <c r="U816" s="43" t="s">
        <v>182</v>
      </c>
    </row>
    <row r="817" spans="1:21" x14ac:dyDescent="0.3">
      <c r="A817" s="43">
        <v>7355250320</v>
      </c>
      <c r="B817" s="43" t="s">
        <v>490</v>
      </c>
      <c r="C817" s="49"/>
      <c r="D817" s="52"/>
      <c r="E817" s="59"/>
      <c r="F817" s="58"/>
      <c r="G817" s="43"/>
      <c r="H817" s="43"/>
      <c r="I817" s="43" t="s">
        <v>560</v>
      </c>
      <c r="J817" s="43" t="s">
        <v>802</v>
      </c>
      <c r="K817" s="43">
        <v>700091</v>
      </c>
      <c r="L817" s="43">
        <v>9</v>
      </c>
      <c r="M817" s="43" t="s">
        <v>61</v>
      </c>
      <c r="N817" s="53"/>
      <c r="O817" s="53"/>
      <c r="P817" s="43" t="str">
        <f>VLOOKUP(K817,Maestro!J:K,2,0)</f>
        <v>FIBROCEMENTO</v>
      </c>
      <c r="Q817" s="43" t="str">
        <f>VLOOKUP(P817,Maestro!E:F,2,0)</f>
        <v>Fibrocemento</v>
      </c>
      <c r="R817" s="43">
        <f>VLOOKUP(P817,ORD!$A:$C,3,0)</f>
        <v>16</v>
      </c>
      <c r="S817" t="str">
        <f t="shared" si="14"/>
        <v>7355250320PLACAS Y SEGMENTOSFibrocemento</v>
      </c>
      <c r="T817" t="str">
        <f>IFERROR(VLOOKUP(S817,Maestro!$A:$H,8,0),"Producción")</f>
        <v>Placas y Segmentos</v>
      </c>
      <c r="U817" s="43" t="s">
        <v>182</v>
      </c>
    </row>
    <row r="818" spans="1:21" x14ac:dyDescent="0.3">
      <c r="A818" s="43">
        <v>7105450101</v>
      </c>
      <c r="B818" s="43" t="s">
        <v>466</v>
      </c>
      <c r="C818" s="52"/>
      <c r="D818" s="52"/>
      <c r="E818" s="43" t="s">
        <v>556</v>
      </c>
      <c r="F818" s="43" t="s">
        <v>557</v>
      </c>
      <c r="G818" s="43" t="s">
        <v>577</v>
      </c>
      <c r="H818" s="43" t="s">
        <v>578</v>
      </c>
      <c r="I818" s="43" t="s">
        <v>560</v>
      </c>
      <c r="J818" s="43" t="s">
        <v>467</v>
      </c>
      <c r="K818" s="43">
        <v>700091</v>
      </c>
      <c r="L818" s="43">
        <v>10</v>
      </c>
      <c r="M818" s="43" t="s">
        <v>579</v>
      </c>
      <c r="N818" s="51"/>
      <c r="O818" s="51"/>
      <c r="P818" s="43" t="str">
        <f>VLOOKUP(K818,Maestro!J:K,2,0)</f>
        <v>FIBROCEMENTO</v>
      </c>
      <c r="Q818" s="43" t="str">
        <f>VLOOKUP(P818,Maestro!E:F,2,0)</f>
        <v>Fibrocemento</v>
      </c>
      <c r="R818" s="43">
        <f>VLOOKUP(P818,ORD!$A:$C,3,0)</f>
        <v>16</v>
      </c>
      <c r="S818" t="str">
        <f t="shared" si="14"/>
        <v>7105450101YESO00001Fibrocemento</v>
      </c>
      <c r="T818" t="str">
        <f>IFERROR(VLOOKUP(S818,Maestro!$A:$H,8,0),"Producción")</f>
        <v>Yeso</v>
      </c>
      <c r="U818" s="43" t="s">
        <v>182</v>
      </c>
    </row>
    <row r="819" spans="1:21" x14ac:dyDescent="0.3">
      <c r="A819" s="43">
        <v>7199990001</v>
      </c>
      <c r="B819" s="43" t="s">
        <v>438</v>
      </c>
      <c r="C819" s="52"/>
      <c r="D819" s="52"/>
      <c r="E819" s="43" t="s">
        <v>556</v>
      </c>
      <c r="F819" s="43" t="s">
        <v>557</v>
      </c>
      <c r="G819" s="43" t="s">
        <v>567</v>
      </c>
      <c r="H819" s="43" t="s">
        <v>568</v>
      </c>
      <c r="I819" s="43" t="s">
        <v>560</v>
      </c>
      <c r="J819" s="43" t="s">
        <v>463</v>
      </c>
      <c r="K819" s="43">
        <v>700091</v>
      </c>
      <c r="L819" s="43">
        <v>10</v>
      </c>
      <c r="M819" s="43" t="s">
        <v>62</v>
      </c>
      <c r="N819" s="51"/>
      <c r="O819" s="51"/>
      <c r="P819" s="43" t="str">
        <f>VLOOKUP(K819,Maestro!J:K,2,0)</f>
        <v>FIBROCEMENTO</v>
      </c>
      <c r="Q819" s="43" t="str">
        <f>VLOOKUP(P819,Maestro!E:F,2,0)</f>
        <v>Fibrocemento</v>
      </c>
      <c r="R819" s="43">
        <f>VLOOKUP(P819,ORD!$A:$C,3,0)</f>
        <v>16</v>
      </c>
      <c r="S819" t="str">
        <f t="shared" si="14"/>
        <v>7199990001CLINKER001Fibrocemento</v>
      </c>
      <c r="T819" t="str">
        <f>IFERROR(VLOOKUP(S819,Maestro!$A:$H,8,0),"Producción")</f>
        <v>Clinker</v>
      </c>
      <c r="U819" s="43" t="s">
        <v>182</v>
      </c>
    </row>
    <row r="820" spans="1:21" x14ac:dyDescent="0.3">
      <c r="A820" s="43">
        <v>7999999995</v>
      </c>
      <c r="B820" s="43" t="s">
        <v>566</v>
      </c>
      <c r="C820" s="52"/>
      <c r="D820" s="166"/>
      <c r="E820" s="43" t="s">
        <v>556</v>
      </c>
      <c r="F820" s="43" t="s">
        <v>557</v>
      </c>
      <c r="G820" s="43" t="s">
        <v>567</v>
      </c>
      <c r="H820" s="43" t="s">
        <v>568</v>
      </c>
      <c r="I820" s="43" t="s">
        <v>560</v>
      </c>
      <c r="J820" s="43" t="s">
        <v>595</v>
      </c>
      <c r="K820" s="43">
        <v>700091</v>
      </c>
      <c r="L820" s="43">
        <v>10</v>
      </c>
      <c r="M820" s="43" t="s">
        <v>61</v>
      </c>
      <c r="N820" s="51"/>
      <c r="O820" s="51"/>
      <c r="P820" s="43" t="str">
        <f>VLOOKUP(K820,Maestro!J:K,2,0)</f>
        <v>FIBROCEMENTO</v>
      </c>
      <c r="Q820" s="43" t="str">
        <f>VLOOKUP(P820,Maestro!E:F,2,0)</f>
        <v>Fibrocemento</v>
      </c>
      <c r="R820" s="43">
        <f>VLOOKUP(P820,ORD!$A:$C,3,0)</f>
        <v>16</v>
      </c>
      <c r="S820" t="str">
        <f t="shared" si="14"/>
        <v>7999999995CEMENTOFCEFibrocemento</v>
      </c>
      <c r="T820" t="str">
        <f>IFERROR(VLOOKUP(S820,Maestro!$A:$H,8,0),"Producción")</f>
        <v>Producción</v>
      </c>
      <c r="U820" s="43" t="s">
        <v>182</v>
      </c>
    </row>
    <row r="821" spans="1:21" x14ac:dyDescent="0.3">
      <c r="A821" s="43">
        <v>7355250320</v>
      </c>
      <c r="B821" s="43" t="s">
        <v>490</v>
      </c>
      <c r="C821" s="49"/>
      <c r="D821" s="52"/>
      <c r="E821" s="59"/>
      <c r="F821" s="58"/>
      <c r="G821" s="43"/>
      <c r="H821" s="43"/>
      <c r="I821" s="43" t="s">
        <v>560</v>
      </c>
      <c r="J821" s="43" t="s">
        <v>802</v>
      </c>
      <c r="K821" s="43">
        <v>700091</v>
      </c>
      <c r="L821" s="43">
        <v>10</v>
      </c>
      <c r="M821" s="43" t="s">
        <v>61</v>
      </c>
      <c r="N821" s="53"/>
      <c r="O821" s="53"/>
      <c r="P821" s="43" t="str">
        <f>VLOOKUP(K821,Maestro!J:K,2,0)</f>
        <v>FIBROCEMENTO</v>
      </c>
      <c r="Q821" s="43" t="str">
        <f>VLOOKUP(P821,Maestro!E:F,2,0)</f>
        <v>Fibrocemento</v>
      </c>
      <c r="R821" s="43">
        <f>VLOOKUP(P821,ORD!$A:$C,3,0)</f>
        <v>16</v>
      </c>
      <c r="S821" t="str">
        <f t="shared" si="14"/>
        <v>7355250320PLACAS Y SEGMENTOSFibrocemento</v>
      </c>
      <c r="T821" t="str">
        <f>IFERROR(VLOOKUP(S821,Maestro!$A:$H,8,0),"Producción")</f>
        <v>Placas y Segmentos</v>
      </c>
      <c r="U821" s="43" t="s">
        <v>182</v>
      </c>
    </row>
    <row r="822" spans="1:21" x14ac:dyDescent="0.3">
      <c r="A822" s="43">
        <v>7105450101</v>
      </c>
      <c r="B822" s="43" t="s">
        <v>466</v>
      </c>
      <c r="C822" s="52"/>
      <c r="D822" s="52"/>
      <c r="E822" s="43" t="s">
        <v>556</v>
      </c>
      <c r="F822" s="43" t="s">
        <v>557</v>
      </c>
      <c r="G822" s="43" t="s">
        <v>577</v>
      </c>
      <c r="H822" s="43" t="s">
        <v>578</v>
      </c>
      <c r="I822" s="43" t="s">
        <v>560</v>
      </c>
      <c r="J822" s="43" t="s">
        <v>467</v>
      </c>
      <c r="K822" s="43">
        <v>700091</v>
      </c>
      <c r="L822" s="43">
        <v>11</v>
      </c>
      <c r="M822" s="43" t="s">
        <v>579</v>
      </c>
      <c r="N822" s="51"/>
      <c r="O822" s="51"/>
      <c r="P822" s="43" t="str">
        <f>VLOOKUP(K822,Maestro!J:K,2,0)</f>
        <v>FIBROCEMENTO</v>
      </c>
      <c r="Q822" s="43" t="str">
        <f>VLOOKUP(P822,Maestro!E:F,2,0)</f>
        <v>Fibrocemento</v>
      </c>
      <c r="R822" s="43">
        <f>VLOOKUP(P822,ORD!$A:$C,3,0)</f>
        <v>16</v>
      </c>
      <c r="S822" t="str">
        <f t="shared" si="14"/>
        <v>7105450101YESO00001Fibrocemento</v>
      </c>
      <c r="T822" t="str">
        <f>IFERROR(VLOOKUP(S822,Maestro!$A:$H,8,0),"Producción")</f>
        <v>Yeso</v>
      </c>
      <c r="U822" s="43" t="s">
        <v>182</v>
      </c>
    </row>
    <row r="823" spans="1:21" x14ac:dyDescent="0.3">
      <c r="A823" s="43">
        <v>7199990001</v>
      </c>
      <c r="B823" s="43" t="s">
        <v>438</v>
      </c>
      <c r="C823" s="52"/>
      <c r="D823" s="52"/>
      <c r="E823" s="43" t="s">
        <v>556</v>
      </c>
      <c r="F823" s="43" t="s">
        <v>557</v>
      </c>
      <c r="G823" s="43" t="s">
        <v>567</v>
      </c>
      <c r="H823" s="43" t="s">
        <v>568</v>
      </c>
      <c r="I823" s="43" t="s">
        <v>560</v>
      </c>
      <c r="J823" s="43" t="s">
        <v>463</v>
      </c>
      <c r="K823" s="43">
        <v>700091</v>
      </c>
      <c r="L823" s="43">
        <v>11</v>
      </c>
      <c r="M823" s="43" t="s">
        <v>62</v>
      </c>
      <c r="N823" s="51"/>
      <c r="O823" s="51"/>
      <c r="P823" s="43" t="str">
        <f>VLOOKUP(K823,Maestro!J:K,2,0)</f>
        <v>FIBROCEMENTO</v>
      </c>
      <c r="Q823" s="43" t="str">
        <f>VLOOKUP(P823,Maestro!E:F,2,0)</f>
        <v>Fibrocemento</v>
      </c>
      <c r="R823" s="43">
        <f>VLOOKUP(P823,ORD!$A:$C,3,0)</f>
        <v>16</v>
      </c>
      <c r="S823" t="str">
        <f t="shared" si="14"/>
        <v>7199990001CLINKER001Fibrocemento</v>
      </c>
      <c r="T823" t="str">
        <f>IFERROR(VLOOKUP(S823,Maestro!$A:$H,8,0),"Producción")</f>
        <v>Clinker</v>
      </c>
      <c r="U823" s="43" t="s">
        <v>182</v>
      </c>
    </row>
    <row r="824" spans="1:21" x14ac:dyDescent="0.3">
      <c r="A824" s="43">
        <v>7999999995</v>
      </c>
      <c r="B824" s="43" t="s">
        <v>566</v>
      </c>
      <c r="C824" s="52"/>
      <c r="D824" s="166"/>
      <c r="E824" s="43" t="s">
        <v>556</v>
      </c>
      <c r="F824" s="43" t="s">
        <v>557</v>
      </c>
      <c r="G824" s="43" t="s">
        <v>567</v>
      </c>
      <c r="H824" s="43" t="s">
        <v>568</v>
      </c>
      <c r="I824" s="43" t="s">
        <v>560</v>
      </c>
      <c r="J824" s="43" t="s">
        <v>595</v>
      </c>
      <c r="K824" s="43">
        <v>700091</v>
      </c>
      <c r="L824" s="43">
        <v>11</v>
      </c>
      <c r="M824" s="43" t="s">
        <v>61</v>
      </c>
      <c r="N824" s="51"/>
      <c r="O824" s="51"/>
      <c r="P824" s="43" t="str">
        <f>VLOOKUP(K824,Maestro!J:K,2,0)</f>
        <v>FIBROCEMENTO</v>
      </c>
      <c r="Q824" s="43" t="str">
        <f>VLOOKUP(P824,Maestro!E:F,2,0)</f>
        <v>Fibrocemento</v>
      </c>
      <c r="R824" s="43">
        <f>VLOOKUP(P824,ORD!$A:$C,3,0)</f>
        <v>16</v>
      </c>
      <c r="S824" t="str">
        <f t="shared" si="14"/>
        <v>7999999995CEMENTOFCEFibrocemento</v>
      </c>
      <c r="T824" t="str">
        <f>IFERROR(VLOOKUP(S824,Maestro!$A:$H,8,0),"Producción")</f>
        <v>Producción</v>
      </c>
      <c r="U824" s="43" t="s">
        <v>182</v>
      </c>
    </row>
    <row r="825" spans="1:21" x14ac:dyDescent="0.3">
      <c r="A825" s="43">
        <v>7355250320</v>
      </c>
      <c r="B825" s="43" t="s">
        <v>490</v>
      </c>
      <c r="C825" s="49"/>
      <c r="D825" s="52"/>
      <c r="E825" s="59"/>
      <c r="F825" s="58"/>
      <c r="G825" s="43"/>
      <c r="H825" s="43"/>
      <c r="I825" s="43" t="s">
        <v>560</v>
      </c>
      <c r="J825" s="43" t="s">
        <v>802</v>
      </c>
      <c r="K825" s="43">
        <v>700091</v>
      </c>
      <c r="L825" s="43">
        <v>11</v>
      </c>
      <c r="M825" s="43" t="s">
        <v>61</v>
      </c>
      <c r="N825" s="53"/>
      <c r="O825" s="53"/>
      <c r="P825" s="43" t="str">
        <f>VLOOKUP(K825,Maestro!J:K,2,0)</f>
        <v>FIBROCEMENTO</v>
      </c>
      <c r="Q825" s="43" t="str">
        <f>VLOOKUP(P825,Maestro!E:F,2,0)</f>
        <v>Fibrocemento</v>
      </c>
      <c r="R825" s="43">
        <f>VLOOKUP(P825,ORD!$A:$C,3,0)</f>
        <v>16</v>
      </c>
      <c r="S825" t="str">
        <f t="shared" si="14"/>
        <v>7355250320PLACAS Y SEGMENTOSFibrocemento</v>
      </c>
      <c r="T825" t="str">
        <f>IFERROR(VLOOKUP(S825,Maestro!$A:$H,8,0),"Producción")</f>
        <v>Placas y Segmentos</v>
      </c>
      <c r="U825" s="43" t="s">
        <v>182</v>
      </c>
    </row>
    <row r="826" spans="1:21" x14ac:dyDescent="0.3">
      <c r="A826" s="43">
        <v>7105450101</v>
      </c>
      <c r="B826" s="43" t="s">
        <v>466</v>
      </c>
      <c r="C826" s="52"/>
      <c r="D826" s="52"/>
      <c r="E826" s="43" t="s">
        <v>556</v>
      </c>
      <c r="F826" s="43" t="s">
        <v>557</v>
      </c>
      <c r="G826" s="43" t="s">
        <v>577</v>
      </c>
      <c r="H826" s="43" t="s">
        <v>578</v>
      </c>
      <c r="I826" s="43" t="s">
        <v>560</v>
      </c>
      <c r="J826" s="43" t="s">
        <v>467</v>
      </c>
      <c r="K826" s="43">
        <v>700091</v>
      </c>
      <c r="L826" s="43">
        <v>12</v>
      </c>
      <c r="M826" s="43" t="s">
        <v>579</v>
      </c>
      <c r="N826" s="51"/>
      <c r="O826" s="51"/>
      <c r="P826" s="43" t="str">
        <f>VLOOKUP(K826,Maestro!J:K,2,0)</f>
        <v>FIBROCEMENTO</v>
      </c>
      <c r="Q826" s="43" t="str">
        <f>VLOOKUP(P826,Maestro!E:F,2,0)</f>
        <v>Fibrocemento</v>
      </c>
      <c r="R826" s="43">
        <f>VLOOKUP(P826,ORD!$A:$C,3,0)</f>
        <v>16</v>
      </c>
      <c r="S826" t="str">
        <f t="shared" si="14"/>
        <v>7105450101YESO00001Fibrocemento</v>
      </c>
      <c r="T826" t="str">
        <f>IFERROR(VLOOKUP(S826,Maestro!$A:$H,8,0),"Producción")</f>
        <v>Yeso</v>
      </c>
      <c r="U826" s="43" t="s">
        <v>182</v>
      </c>
    </row>
    <row r="827" spans="1:21" x14ac:dyDescent="0.3">
      <c r="A827" s="43">
        <v>7199990001</v>
      </c>
      <c r="B827" s="43" t="s">
        <v>438</v>
      </c>
      <c r="C827" s="52"/>
      <c r="D827" s="52"/>
      <c r="E827" s="43" t="s">
        <v>556</v>
      </c>
      <c r="F827" s="43" t="s">
        <v>557</v>
      </c>
      <c r="G827" s="43" t="s">
        <v>567</v>
      </c>
      <c r="H827" s="43" t="s">
        <v>568</v>
      </c>
      <c r="I827" s="43" t="s">
        <v>560</v>
      </c>
      <c r="J827" s="43" t="s">
        <v>463</v>
      </c>
      <c r="K827" s="43">
        <v>700091</v>
      </c>
      <c r="L827" s="43">
        <v>12</v>
      </c>
      <c r="M827" s="43" t="s">
        <v>62</v>
      </c>
      <c r="N827" s="51"/>
      <c r="O827" s="51"/>
      <c r="P827" s="43" t="str">
        <f>VLOOKUP(K827,Maestro!J:K,2,0)</f>
        <v>FIBROCEMENTO</v>
      </c>
      <c r="Q827" s="43" t="str">
        <f>VLOOKUP(P827,Maestro!E:F,2,0)</f>
        <v>Fibrocemento</v>
      </c>
      <c r="R827" s="43">
        <f>VLOOKUP(P827,ORD!$A:$C,3,0)</f>
        <v>16</v>
      </c>
      <c r="S827" t="str">
        <f t="shared" si="14"/>
        <v>7199990001CLINKER001Fibrocemento</v>
      </c>
      <c r="T827" t="str">
        <f>IFERROR(VLOOKUP(S827,Maestro!$A:$H,8,0),"Producción")</f>
        <v>Clinker</v>
      </c>
      <c r="U827" s="43" t="s">
        <v>182</v>
      </c>
    </row>
    <row r="828" spans="1:21" x14ac:dyDescent="0.3">
      <c r="A828" s="43">
        <v>7999999995</v>
      </c>
      <c r="B828" s="43" t="s">
        <v>566</v>
      </c>
      <c r="C828" s="52"/>
      <c r="D828" s="166"/>
      <c r="E828" s="43" t="s">
        <v>556</v>
      </c>
      <c r="F828" s="43" t="s">
        <v>557</v>
      </c>
      <c r="G828" s="43" t="s">
        <v>567</v>
      </c>
      <c r="H828" s="43" t="s">
        <v>568</v>
      </c>
      <c r="I828" s="43" t="s">
        <v>560</v>
      </c>
      <c r="J828" s="43" t="s">
        <v>595</v>
      </c>
      <c r="K828" s="43">
        <v>700091</v>
      </c>
      <c r="L828" s="43">
        <v>12</v>
      </c>
      <c r="M828" s="43" t="s">
        <v>61</v>
      </c>
      <c r="N828" s="51"/>
      <c r="O828" s="51"/>
      <c r="P828" s="43" t="str">
        <f>VLOOKUP(K828,Maestro!J:K,2,0)</f>
        <v>FIBROCEMENTO</v>
      </c>
      <c r="Q828" s="43" t="str">
        <f>VLOOKUP(P828,Maestro!E:F,2,0)</f>
        <v>Fibrocemento</v>
      </c>
      <c r="R828" s="43">
        <f>VLOOKUP(P828,ORD!$A:$C,3,0)</f>
        <v>16</v>
      </c>
      <c r="S828" t="str">
        <f t="shared" si="14"/>
        <v>7999999995CEMENTOFCEFibrocemento</v>
      </c>
      <c r="T828" t="str">
        <f>IFERROR(VLOOKUP(S828,Maestro!$A:$H,8,0),"Producción")</f>
        <v>Producción</v>
      </c>
      <c r="U828" s="43" t="s">
        <v>182</v>
      </c>
    </row>
    <row r="829" spans="1:21" x14ac:dyDescent="0.3">
      <c r="A829" s="43">
        <v>7355250320</v>
      </c>
      <c r="B829" s="43" t="s">
        <v>490</v>
      </c>
      <c r="C829" s="49"/>
      <c r="D829" s="52"/>
      <c r="E829" s="59"/>
      <c r="F829" s="58"/>
      <c r="G829" s="43"/>
      <c r="H829" s="43"/>
      <c r="I829" s="43" t="s">
        <v>560</v>
      </c>
      <c r="J829" s="43" t="s">
        <v>802</v>
      </c>
      <c r="K829" s="43">
        <v>700091</v>
      </c>
      <c r="L829" s="43">
        <v>12</v>
      </c>
      <c r="M829" s="43" t="s">
        <v>61</v>
      </c>
      <c r="N829" s="53"/>
      <c r="O829" s="53"/>
      <c r="P829" s="43" t="str">
        <f>VLOOKUP(K829,Maestro!J:K,2,0)</f>
        <v>FIBROCEMENTO</v>
      </c>
      <c r="Q829" s="43" t="str">
        <f>VLOOKUP(P829,Maestro!E:F,2,0)</f>
        <v>Fibrocemento</v>
      </c>
      <c r="R829" s="43">
        <f>VLOOKUP(P829,ORD!$A:$C,3,0)</f>
        <v>16</v>
      </c>
      <c r="S829" t="str">
        <f t="shared" si="14"/>
        <v>7355250320PLACAS Y SEGMENTOSFibrocemento</v>
      </c>
      <c r="T829" t="str">
        <f>IFERROR(VLOOKUP(S829,Maestro!$A:$H,8,0),"Producción")</f>
        <v>Placas y Segmentos</v>
      </c>
      <c r="U829" s="43" t="s">
        <v>182</v>
      </c>
    </row>
    <row r="830" spans="1:21" x14ac:dyDescent="0.3">
      <c r="A830" s="43">
        <v>7199990001</v>
      </c>
      <c r="B830" s="43" t="s">
        <v>438</v>
      </c>
      <c r="C830" s="50"/>
      <c r="D830" s="56">
        <f>Datos!$H$236</f>
        <v>2631.6700735272484</v>
      </c>
      <c r="E830" s="43" t="s">
        <v>556</v>
      </c>
      <c r="F830" s="43" t="s">
        <v>557</v>
      </c>
      <c r="G830" s="43" t="s">
        <v>567</v>
      </c>
      <c r="H830" s="43" t="s">
        <v>568</v>
      </c>
      <c r="I830" s="43" t="s">
        <v>560</v>
      </c>
      <c r="J830" s="43" t="s">
        <v>486</v>
      </c>
      <c r="K830" s="43">
        <v>700080</v>
      </c>
      <c r="L830" s="43">
        <v>1</v>
      </c>
      <c r="M830" s="43" t="s">
        <v>464</v>
      </c>
      <c r="N830" s="51"/>
      <c r="O830" s="51"/>
      <c r="P830" s="43" t="str">
        <f>VLOOKUP(K830,Maestro!J:K,2,0)</f>
        <v>CEMENTO TOPEX 50 KG</v>
      </c>
      <c r="Q830" s="43" t="str">
        <f>VLOOKUP(P830,Maestro!E:F,2,0)</f>
        <v>CEMENTO TOPEX 50 KG</v>
      </c>
      <c r="R830" s="43">
        <f>VLOOKUP(P830,ORD!$A:$C,3,0)</f>
        <v>14</v>
      </c>
      <c r="S830" t="str">
        <f t="shared" si="14"/>
        <v>7199990001CEMENTO UG TPCEMENTO TOPEX 50 KG</v>
      </c>
      <c r="T830" t="str">
        <f>IFERROR(VLOOKUP(S830,Maestro!$A:$H,8,0),"Producción")</f>
        <v>Cemento UG TP</v>
      </c>
      <c r="U830" s="43" t="s">
        <v>182</v>
      </c>
    </row>
    <row r="831" spans="1:21" x14ac:dyDescent="0.3">
      <c r="A831" s="43">
        <v>7360050302</v>
      </c>
      <c r="B831" s="43" t="s">
        <v>474</v>
      </c>
      <c r="C831" s="50">
        <f>Datos!$H$75*D831</f>
        <v>58786246.102451675</v>
      </c>
      <c r="D831" s="50">
        <f>Datos!$H$478</f>
        <v>53686.069499955869</v>
      </c>
      <c r="E831" s="43" t="s">
        <v>581</v>
      </c>
      <c r="F831" s="43" t="s">
        <v>557</v>
      </c>
      <c r="G831" s="43" t="s">
        <v>582</v>
      </c>
      <c r="H831" s="43" t="s">
        <v>583</v>
      </c>
      <c r="I831" s="43" t="s">
        <v>560</v>
      </c>
      <c r="J831" s="43" t="s">
        <v>489</v>
      </c>
      <c r="K831" s="43">
        <v>700080</v>
      </c>
      <c r="L831" s="43">
        <v>1</v>
      </c>
      <c r="M831" s="43" t="s">
        <v>596</v>
      </c>
      <c r="N831" s="51"/>
      <c r="O831" s="51"/>
      <c r="P831" s="43" t="str">
        <f>VLOOKUP(K831,Maestro!J:K,2,0)</f>
        <v>CEMENTO TOPEX 50 KG</v>
      </c>
      <c r="Q831" s="43" t="str">
        <f>VLOOKUP(P831,Maestro!E:F,2,0)</f>
        <v>CEMENTO TOPEX 50 KG</v>
      </c>
      <c r="R831" s="43">
        <f>VLOOKUP(P831,ORD!$A:$C,3,0)</f>
        <v>14</v>
      </c>
      <c r="S831" t="str">
        <f t="shared" si="14"/>
        <v>736005030222000000041CEMENTO TOPEX 50 KG</v>
      </c>
      <c r="T831" t="str">
        <f>IFERROR(VLOOKUP(S831,Maestro!$A:$H,8,0),"Producción")</f>
        <v>Sacos</v>
      </c>
      <c r="U831" s="43" t="s">
        <v>182</v>
      </c>
    </row>
    <row r="832" spans="1:21" x14ac:dyDescent="0.3">
      <c r="A832" s="43">
        <v>7999999995</v>
      </c>
      <c r="B832" s="43" t="s">
        <v>566</v>
      </c>
      <c r="C832" s="50"/>
      <c r="D832" s="56">
        <f>-Datos!$H$236*Datos!$H$206</f>
        <v>-52633.401470544966</v>
      </c>
      <c r="E832" s="43" t="s">
        <v>581</v>
      </c>
      <c r="F832" s="43" t="s">
        <v>557</v>
      </c>
      <c r="G832" s="43" t="s">
        <v>585</v>
      </c>
      <c r="H832" s="43" t="s">
        <v>586</v>
      </c>
      <c r="I832" s="43" t="s">
        <v>560</v>
      </c>
      <c r="J832" s="43" t="s">
        <v>597</v>
      </c>
      <c r="K832" s="43">
        <v>700080</v>
      </c>
      <c r="L832" s="43">
        <v>1</v>
      </c>
      <c r="M832" s="43" t="s">
        <v>598</v>
      </c>
      <c r="N832" s="51"/>
      <c r="O832" s="51"/>
      <c r="P832" s="43" t="str">
        <f>VLOOKUP(K832,Maestro!J:K,2,0)</f>
        <v>CEMENTO TOPEX 50 KG</v>
      </c>
      <c r="Q832" s="43" t="str">
        <f>VLOOKUP(P832,Maestro!E:F,2,0)</f>
        <v>CEMENTO TOPEX 50 KG</v>
      </c>
      <c r="R832" s="43">
        <f>VLOOKUP(P832,ORD!$A:$C,3,0)</f>
        <v>14</v>
      </c>
      <c r="S832" t="str">
        <f t="shared" si="14"/>
        <v>7999999995CEMTUGB50CEMENTO TOPEX 50 KG</v>
      </c>
      <c r="T832" t="str">
        <f>IFERROR(VLOOKUP(S832,Maestro!$A:$H,8,0),"Producción")</f>
        <v>Producción</v>
      </c>
      <c r="U832" s="43" t="s">
        <v>182</v>
      </c>
    </row>
    <row r="833" spans="1:21" x14ac:dyDescent="0.3">
      <c r="A833" s="43">
        <v>7199990001</v>
      </c>
      <c r="B833" s="43" t="s">
        <v>438</v>
      </c>
      <c r="C833" s="52"/>
      <c r="D833" s="56">
        <f>Datos!$I$236</f>
        <v>2731.4721414922278</v>
      </c>
      <c r="E833" s="43" t="s">
        <v>556</v>
      </c>
      <c r="F833" s="43" t="s">
        <v>557</v>
      </c>
      <c r="G833" s="43" t="s">
        <v>567</v>
      </c>
      <c r="H833" s="43" t="s">
        <v>568</v>
      </c>
      <c r="I833" s="43" t="s">
        <v>560</v>
      </c>
      <c r="J833" s="43" t="s">
        <v>486</v>
      </c>
      <c r="K833" s="43">
        <v>700080</v>
      </c>
      <c r="L833" s="43">
        <v>2</v>
      </c>
      <c r="M833" s="43" t="s">
        <v>464</v>
      </c>
      <c r="N833" s="51"/>
      <c r="O833" s="51"/>
      <c r="P833" s="43" t="str">
        <f>VLOOKUP(K833,Maestro!J:K,2,0)</f>
        <v>CEMENTO TOPEX 50 KG</v>
      </c>
      <c r="Q833" s="43" t="str">
        <f>VLOOKUP(P833,Maestro!E:F,2,0)</f>
        <v>CEMENTO TOPEX 50 KG</v>
      </c>
      <c r="R833" s="43">
        <f>VLOOKUP(P833,ORD!$A:$C,3,0)</f>
        <v>14</v>
      </c>
      <c r="S833" t="str">
        <f t="shared" si="14"/>
        <v>7199990001CEMENTO UG TPCEMENTO TOPEX 50 KG</v>
      </c>
      <c r="T833" t="str">
        <f>IFERROR(VLOOKUP(S833,Maestro!$A:$H,8,0),"Producción")</f>
        <v>Cemento UG TP</v>
      </c>
      <c r="U833" s="43" t="s">
        <v>182</v>
      </c>
    </row>
    <row r="834" spans="1:21" x14ac:dyDescent="0.3">
      <c r="A834" s="43">
        <v>7360050302</v>
      </c>
      <c r="B834" s="43" t="s">
        <v>474</v>
      </c>
      <c r="C834" s="50">
        <f>Datos!$I$75*D834</f>
        <v>61015624.696653388</v>
      </c>
      <c r="D834" s="50">
        <f>Datos!$I$478</f>
        <v>55722.031686441449</v>
      </c>
      <c r="E834" s="43" t="s">
        <v>581</v>
      </c>
      <c r="F834" s="43" t="s">
        <v>557</v>
      </c>
      <c r="G834" s="43" t="s">
        <v>582</v>
      </c>
      <c r="H834" s="43" t="s">
        <v>583</v>
      </c>
      <c r="I834" s="43" t="s">
        <v>560</v>
      </c>
      <c r="J834" s="43" t="s">
        <v>489</v>
      </c>
      <c r="K834" s="43">
        <v>700080</v>
      </c>
      <c r="L834" s="43">
        <v>2</v>
      </c>
      <c r="M834" s="43" t="s">
        <v>596</v>
      </c>
      <c r="N834" s="51"/>
      <c r="O834" s="51"/>
      <c r="P834" s="43" t="str">
        <f>VLOOKUP(K834,Maestro!J:K,2,0)</f>
        <v>CEMENTO TOPEX 50 KG</v>
      </c>
      <c r="Q834" s="43" t="str">
        <f>VLOOKUP(P834,Maestro!E:F,2,0)</f>
        <v>CEMENTO TOPEX 50 KG</v>
      </c>
      <c r="R834" s="43">
        <f>VLOOKUP(P834,ORD!$A:$C,3,0)</f>
        <v>14</v>
      </c>
      <c r="S834" t="str">
        <f t="shared" si="14"/>
        <v>736005030222000000041CEMENTO TOPEX 50 KG</v>
      </c>
      <c r="T834" t="str">
        <f>IFERROR(VLOOKUP(S834,Maestro!$A:$H,8,0),"Producción")</f>
        <v>Sacos</v>
      </c>
      <c r="U834" s="43" t="s">
        <v>182</v>
      </c>
    </row>
    <row r="835" spans="1:21" x14ac:dyDescent="0.3">
      <c r="A835" s="43">
        <v>7999999995</v>
      </c>
      <c r="B835" s="43" t="s">
        <v>566</v>
      </c>
      <c r="C835" s="50"/>
      <c r="D835" s="56">
        <f>-Datos!$I$236*Datos!$I$206</f>
        <v>-54629.442829844556</v>
      </c>
      <c r="E835" s="43" t="s">
        <v>581</v>
      </c>
      <c r="F835" s="43" t="s">
        <v>557</v>
      </c>
      <c r="G835" s="43" t="s">
        <v>585</v>
      </c>
      <c r="H835" s="43" t="s">
        <v>586</v>
      </c>
      <c r="I835" s="43" t="s">
        <v>560</v>
      </c>
      <c r="J835" s="43" t="s">
        <v>597</v>
      </c>
      <c r="K835" s="43">
        <v>700080</v>
      </c>
      <c r="L835" s="43">
        <v>2</v>
      </c>
      <c r="M835" s="43" t="s">
        <v>598</v>
      </c>
      <c r="N835" s="51"/>
      <c r="O835" s="51"/>
      <c r="P835" s="43" t="str">
        <f>VLOOKUP(K835,Maestro!J:K,2,0)</f>
        <v>CEMENTO TOPEX 50 KG</v>
      </c>
      <c r="Q835" s="43" t="str">
        <f>VLOOKUP(P835,Maestro!E:F,2,0)</f>
        <v>CEMENTO TOPEX 50 KG</v>
      </c>
      <c r="R835" s="43">
        <f>VLOOKUP(P835,ORD!$A:$C,3,0)</f>
        <v>14</v>
      </c>
      <c r="S835" t="str">
        <f t="shared" si="14"/>
        <v>7999999995CEMTUGB50CEMENTO TOPEX 50 KG</v>
      </c>
      <c r="T835" t="str">
        <f>IFERROR(VLOOKUP(S835,Maestro!$A:$H,8,0),"Producción")</f>
        <v>Producción</v>
      </c>
      <c r="U835" s="43" t="s">
        <v>182</v>
      </c>
    </row>
    <row r="836" spans="1:21" x14ac:dyDescent="0.3">
      <c r="A836" s="43">
        <v>7199990001</v>
      </c>
      <c r="B836" s="43" t="s">
        <v>438</v>
      </c>
      <c r="C836" s="52"/>
      <c r="D836" s="56">
        <f>Datos!$J$236</f>
        <v>2941.3163037671056</v>
      </c>
      <c r="E836" s="43" t="s">
        <v>556</v>
      </c>
      <c r="F836" s="43" t="s">
        <v>557</v>
      </c>
      <c r="G836" s="43" t="s">
        <v>567</v>
      </c>
      <c r="H836" s="43" t="s">
        <v>568</v>
      </c>
      <c r="I836" s="43" t="s">
        <v>560</v>
      </c>
      <c r="J836" s="43" t="s">
        <v>486</v>
      </c>
      <c r="K836" s="43">
        <v>700080</v>
      </c>
      <c r="L836" s="43">
        <v>3</v>
      </c>
      <c r="M836" s="43" t="s">
        <v>464</v>
      </c>
      <c r="N836" s="51"/>
      <c r="O836" s="51"/>
      <c r="P836" s="43" t="str">
        <f>VLOOKUP(K836,Maestro!J:K,2,0)</f>
        <v>CEMENTO TOPEX 50 KG</v>
      </c>
      <c r="Q836" s="43" t="str">
        <f>VLOOKUP(P836,Maestro!E:F,2,0)</f>
        <v>CEMENTO TOPEX 50 KG</v>
      </c>
      <c r="R836" s="43">
        <f>VLOOKUP(P836,ORD!$A:$C,3,0)</f>
        <v>14</v>
      </c>
      <c r="S836" t="str">
        <f t="shared" si="14"/>
        <v>7199990001CEMENTO UG TPCEMENTO TOPEX 50 KG</v>
      </c>
      <c r="T836" t="str">
        <f>IFERROR(VLOOKUP(S836,Maestro!$A:$H,8,0),"Producción")</f>
        <v>Cemento UG TP</v>
      </c>
      <c r="U836" s="43" t="s">
        <v>182</v>
      </c>
    </row>
    <row r="837" spans="1:21" x14ac:dyDescent="0.3">
      <c r="A837" s="43">
        <v>7360050302</v>
      </c>
      <c r="B837" s="43" t="s">
        <v>474</v>
      </c>
      <c r="C837" s="50">
        <f>Datos!$J$75*D837</f>
        <v>68223243.402617261</v>
      </c>
      <c r="D837" s="50">
        <f>Datos!$J$478</f>
        <v>60002.852596848956</v>
      </c>
      <c r="E837" s="43" t="s">
        <v>581</v>
      </c>
      <c r="F837" s="43" t="s">
        <v>557</v>
      </c>
      <c r="G837" s="43" t="s">
        <v>582</v>
      </c>
      <c r="H837" s="43" t="s">
        <v>583</v>
      </c>
      <c r="I837" s="43" t="s">
        <v>560</v>
      </c>
      <c r="J837" s="43" t="s">
        <v>489</v>
      </c>
      <c r="K837" s="43">
        <v>700080</v>
      </c>
      <c r="L837" s="43">
        <v>3</v>
      </c>
      <c r="M837" s="43" t="s">
        <v>596</v>
      </c>
      <c r="N837" s="51"/>
      <c r="O837" s="51"/>
      <c r="P837" s="43" t="str">
        <f>VLOOKUP(K837,Maestro!J:K,2,0)</f>
        <v>CEMENTO TOPEX 50 KG</v>
      </c>
      <c r="Q837" s="43" t="str">
        <f>VLOOKUP(P837,Maestro!E:F,2,0)</f>
        <v>CEMENTO TOPEX 50 KG</v>
      </c>
      <c r="R837" s="43">
        <f>VLOOKUP(P837,ORD!$A:$C,3,0)</f>
        <v>14</v>
      </c>
      <c r="S837" t="str">
        <f t="shared" si="14"/>
        <v>736005030222000000041CEMENTO TOPEX 50 KG</v>
      </c>
      <c r="T837" t="str">
        <f>IFERROR(VLOOKUP(S837,Maestro!$A:$H,8,0),"Producción")</f>
        <v>Sacos</v>
      </c>
      <c r="U837" s="43" t="s">
        <v>182</v>
      </c>
    </row>
    <row r="838" spans="1:21" x14ac:dyDescent="0.3">
      <c r="A838" s="43">
        <v>7999999995</v>
      </c>
      <c r="B838" s="43" t="s">
        <v>566</v>
      </c>
      <c r="C838" s="50"/>
      <c r="D838" s="56">
        <f>-Datos!$J$236*Datos!$J$206</f>
        <v>-58826.326075342113</v>
      </c>
      <c r="E838" s="43" t="s">
        <v>581</v>
      </c>
      <c r="F838" s="43" t="s">
        <v>557</v>
      </c>
      <c r="G838" s="43" t="s">
        <v>585</v>
      </c>
      <c r="H838" s="43" t="s">
        <v>586</v>
      </c>
      <c r="I838" s="43" t="s">
        <v>560</v>
      </c>
      <c r="J838" s="43" t="s">
        <v>597</v>
      </c>
      <c r="K838" s="43">
        <v>700080</v>
      </c>
      <c r="L838" s="43">
        <v>3</v>
      </c>
      <c r="M838" s="43" t="s">
        <v>598</v>
      </c>
      <c r="N838" s="51"/>
      <c r="O838" s="51"/>
      <c r="P838" s="43" t="str">
        <f>VLOOKUP(K838,Maestro!J:K,2,0)</f>
        <v>CEMENTO TOPEX 50 KG</v>
      </c>
      <c r="Q838" s="43" t="str">
        <f>VLOOKUP(P838,Maestro!E:F,2,0)</f>
        <v>CEMENTO TOPEX 50 KG</v>
      </c>
      <c r="R838" s="43">
        <f>VLOOKUP(P838,ORD!$A:$C,3,0)</f>
        <v>14</v>
      </c>
      <c r="S838" t="str">
        <f t="shared" si="14"/>
        <v>7999999995CEMTUGB50CEMENTO TOPEX 50 KG</v>
      </c>
      <c r="T838" t="str">
        <f>IFERROR(VLOOKUP(S838,Maestro!$A:$H,8,0),"Producción")</f>
        <v>Producción</v>
      </c>
      <c r="U838" s="43" t="s">
        <v>182</v>
      </c>
    </row>
    <row r="839" spans="1:21" x14ac:dyDescent="0.3">
      <c r="A839" s="43">
        <v>7199990001</v>
      </c>
      <c r="B839" s="43" t="s">
        <v>438</v>
      </c>
      <c r="C839" s="52"/>
      <c r="D839" s="56">
        <f>Datos!$K$236</f>
        <v>2800.3952444931665</v>
      </c>
      <c r="E839" s="43" t="s">
        <v>556</v>
      </c>
      <c r="F839" s="43" t="s">
        <v>557</v>
      </c>
      <c r="G839" s="43" t="s">
        <v>567</v>
      </c>
      <c r="H839" s="43" t="s">
        <v>568</v>
      </c>
      <c r="I839" s="43" t="s">
        <v>560</v>
      </c>
      <c r="J839" s="43" t="s">
        <v>486</v>
      </c>
      <c r="K839" s="43">
        <v>700080</v>
      </c>
      <c r="L839" s="43">
        <v>4</v>
      </c>
      <c r="M839" s="43" t="s">
        <v>464</v>
      </c>
      <c r="N839" s="51"/>
      <c r="O839" s="51"/>
      <c r="P839" s="43" t="str">
        <f>VLOOKUP(K839,Maestro!J:K,2,0)</f>
        <v>CEMENTO TOPEX 50 KG</v>
      </c>
      <c r="Q839" s="43" t="str">
        <f>VLOOKUP(P839,Maestro!E:F,2,0)</f>
        <v>CEMENTO TOPEX 50 KG</v>
      </c>
      <c r="R839" s="43">
        <f>VLOOKUP(P839,ORD!$A:$C,3,0)</f>
        <v>14</v>
      </c>
      <c r="S839" t="str">
        <f t="shared" si="14"/>
        <v>7199990001CEMENTO UG TPCEMENTO TOPEX 50 KG</v>
      </c>
      <c r="T839" t="str">
        <f>IFERROR(VLOOKUP(S839,Maestro!$A:$H,8,0),"Producción")</f>
        <v>Cemento UG TP</v>
      </c>
      <c r="U839" s="43" t="s">
        <v>182</v>
      </c>
    </row>
    <row r="840" spans="1:21" x14ac:dyDescent="0.3">
      <c r="A840" s="43">
        <v>7360050302</v>
      </c>
      <c r="B840" s="43" t="s">
        <v>474</v>
      </c>
      <c r="C840" s="50">
        <f>Datos!$K$75*D840</f>
        <v>64954607.616970107</v>
      </c>
      <c r="D840" s="50">
        <f>Datos!$K$478</f>
        <v>57128.062987660604</v>
      </c>
      <c r="E840" s="43" t="s">
        <v>581</v>
      </c>
      <c r="F840" s="43" t="s">
        <v>557</v>
      </c>
      <c r="G840" s="43" t="s">
        <v>582</v>
      </c>
      <c r="H840" s="43" t="s">
        <v>583</v>
      </c>
      <c r="I840" s="43" t="s">
        <v>560</v>
      </c>
      <c r="J840" s="43" t="s">
        <v>489</v>
      </c>
      <c r="K840" s="43">
        <v>700080</v>
      </c>
      <c r="L840" s="43">
        <v>4</v>
      </c>
      <c r="M840" s="43" t="s">
        <v>596</v>
      </c>
      <c r="N840" s="51"/>
      <c r="O840" s="51"/>
      <c r="P840" s="43" t="str">
        <f>VLOOKUP(K840,Maestro!J:K,2,0)</f>
        <v>CEMENTO TOPEX 50 KG</v>
      </c>
      <c r="Q840" s="43" t="str">
        <f>VLOOKUP(P840,Maestro!E:F,2,0)</f>
        <v>CEMENTO TOPEX 50 KG</v>
      </c>
      <c r="R840" s="43">
        <f>VLOOKUP(P840,ORD!$A:$C,3,0)</f>
        <v>14</v>
      </c>
      <c r="S840" t="str">
        <f t="shared" si="14"/>
        <v>736005030222000000041CEMENTO TOPEX 50 KG</v>
      </c>
      <c r="T840" t="str">
        <f>IFERROR(VLOOKUP(S840,Maestro!$A:$H,8,0),"Producción")</f>
        <v>Sacos</v>
      </c>
      <c r="U840" s="43" t="s">
        <v>182</v>
      </c>
    </row>
    <row r="841" spans="1:21" x14ac:dyDescent="0.3">
      <c r="A841" s="43">
        <v>7999999995</v>
      </c>
      <c r="B841" s="43" t="s">
        <v>566</v>
      </c>
      <c r="C841" s="50"/>
      <c r="D841" s="56">
        <f>-Datos!$K$236*Datos!$K$206</f>
        <v>-56007.904889863334</v>
      </c>
      <c r="E841" s="43" t="s">
        <v>581</v>
      </c>
      <c r="F841" s="43" t="s">
        <v>557</v>
      </c>
      <c r="G841" s="43" t="s">
        <v>585</v>
      </c>
      <c r="H841" s="43" t="s">
        <v>586</v>
      </c>
      <c r="I841" s="43" t="s">
        <v>560</v>
      </c>
      <c r="J841" s="43" t="s">
        <v>597</v>
      </c>
      <c r="K841" s="43">
        <v>700080</v>
      </c>
      <c r="L841" s="43">
        <v>4</v>
      </c>
      <c r="M841" s="43" t="s">
        <v>598</v>
      </c>
      <c r="N841" s="51"/>
      <c r="O841" s="51"/>
      <c r="P841" s="43" t="str">
        <f>VLOOKUP(K841,Maestro!J:K,2,0)</f>
        <v>CEMENTO TOPEX 50 KG</v>
      </c>
      <c r="Q841" s="43" t="str">
        <f>VLOOKUP(P841,Maestro!E:F,2,0)</f>
        <v>CEMENTO TOPEX 50 KG</v>
      </c>
      <c r="R841" s="43">
        <f>VLOOKUP(P841,ORD!$A:$C,3,0)</f>
        <v>14</v>
      </c>
      <c r="S841" t="str">
        <f t="shared" si="14"/>
        <v>7999999995CEMTUGB50CEMENTO TOPEX 50 KG</v>
      </c>
      <c r="T841" t="str">
        <f>IFERROR(VLOOKUP(S841,Maestro!$A:$H,8,0),"Producción")</f>
        <v>Producción</v>
      </c>
      <c r="U841" s="43" t="s">
        <v>182</v>
      </c>
    </row>
    <row r="842" spans="1:21" x14ac:dyDescent="0.3">
      <c r="A842" s="43">
        <v>7199990001</v>
      </c>
      <c r="B842" s="43" t="s">
        <v>438</v>
      </c>
      <c r="C842" s="52"/>
      <c r="D842" s="56">
        <f>Datos!$L$236</f>
        <v>2622.364884590625</v>
      </c>
      <c r="E842" s="43" t="s">
        <v>556</v>
      </c>
      <c r="F842" s="43" t="s">
        <v>557</v>
      </c>
      <c r="G842" s="43" t="s">
        <v>567</v>
      </c>
      <c r="H842" s="43" t="s">
        <v>568</v>
      </c>
      <c r="I842" s="43" t="s">
        <v>560</v>
      </c>
      <c r="J842" s="43" t="s">
        <v>486</v>
      </c>
      <c r="K842" s="43">
        <v>700080</v>
      </c>
      <c r="L842" s="43">
        <v>5</v>
      </c>
      <c r="M842" s="43" t="s">
        <v>464</v>
      </c>
      <c r="N842" s="51"/>
      <c r="O842" s="51"/>
      <c r="P842" s="43" t="str">
        <f>VLOOKUP(K842,Maestro!J:K,2,0)</f>
        <v>CEMENTO TOPEX 50 KG</v>
      </c>
      <c r="Q842" s="43" t="str">
        <f>VLOOKUP(P842,Maestro!E:F,2,0)</f>
        <v>CEMENTO TOPEX 50 KG</v>
      </c>
      <c r="R842" s="43">
        <f>VLOOKUP(P842,ORD!$A:$C,3,0)</f>
        <v>14</v>
      </c>
      <c r="S842" t="str">
        <f t="shared" si="14"/>
        <v>7199990001CEMENTO UG TPCEMENTO TOPEX 50 KG</v>
      </c>
      <c r="T842" t="str">
        <f>IFERROR(VLOOKUP(S842,Maestro!$A:$H,8,0),"Producción")</f>
        <v>Cemento UG TP</v>
      </c>
      <c r="U842" s="43" t="s">
        <v>182</v>
      </c>
    </row>
    <row r="843" spans="1:21" x14ac:dyDescent="0.3">
      <c r="A843" s="43">
        <v>7360050302</v>
      </c>
      <c r="B843" s="43" t="s">
        <v>474</v>
      </c>
      <c r="C843" s="50">
        <f>Datos!$L$75*D843</f>
        <v>60825229.02510263</v>
      </c>
      <c r="D843" s="50">
        <f>Datos!$L$478</f>
        <v>53496.243645648748</v>
      </c>
      <c r="E843" s="43" t="s">
        <v>581</v>
      </c>
      <c r="F843" s="43" t="s">
        <v>557</v>
      </c>
      <c r="G843" s="43" t="s">
        <v>582</v>
      </c>
      <c r="H843" s="43" t="s">
        <v>583</v>
      </c>
      <c r="I843" s="43" t="s">
        <v>560</v>
      </c>
      <c r="J843" s="43" t="s">
        <v>489</v>
      </c>
      <c r="K843" s="43">
        <v>700080</v>
      </c>
      <c r="L843" s="43">
        <v>5</v>
      </c>
      <c r="M843" s="43" t="s">
        <v>596</v>
      </c>
      <c r="N843" s="51"/>
      <c r="O843" s="51"/>
      <c r="P843" s="43" t="str">
        <f>VLOOKUP(K843,Maestro!J:K,2,0)</f>
        <v>CEMENTO TOPEX 50 KG</v>
      </c>
      <c r="Q843" s="43" t="str">
        <f>VLOOKUP(P843,Maestro!E:F,2,0)</f>
        <v>CEMENTO TOPEX 50 KG</v>
      </c>
      <c r="R843" s="43">
        <f>VLOOKUP(P843,ORD!$A:$C,3,0)</f>
        <v>14</v>
      </c>
      <c r="S843" t="str">
        <f t="shared" si="14"/>
        <v>736005030222000000041CEMENTO TOPEX 50 KG</v>
      </c>
      <c r="T843" t="str">
        <f>IFERROR(VLOOKUP(S843,Maestro!$A:$H,8,0),"Producción")</f>
        <v>Sacos</v>
      </c>
      <c r="U843" s="43" t="s">
        <v>182</v>
      </c>
    </row>
    <row r="844" spans="1:21" x14ac:dyDescent="0.3">
      <c r="A844" s="43">
        <v>7999999995</v>
      </c>
      <c r="B844" s="43" t="s">
        <v>566</v>
      </c>
      <c r="C844" s="50"/>
      <c r="D844" s="56">
        <f>-Datos!$L$236*Datos!$L$206</f>
        <v>-52447.297691812499</v>
      </c>
      <c r="E844" s="43" t="s">
        <v>581</v>
      </c>
      <c r="F844" s="43" t="s">
        <v>557</v>
      </c>
      <c r="G844" s="43" t="s">
        <v>585</v>
      </c>
      <c r="H844" s="43" t="s">
        <v>586</v>
      </c>
      <c r="I844" s="43" t="s">
        <v>560</v>
      </c>
      <c r="J844" s="43" t="s">
        <v>597</v>
      </c>
      <c r="K844" s="43">
        <v>700080</v>
      </c>
      <c r="L844" s="43">
        <v>5</v>
      </c>
      <c r="M844" s="43" t="s">
        <v>598</v>
      </c>
      <c r="N844" s="51"/>
      <c r="O844" s="51"/>
      <c r="P844" s="43" t="str">
        <f>VLOOKUP(K844,Maestro!J:K,2,0)</f>
        <v>CEMENTO TOPEX 50 KG</v>
      </c>
      <c r="Q844" s="43" t="str">
        <f>VLOOKUP(P844,Maestro!E:F,2,0)</f>
        <v>CEMENTO TOPEX 50 KG</v>
      </c>
      <c r="R844" s="43">
        <f>VLOOKUP(P844,ORD!$A:$C,3,0)</f>
        <v>14</v>
      </c>
      <c r="S844" t="str">
        <f t="shared" si="14"/>
        <v>7999999995CEMTUGB50CEMENTO TOPEX 50 KG</v>
      </c>
      <c r="T844" t="str">
        <f>IFERROR(VLOOKUP(S844,Maestro!$A:$H,8,0),"Producción")</f>
        <v>Producción</v>
      </c>
      <c r="U844" s="43" t="s">
        <v>182</v>
      </c>
    </row>
    <row r="845" spans="1:21" x14ac:dyDescent="0.3">
      <c r="A845" s="43">
        <v>7199990001</v>
      </c>
      <c r="B845" s="43" t="s">
        <v>438</v>
      </c>
      <c r="C845" s="52"/>
      <c r="D845" s="56">
        <f>Datos!$M$236</f>
        <v>2614.957681993807</v>
      </c>
      <c r="E845" s="43" t="s">
        <v>556</v>
      </c>
      <c r="F845" s="43" t="s">
        <v>557</v>
      </c>
      <c r="G845" s="43" t="s">
        <v>567</v>
      </c>
      <c r="H845" s="43" t="s">
        <v>568</v>
      </c>
      <c r="I845" s="43" t="s">
        <v>560</v>
      </c>
      <c r="J845" s="43" t="s">
        <v>486</v>
      </c>
      <c r="K845" s="43">
        <v>700080</v>
      </c>
      <c r="L845" s="43">
        <v>6</v>
      </c>
      <c r="M845" s="43" t="s">
        <v>464</v>
      </c>
      <c r="N845" s="51"/>
      <c r="O845" s="51"/>
      <c r="P845" s="43" t="str">
        <f>VLOOKUP(K845,Maestro!J:K,2,0)</f>
        <v>CEMENTO TOPEX 50 KG</v>
      </c>
      <c r="Q845" s="43" t="str">
        <f>VLOOKUP(P845,Maestro!E:F,2,0)</f>
        <v>CEMENTO TOPEX 50 KG</v>
      </c>
      <c r="R845" s="43">
        <f>VLOOKUP(P845,ORD!$A:$C,3,0)</f>
        <v>14</v>
      </c>
      <c r="S845" t="str">
        <f t="shared" si="14"/>
        <v>7199990001CEMENTO UG TPCEMENTO TOPEX 50 KG</v>
      </c>
      <c r="T845" t="str">
        <f>IFERROR(VLOOKUP(S845,Maestro!$A:$H,8,0),"Producción")</f>
        <v>Cemento UG TP</v>
      </c>
      <c r="U845" s="43" t="s">
        <v>182</v>
      </c>
    </row>
    <row r="846" spans="1:21" x14ac:dyDescent="0.3">
      <c r="A846" s="43">
        <v>7360050302</v>
      </c>
      <c r="B846" s="43" t="s">
        <v>474</v>
      </c>
      <c r="C846" s="50">
        <f>Datos!$M$75*D846</f>
        <v>60653420.442309953</v>
      </c>
      <c r="D846" s="50">
        <f>Datos!$M$478</f>
        <v>53345.136712673659</v>
      </c>
      <c r="E846" s="43" t="s">
        <v>581</v>
      </c>
      <c r="F846" s="43" t="s">
        <v>557</v>
      </c>
      <c r="G846" s="43" t="s">
        <v>582</v>
      </c>
      <c r="H846" s="43" t="s">
        <v>583</v>
      </c>
      <c r="I846" s="43" t="s">
        <v>560</v>
      </c>
      <c r="J846" s="43" t="s">
        <v>489</v>
      </c>
      <c r="K846" s="43">
        <v>700080</v>
      </c>
      <c r="L846" s="43">
        <v>6</v>
      </c>
      <c r="M846" s="43" t="s">
        <v>596</v>
      </c>
      <c r="N846" s="51"/>
      <c r="O846" s="51"/>
      <c r="P846" s="43" t="str">
        <f>VLOOKUP(K846,Maestro!J:K,2,0)</f>
        <v>CEMENTO TOPEX 50 KG</v>
      </c>
      <c r="Q846" s="43" t="str">
        <f>VLOOKUP(P846,Maestro!E:F,2,0)</f>
        <v>CEMENTO TOPEX 50 KG</v>
      </c>
      <c r="R846" s="43">
        <f>VLOOKUP(P846,ORD!$A:$C,3,0)</f>
        <v>14</v>
      </c>
      <c r="S846" t="str">
        <f t="shared" si="14"/>
        <v>736005030222000000041CEMENTO TOPEX 50 KG</v>
      </c>
      <c r="T846" t="str">
        <f>IFERROR(VLOOKUP(S846,Maestro!$A:$H,8,0),"Producción")</f>
        <v>Sacos</v>
      </c>
      <c r="U846" s="43" t="s">
        <v>182</v>
      </c>
    </row>
    <row r="847" spans="1:21" x14ac:dyDescent="0.3">
      <c r="A847" s="43">
        <v>7999999995</v>
      </c>
      <c r="B847" s="43" t="s">
        <v>566</v>
      </c>
      <c r="C847" s="50"/>
      <c r="D847" s="56">
        <f>-Datos!$M$236*Datos!$M$206</f>
        <v>-52299.153639876138</v>
      </c>
      <c r="E847" s="43" t="s">
        <v>581</v>
      </c>
      <c r="F847" s="43" t="s">
        <v>557</v>
      </c>
      <c r="G847" s="43" t="s">
        <v>585</v>
      </c>
      <c r="H847" s="43" t="s">
        <v>586</v>
      </c>
      <c r="I847" s="43" t="s">
        <v>560</v>
      </c>
      <c r="J847" s="43" t="s">
        <v>597</v>
      </c>
      <c r="K847" s="43">
        <v>700080</v>
      </c>
      <c r="L847" s="43">
        <v>6</v>
      </c>
      <c r="M847" s="43" t="s">
        <v>598</v>
      </c>
      <c r="N847" s="51"/>
      <c r="O847" s="51"/>
      <c r="P847" s="43" t="str">
        <f>VLOOKUP(K847,Maestro!J:K,2,0)</f>
        <v>CEMENTO TOPEX 50 KG</v>
      </c>
      <c r="Q847" s="43" t="str">
        <f>VLOOKUP(P847,Maestro!E:F,2,0)</f>
        <v>CEMENTO TOPEX 50 KG</v>
      </c>
      <c r="R847" s="43">
        <f>VLOOKUP(P847,ORD!$A:$C,3,0)</f>
        <v>14</v>
      </c>
      <c r="S847" t="str">
        <f t="shared" si="14"/>
        <v>7999999995CEMTUGB50CEMENTO TOPEX 50 KG</v>
      </c>
      <c r="T847" t="str">
        <f>IFERROR(VLOOKUP(S847,Maestro!$A:$H,8,0),"Producción")</f>
        <v>Producción</v>
      </c>
      <c r="U847" s="43" t="s">
        <v>182</v>
      </c>
    </row>
    <row r="848" spans="1:21" x14ac:dyDescent="0.3">
      <c r="A848" s="43">
        <v>7199990001</v>
      </c>
      <c r="B848" s="43" t="s">
        <v>438</v>
      </c>
      <c r="C848" s="52"/>
      <c r="D848" s="56">
        <f>Datos!$N$236</f>
        <v>3082.8638007769068</v>
      </c>
      <c r="E848" s="43" t="s">
        <v>556</v>
      </c>
      <c r="F848" s="43" t="s">
        <v>557</v>
      </c>
      <c r="G848" s="43" t="s">
        <v>567</v>
      </c>
      <c r="H848" s="43" t="s">
        <v>568</v>
      </c>
      <c r="I848" s="43" t="s">
        <v>560</v>
      </c>
      <c r="J848" s="43" t="s">
        <v>486</v>
      </c>
      <c r="K848" s="43">
        <v>700080</v>
      </c>
      <c r="L848" s="43">
        <v>7</v>
      </c>
      <c r="M848" s="43" t="s">
        <v>464</v>
      </c>
      <c r="N848" s="51"/>
      <c r="O848" s="51"/>
      <c r="P848" s="43" t="str">
        <f>VLOOKUP(K848,Maestro!J:K,2,0)</f>
        <v>CEMENTO TOPEX 50 KG</v>
      </c>
      <c r="Q848" s="43" t="str">
        <f>VLOOKUP(P848,Maestro!E:F,2,0)</f>
        <v>CEMENTO TOPEX 50 KG</v>
      </c>
      <c r="R848" s="43">
        <f>VLOOKUP(P848,ORD!$A:$C,3,0)</f>
        <v>14</v>
      </c>
      <c r="S848" t="str">
        <f t="shared" si="14"/>
        <v>7199990001CEMENTO UG TPCEMENTO TOPEX 50 KG</v>
      </c>
      <c r="T848" t="str">
        <f>IFERROR(VLOOKUP(S848,Maestro!$A:$H,8,0),"Producción")</f>
        <v>Cemento UG TP</v>
      </c>
      <c r="U848" s="43" t="s">
        <v>182</v>
      </c>
    </row>
    <row r="849" spans="1:21" x14ac:dyDescent="0.3">
      <c r="A849" s="43">
        <v>7360050302</v>
      </c>
      <c r="B849" s="43" t="s">
        <v>474</v>
      </c>
      <c r="C849" s="50">
        <f>Datos!$N$75*D849</f>
        <v>71506409.286260203</v>
      </c>
      <c r="D849" s="50">
        <f>Datos!$N$478</f>
        <v>62890.421535848902</v>
      </c>
      <c r="E849" s="43" t="s">
        <v>581</v>
      </c>
      <c r="F849" s="43" t="s">
        <v>557</v>
      </c>
      <c r="G849" s="43" t="s">
        <v>582</v>
      </c>
      <c r="H849" s="43" t="s">
        <v>583</v>
      </c>
      <c r="I849" s="43" t="s">
        <v>560</v>
      </c>
      <c r="J849" s="43" t="s">
        <v>489</v>
      </c>
      <c r="K849" s="43">
        <v>700080</v>
      </c>
      <c r="L849" s="43">
        <v>7</v>
      </c>
      <c r="M849" s="43" t="s">
        <v>596</v>
      </c>
      <c r="N849" s="51"/>
      <c r="O849" s="51"/>
      <c r="P849" s="43" t="str">
        <f>VLOOKUP(K849,Maestro!J:K,2,0)</f>
        <v>CEMENTO TOPEX 50 KG</v>
      </c>
      <c r="Q849" s="43" t="str">
        <f>VLOOKUP(P849,Maestro!E:F,2,0)</f>
        <v>CEMENTO TOPEX 50 KG</v>
      </c>
      <c r="R849" s="43">
        <f>VLOOKUP(P849,ORD!$A:$C,3,0)</f>
        <v>14</v>
      </c>
      <c r="S849" t="str">
        <f t="shared" si="14"/>
        <v>736005030222000000041CEMENTO TOPEX 50 KG</v>
      </c>
      <c r="T849" t="str">
        <f>IFERROR(VLOOKUP(S849,Maestro!$A:$H,8,0),"Producción")</f>
        <v>Sacos</v>
      </c>
      <c r="U849" s="43" t="s">
        <v>182</v>
      </c>
    </row>
    <row r="850" spans="1:21" x14ac:dyDescent="0.3">
      <c r="A850" s="43">
        <v>7999999995</v>
      </c>
      <c r="B850" s="43" t="s">
        <v>566</v>
      </c>
      <c r="C850" s="50"/>
      <c r="D850" s="56">
        <f>-Datos!$N$236*Datos!$N$206</f>
        <v>-61657.27601553814</v>
      </c>
      <c r="E850" s="43" t="s">
        <v>581</v>
      </c>
      <c r="F850" s="43" t="s">
        <v>557</v>
      </c>
      <c r="G850" s="43" t="s">
        <v>585</v>
      </c>
      <c r="H850" s="43" t="s">
        <v>586</v>
      </c>
      <c r="I850" s="43" t="s">
        <v>560</v>
      </c>
      <c r="J850" s="43" t="s">
        <v>597</v>
      </c>
      <c r="K850" s="43">
        <v>700080</v>
      </c>
      <c r="L850" s="43">
        <v>7</v>
      </c>
      <c r="M850" s="43" t="s">
        <v>598</v>
      </c>
      <c r="N850" s="51"/>
      <c r="O850" s="51"/>
      <c r="P850" s="43" t="str">
        <f>VLOOKUP(K850,Maestro!J:K,2,0)</f>
        <v>CEMENTO TOPEX 50 KG</v>
      </c>
      <c r="Q850" s="43" t="str">
        <f>VLOOKUP(P850,Maestro!E:F,2,0)</f>
        <v>CEMENTO TOPEX 50 KG</v>
      </c>
      <c r="R850" s="43">
        <f>VLOOKUP(P850,ORD!$A:$C,3,0)</f>
        <v>14</v>
      </c>
      <c r="S850" t="str">
        <f t="shared" si="14"/>
        <v>7999999995CEMTUGB50CEMENTO TOPEX 50 KG</v>
      </c>
      <c r="T850" t="str">
        <f>IFERROR(VLOOKUP(S850,Maestro!$A:$H,8,0),"Producción")</f>
        <v>Producción</v>
      </c>
      <c r="U850" s="43" t="s">
        <v>182</v>
      </c>
    </row>
    <row r="851" spans="1:21" x14ac:dyDescent="0.3">
      <c r="A851" s="43">
        <v>7199990001</v>
      </c>
      <c r="B851" s="43" t="s">
        <v>438</v>
      </c>
      <c r="C851" s="52"/>
      <c r="D851" s="56">
        <f>Datos!$O$236</f>
        <v>2805.341480275883</v>
      </c>
      <c r="E851" s="43" t="s">
        <v>556</v>
      </c>
      <c r="F851" s="43" t="s">
        <v>557</v>
      </c>
      <c r="G851" s="43" t="s">
        <v>567</v>
      </c>
      <c r="H851" s="43" t="s">
        <v>568</v>
      </c>
      <c r="I851" s="43" t="s">
        <v>560</v>
      </c>
      <c r="J851" s="43" t="s">
        <v>486</v>
      </c>
      <c r="K851" s="43">
        <v>700080</v>
      </c>
      <c r="L851" s="43">
        <v>8</v>
      </c>
      <c r="M851" s="43" t="s">
        <v>464</v>
      </c>
      <c r="N851" s="51"/>
      <c r="O851" s="51"/>
      <c r="P851" s="43" t="str">
        <f>VLOOKUP(K851,Maestro!J:K,2,0)</f>
        <v>CEMENTO TOPEX 50 KG</v>
      </c>
      <c r="Q851" s="43" t="str">
        <f>VLOOKUP(P851,Maestro!E:F,2,0)</f>
        <v>CEMENTO TOPEX 50 KG</v>
      </c>
      <c r="R851" s="43">
        <f>VLOOKUP(P851,ORD!$A:$C,3,0)</f>
        <v>14</v>
      </c>
      <c r="S851" t="str">
        <f t="shared" si="14"/>
        <v>7199990001CEMENTO UG TPCEMENTO TOPEX 50 KG</v>
      </c>
      <c r="T851" t="str">
        <f>IFERROR(VLOOKUP(S851,Maestro!$A:$H,8,0),"Producción")</f>
        <v>Cemento UG TP</v>
      </c>
      <c r="U851" s="43" t="s">
        <v>182</v>
      </c>
    </row>
    <row r="852" spans="1:21" x14ac:dyDescent="0.3">
      <c r="A852" s="43">
        <v>7360050302</v>
      </c>
      <c r="B852" s="43" t="s">
        <v>474</v>
      </c>
      <c r="C852" s="50">
        <f>Datos!$O$75*D852</f>
        <v>65069334.566703059</v>
      </c>
      <c r="D852" s="50">
        <f>Datos!$O$478</f>
        <v>57228.966197628019</v>
      </c>
      <c r="E852" s="43" t="s">
        <v>581</v>
      </c>
      <c r="F852" s="43" t="s">
        <v>557</v>
      </c>
      <c r="G852" s="43" t="s">
        <v>582</v>
      </c>
      <c r="H852" s="43" t="s">
        <v>583</v>
      </c>
      <c r="I852" s="43" t="s">
        <v>560</v>
      </c>
      <c r="J852" s="43" t="s">
        <v>489</v>
      </c>
      <c r="K852" s="43">
        <v>700080</v>
      </c>
      <c r="L852" s="43">
        <v>8</v>
      </c>
      <c r="M852" s="43" t="s">
        <v>596</v>
      </c>
      <c r="N852" s="51"/>
      <c r="O852" s="51"/>
      <c r="P852" s="43" t="str">
        <f>VLOOKUP(K852,Maestro!J:K,2,0)</f>
        <v>CEMENTO TOPEX 50 KG</v>
      </c>
      <c r="Q852" s="43" t="str">
        <f>VLOOKUP(P852,Maestro!E:F,2,0)</f>
        <v>CEMENTO TOPEX 50 KG</v>
      </c>
      <c r="R852" s="43">
        <f>VLOOKUP(P852,ORD!$A:$C,3,0)</f>
        <v>14</v>
      </c>
      <c r="S852" t="str">
        <f t="shared" si="14"/>
        <v>736005030222000000041CEMENTO TOPEX 50 KG</v>
      </c>
      <c r="T852" t="str">
        <f>IFERROR(VLOOKUP(S852,Maestro!$A:$H,8,0),"Producción")</f>
        <v>Sacos</v>
      </c>
      <c r="U852" s="43" t="s">
        <v>182</v>
      </c>
    </row>
    <row r="853" spans="1:21" x14ac:dyDescent="0.3">
      <c r="A853" s="43">
        <v>7999999995</v>
      </c>
      <c r="B853" s="43" t="s">
        <v>566</v>
      </c>
      <c r="C853" s="50"/>
      <c r="D853" s="56">
        <f>-Datos!$O$236*Datos!$O$206</f>
        <v>-56106.829605517662</v>
      </c>
      <c r="E853" s="43" t="s">
        <v>581</v>
      </c>
      <c r="F853" s="43" t="s">
        <v>557</v>
      </c>
      <c r="G853" s="43" t="s">
        <v>585</v>
      </c>
      <c r="H853" s="43" t="s">
        <v>586</v>
      </c>
      <c r="I853" s="43" t="s">
        <v>560</v>
      </c>
      <c r="J853" s="43" t="s">
        <v>597</v>
      </c>
      <c r="K853" s="43">
        <v>700080</v>
      </c>
      <c r="L853" s="43">
        <v>8</v>
      </c>
      <c r="M853" s="43" t="s">
        <v>598</v>
      </c>
      <c r="N853" s="51"/>
      <c r="O853" s="51"/>
      <c r="P853" s="43" t="str">
        <f>VLOOKUP(K853,Maestro!J:K,2,0)</f>
        <v>CEMENTO TOPEX 50 KG</v>
      </c>
      <c r="Q853" s="43" t="str">
        <f>VLOOKUP(P853,Maestro!E:F,2,0)</f>
        <v>CEMENTO TOPEX 50 KG</v>
      </c>
      <c r="R853" s="43">
        <f>VLOOKUP(P853,ORD!$A:$C,3,0)</f>
        <v>14</v>
      </c>
      <c r="S853" t="str">
        <f t="shared" si="14"/>
        <v>7999999995CEMTUGB50CEMENTO TOPEX 50 KG</v>
      </c>
      <c r="T853" t="str">
        <f>IFERROR(VLOOKUP(S853,Maestro!$A:$H,8,0),"Producción")</f>
        <v>Producción</v>
      </c>
      <c r="U853" s="43" t="s">
        <v>182</v>
      </c>
    </row>
    <row r="854" spans="1:21" x14ac:dyDescent="0.3">
      <c r="A854" s="43">
        <v>7199990001</v>
      </c>
      <c r="B854" s="43" t="s">
        <v>438</v>
      </c>
      <c r="C854" s="52"/>
      <c r="D854" s="56">
        <f>Datos!$P$236</f>
        <v>2971.6549575565587</v>
      </c>
      <c r="E854" s="43" t="s">
        <v>556</v>
      </c>
      <c r="F854" s="43" t="s">
        <v>557</v>
      </c>
      <c r="G854" s="43" t="s">
        <v>567</v>
      </c>
      <c r="H854" s="43" t="s">
        <v>568</v>
      </c>
      <c r="I854" s="43" t="s">
        <v>560</v>
      </c>
      <c r="J854" s="43" t="s">
        <v>486</v>
      </c>
      <c r="K854" s="43">
        <v>700080</v>
      </c>
      <c r="L854" s="43">
        <v>9</v>
      </c>
      <c r="M854" s="43" t="s">
        <v>464</v>
      </c>
      <c r="N854" s="51"/>
      <c r="O854" s="51"/>
      <c r="P854" s="43" t="str">
        <f>VLOOKUP(K854,Maestro!J:K,2,0)</f>
        <v>CEMENTO TOPEX 50 KG</v>
      </c>
      <c r="Q854" s="43" t="str">
        <f>VLOOKUP(P854,Maestro!E:F,2,0)</f>
        <v>CEMENTO TOPEX 50 KG</v>
      </c>
      <c r="R854" s="43">
        <f>VLOOKUP(P854,ORD!$A:$C,3,0)</f>
        <v>14</v>
      </c>
      <c r="S854" t="str">
        <f t="shared" si="14"/>
        <v>7199990001CEMENTO UG TPCEMENTO TOPEX 50 KG</v>
      </c>
      <c r="T854" t="str">
        <f>IFERROR(VLOOKUP(S854,Maestro!$A:$H,8,0),"Producción")</f>
        <v>Cemento UG TP</v>
      </c>
      <c r="U854" s="43" t="s">
        <v>182</v>
      </c>
    </row>
    <row r="855" spans="1:21" x14ac:dyDescent="0.3">
      <c r="A855" s="43">
        <v>7360050302</v>
      </c>
      <c r="B855" s="43" t="s">
        <v>474</v>
      </c>
      <c r="C855" s="50">
        <f>Datos!$P$75*D855</f>
        <v>71169947.571496561</v>
      </c>
      <c r="D855" s="50">
        <f>Datos!$P$478</f>
        <v>60621.7611341538</v>
      </c>
      <c r="E855" s="43" t="s">
        <v>581</v>
      </c>
      <c r="F855" s="43" t="s">
        <v>557</v>
      </c>
      <c r="G855" s="43" t="s">
        <v>582</v>
      </c>
      <c r="H855" s="43" t="s">
        <v>583</v>
      </c>
      <c r="I855" s="43" t="s">
        <v>560</v>
      </c>
      <c r="J855" s="43" t="s">
        <v>489</v>
      </c>
      <c r="K855" s="43">
        <v>700080</v>
      </c>
      <c r="L855" s="43">
        <v>9</v>
      </c>
      <c r="M855" s="43" t="s">
        <v>596</v>
      </c>
      <c r="N855" s="51"/>
      <c r="O855" s="51"/>
      <c r="P855" s="43" t="str">
        <f>VLOOKUP(K855,Maestro!J:K,2,0)</f>
        <v>CEMENTO TOPEX 50 KG</v>
      </c>
      <c r="Q855" s="43" t="str">
        <f>VLOOKUP(P855,Maestro!E:F,2,0)</f>
        <v>CEMENTO TOPEX 50 KG</v>
      </c>
      <c r="R855" s="43">
        <f>VLOOKUP(P855,ORD!$A:$C,3,0)</f>
        <v>14</v>
      </c>
      <c r="S855" t="str">
        <f t="shared" si="14"/>
        <v>736005030222000000041CEMENTO TOPEX 50 KG</v>
      </c>
      <c r="T855" t="str">
        <f>IFERROR(VLOOKUP(S855,Maestro!$A:$H,8,0),"Producción")</f>
        <v>Sacos</v>
      </c>
      <c r="U855" s="43" t="s">
        <v>182</v>
      </c>
    </row>
    <row r="856" spans="1:21" x14ac:dyDescent="0.3">
      <c r="A856" s="43">
        <v>7999999995</v>
      </c>
      <c r="B856" s="43" t="s">
        <v>566</v>
      </c>
      <c r="C856" s="50"/>
      <c r="D856" s="56">
        <f>-Datos!$P$236*Datos!$P$206</f>
        <v>-59433.099151131173</v>
      </c>
      <c r="E856" s="43" t="s">
        <v>581</v>
      </c>
      <c r="F856" s="43" t="s">
        <v>557</v>
      </c>
      <c r="G856" s="43" t="s">
        <v>585</v>
      </c>
      <c r="H856" s="43" t="s">
        <v>586</v>
      </c>
      <c r="I856" s="43" t="s">
        <v>560</v>
      </c>
      <c r="J856" s="43" t="s">
        <v>597</v>
      </c>
      <c r="K856" s="43">
        <v>700080</v>
      </c>
      <c r="L856" s="43">
        <v>9</v>
      </c>
      <c r="M856" s="43" t="s">
        <v>598</v>
      </c>
      <c r="N856" s="51"/>
      <c r="O856" s="51"/>
      <c r="P856" s="43" t="str">
        <f>VLOOKUP(K856,Maestro!J:K,2,0)</f>
        <v>CEMENTO TOPEX 50 KG</v>
      </c>
      <c r="Q856" s="43" t="str">
        <f>VLOOKUP(P856,Maestro!E:F,2,0)</f>
        <v>CEMENTO TOPEX 50 KG</v>
      </c>
      <c r="R856" s="43">
        <f>VLOOKUP(P856,ORD!$A:$C,3,0)</f>
        <v>14</v>
      </c>
      <c r="S856" t="str">
        <f t="shared" si="14"/>
        <v>7999999995CEMTUGB50CEMENTO TOPEX 50 KG</v>
      </c>
      <c r="T856" t="str">
        <f>IFERROR(VLOOKUP(S856,Maestro!$A:$H,8,0),"Producción")</f>
        <v>Producción</v>
      </c>
      <c r="U856" s="43" t="s">
        <v>182</v>
      </c>
    </row>
    <row r="857" spans="1:21" x14ac:dyDescent="0.3">
      <c r="A857" s="43">
        <v>7199990001</v>
      </c>
      <c r="B857" s="43" t="s">
        <v>438</v>
      </c>
      <c r="C857" s="52"/>
      <c r="D857" s="56">
        <f>Datos!$Q$236</f>
        <v>3019.4125391609223</v>
      </c>
      <c r="E857" s="43" t="s">
        <v>556</v>
      </c>
      <c r="F857" s="43" t="s">
        <v>557</v>
      </c>
      <c r="G857" s="43" t="s">
        <v>567</v>
      </c>
      <c r="H857" s="43" t="s">
        <v>568</v>
      </c>
      <c r="I857" s="43" t="s">
        <v>560</v>
      </c>
      <c r="J857" s="43" t="s">
        <v>486</v>
      </c>
      <c r="K857" s="43">
        <v>700080</v>
      </c>
      <c r="L857" s="43">
        <v>10</v>
      </c>
      <c r="M857" s="43" t="s">
        <v>464</v>
      </c>
      <c r="N857" s="51"/>
      <c r="O857" s="51"/>
      <c r="P857" s="43" t="str">
        <f>VLOOKUP(K857,Maestro!J:K,2,0)</f>
        <v>CEMENTO TOPEX 50 KG</v>
      </c>
      <c r="Q857" s="43" t="str">
        <f>VLOOKUP(P857,Maestro!E:F,2,0)</f>
        <v>CEMENTO TOPEX 50 KG</v>
      </c>
      <c r="R857" s="43">
        <f>VLOOKUP(P857,ORD!$A:$C,3,0)</f>
        <v>14</v>
      </c>
      <c r="S857" t="str">
        <f t="shared" si="14"/>
        <v>7199990001CEMENTO UG TPCEMENTO TOPEX 50 KG</v>
      </c>
      <c r="T857" t="str">
        <f>IFERROR(VLOOKUP(S857,Maestro!$A:$H,8,0),"Producción")</f>
        <v>Cemento UG TP</v>
      </c>
      <c r="U857" s="43" t="s">
        <v>182</v>
      </c>
    </row>
    <row r="858" spans="1:21" x14ac:dyDescent="0.3">
      <c r="A858" s="43">
        <v>7360050302</v>
      </c>
      <c r="B858" s="43" t="s">
        <v>474</v>
      </c>
      <c r="C858" s="50">
        <f>Datos!$Q$75*D858</f>
        <v>72313722.547888428</v>
      </c>
      <c r="D858" s="50">
        <f>Datos!$Q$478</f>
        <v>61596.015798882821</v>
      </c>
      <c r="E858" s="43" t="s">
        <v>581</v>
      </c>
      <c r="F858" s="43" t="s">
        <v>557</v>
      </c>
      <c r="G858" s="43" t="s">
        <v>582</v>
      </c>
      <c r="H858" s="43" t="s">
        <v>583</v>
      </c>
      <c r="I858" s="43" t="s">
        <v>560</v>
      </c>
      <c r="J858" s="43" t="s">
        <v>489</v>
      </c>
      <c r="K858" s="43">
        <v>700080</v>
      </c>
      <c r="L858" s="43">
        <v>10</v>
      </c>
      <c r="M858" s="43" t="s">
        <v>596</v>
      </c>
      <c r="N858" s="51"/>
      <c r="O858" s="51"/>
      <c r="P858" s="43" t="str">
        <f>VLOOKUP(K858,Maestro!J:K,2,0)</f>
        <v>CEMENTO TOPEX 50 KG</v>
      </c>
      <c r="Q858" s="43" t="str">
        <f>VLOOKUP(P858,Maestro!E:F,2,0)</f>
        <v>CEMENTO TOPEX 50 KG</v>
      </c>
      <c r="R858" s="43">
        <f>VLOOKUP(P858,ORD!$A:$C,3,0)</f>
        <v>14</v>
      </c>
      <c r="S858" t="str">
        <f t="shared" si="14"/>
        <v>736005030222000000041CEMENTO TOPEX 50 KG</v>
      </c>
      <c r="T858" t="str">
        <f>IFERROR(VLOOKUP(S858,Maestro!$A:$H,8,0),"Producción")</f>
        <v>Sacos</v>
      </c>
      <c r="U858" s="43" t="s">
        <v>182</v>
      </c>
    </row>
    <row r="859" spans="1:21" x14ac:dyDescent="0.3">
      <c r="A859" s="43">
        <v>7999999995</v>
      </c>
      <c r="B859" s="43" t="s">
        <v>566</v>
      </c>
      <c r="C859" s="50"/>
      <c r="D859" s="56">
        <f>-Datos!$Q$236*Datos!$Q$206</f>
        <v>-60388.250783218449</v>
      </c>
      <c r="E859" s="43" t="s">
        <v>581</v>
      </c>
      <c r="F859" s="43" t="s">
        <v>557</v>
      </c>
      <c r="G859" s="43" t="s">
        <v>585</v>
      </c>
      <c r="H859" s="43" t="s">
        <v>586</v>
      </c>
      <c r="I859" s="43" t="s">
        <v>560</v>
      </c>
      <c r="J859" s="43" t="s">
        <v>597</v>
      </c>
      <c r="K859" s="43">
        <v>700080</v>
      </c>
      <c r="L859" s="43">
        <v>10</v>
      </c>
      <c r="M859" s="43" t="s">
        <v>598</v>
      </c>
      <c r="N859" s="51"/>
      <c r="O859" s="51"/>
      <c r="P859" s="43" t="str">
        <f>VLOOKUP(K859,Maestro!J:K,2,0)</f>
        <v>CEMENTO TOPEX 50 KG</v>
      </c>
      <c r="Q859" s="43" t="str">
        <f>VLOOKUP(P859,Maestro!E:F,2,0)</f>
        <v>CEMENTO TOPEX 50 KG</v>
      </c>
      <c r="R859" s="43">
        <f>VLOOKUP(P859,ORD!$A:$C,3,0)</f>
        <v>14</v>
      </c>
      <c r="S859" t="str">
        <f t="shared" si="14"/>
        <v>7999999995CEMTUGB50CEMENTO TOPEX 50 KG</v>
      </c>
      <c r="T859" t="str">
        <f>IFERROR(VLOOKUP(S859,Maestro!$A:$H,8,0),"Producción")</f>
        <v>Producción</v>
      </c>
      <c r="U859" s="43" t="s">
        <v>182</v>
      </c>
    </row>
    <row r="860" spans="1:21" x14ac:dyDescent="0.3">
      <c r="A860" s="43">
        <v>7199990001</v>
      </c>
      <c r="B860" s="43" t="s">
        <v>438</v>
      </c>
      <c r="C860" s="52"/>
      <c r="D860" s="56">
        <f>Datos!$R$236</f>
        <v>2830.0941471040696</v>
      </c>
      <c r="E860" s="43" t="s">
        <v>556</v>
      </c>
      <c r="F860" s="43" t="s">
        <v>557</v>
      </c>
      <c r="G860" s="43" t="s">
        <v>567</v>
      </c>
      <c r="H860" s="43" t="s">
        <v>568</v>
      </c>
      <c r="I860" s="43" t="s">
        <v>560</v>
      </c>
      <c r="J860" s="43" t="s">
        <v>486</v>
      </c>
      <c r="K860" s="43">
        <v>700080</v>
      </c>
      <c r="L860" s="43">
        <v>11</v>
      </c>
      <c r="M860" s="43" t="s">
        <v>464</v>
      </c>
      <c r="N860" s="51"/>
      <c r="O860" s="51"/>
      <c r="P860" s="43" t="str">
        <f>VLOOKUP(K860,Maestro!J:K,2,0)</f>
        <v>CEMENTO TOPEX 50 KG</v>
      </c>
      <c r="Q860" s="43" t="str">
        <f>VLOOKUP(P860,Maestro!E:F,2,0)</f>
        <v>CEMENTO TOPEX 50 KG</v>
      </c>
      <c r="R860" s="43">
        <f>VLOOKUP(P860,ORD!$A:$C,3,0)</f>
        <v>14</v>
      </c>
      <c r="S860" t="str">
        <f t="shared" si="14"/>
        <v>7199990001CEMENTO UG TPCEMENTO TOPEX 50 KG</v>
      </c>
      <c r="T860" t="str">
        <f>IFERROR(VLOOKUP(S860,Maestro!$A:$H,8,0),"Producción")</f>
        <v>Cemento UG TP</v>
      </c>
      <c r="U860" s="43" t="s">
        <v>182</v>
      </c>
    </row>
    <row r="861" spans="1:21" x14ac:dyDescent="0.3">
      <c r="A861" s="43">
        <v>7360050302</v>
      </c>
      <c r="B861" s="43" t="s">
        <v>474</v>
      </c>
      <c r="C861" s="50">
        <f>Datos!$R$75*D861</f>
        <v>67779622.785483629</v>
      </c>
      <c r="D861" s="50">
        <f>Datos!$R$478</f>
        <v>57733.920600923018</v>
      </c>
      <c r="E861" s="43" t="s">
        <v>581</v>
      </c>
      <c r="F861" s="43" t="s">
        <v>557</v>
      </c>
      <c r="G861" s="43" t="s">
        <v>582</v>
      </c>
      <c r="H861" s="43" t="s">
        <v>583</v>
      </c>
      <c r="I861" s="43" t="s">
        <v>560</v>
      </c>
      <c r="J861" s="43" t="s">
        <v>489</v>
      </c>
      <c r="K861" s="43">
        <v>700080</v>
      </c>
      <c r="L861" s="43">
        <v>11</v>
      </c>
      <c r="M861" s="43" t="s">
        <v>596</v>
      </c>
      <c r="N861" s="51"/>
      <c r="O861" s="51"/>
      <c r="P861" s="43" t="str">
        <f>VLOOKUP(K861,Maestro!J:K,2,0)</f>
        <v>CEMENTO TOPEX 50 KG</v>
      </c>
      <c r="Q861" s="43" t="str">
        <f>VLOOKUP(P861,Maestro!E:F,2,0)</f>
        <v>CEMENTO TOPEX 50 KG</v>
      </c>
      <c r="R861" s="43">
        <f>VLOOKUP(P861,ORD!$A:$C,3,0)</f>
        <v>14</v>
      </c>
      <c r="S861" t="str">
        <f t="shared" si="14"/>
        <v>736005030222000000041CEMENTO TOPEX 50 KG</v>
      </c>
      <c r="T861" t="str">
        <f>IFERROR(VLOOKUP(S861,Maestro!$A:$H,8,0),"Producción")</f>
        <v>Sacos</v>
      </c>
      <c r="U861" s="43" t="s">
        <v>182</v>
      </c>
    </row>
    <row r="862" spans="1:21" x14ac:dyDescent="0.3">
      <c r="A862" s="43">
        <v>7999999995</v>
      </c>
      <c r="B862" s="43" t="s">
        <v>566</v>
      </c>
      <c r="C862" s="50"/>
      <c r="D862" s="56">
        <f>-Datos!$R$236*Datos!$R$206</f>
        <v>-56601.882942081393</v>
      </c>
      <c r="E862" s="43" t="s">
        <v>581</v>
      </c>
      <c r="F862" s="43" t="s">
        <v>557</v>
      </c>
      <c r="G862" s="43" t="s">
        <v>585</v>
      </c>
      <c r="H862" s="43" t="s">
        <v>586</v>
      </c>
      <c r="I862" s="43" t="s">
        <v>560</v>
      </c>
      <c r="J862" s="43" t="s">
        <v>597</v>
      </c>
      <c r="K862" s="43">
        <v>700080</v>
      </c>
      <c r="L862" s="43">
        <v>11</v>
      </c>
      <c r="M862" s="43" t="s">
        <v>598</v>
      </c>
      <c r="N862" s="51"/>
      <c r="O862" s="51"/>
      <c r="P862" s="43" t="str">
        <f>VLOOKUP(K862,Maestro!J:K,2,0)</f>
        <v>CEMENTO TOPEX 50 KG</v>
      </c>
      <c r="Q862" s="43" t="str">
        <f>VLOOKUP(P862,Maestro!E:F,2,0)</f>
        <v>CEMENTO TOPEX 50 KG</v>
      </c>
      <c r="R862" s="43">
        <f>VLOOKUP(P862,ORD!$A:$C,3,0)</f>
        <v>14</v>
      </c>
      <c r="S862" t="str">
        <f t="shared" si="14"/>
        <v>7999999995CEMTUGB50CEMENTO TOPEX 50 KG</v>
      </c>
      <c r="T862" t="str">
        <f>IFERROR(VLOOKUP(S862,Maestro!$A:$H,8,0),"Producción")</f>
        <v>Producción</v>
      </c>
      <c r="U862" s="43" t="s">
        <v>182</v>
      </c>
    </row>
    <row r="863" spans="1:21" x14ac:dyDescent="0.3">
      <c r="A863" s="43">
        <v>7199990001</v>
      </c>
      <c r="B863" s="43" t="s">
        <v>438</v>
      </c>
      <c r="C863" s="52"/>
      <c r="D863" s="56">
        <f>Datos!$S$236</f>
        <v>2929.1771288361251</v>
      </c>
      <c r="E863" s="43" t="s">
        <v>556</v>
      </c>
      <c r="F863" s="43" t="s">
        <v>557</v>
      </c>
      <c r="G863" s="43" t="s">
        <v>567</v>
      </c>
      <c r="H863" s="43" t="s">
        <v>568</v>
      </c>
      <c r="I863" s="43" t="s">
        <v>560</v>
      </c>
      <c r="J863" s="43" t="s">
        <v>486</v>
      </c>
      <c r="K863" s="43">
        <v>700080</v>
      </c>
      <c r="L863" s="43">
        <v>12</v>
      </c>
      <c r="M863" s="43" t="s">
        <v>464</v>
      </c>
      <c r="N863" s="51"/>
      <c r="O863" s="51"/>
      <c r="P863" s="43" t="str">
        <f>VLOOKUP(K863,Maestro!J:K,2,0)</f>
        <v>CEMENTO TOPEX 50 KG</v>
      </c>
      <c r="Q863" s="43" t="str">
        <f>VLOOKUP(P863,Maestro!E:F,2,0)</f>
        <v>CEMENTO TOPEX 50 KG</v>
      </c>
      <c r="R863" s="43">
        <f>VLOOKUP(P863,ORD!$A:$C,3,0)</f>
        <v>14</v>
      </c>
      <c r="S863" t="str">
        <f t="shared" si="14"/>
        <v>7199990001CEMENTO UG TPCEMENTO TOPEX 50 KG</v>
      </c>
      <c r="T863" t="str">
        <f>IFERROR(VLOOKUP(S863,Maestro!$A:$H,8,0),"Producción")</f>
        <v>Cemento UG TP</v>
      </c>
      <c r="U863" s="43" t="s">
        <v>182</v>
      </c>
    </row>
    <row r="864" spans="1:21" x14ac:dyDescent="0.3">
      <c r="A864" s="43">
        <v>7360050302</v>
      </c>
      <c r="B864" s="43" t="s">
        <v>474</v>
      </c>
      <c r="C864" s="50">
        <f>Datos!$S$75*D864</f>
        <v>70152620.564773664</v>
      </c>
      <c r="D864" s="50">
        <f>Datos!$S$478</f>
        <v>59755.213428256953</v>
      </c>
      <c r="E864" s="43" t="s">
        <v>581</v>
      </c>
      <c r="F864" s="43" t="s">
        <v>557</v>
      </c>
      <c r="G864" s="43" t="s">
        <v>582</v>
      </c>
      <c r="H864" s="43" t="s">
        <v>583</v>
      </c>
      <c r="I864" s="43" t="s">
        <v>560</v>
      </c>
      <c r="J864" s="43" t="s">
        <v>489</v>
      </c>
      <c r="K864" s="43">
        <v>700080</v>
      </c>
      <c r="L864" s="43">
        <v>12</v>
      </c>
      <c r="M864" s="43" t="s">
        <v>596</v>
      </c>
      <c r="N864" s="51"/>
      <c r="O864" s="51"/>
      <c r="P864" s="43" t="str">
        <f>VLOOKUP(K864,Maestro!J:K,2,0)</f>
        <v>CEMENTO TOPEX 50 KG</v>
      </c>
      <c r="Q864" s="43" t="str">
        <f>VLOOKUP(P864,Maestro!E:F,2,0)</f>
        <v>CEMENTO TOPEX 50 KG</v>
      </c>
      <c r="R864" s="43">
        <f>VLOOKUP(P864,ORD!$A:$C,3,0)</f>
        <v>14</v>
      </c>
      <c r="S864" t="str">
        <f t="shared" si="14"/>
        <v>736005030222000000041CEMENTO TOPEX 50 KG</v>
      </c>
      <c r="T864" t="str">
        <f>IFERROR(VLOOKUP(S864,Maestro!$A:$H,8,0),"Producción")</f>
        <v>Sacos</v>
      </c>
      <c r="U864" s="43" t="s">
        <v>182</v>
      </c>
    </row>
    <row r="865" spans="1:21" x14ac:dyDescent="0.3">
      <c r="A865" s="43">
        <v>7999999995</v>
      </c>
      <c r="B865" s="43" t="s">
        <v>566</v>
      </c>
      <c r="C865" s="50"/>
      <c r="D865" s="56">
        <f>-Datos!$S$236*Datos!$S$206</f>
        <v>-58583.542576722502</v>
      </c>
      <c r="E865" s="43" t="s">
        <v>581</v>
      </c>
      <c r="F865" s="43" t="s">
        <v>557</v>
      </c>
      <c r="G865" s="43" t="s">
        <v>585</v>
      </c>
      <c r="H865" s="43" t="s">
        <v>586</v>
      </c>
      <c r="I865" s="43" t="s">
        <v>560</v>
      </c>
      <c r="J865" s="43" t="s">
        <v>597</v>
      </c>
      <c r="K865" s="43">
        <v>700080</v>
      </c>
      <c r="L865" s="43">
        <v>12</v>
      </c>
      <c r="M865" s="43" t="s">
        <v>598</v>
      </c>
      <c r="N865" s="51"/>
      <c r="O865" s="51"/>
      <c r="P865" s="43" t="str">
        <f>VLOOKUP(K865,Maestro!J:K,2,0)</f>
        <v>CEMENTO TOPEX 50 KG</v>
      </c>
      <c r="Q865" s="43" t="str">
        <f>VLOOKUP(P865,Maestro!E:F,2,0)</f>
        <v>CEMENTO TOPEX 50 KG</v>
      </c>
      <c r="R865" s="43">
        <f>VLOOKUP(P865,ORD!$A:$C,3,0)</f>
        <v>14</v>
      </c>
      <c r="S865" t="str">
        <f t="shared" si="14"/>
        <v>7999999995CEMTUGB50CEMENTO TOPEX 50 KG</v>
      </c>
      <c r="T865" t="str">
        <f>IFERROR(VLOOKUP(S865,Maestro!$A:$H,8,0),"Producción")</f>
        <v>Producción</v>
      </c>
      <c r="U865" s="43" t="s">
        <v>182</v>
      </c>
    </row>
    <row r="866" spans="1:21" x14ac:dyDescent="0.3">
      <c r="A866" s="43">
        <v>7355050105</v>
      </c>
      <c r="B866" s="43" t="s">
        <v>462</v>
      </c>
      <c r="C866" s="52"/>
      <c r="D866" s="56">
        <f>Datos!$H$248</f>
        <v>63731.152561772156</v>
      </c>
      <c r="E866" s="43" t="s">
        <v>581</v>
      </c>
      <c r="F866" s="43" t="s">
        <v>557</v>
      </c>
      <c r="G866" s="43" t="s">
        <v>570</v>
      </c>
      <c r="H866" s="43" t="s">
        <v>571</v>
      </c>
      <c r="I866" s="43" t="s">
        <v>560</v>
      </c>
      <c r="J866" s="43">
        <v>70000000000</v>
      </c>
      <c r="K866" s="43">
        <v>700003</v>
      </c>
      <c r="L866" s="43">
        <v>1</v>
      </c>
      <c r="M866" s="43" t="s">
        <v>813</v>
      </c>
      <c r="N866" s="53"/>
      <c r="O866" s="53"/>
      <c r="P866" s="43" t="str">
        <f>VLOOKUP(K866,Maestro!J:K,2,0)</f>
        <v>CEMENTO UG</v>
      </c>
      <c r="Q866" s="43" t="str">
        <f>VLOOKUP(P866,Maestro!E:F,2,0)</f>
        <v>Cemento UG</v>
      </c>
      <c r="R866" s="43">
        <f>VLOOKUP(P866,ORD!$A:$C,3,0)</f>
        <v>6</v>
      </c>
      <c r="S866" t="str">
        <f t="shared" si="14"/>
        <v>735505010570000000000Cemento UG</v>
      </c>
      <c r="T866" t="str">
        <f>IFERROR(VLOOKUP(S866,Maestro!$A:$H,8,0),"Producción")</f>
        <v>Gasoil</v>
      </c>
      <c r="U866" s="43" t="s">
        <v>182</v>
      </c>
    </row>
    <row r="867" spans="1:21" x14ac:dyDescent="0.3">
      <c r="A867" s="43">
        <v>7355050105</v>
      </c>
      <c r="B867" s="43" t="s">
        <v>462</v>
      </c>
      <c r="C867" s="52"/>
      <c r="D867" s="56">
        <f>Datos!$I$248</f>
        <v>66456.6469464072</v>
      </c>
      <c r="E867" s="43" t="s">
        <v>581</v>
      </c>
      <c r="F867" s="43" t="s">
        <v>557</v>
      </c>
      <c r="G867" s="43" t="s">
        <v>570</v>
      </c>
      <c r="H867" s="43" t="s">
        <v>571</v>
      </c>
      <c r="I867" s="43" t="s">
        <v>560</v>
      </c>
      <c r="J867" s="43">
        <v>70000000000</v>
      </c>
      <c r="K867" s="43">
        <v>700003</v>
      </c>
      <c r="L867" s="43">
        <v>2</v>
      </c>
      <c r="M867" s="43" t="s">
        <v>813</v>
      </c>
      <c r="N867" s="53"/>
      <c r="O867" s="53"/>
      <c r="P867" s="43" t="str">
        <f>VLOOKUP(K867,Maestro!J:K,2,0)</f>
        <v>CEMENTO UG</v>
      </c>
      <c r="Q867" s="43" t="str">
        <f>VLOOKUP(P867,Maestro!E:F,2,0)</f>
        <v>Cemento UG</v>
      </c>
      <c r="R867" s="43">
        <f>VLOOKUP(P867,ORD!$A:$C,3,0)</f>
        <v>6</v>
      </c>
      <c r="S867" t="str">
        <f t="shared" si="14"/>
        <v>735505010570000000000Cemento UG</v>
      </c>
      <c r="T867" t="str">
        <f>IFERROR(VLOOKUP(S867,Maestro!$A:$H,8,0),"Producción")</f>
        <v>Gasoil</v>
      </c>
      <c r="U867" s="43" t="s">
        <v>182</v>
      </c>
    </row>
    <row r="868" spans="1:21" x14ac:dyDescent="0.3">
      <c r="A868" s="43">
        <v>7355050105</v>
      </c>
      <c r="B868" s="43" t="s">
        <v>462</v>
      </c>
      <c r="C868" s="52"/>
      <c r="D868" s="56">
        <f>Datos!$J$248</f>
        <v>71409.856412643057</v>
      </c>
      <c r="E868" s="43" t="s">
        <v>581</v>
      </c>
      <c r="F868" s="43" t="s">
        <v>557</v>
      </c>
      <c r="G868" s="43" t="s">
        <v>570</v>
      </c>
      <c r="H868" s="43" t="s">
        <v>571</v>
      </c>
      <c r="I868" s="43" t="s">
        <v>560</v>
      </c>
      <c r="J868" s="43">
        <v>70000000000</v>
      </c>
      <c r="K868" s="43">
        <v>700003</v>
      </c>
      <c r="L868" s="43">
        <v>3</v>
      </c>
      <c r="M868" s="43" t="s">
        <v>813</v>
      </c>
      <c r="N868" s="53"/>
      <c r="O868" s="53"/>
      <c r="P868" s="43" t="str">
        <f>VLOOKUP(K868,Maestro!J:K,2,0)</f>
        <v>CEMENTO UG</v>
      </c>
      <c r="Q868" s="43" t="str">
        <f>VLOOKUP(P868,Maestro!E:F,2,0)</f>
        <v>Cemento UG</v>
      </c>
      <c r="R868" s="43">
        <f>VLOOKUP(P868,ORD!$A:$C,3,0)</f>
        <v>6</v>
      </c>
      <c r="S868" t="str">
        <f t="shared" si="14"/>
        <v>735505010570000000000Cemento UG</v>
      </c>
      <c r="T868" t="str">
        <f>IFERROR(VLOOKUP(S868,Maestro!$A:$H,8,0),"Producción")</f>
        <v>Gasoil</v>
      </c>
      <c r="U868" s="43" t="s">
        <v>182</v>
      </c>
    </row>
    <row r="869" spans="1:21" x14ac:dyDescent="0.3">
      <c r="A869" s="43">
        <v>7355050105</v>
      </c>
      <c r="B869" s="43" t="s">
        <v>462</v>
      </c>
      <c r="C869" s="52"/>
      <c r="D869" s="56">
        <f>Datos!$K$248</f>
        <v>67940.826865046984</v>
      </c>
      <c r="E869" s="43" t="s">
        <v>581</v>
      </c>
      <c r="F869" s="43" t="s">
        <v>557</v>
      </c>
      <c r="G869" s="43" t="s">
        <v>570</v>
      </c>
      <c r="H869" s="43" t="s">
        <v>571</v>
      </c>
      <c r="I869" s="43" t="s">
        <v>560</v>
      </c>
      <c r="J869" s="43">
        <v>70000000000</v>
      </c>
      <c r="K869" s="43">
        <v>700003</v>
      </c>
      <c r="L869" s="43">
        <v>4</v>
      </c>
      <c r="M869" s="43" t="s">
        <v>813</v>
      </c>
      <c r="N869" s="53"/>
      <c r="O869" s="53"/>
      <c r="P869" s="43" t="str">
        <f>VLOOKUP(K869,Maestro!J:K,2,0)</f>
        <v>CEMENTO UG</v>
      </c>
      <c r="Q869" s="43" t="str">
        <f>VLOOKUP(P869,Maestro!E:F,2,0)</f>
        <v>Cemento UG</v>
      </c>
      <c r="R869" s="43">
        <f>VLOOKUP(P869,ORD!$A:$C,3,0)</f>
        <v>6</v>
      </c>
      <c r="S869" t="str">
        <f t="shared" si="14"/>
        <v>735505010570000000000Cemento UG</v>
      </c>
      <c r="T869" t="str">
        <f>IFERROR(VLOOKUP(S869,Maestro!$A:$H,8,0),"Producción")</f>
        <v>Gasoil</v>
      </c>
      <c r="U869" s="43" t="s">
        <v>182</v>
      </c>
    </row>
    <row r="870" spans="1:21" x14ac:dyDescent="0.3">
      <c r="A870" s="43">
        <v>7355050105</v>
      </c>
      <c r="B870" s="43" t="s">
        <v>462</v>
      </c>
      <c r="C870" s="52"/>
      <c r="D870" s="56">
        <f>Datos!$L$248</f>
        <v>63854.671700831204</v>
      </c>
      <c r="E870" s="43" t="s">
        <v>581</v>
      </c>
      <c r="F870" s="43" t="s">
        <v>557</v>
      </c>
      <c r="G870" s="43" t="s">
        <v>570</v>
      </c>
      <c r="H870" s="43" t="s">
        <v>571</v>
      </c>
      <c r="I870" s="43" t="s">
        <v>560</v>
      </c>
      <c r="J870" s="43">
        <v>70000000000</v>
      </c>
      <c r="K870" s="43">
        <v>700003</v>
      </c>
      <c r="L870" s="43">
        <v>5</v>
      </c>
      <c r="M870" s="43" t="s">
        <v>813</v>
      </c>
      <c r="N870" s="53"/>
      <c r="O870" s="53"/>
      <c r="P870" s="43" t="str">
        <f>VLOOKUP(K870,Maestro!J:K,2,0)</f>
        <v>CEMENTO UG</v>
      </c>
      <c r="Q870" s="43" t="str">
        <f>VLOOKUP(P870,Maestro!E:F,2,0)</f>
        <v>Cemento UG</v>
      </c>
      <c r="R870" s="43">
        <f>VLOOKUP(P870,ORD!$A:$C,3,0)</f>
        <v>6</v>
      </c>
      <c r="S870" t="str">
        <f t="shared" si="14"/>
        <v>735505010570000000000Cemento UG</v>
      </c>
      <c r="T870" t="str">
        <f>IFERROR(VLOOKUP(S870,Maestro!$A:$H,8,0),"Producción")</f>
        <v>Gasoil</v>
      </c>
      <c r="U870" s="43" t="s">
        <v>182</v>
      </c>
    </row>
    <row r="871" spans="1:21" x14ac:dyDescent="0.3">
      <c r="A871" s="43">
        <v>7355050105</v>
      </c>
      <c r="B871" s="43" t="s">
        <v>462</v>
      </c>
      <c r="C871" s="52"/>
      <c r="D871" s="56">
        <f>Datos!$M$248</f>
        <v>63612.938176708434</v>
      </c>
      <c r="E871" s="43" t="s">
        <v>581</v>
      </c>
      <c r="F871" s="43" t="s">
        <v>557</v>
      </c>
      <c r="G871" s="43" t="s">
        <v>570</v>
      </c>
      <c r="H871" s="43" t="s">
        <v>571</v>
      </c>
      <c r="I871" s="43" t="s">
        <v>560</v>
      </c>
      <c r="J871" s="43">
        <v>70000000000</v>
      </c>
      <c r="K871" s="43">
        <v>700003</v>
      </c>
      <c r="L871" s="43">
        <v>6</v>
      </c>
      <c r="M871" s="43" t="s">
        <v>813</v>
      </c>
      <c r="N871" s="53"/>
      <c r="O871" s="53"/>
      <c r="P871" s="43" t="str">
        <f>VLOOKUP(K871,Maestro!J:K,2,0)</f>
        <v>CEMENTO UG</v>
      </c>
      <c r="Q871" s="43" t="str">
        <f>VLOOKUP(P871,Maestro!E:F,2,0)</f>
        <v>Cemento UG</v>
      </c>
      <c r="R871" s="43">
        <f>VLOOKUP(P871,ORD!$A:$C,3,0)</f>
        <v>6</v>
      </c>
      <c r="S871" t="str">
        <f t="shared" si="14"/>
        <v>735505010570000000000Cemento UG</v>
      </c>
      <c r="T871" t="str">
        <f>IFERROR(VLOOKUP(S871,Maestro!$A:$H,8,0),"Producción")</f>
        <v>Gasoil</v>
      </c>
      <c r="U871" s="43" t="s">
        <v>182</v>
      </c>
    </row>
    <row r="872" spans="1:21" x14ac:dyDescent="0.3">
      <c r="A872" s="43">
        <v>7355050105</v>
      </c>
      <c r="B872" s="43" t="s">
        <v>462</v>
      </c>
      <c r="C872" s="52"/>
      <c r="D872" s="56">
        <f>Datos!$N$248</f>
        <v>74927.824736596915</v>
      </c>
      <c r="E872" s="43" t="s">
        <v>581</v>
      </c>
      <c r="F872" s="43" t="s">
        <v>557</v>
      </c>
      <c r="G872" s="43" t="s">
        <v>570</v>
      </c>
      <c r="H872" s="43" t="s">
        <v>571</v>
      </c>
      <c r="I872" s="43" t="s">
        <v>560</v>
      </c>
      <c r="J872" s="43">
        <v>70000000000</v>
      </c>
      <c r="K872" s="43">
        <v>700003</v>
      </c>
      <c r="L872" s="43">
        <v>7</v>
      </c>
      <c r="M872" s="43" t="s">
        <v>813</v>
      </c>
      <c r="N872" s="53"/>
      <c r="O872" s="53"/>
      <c r="P872" s="43" t="str">
        <f>VLOOKUP(K872,Maestro!J:K,2,0)</f>
        <v>CEMENTO UG</v>
      </c>
      <c r="Q872" s="43" t="str">
        <f>VLOOKUP(P872,Maestro!E:F,2,0)</f>
        <v>Cemento UG</v>
      </c>
      <c r="R872" s="43">
        <f>VLOOKUP(P872,ORD!$A:$C,3,0)</f>
        <v>6</v>
      </c>
      <c r="S872" t="str">
        <f t="shared" si="14"/>
        <v>735505010570000000000Cemento UG</v>
      </c>
      <c r="T872" t="str">
        <f>IFERROR(VLOOKUP(S872,Maestro!$A:$H,8,0),"Producción")</f>
        <v>Gasoil</v>
      </c>
      <c r="U872" s="43" t="s">
        <v>182</v>
      </c>
    </row>
    <row r="873" spans="1:21" x14ac:dyDescent="0.3">
      <c r="A873" s="43">
        <v>7355050105</v>
      </c>
      <c r="B873" s="43" t="s">
        <v>462</v>
      </c>
      <c r="C873" s="52"/>
      <c r="D873" s="56">
        <f>Datos!$O$248</f>
        <v>68265.054047201353</v>
      </c>
      <c r="E873" s="43" t="s">
        <v>581</v>
      </c>
      <c r="F873" s="43" t="s">
        <v>557</v>
      </c>
      <c r="G873" s="43" t="s">
        <v>570</v>
      </c>
      <c r="H873" s="43" t="s">
        <v>571</v>
      </c>
      <c r="I873" s="43" t="s">
        <v>560</v>
      </c>
      <c r="J873" s="43">
        <v>70000000000</v>
      </c>
      <c r="K873" s="43">
        <v>700003</v>
      </c>
      <c r="L873" s="43">
        <v>8</v>
      </c>
      <c r="M873" s="43" t="s">
        <v>813</v>
      </c>
      <c r="N873" s="53"/>
      <c r="O873" s="53"/>
      <c r="P873" s="43" t="str">
        <f>VLOOKUP(K873,Maestro!J:K,2,0)</f>
        <v>CEMENTO UG</v>
      </c>
      <c r="Q873" s="43" t="str">
        <f>VLOOKUP(P873,Maestro!E:F,2,0)</f>
        <v>Cemento UG</v>
      </c>
      <c r="R873" s="43">
        <f>VLOOKUP(P873,ORD!$A:$C,3,0)</f>
        <v>6</v>
      </c>
      <c r="S873" t="str">
        <f t="shared" si="14"/>
        <v>735505010570000000000Cemento UG</v>
      </c>
      <c r="T873" t="str">
        <f>IFERROR(VLOOKUP(S873,Maestro!$A:$H,8,0),"Producción")</f>
        <v>Gasoil</v>
      </c>
      <c r="U873" s="43" t="s">
        <v>182</v>
      </c>
    </row>
    <row r="874" spans="1:21" x14ac:dyDescent="0.3">
      <c r="A874" s="43">
        <v>7355050105</v>
      </c>
      <c r="B874" s="43" t="s">
        <v>462</v>
      </c>
      <c r="C874" s="52"/>
      <c r="D874" s="56">
        <f>Datos!$P$248</f>
        <v>72309.490473675105</v>
      </c>
      <c r="E874" s="43" t="s">
        <v>581</v>
      </c>
      <c r="F874" s="43" t="s">
        <v>557</v>
      </c>
      <c r="G874" s="43" t="s">
        <v>570</v>
      </c>
      <c r="H874" s="43" t="s">
        <v>571</v>
      </c>
      <c r="I874" s="43" t="s">
        <v>560</v>
      </c>
      <c r="J874" s="43">
        <v>70000000000</v>
      </c>
      <c r="K874" s="43">
        <v>700003</v>
      </c>
      <c r="L874" s="43">
        <v>9</v>
      </c>
      <c r="M874" s="43" t="s">
        <v>813</v>
      </c>
      <c r="N874" s="53"/>
      <c r="O874" s="53"/>
      <c r="P874" s="43" t="str">
        <f>VLOOKUP(K874,Maestro!J:K,2,0)</f>
        <v>CEMENTO UG</v>
      </c>
      <c r="Q874" s="43" t="str">
        <f>VLOOKUP(P874,Maestro!E:F,2,0)</f>
        <v>Cemento UG</v>
      </c>
      <c r="R874" s="43">
        <f>VLOOKUP(P874,ORD!$A:$C,3,0)</f>
        <v>6</v>
      </c>
      <c r="S874" t="str">
        <f t="shared" si="14"/>
        <v>735505010570000000000Cemento UG</v>
      </c>
      <c r="T874" t="str">
        <f>IFERROR(VLOOKUP(S874,Maestro!$A:$H,8,0),"Producción")</f>
        <v>Gasoil</v>
      </c>
      <c r="U874" s="43" t="s">
        <v>182</v>
      </c>
    </row>
    <row r="875" spans="1:21" x14ac:dyDescent="0.3">
      <c r="A875" s="43">
        <v>7355050105</v>
      </c>
      <c r="B875" s="43" t="s">
        <v>462</v>
      </c>
      <c r="C875" s="52"/>
      <c r="D875" s="56">
        <f>Datos!$Q$248</f>
        <v>73431.13078925325</v>
      </c>
      <c r="E875" s="43" t="s">
        <v>581</v>
      </c>
      <c r="F875" s="43" t="s">
        <v>557</v>
      </c>
      <c r="G875" s="43" t="s">
        <v>570</v>
      </c>
      <c r="H875" s="43" t="s">
        <v>571</v>
      </c>
      <c r="I875" s="43" t="s">
        <v>560</v>
      </c>
      <c r="J875" s="43">
        <v>70000000000</v>
      </c>
      <c r="K875" s="43">
        <v>700003</v>
      </c>
      <c r="L875" s="43">
        <v>10</v>
      </c>
      <c r="M875" s="43" t="s">
        <v>813</v>
      </c>
      <c r="N875" s="53"/>
      <c r="O875" s="53"/>
      <c r="P875" s="43" t="str">
        <f>VLOOKUP(K875,Maestro!J:K,2,0)</f>
        <v>CEMENTO UG</v>
      </c>
      <c r="Q875" s="43" t="str">
        <f>VLOOKUP(P875,Maestro!E:F,2,0)</f>
        <v>Cemento UG</v>
      </c>
      <c r="R875" s="43">
        <f>VLOOKUP(P875,ORD!$A:$C,3,0)</f>
        <v>6</v>
      </c>
      <c r="S875" t="str">
        <f t="shared" ref="S875:S938" si="15">A875&amp;J875&amp;Q875</f>
        <v>735505010570000000000Cemento UG</v>
      </c>
      <c r="T875" t="str">
        <f>IFERROR(VLOOKUP(S875,Maestro!$A:$H,8,0),"Producción")</f>
        <v>Gasoil</v>
      </c>
      <c r="U875" s="43" t="s">
        <v>182</v>
      </c>
    </row>
    <row r="876" spans="1:21" x14ac:dyDescent="0.3">
      <c r="A876" s="43">
        <v>7355050105</v>
      </c>
      <c r="B876" s="43" t="s">
        <v>462</v>
      </c>
      <c r="C876" s="52"/>
      <c r="D876" s="56">
        <f>Datos!$R$248</f>
        <v>68703.19032957239</v>
      </c>
      <c r="E876" s="43" t="s">
        <v>581</v>
      </c>
      <c r="F876" s="43" t="s">
        <v>557</v>
      </c>
      <c r="G876" s="43" t="s">
        <v>570</v>
      </c>
      <c r="H876" s="43" t="s">
        <v>571</v>
      </c>
      <c r="I876" s="43" t="s">
        <v>560</v>
      </c>
      <c r="J876" s="43">
        <v>70000000000</v>
      </c>
      <c r="K876" s="43">
        <v>700003</v>
      </c>
      <c r="L876" s="43">
        <v>11</v>
      </c>
      <c r="M876" s="43" t="s">
        <v>813</v>
      </c>
      <c r="N876" s="53"/>
      <c r="O876" s="53"/>
      <c r="P876" s="43" t="str">
        <f>VLOOKUP(K876,Maestro!J:K,2,0)</f>
        <v>CEMENTO UG</v>
      </c>
      <c r="Q876" s="43" t="str">
        <f>VLOOKUP(P876,Maestro!E:F,2,0)</f>
        <v>Cemento UG</v>
      </c>
      <c r="R876" s="43">
        <f>VLOOKUP(P876,ORD!$A:$C,3,0)</f>
        <v>6</v>
      </c>
      <c r="S876" t="str">
        <f t="shared" si="15"/>
        <v>735505010570000000000Cemento UG</v>
      </c>
      <c r="T876" t="str">
        <f>IFERROR(VLOOKUP(S876,Maestro!$A:$H,8,0),"Producción")</f>
        <v>Gasoil</v>
      </c>
      <c r="U876" s="43" t="s">
        <v>182</v>
      </c>
    </row>
    <row r="877" spans="1:21" x14ac:dyDescent="0.3">
      <c r="A877" s="43">
        <v>7355050105</v>
      </c>
      <c r="B877" s="43" t="s">
        <v>462</v>
      </c>
      <c r="C877" s="52"/>
      <c r="D877" s="56">
        <f>Datos!$S$248</f>
        <v>70769.251018944269</v>
      </c>
      <c r="E877" s="43" t="s">
        <v>581</v>
      </c>
      <c r="F877" s="43" t="s">
        <v>557</v>
      </c>
      <c r="G877" s="43" t="s">
        <v>570</v>
      </c>
      <c r="H877" s="43" t="s">
        <v>571</v>
      </c>
      <c r="I877" s="43" t="s">
        <v>560</v>
      </c>
      <c r="J877" s="43">
        <v>70000000000</v>
      </c>
      <c r="K877" s="43">
        <v>700003</v>
      </c>
      <c r="L877" s="43">
        <v>12</v>
      </c>
      <c r="M877" s="43" t="s">
        <v>813</v>
      </c>
      <c r="N877" s="53"/>
      <c r="O877" s="53"/>
      <c r="P877" s="43" t="str">
        <f>VLOOKUP(K877,Maestro!J:K,2,0)</f>
        <v>CEMENTO UG</v>
      </c>
      <c r="Q877" s="43" t="str">
        <f>VLOOKUP(P877,Maestro!E:F,2,0)</f>
        <v>Cemento UG</v>
      </c>
      <c r="R877" s="43">
        <f>VLOOKUP(P877,ORD!$A:$C,3,0)</f>
        <v>6</v>
      </c>
      <c r="S877" t="str">
        <f t="shared" si="15"/>
        <v>735505010570000000000Cemento UG</v>
      </c>
      <c r="T877" t="str">
        <f>IFERROR(VLOOKUP(S877,Maestro!$A:$H,8,0),"Producción")</f>
        <v>Gasoil</v>
      </c>
      <c r="U877" s="43" t="s">
        <v>182</v>
      </c>
    </row>
    <row r="878" spans="1:21" x14ac:dyDescent="0.3">
      <c r="A878" s="43">
        <v>7355050105</v>
      </c>
      <c r="B878" s="43" t="s">
        <v>462</v>
      </c>
      <c r="C878" s="52"/>
      <c r="D878" s="56">
        <f>Datos!$H$251</f>
        <v>32219.359509544607</v>
      </c>
      <c r="E878" s="43" t="s">
        <v>581</v>
      </c>
      <c r="F878" s="43" t="s">
        <v>557</v>
      </c>
      <c r="G878" s="43" t="s">
        <v>570</v>
      </c>
      <c r="H878" s="43" t="s">
        <v>571</v>
      </c>
      <c r="I878" s="43" t="s">
        <v>560</v>
      </c>
      <c r="J878" s="43">
        <v>70000000000</v>
      </c>
      <c r="K878" s="43">
        <v>700060</v>
      </c>
      <c r="L878" s="43">
        <v>1</v>
      </c>
      <c r="M878" s="43" t="s">
        <v>813</v>
      </c>
      <c r="N878" s="53"/>
      <c r="O878" s="53"/>
      <c r="P878" s="43" t="str">
        <f>VLOOKUP(K878,Maestro!J:K,2,0)</f>
        <v>CEMENTO ART</v>
      </c>
      <c r="Q878" s="43" t="str">
        <f>VLOOKUP(P878,Maestro!E:F,2,0)</f>
        <v>Cemento ART</v>
      </c>
      <c r="R878" s="43">
        <f>VLOOKUP(P878,ORD!$A:$C,3,0)</f>
        <v>7</v>
      </c>
      <c r="S878" t="str">
        <f t="shared" si="15"/>
        <v>735505010570000000000Cemento ART</v>
      </c>
      <c r="T878" t="str">
        <f>IFERROR(VLOOKUP(S878,Maestro!$A:$H,8,0),"Producción")</f>
        <v>Gasoil</v>
      </c>
      <c r="U878" s="43" t="s">
        <v>182</v>
      </c>
    </row>
    <row r="879" spans="1:21" x14ac:dyDescent="0.3">
      <c r="A879" s="43">
        <v>7355050105</v>
      </c>
      <c r="B879" s="43" t="s">
        <v>462</v>
      </c>
      <c r="C879" s="52"/>
      <c r="D879" s="56">
        <f>Datos!$I$251</f>
        <v>36356.069050377082</v>
      </c>
      <c r="E879" s="43" t="s">
        <v>581</v>
      </c>
      <c r="F879" s="43" t="s">
        <v>557</v>
      </c>
      <c r="G879" s="43" t="s">
        <v>570</v>
      </c>
      <c r="H879" s="43" t="s">
        <v>571</v>
      </c>
      <c r="I879" s="43" t="s">
        <v>560</v>
      </c>
      <c r="J879" s="43">
        <v>70000000000</v>
      </c>
      <c r="K879" s="43">
        <v>700060</v>
      </c>
      <c r="L879" s="43">
        <v>2</v>
      </c>
      <c r="M879" s="43" t="s">
        <v>813</v>
      </c>
      <c r="N879" s="53"/>
      <c r="O879" s="53"/>
      <c r="P879" s="43" t="str">
        <f>VLOOKUP(K879,Maestro!J:K,2,0)</f>
        <v>CEMENTO ART</v>
      </c>
      <c r="Q879" s="43" t="str">
        <f>VLOOKUP(P879,Maestro!E:F,2,0)</f>
        <v>Cemento ART</v>
      </c>
      <c r="R879" s="43">
        <f>VLOOKUP(P879,ORD!$A:$C,3,0)</f>
        <v>7</v>
      </c>
      <c r="S879" t="str">
        <f t="shared" si="15"/>
        <v>735505010570000000000Cemento ART</v>
      </c>
      <c r="T879" t="str">
        <f>IFERROR(VLOOKUP(S879,Maestro!$A:$H,8,0),"Producción")</f>
        <v>Gasoil</v>
      </c>
      <c r="U879" s="43" t="s">
        <v>182</v>
      </c>
    </row>
    <row r="880" spans="1:21" x14ac:dyDescent="0.3">
      <c r="A880" s="43">
        <v>7355050105</v>
      </c>
      <c r="B880" s="43" t="s">
        <v>462</v>
      </c>
      <c r="C880" s="52"/>
      <c r="D880" s="56">
        <f>Datos!$J$251</f>
        <v>38003.686811371874</v>
      </c>
      <c r="E880" s="43" t="s">
        <v>581</v>
      </c>
      <c r="F880" s="43" t="s">
        <v>557</v>
      </c>
      <c r="G880" s="43" t="s">
        <v>570</v>
      </c>
      <c r="H880" s="43" t="s">
        <v>571</v>
      </c>
      <c r="I880" s="43" t="s">
        <v>560</v>
      </c>
      <c r="J880" s="43">
        <v>70000000000</v>
      </c>
      <c r="K880" s="43">
        <v>700060</v>
      </c>
      <c r="L880" s="43">
        <v>3</v>
      </c>
      <c r="M880" s="43" t="s">
        <v>813</v>
      </c>
      <c r="N880" s="53"/>
      <c r="O880" s="53"/>
      <c r="P880" s="43" t="str">
        <f>VLOOKUP(K880,Maestro!J:K,2,0)</f>
        <v>CEMENTO ART</v>
      </c>
      <c r="Q880" s="43" t="str">
        <f>VLOOKUP(P880,Maestro!E:F,2,0)</f>
        <v>Cemento ART</v>
      </c>
      <c r="R880" s="43">
        <f>VLOOKUP(P880,ORD!$A:$C,3,0)</f>
        <v>7</v>
      </c>
      <c r="S880" t="str">
        <f t="shared" si="15"/>
        <v>735505010570000000000Cemento ART</v>
      </c>
      <c r="T880" t="str">
        <f>IFERROR(VLOOKUP(S880,Maestro!$A:$H,8,0),"Producción")</f>
        <v>Gasoil</v>
      </c>
      <c r="U880" s="43" t="s">
        <v>182</v>
      </c>
    </row>
    <row r="881" spans="1:21" x14ac:dyDescent="0.3">
      <c r="A881" s="43">
        <v>7355050105</v>
      </c>
      <c r="B881" s="43" t="s">
        <v>462</v>
      </c>
      <c r="C881" s="52"/>
      <c r="D881" s="56">
        <f>Datos!$K$251</f>
        <v>34991.405170921906</v>
      </c>
      <c r="E881" s="43" t="s">
        <v>581</v>
      </c>
      <c r="F881" s="43" t="s">
        <v>557</v>
      </c>
      <c r="G881" s="43" t="s">
        <v>570</v>
      </c>
      <c r="H881" s="43" t="s">
        <v>571</v>
      </c>
      <c r="I881" s="43" t="s">
        <v>560</v>
      </c>
      <c r="J881" s="43">
        <v>70000000000</v>
      </c>
      <c r="K881" s="43">
        <v>700060</v>
      </c>
      <c r="L881" s="43">
        <v>4</v>
      </c>
      <c r="M881" s="43" t="s">
        <v>813</v>
      </c>
      <c r="N881" s="53"/>
      <c r="O881" s="53"/>
      <c r="P881" s="43" t="str">
        <f>VLOOKUP(K881,Maestro!J:K,2,0)</f>
        <v>CEMENTO ART</v>
      </c>
      <c r="Q881" s="43" t="str">
        <f>VLOOKUP(P881,Maestro!E:F,2,0)</f>
        <v>Cemento ART</v>
      </c>
      <c r="R881" s="43">
        <f>VLOOKUP(P881,ORD!$A:$C,3,0)</f>
        <v>7</v>
      </c>
      <c r="S881" t="str">
        <f t="shared" si="15"/>
        <v>735505010570000000000Cemento ART</v>
      </c>
      <c r="T881" t="str">
        <f>IFERROR(VLOOKUP(S881,Maestro!$A:$H,8,0),"Producción")</f>
        <v>Gasoil</v>
      </c>
      <c r="U881" s="43" t="s">
        <v>182</v>
      </c>
    </row>
    <row r="882" spans="1:21" x14ac:dyDescent="0.3">
      <c r="A882" s="43">
        <v>7355050105</v>
      </c>
      <c r="B882" s="43" t="s">
        <v>462</v>
      </c>
      <c r="C882" s="52"/>
      <c r="D882" s="56">
        <f>Datos!$L$251</f>
        <v>35782.3438195294</v>
      </c>
      <c r="E882" s="43" t="s">
        <v>581</v>
      </c>
      <c r="F882" s="43" t="s">
        <v>557</v>
      </c>
      <c r="G882" s="43" t="s">
        <v>570</v>
      </c>
      <c r="H882" s="43" t="s">
        <v>571</v>
      </c>
      <c r="I882" s="43" t="s">
        <v>560</v>
      </c>
      <c r="J882" s="43">
        <v>70000000000</v>
      </c>
      <c r="K882" s="43">
        <v>700060</v>
      </c>
      <c r="L882" s="43">
        <v>5</v>
      </c>
      <c r="M882" s="43" t="s">
        <v>813</v>
      </c>
      <c r="N882" s="53"/>
      <c r="O882" s="53"/>
      <c r="P882" s="43" t="str">
        <f>VLOOKUP(K882,Maestro!J:K,2,0)</f>
        <v>CEMENTO ART</v>
      </c>
      <c r="Q882" s="43" t="str">
        <f>VLOOKUP(P882,Maestro!E:F,2,0)</f>
        <v>Cemento ART</v>
      </c>
      <c r="R882" s="43">
        <f>VLOOKUP(P882,ORD!$A:$C,3,0)</f>
        <v>7</v>
      </c>
      <c r="S882" t="str">
        <f t="shared" si="15"/>
        <v>735505010570000000000Cemento ART</v>
      </c>
      <c r="T882" t="str">
        <f>IFERROR(VLOOKUP(S882,Maestro!$A:$H,8,0),"Producción")</f>
        <v>Gasoil</v>
      </c>
      <c r="U882" s="43" t="s">
        <v>182</v>
      </c>
    </row>
    <row r="883" spans="1:21" x14ac:dyDescent="0.3">
      <c r="A883" s="43">
        <v>7355050105</v>
      </c>
      <c r="B883" s="43" t="s">
        <v>462</v>
      </c>
      <c r="C883" s="52"/>
      <c r="D883" s="56">
        <f>Datos!$M$251</f>
        <v>34808.351356431878</v>
      </c>
      <c r="E883" s="43" t="s">
        <v>581</v>
      </c>
      <c r="F883" s="43" t="s">
        <v>557</v>
      </c>
      <c r="G883" s="43" t="s">
        <v>570</v>
      </c>
      <c r="H883" s="43" t="s">
        <v>571</v>
      </c>
      <c r="I883" s="43" t="s">
        <v>560</v>
      </c>
      <c r="J883" s="43">
        <v>70000000000</v>
      </c>
      <c r="K883" s="43">
        <v>700060</v>
      </c>
      <c r="L883" s="43">
        <v>6</v>
      </c>
      <c r="M883" s="43" t="s">
        <v>813</v>
      </c>
      <c r="N883" s="53"/>
      <c r="O883" s="53"/>
      <c r="P883" s="43" t="str">
        <f>VLOOKUP(K883,Maestro!J:K,2,0)</f>
        <v>CEMENTO ART</v>
      </c>
      <c r="Q883" s="43" t="str">
        <f>VLOOKUP(P883,Maestro!E:F,2,0)</f>
        <v>Cemento ART</v>
      </c>
      <c r="R883" s="43">
        <f>VLOOKUP(P883,ORD!$A:$C,3,0)</f>
        <v>7</v>
      </c>
      <c r="S883" t="str">
        <f t="shared" si="15"/>
        <v>735505010570000000000Cemento ART</v>
      </c>
      <c r="T883" t="str">
        <f>IFERROR(VLOOKUP(S883,Maestro!$A:$H,8,0),"Producción")</f>
        <v>Gasoil</v>
      </c>
      <c r="U883" s="43" t="s">
        <v>182</v>
      </c>
    </row>
    <row r="884" spans="1:21" x14ac:dyDescent="0.3">
      <c r="A884" s="43">
        <v>7355050105</v>
      </c>
      <c r="B884" s="43" t="s">
        <v>462</v>
      </c>
      <c r="C884" s="52"/>
      <c r="D884" s="56">
        <f>Datos!$N$251</f>
        <v>40276.228560128591</v>
      </c>
      <c r="E884" s="43" t="s">
        <v>581</v>
      </c>
      <c r="F884" s="43" t="s">
        <v>557</v>
      </c>
      <c r="G884" s="43" t="s">
        <v>570</v>
      </c>
      <c r="H884" s="43" t="s">
        <v>571</v>
      </c>
      <c r="I884" s="43" t="s">
        <v>560</v>
      </c>
      <c r="J884" s="43">
        <v>70000000000</v>
      </c>
      <c r="K884" s="43">
        <v>700060</v>
      </c>
      <c r="L884" s="43">
        <v>7</v>
      </c>
      <c r="M884" s="43" t="s">
        <v>813</v>
      </c>
      <c r="N884" s="53"/>
      <c r="O884" s="53"/>
      <c r="P884" s="43" t="str">
        <f>VLOOKUP(K884,Maestro!J:K,2,0)</f>
        <v>CEMENTO ART</v>
      </c>
      <c r="Q884" s="43" t="str">
        <f>VLOOKUP(P884,Maestro!E:F,2,0)</f>
        <v>Cemento ART</v>
      </c>
      <c r="R884" s="43">
        <f>VLOOKUP(P884,ORD!$A:$C,3,0)</f>
        <v>7</v>
      </c>
      <c r="S884" t="str">
        <f t="shared" si="15"/>
        <v>735505010570000000000Cemento ART</v>
      </c>
      <c r="T884" t="str">
        <f>IFERROR(VLOOKUP(S884,Maestro!$A:$H,8,0),"Producción")</f>
        <v>Gasoil</v>
      </c>
      <c r="U884" s="43" t="s">
        <v>182</v>
      </c>
    </row>
    <row r="885" spans="1:21" x14ac:dyDescent="0.3">
      <c r="A885" s="43">
        <v>7355050105</v>
      </c>
      <c r="B885" s="43" t="s">
        <v>462</v>
      </c>
      <c r="C885" s="52"/>
      <c r="D885" s="56">
        <f>Datos!$O$251</f>
        <v>37080.96763866183</v>
      </c>
      <c r="E885" s="43" t="s">
        <v>581</v>
      </c>
      <c r="F885" s="43" t="s">
        <v>557</v>
      </c>
      <c r="G885" s="43" t="s">
        <v>570</v>
      </c>
      <c r="H885" s="43" t="s">
        <v>571</v>
      </c>
      <c r="I885" s="43" t="s">
        <v>560</v>
      </c>
      <c r="J885" s="43">
        <v>70000000000</v>
      </c>
      <c r="K885" s="43">
        <v>700060</v>
      </c>
      <c r="L885" s="43">
        <v>8</v>
      </c>
      <c r="M885" s="43" t="s">
        <v>813</v>
      </c>
      <c r="N885" s="53"/>
      <c r="O885" s="53"/>
      <c r="P885" s="43" t="str">
        <f>VLOOKUP(K885,Maestro!J:K,2,0)</f>
        <v>CEMENTO ART</v>
      </c>
      <c r="Q885" s="43" t="str">
        <f>VLOOKUP(P885,Maestro!E:F,2,0)</f>
        <v>Cemento ART</v>
      </c>
      <c r="R885" s="43">
        <f>VLOOKUP(P885,ORD!$A:$C,3,0)</f>
        <v>7</v>
      </c>
      <c r="S885" t="str">
        <f t="shared" si="15"/>
        <v>735505010570000000000Cemento ART</v>
      </c>
      <c r="T885" t="str">
        <f>IFERROR(VLOOKUP(S885,Maestro!$A:$H,8,0),"Producción")</f>
        <v>Gasoil</v>
      </c>
      <c r="U885" s="43" t="s">
        <v>182</v>
      </c>
    </row>
    <row r="886" spans="1:21" x14ac:dyDescent="0.3">
      <c r="A886" s="43">
        <v>7355050105</v>
      </c>
      <c r="B886" s="43" t="s">
        <v>462</v>
      </c>
      <c r="C886" s="52"/>
      <c r="D886" s="56">
        <f>Datos!$P$251</f>
        <v>39358.99933860368</v>
      </c>
      <c r="E886" s="43" t="s">
        <v>581</v>
      </c>
      <c r="F886" s="43" t="s">
        <v>557</v>
      </c>
      <c r="G886" s="43" t="s">
        <v>570</v>
      </c>
      <c r="H886" s="43" t="s">
        <v>571</v>
      </c>
      <c r="I886" s="43" t="s">
        <v>560</v>
      </c>
      <c r="J886" s="43">
        <v>70000000000</v>
      </c>
      <c r="K886" s="43">
        <v>700060</v>
      </c>
      <c r="L886" s="43">
        <v>9</v>
      </c>
      <c r="M886" s="43" t="s">
        <v>813</v>
      </c>
      <c r="N886" s="53"/>
      <c r="O886" s="53"/>
      <c r="P886" s="43" t="str">
        <f>VLOOKUP(K886,Maestro!J:K,2,0)</f>
        <v>CEMENTO ART</v>
      </c>
      <c r="Q886" s="43" t="str">
        <f>VLOOKUP(P886,Maestro!E:F,2,0)</f>
        <v>Cemento ART</v>
      </c>
      <c r="R886" s="43">
        <f>VLOOKUP(P886,ORD!$A:$C,3,0)</f>
        <v>7</v>
      </c>
      <c r="S886" t="str">
        <f t="shared" si="15"/>
        <v>735505010570000000000Cemento ART</v>
      </c>
      <c r="T886" t="str">
        <f>IFERROR(VLOOKUP(S886,Maestro!$A:$H,8,0),"Producción")</f>
        <v>Gasoil</v>
      </c>
      <c r="U886" s="43" t="s">
        <v>182</v>
      </c>
    </row>
    <row r="887" spans="1:21" x14ac:dyDescent="0.3">
      <c r="A887" s="43">
        <v>7355050105</v>
      </c>
      <c r="B887" s="43" t="s">
        <v>462</v>
      </c>
      <c r="C887" s="52"/>
      <c r="D887" s="56">
        <f>Datos!$Q$251</f>
        <v>39869.613684439937</v>
      </c>
      <c r="E887" s="43" t="s">
        <v>581</v>
      </c>
      <c r="F887" s="43" t="s">
        <v>557</v>
      </c>
      <c r="G887" s="43" t="s">
        <v>570</v>
      </c>
      <c r="H887" s="43" t="s">
        <v>571</v>
      </c>
      <c r="I887" s="43" t="s">
        <v>560</v>
      </c>
      <c r="J887" s="43">
        <v>70000000000</v>
      </c>
      <c r="K887" s="43">
        <v>700060</v>
      </c>
      <c r="L887" s="43">
        <v>10</v>
      </c>
      <c r="M887" s="43" t="s">
        <v>813</v>
      </c>
      <c r="N887" s="53"/>
      <c r="O887" s="53"/>
      <c r="P887" s="43" t="str">
        <f>VLOOKUP(K887,Maestro!J:K,2,0)</f>
        <v>CEMENTO ART</v>
      </c>
      <c r="Q887" s="43" t="str">
        <f>VLOOKUP(P887,Maestro!E:F,2,0)</f>
        <v>Cemento ART</v>
      </c>
      <c r="R887" s="43">
        <f>VLOOKUP(P887,ORD!$A:$C,3,0)</f>
        <v>7</v>
      </c>
      <c r="S887" t="str">
        <f t="shared" si="15"/>
        <v>735505010570000000000Cemento ART</v>
      </c>
      <c r="T887" t="str">
        <f>IFERROR(VLOOKUP(S887,Maestro!$A:$H,8,0),"Producción")</f>
        <v>Gasoil</v>
      </c>
      <c r="U887" s="43" t="s">
        <v>182</v>
      </c>
    </row>
    <row r="888" spans="1:21" x14ac:dyDescent="0.3">
      <c r="A888" s="43">
        <v>7355050105</v>
      </c>
      <c r="B888" s="43" t="s">
        <v>462</v>
      </c>
      <c r="C888" s="52"/>
      <c r="D888" s="56">
        <f>Datos!$R$251</f>
        <v>36506.716520824244</v>
      </c>
      <c r="E888" s="43" t="s">
        <v>581</v>
      </c>
      <c r="F888" s="43" t="s">
        <v>557</v>
      </c>
      <c r="G888" s="43" t="s">
        <v>570</v>
      </c>
      <c r="H888" s="43" t="s">
        <v>571</v>
      </c>
      <c r="I888" s="43" t="s">
        <v>560</v>
      </c>
      <c r="J888" s="43">
        <v>70000000000</v>
      </c>
      <c r="K888" s="43">
        <v>700060</v>
      </c>
      <c r="L888" s="43">
        <v>11</v>
      </c>
      <c r="M888" s="43" t="s">
        <v>813</v>
      </c>
      <c r="N888" s="53"/>
      <c r="O888" s="53"/>
      <c r="P888" s="43" t="str">
        <f>VLOOKUP(K888,Maestro!J:K,2,0)</f>
        <v>CEMENTO ART</v>
      </c>
      <c r="Q888" s="43" t="str">
        <f>VLOOKUP(P888,Maestro!E:F,2,0)</f>
        <v>Cemento ART</v>
      </c>
      <c r="R888" s="43">
        <f>VLOOKUP(P888,ORD!$A:$C,3,0)</f>
        <v>7</v>
      </c>
      <c r="S888" t="str">
        <f t="shared" si="15"/>
        <v>735505010570000000000Cemento ART</v>
      </c>
      <c r="T888" t="str">
        <f>IFERROR(VLOOKUP(S888,Maestro!$A:$H,8,0),"Producción")</f>
        <v>Gasoil</v>
      </c>
      <c r="U888" s="43" t="s">
        <v>182</v>
      </c>
    </row>
    <row r="889" spans="1:21" x14ac:dyDescent="0.3">
      <c r="A889" s="43">
        <v>7355050105</v>
      </c>
      <c r="B889" s="43" t="s">
        <v>462</v>
      </c>
      <c r="C889" s="52"/>
      <c r="D889" s="56">
        <f>Datos!$S$251</f>
        <v>35593.351852861109</v>
      </c>
      <c r="E889" s="43" t="s">
        <v>581</v>
      </c>
      <c r="F889" s="43" t="s">
        <v>557</v>
      </c>
      <c r="G889" s="43" t="s">
        <v>570</v>
      </c>
      <c r="H889" s="43" t="s">
        <v>571</v>
      </c>
      <c r="I889" s="43" t="s">
        <v>560</v>
      </c>
      <c r="J889" s="43">
        <v>70000000000</v>
      </c>
      <c r="K889" s="43">
        <v>700060</v>
      </c>
      <c r="L889" s="43">
        <v>12</v>
      </c>
      <c r="M889" s="43" t="s">
        <v>813</v>
      </c>
      <c r="N889" s="53"/>
      <c r="O889" s="53"/>
      <c r="P889" s="43" t="str">
        <f>VLOOKUP(K889,Maestro!J:K,2,0)</f>
        <v>CEMENTO ART</v>
      </c>
      <c r="Q889" s="43" t="str">
        <f>VLOOKUP(P889,Maestro!E:F,2,0)</f>
        <v>Cemento ART</v>
      </c>
      <c r="R889" s="43">
        <f>VLOOKUP(P889,ORD!$A:$C,3,0)</f>
        <v>7</v>
      </c>
      <c r="S889" t="str">
        <f t="shared" si="15"/>
        <v>735505010570000000000Cemento ART</v>
      </c>
      <c r="T889" t="str">
        <f>IFERROR(VLOOKUP(S889,Maestro!$A:$H,8,0),"Producción")</f>
        <v>Gasoil</v>
      </c>
      <c r="U889" s="43" t="s">
        <v>182</v>
      </c>
    </row>
    <row r="890" spans="1:21" x14ac:dyDescent="0.3">
      <c r="A890" s="43">
        <v>7355050105</v>
      </c>
      <c r="B890" s="43" t="s">
        <v>462</v>
      </c>
      <c r="C890" s="52"/>
      <c r="D890" s="57"/>
      <c r="E890" s="43" t="s">
        <v>581</v>
      </c>
      <c r="F890" s="43" t="s">
        <v>557</v>
      </c>
      <c r="G890" s="43" t="s">
        <v>570</v>
      </c>
      <c r="H890" s="43" t="s">
        <v>571</v>
      </c>
      <c r="I890" s="43" t="s">
        <v>560</v>
      </c>
      <c r="J890" s="43">
        <v>70000000000</v>
      </c>
      <c r="K890" s="43">
        <v>700090</v>
      </c>
      <c r="L890" s="43">
        <v>1</v>
      </c>
      <c r="M890" s="43" t="s">
        <v>813</v>
      </c>
      <c r="N890" s="53"/>
      <c r="O890" s="53"/>
      <c r="P890" s="43" t="str">
        <f>VLOOKUP(K890,Maestro!J:K,2,0)</f>
        <v>CEMENTO UG TP</v>
      </c>
      <c r="Q890" s="43" t="str">
        <f>VLOOKUP(P890,Maestro!E:F,2,0)</f>
        <v>Cemento UG TP</v>
      </c>
      <c r="R890" s="43">
        <f>VLOOKUP(P890,ORD!$A:$C,3,0)</f>
        <v>15</v>
      </c>
      <c r="S890" t="str">
        <f t="shared" si="15"/>
        <v>735505010570000000000Cemento UG TP</v>
      </c>
      <c r="T890" t="str">
        <f>IFERROR(VLOOKUP(S890,Maestro!$A:$H,8,0),"Producción")</f>
        <v>Gasoil</v>
      </c>
      <c r="U890" s="43" t="s">
        <v>182</v>
      </c>
    </row>
    <row r="891" spans="1:21" x14ac:dyDescent="0.3">
      <c r="A891" s="43">
        <v>7355050105</v>
      </c>
      <c r="B891" s="43" t="s">
        <v>462</v>
      </c>
      <c r="C891" s="52"/>
      <c r="D891" s="57"/>
      <c r="E891" s="43" t="s">
        <v>581</v>
      </c>
      <c r="F891" s="43" t="s">
        <v>557</v>
      </c>
      <c r="G891" s="43" t="s">
        <v>570</v>
      </c>
      <c r="H891" s="43" t="s">
        <v>571</v>
      </c>
      <c r="I891" s="43" t="s">
        <v>560</v>
      </c>
      <c r="J891" s="43">
        <v>70000000000</v>
      </c>
      <c r="K891" s="43">
        <v>700090</v>
      </c>
      <c r="L891" s="43">
        <v>2</v>
      </c>
      <c r="M891" s="43" t="s">
        <v>813</v>
      </c>
      <c r="N891" s="53"/>
      <c r="O891" s="53"/>
      <c r="P891" s="43" t="str">
        <f>VLOOKUP(K891,Maestro!J:K,2,0)</f>
        <v>CEMENTO UG TP</v>
      </c>
      <c r="Q891" s="43" t="str">
        <f>VLOOKUP(P891,Maestro!E:F,2,0)</f>
        <v>Cemento UG TP</v>
      </c>
      <c r="R891" s="43">
        <f>VLOOKUP(P891,ORD!$A:$C,3,0)</f>
        <v>15</v>
      </c>
      <c r="S891" t="str">
        <f t="shared" si="15"/>
        <v>735505010570000000000Cemento UG TP</v>
      </c>
      <c r="T891" t="str">
        <f>IFERROR(VLOOKUP(S891,Maestro!$A:$H,8,0),"Producción")</f>
        <v>Gasoil</v>
      </c>
      <c r="U891" s="43" t="s">
        <v>182</v>
      </c>
    </row>
    <row r="892" spans="1:21" x14ac:dyDescent="0.3">
      <c r="A892" s="43">
        <v>7355050105</v>
      </c>
      <c r="B892" s="43" t="s">
        <v>462</v>
      </c>
      <c r="C892" s="52"/>
      <c r="D892" s="57"/>
      <c r="E892" s="43" t="s">
        <v>581</v>
      </c>
      <c r="F892" s="43" t="s">
        <v>557</v>
      </c>
      <c r="G892" s="43" t="s">
        <v>570</v>
      </c>
      <c r="H892" s="43" t="s">
        <v>571</v>
      </c>
      <c r="I892" s="43" t="s">
        <v>560</v>
      </c>
      <c r="J892" s="43">
        <v>70000000000</v>
      </c>
      <c r="K892" s="43">
        <v>700090</v>
      </c>
      <c r="L892" s="43">
        <v>3</v>
      </c>
      <c r="M892" s="43" t="s">
        <v>813</v>
      </c>
      <c r="N892" s="53"/>
      <c r="O892" s="53"/>
      <c r="P892" s="43" t="str">
        <f>VLOOKUP(K892,Maestro!J:K,2,0)</f>
        <v>CEMENTO UG TP</v>
      </c>
      <c r="Q892" s="43" t="str">
        <f>VLOOKUP(P892,Maestro!E:F,2,0)</f>
        <v>Cemento UG TP</v>
      </c>
      <c r="R892" s="43">
        <f>VLOOKUP(P892,ORD!$A:$C,3,0)</f>
        <v>15</v>
      </c>
      <c r="S892" t="str">
        <f t="shared" si="15"/>
        <v>735505010570000000000Cemento UG TP</v>
      </c>
      <c r="T892" t="str">
        <f>IFERROR(VLOOKUP(S892,Maestro!$A:$H,8,0),"Producción")</f>
        <v>Gasoil</v>
      </c>
      <c r="U892" s="43" t="s">
        <v>182</v>
      </c>
    </row>
    <row r="893" spans="1:21" x14ac:dyDescent="0.3">
      <c r="A893" s="43">
        <v>7355050105</v>
      </c>
      <c r="B893" s="43" t="s">
        <v>462</v>
      </c>
      <c r="C893" s="52"/>
      <c r="D893" s="57"/>
      <c r="E893" s="43" t="s">
        <v>581</v>
      </c>
      <c r="F893" s="43" t="s">
        <v>557</v>
      </c>
      <c r="G893" s="43" t="s">
        <v>570</v>
      </c>
      <c r="H893" s="43" t="s">
        <v>571</v>
      </c>
      <c r="I893" s="43" t="s">
        <v>560</v>
      </c>
      <c r="J893" s="43">
        <v>70000000000</v>
      </c>
      <c r="K893" s="43">
        <v>700090</v>
      </c>
      <c r="L893" s="43">
        <v>4</v>
      </c>
      <c r="M893" s="43" t="s">
        <v>813</v>
      </c>
      <c r="N893" s="53"/>
      <c r="O893" s="53"/>
      <c r="P893" s="43" t="str">
        <f>VLOOKUP(K893,Maestro!J:K,2,0)</f>
        <v>CEMENTO UG TP</v>
      </c>
      <c r="Q893" s="43" t="str">
        <f>VLOOKUP(P893,Maestro!E:F,2,0)</f>
        <v>Cemento UG TP</v>
      </c>
      <c r="R893" s="43">
        <f>VLOOKUP(P893,ORD!$A:$C,3,0)</f>
        <v>15</v>
      </c>
      <c r="S893" t="str">
        <f t="shared" si="15"/>
        <v>735505010570000000000Cemento UG TP</v>
      </c>
      <c r="T893" t="str">
        <f>IFERROR(VLOOKUP(S893,Maestro!$A:$H,8,0),"Producción")</f>
        <v>Gasoil</v>
      </c>
      <c r="U893" s="43" t="s">
        <v>182</v>
      </c>
    </row>
    <row r="894" spans="1:21" x14ac:dyDescent="0.3">
      <c r="A894" s="43">
        <v>7355050105</v>
      </c>
      <c r="B894" s="43" t="s">
        <v>462</v>
      </c>
      <c r="C894" s="52"/>
      <c r="D894" s="57"/>
      <c r="E894" s="43" t="s">
        <v>581</v>
      </c>
      <c r="F894" s="43" t="s">
        <v>557</v>
      </c>
      <c r="G894" s="43" t="s">
        <v>570</v>
      </c>
      <c r="H894" s="43" t="s">
        <v>571</v>
      </c>
      <c r="I894" s="43" t="s">
        <v>560</v>
      </c>
      <c r="J894" s="43">
        <v>70000000000</v>
      </c>
      <c r="K894" s="43">
        <v>700090</v>
      </c>
      <c r="L894" s="43">
        <v>5</v>
      </c>
      <c r="M894" s="43" t="s">
        <v>813</v>
      </c>
      <c r="N894" s="53"/>
      <c r="O894" s="53"/>
      <c r="P894" s="43" t="str">
        <f>VLOOKUP(K894,Maestro!J:K,2,0)</f>
        <v>CEMENTO UG TP</v>
      </c>
      <c r="Q894" s="43" t="str">
        <f>VLOOKUP(P894,Maestro!E:F,2,0)</f>
        <v>Cemento UG TP</v>
      </c>
      <c r="R894" s="43">
        <f>VLOOKUP(P894,ORD!$A:$C,3,0)</f>
        <v>15</v>
      </c>
      <c r="S894" t="str">
        <f t="shared" si="15"/>
        <v>735505010570000000000Cemento UG TP</v>
      </c>
      <c r="T894" t="str">
        <f>IFERROR(VLOOKUP(S894,Maestro!$A:$H,8,0),"Producción")</f>
        <v>Gasoil</v>
      </c>
      <c r="U894" s="43" t="s">
        <v>182</v>
      </c>
    </row>
    <row r="895" spans="1:21" x14ac:dyDescent="0.3">
      <c r="A895" s="43">
        <v>7355050105</v>
      </c>
      <c r="B895" s="43" t="s">
        <v>462</v>
      </c>
      <c r="C895" s="52"/>
      <c r="D895" s="57"/>
      <c r="E895" s="43" t="s">
        <v>581</v>
      </c>
      <c r="F895" s="43" t="s">
        <v>557</v>
      </c>
      <c r="G895" s="43" t="s">
        <v>570</v>
      </c>
      <c r="H895" s="43" t="s">
        <v>571</v>
      </c>
      <c r="I895" s="43" t="s">
        <v>560</v>
      </c>
      <c r="J895" s="43">
        <v>70000000000</v>
      </c>
      <c r="K895" s="43">
        <v>700090</v>
      </c>
      <c r="L895" s="43">
        <v>6</v>
      </c>
      <c r="M895" s="43" t="s">
        <v>813</v>
      </c>
      <c r="N895" s="53"/>
      <c r="O895" s="53"/>
      <c r="P895" s="43" t="str">
        <f>VLOOKUP(K895,Maestro!J:K,2,0)</f>
        <v>CEMENTO UG TP</v>
      </c>
      <c r="Q895" s="43" t="str">
        <f>VLOOKUP(P895,Maestro!E:F,2,0)</f>
        <v>Cemento UG TP</v>
      </c>
      <c r="R895" s="43">
        <f>VLOOKUP(P895,ORD!$A:$C,3,0)</f>
        <v>15</v>
      </c>
      <c r="S895" t="str">
        <f t="shared" si="15"/>
        <v>735505010570000000000Cemento UG TP</v>
      </c>
      <c r="T895" t="str">
        <f>IFERROR(VLOOKUP(S895,Maestro!$A:$H,8,0),"Producción")</f>
        <v>Gasoil</v>
      </c>
      <c r="U895" s="43" t="s">
        <v>182</v>
      </c>
    </row>
    <row r="896" spans="1:21" x14ac:dyDescent="0.3">
      <c r="A896" s="43">
        <v>7355050105</v>
      </c>
      <c r="B896" s="43" t="s">
        <v>462</v>
      </c>
      <c r="C896" s="52"/>
      <c r="D896" s="57"/>
      <c r="E896" s="43" t="s">
        <v>581</v>
      </c>
      <c r="F896" s="43" t="s">
        <v>557</v>
      </c>
      <c r="G896" s="43" t="s">
        <v>570</v>
      </c>
      <c r="H896" s="43" t="s">
        <v>571</v>
      </c>
      <c r="I896" s="43" t="s">
        <v>560</v>
      </c>
      <c r="J896" s="43">
        <v>70000000000</v>
      </c>
      <c r="K896" s="43">
        <v>700090</v>
      </c>
      <c r="L896" s="43">
        <v>7</v>
      </c>
      <c r="M896" s="43" t="s">
        <v>813</v>
      </c>
      <c r="N896" s="53"/>
      <c r="O896" s="53"/>
      <c r="P896" s="43" t="str">
        <f>VLOOKUP(K896,Maestro!J:K,2,0)</f>
        <v>CEMENTO UG TP</v>
      </c>
      <c r="Q896" s="43" t="str">
        <f>VLOOKUP(P896,Maestro!E:F,2,0)</f>
        <v>Cemento UG TP</v>
      </c>
      <c r="R896" s="43">
        <f>VLOOKUP(P896,ORD!$A:$C,3,0)</f>
        <v>15</v>
      </c>
      <c r="S896" t="str">
        <f t="shared" si="15"/>
        <v>735505010570000000000Cemento UG TP</v>
      </c>
      <c r="T896" t="str">
        <f>IFERROR(VLOOKUP(S896,Maestro!$A:$H,8,0),"Producción")</f>
        <v>Gasoil</v>
      </c>
      <c r="U896" s="43" t="s">
        <v>182</v>
      </c>
    </row>
    <row r="897" spans="1:21" x14ac:dyDescent="0.3">
      <c r="A897" s="43">
        <v>7355050105</v>
      </c>
      <c r="B897" s="43" t="s">
        <v>462</v>
      </c>
      <c r="C897" s="52"/>
      <c r="D897" s="57"/>
      <c r="E897" s="43" t="s">
        <v>581</v>
      </c>
      <c r="F897" s="43" t="s">
        <v>557</v>
      </c>
      <c r="G897" s="43" t="s">
        <v>570</v>
      </c>
      <c r="H897" s="43" t="s">
        <v>571</v>
      </c>
      <c r="I897" s="43" t="s">
        <v>560</v>
      </c>
      <c r="J897" s="43">
        <v>70000000000</v>
      </c>
      <c r="K897" s="43">
        <v>700090</v>
      </c>
      <c r="L897" s="43">
        <v>8</v>
      </c>
      <c r="M897" s="43" t="s">
        <v>813</v>
      </c>
      <c r="N897" s="53"/>
      <c r="O897" s="53"/>
      <c r="P897" s="43" t="str">
        <f>VLOOKUP(K897,Maestro!J:K,2,0)</f>
        <v>CEMENTO UG TP</v>
      </c>
      <c r="Q897" s="43" t="str">
        <f>VLOOKUP(P897,Maestro!E:F,2,0)</f>
        <v>Cemento UG TP</v>
      </c>
      <c r="R897" s="43">
        <f>VLOOKUP(P897,ORD!$A:$C,3,0)</f>
        <v>15</v>
      </c>
      <c r="S897" t="str">
        <f t="shared" si="15"/>
        <v>735505010570000000000Cemento UG TP</v>
      </c>
      <c r="T897" t="str">
        <f>IFERROR(VLOOKUP(S897,Maestro!$A:$H,8,0),"Producción")</f>
        <v>Gasoil</v>
      </c>
      <c r="U897" s="43" t="s">
        <v>182</v>
      </c>
    </row>
    <row r="898" spans="1:21" x14ac:dyDescent="0.3">
      <c r="A898" s="43">
        <v>7355050105</v>
      </c>
      <c r="B898" s="43" t="s">
        <v>462</v>
      </c>
      <c r="C898" s="52"/>
      <c r="D898" s="57"/>
      <c r="E898" s="43" t="s">
        <v>581</v>
      </c>
      <c r="F898" s="43" t="s">
        <v>557</v>
      </c>
      <c r="G898" s="43" t="s">
        <v>570</v>
      </c>
      <c r="H898" s="43" t="s">
        <v>571</v>
      </c>
      <c r="I898" s="43" t="s">
        <v>560</v>
      </c>
      <c r="J898" s="43">
        <v>70000000000</v>
      </c>
      <c r="K898" s="43">
        <v>700090</v>
      </c>
      <c r="L898" s="43">
        <v>9</v>
      </c>
      <c r="M898" s="43" t="s">
        <v>813</v>
      </c>
      <c r="N898" s="53"/>
      <c r="O898" s="53"/>
      <c r="P898" s="43" t="str">
        <f>VLOOKUP(K898,Maestro!J:K,2,0)</f>
        <v>CEMENTO UG TP</v>
      </c>
      <c r="Q898" s="43" t="str">
        <f>VLOOKUP(P898,Maestro!E:F,2,0)</f>
        <v>Cemento UG TP</v>
      </c>
      <c r="R898" s="43">
        <f>VLOOKUP(P898,ORD!$A:$C,3,0)</f>
        <v>15</v>
      </c>
      <c r="S898" t="str">
        <f t="shared" si="15"/>
        <v>735505010570000000000Cemento UG TP</v>
      </c>
      <c r="T898" t="str">
        <f>IFERROR(VLOOKUP(S898,Maestro!$A:$H,8,0),"Producción")</f>
        <v>Gasoil</v>
      </c>
      <c r="U898" s="43" t="s">
        <v>182</v>
      </c>
    </row>
    <row r="899" spans="1:21" x14ac:dyDescent="0.3">
      <c r="A899" s="43">
        <v>7355050105</v>
      </c>
      <c r="B899" s="43" t="s">
        <v>462</v>
      </c>
      <c r="C899" s="52"/>
      <c r="D899" s="57"/>
      <c r="E899" s="43" t="s">
        <v>581</v>
      </c>
      <c r="F899" s="43" t="s">
        <v>557</v>
      </c>
      <c r="G899" s="43" t="s">
        <v>570</v>
      </c>
      <c r="H899" s="43" t="s">
        <v>571</v>
      </c>
      <c r="I899" s="43" t="s">
        <v>560</v>
      </c>
      <c r="J899" s="43">
        <v>70000000000</v>
      </c>
      <c r="K899" s="43">
        <v>700090</v>
      </c>
      <c r="L899" s="43">
        <v>10</v>
      </c>
      <c r="M899" s="43" t="s">
        <v>813</v>
      </c>
      <c r="N899" s="53"/>
      <c r="O899" s="53"/>
      <c r="P899" s="43" t="str">
        <f>VLOOKUP(K899,Maestro!J:K,2,0)</f>
        <v>CEMENTO UG TP</v>
      </c>
      <c r="Q899" s="43" t="str">
        <f>VLOOKUP(P899,Maestro!E:F,2,0)</f>
        <v>Cemento UG TP</v>
      </c>
      <c r="R899" s="43">
        <f>VLOOKUP(P899,ORD!$A:$C,3,0)</f>
        <v>15</v>
      </c>
      <c r="S899" t="str">
        <f t="shared" si="15"/>
        <v>735505010570000000000Cemento UG TP</v>
      </c>
      <c r="T899" t="str">
        <f>IFERROR(VLOOKUP(S899,Maestro!$A:$H,8,0),"Producción")</f>
        <v>Gasoil</v>
      </c>
      <c r="U899" s="43" t="s">
        <v>182</v>
      </c>
    </row>
    <row r="900" spans="1:21" x14ac:dyDescent="0.3">
      <c r="A900" s="43">
        <v>7355050105</v>
      </c>
      <c r="B900" s="43" t="s">
        <v>462</v>
      </c>
      <c r="C900" s="52"/>
      <c r="D900" s="57"/>
      <c r="E900" s="43" t="s">
        <v>581</v>
      </c>
      <c r="F900" s="43" t="s">
        <v>557</v>
      </c>
      <c r="G900" s="43" t="s">
        <v>570</v>
      </c>
      <c r="H900" s="43" t="s">
        <v>571</v>
      </c>
      <c r="I900" s="43" t="s">
        <v>560</v>
      </c>
      <c r="J900" s="43">
        <v>70000000000</v>
      </c>
      <c r="K900" s="43">
        <v>700090</v>
      </c>
      <c r="L900" s="43">
        <v>11</v>
      </c>
      <c r="M900" s="43" t="s">
        <v>813</v>
      </c>
      <c r="N900" s="53"/>
      <c r="O900" s="53"/>
      <c r="P900" s="43" t="str">
        <f>VLOOKUP(K900,Maestro!J:K,2,0)</f>
        <v>CEMENTO UG TP</v>
      </c>
      <c r="Q900" s="43" t="str">
        <f>VLOOKUP(P900,Maestro!E:F,2,0)</f>
        <v>Cemento UG TP</v>
      </c>
      <c r="R900" s="43">
        <f>VLOOKUP(P900,ORD!$A:$C,3,0)</f>
        <v>15</v>
      </c>
      <c r="S900" t="str">
        <f t="shared" si="15"/>
        <v>735505010570000000000Cemento UG TP</v>
      </c>
      <c r="T900" t="str">
        <f>IFERROR(VLOOKUP(S900,Maestro!$A:$H,8,0),"Producción")</f>
        <v>Gasoil</v>
      </c>
      <c r="U900" s="43" t="s">
        <v>182</v>
      </c>
    </row>
    <row r="901" spans="1:21" x14ac:dyDescent="0.3">
      <c r="A901" s="43">
        <v>7355050105</v>
      </c>
      <c r="B901" s="43" t="s">
        <v>462</v>
      </c>
      <c r="C901" s="52"/>
      <c r="D901" s="57"/>
      <c r="E901" s="43" t="s">
        <v>581</v>
      </c>
      <c r="F901" s="43" t="s">
        <v>557</v>
      </c>
      <c r="G901" s="43" t="s">
        <v>570</v>
      </c>
      <c r="H901" s="43" t="s">
        <v>571</v>
      </c>
      <c r="I901" s="43" t="s">
        <v>560</v>
      </c>
      <c r="J901" s="43">
        <v>70000000000</v>
      </c>
      <c r="K901" s="43">
        <v>700090</v>
      </c>
      <c r="L901" s="43">
        <v>12</v>
      </c>
      <c r="M901" s="43" t="s">
        <v>813</v>
      </c>
      <c r="N901" s="53"/>
      <c r="O901" s="53"/>
      <c r="P901" s="43" t="str">
        <f>VLOOKUP(K901,Maestro!J:K,2,0)</f>
        <v>CEMENTO UG TP</v>
      </c>
      <c r="Q901" s="43" t="str">
        <f>VLOOKUP(P901,Maestro!E:F,2,0)</f>
        <v>Cemento UG TP</v>
      </c>
      <c r="R901" s="43">
        <f>VLOOKUP(P901,ORD!$A:$C,3,0)</f>
        <v>15</v>
      </c>
      <c r="S901" t="str">
        <f t="shared" si="15"/>
        <v>735505010570000000000Cemento UG TP</v>
      </c>
      <c r="T901" t="str">
        <f>IFERROR(VLOOKUP(S901,Maestro!$A:$H,8,0),"Producción")</f>
        <v>Gasoil</v>
      </c>
      <c r="U901" s="43" t="s">
        <v>182</v>
      </c>
    </row>
    <row r="902" spans="1:21" x14ac:dyDescent="0.3">
      <c r="A902" s="43">
        <v>7355050105</v>
      </c>
      <c r="B902" s="43" t="s">
        <v>462</v>
      </c>
      <c r="C902" s="52"/>
      <c r="D902" s="57"/>
      <c r="E902" s="43" t="s">
        <v>581</v>
      </c>
      <c r="F902" s="43" t="s">
        <v>557</v>
      </c>
      <c r="G902" s="43" t="s">
        <v>570</v>
      </c>
      <c r="H902" s="43" t="s">
        <v>571</v>
      </c>
      <c r="I902" s="43" t="s">
        <v>560</v>
      </c>
      <c r="J902" s="43">
        <v>70000000000</v>
      </c>
      <c r="K902" s="43">
        <v>700091</v>
      </c>
      <c r="L902" s="43">
        <v>1</v>
      </c>
      <c r="M902" s="43" t="s">
        <v>813</v>
      </c>
      <c r="N902" s="53"/>
      <c r="O902" s="53"/>
      <c r="P902" s="43" t="str">
        <f>VLOOKUP(K902,Maestro!J:K,2,0)</f>
        <v>FIBROCEMENTO</v>
      </c>
      <c r="Q902" s="43" t="str">
        <f>VLOOKUP(P902,Maestro!E:F,2,0)</f>
        <v>Fibrocemento</v>
      </c>
      <c r="R902" s="43">
        <f>VLOOKUP(P902,ORD!$A:$C,3,0)</f>
        <v>16</v>
      </c>
      <c r="S902" t="str">
        <f t="shared" si="15"/>
        <v>735505010570000000000Fibrocemento</v>
      </c>
      <c r="T902" t="str">
        <f>IFERROR(VLOOKUP(S902,Maestro!$A:$H,8,0),"Producción")</f>
        <v>Gasoil</v>
      </c>
      <c r="U902" s="43" t="s">
        <v>182</v>
      </c>
    </row>
    <row r="903" spans="1:21" x14ac:dyDescent="0.3">
      <c r="A903" s="43">
        <v>7355050105</v>
      </c>
      <c r="B903" s="43" t="s">
        <v>462</v>
      </c>
      <c r="C903" s="52"/>
      <c r="D903" s="57"/>
      <c r="E903" s="43" t="s">
        <v>581</v>
      </c>
      <c r="F903" s="43" t="s">
        <v>557</v>
      </c>
      <c r="G903" s="43" t="s">
        <v>570</v>
      </c>
      <c r="H903" s="43" t="s">
        <v>571</v>
      </c>
      <c r="I903" s="43" t="s">
        <v>560</v>
      </c>
      <c r="J903" s="43">
        <v>70000000000</v>
      </c>
      <c r="K903" s="43">
        <v>700091</v>
      </c>
      <c r="L903" s="43">
        <v>2</v>
      </c>
      <c r="M903" s="43" t="s">
        <v>813</v>
      </c>
      <c r="N903" s="53"/>
      <c r="O903" s="53"/>
      <c r="P903" s="43" t="str">
        <f>VLOOKUP(K903,Maestro!J:K,2,0)</f>
        <v>FIBROCEMENTO</v>
      </c>
      <c r="Q903" s="43" t="str">
        <f>VLOOKUP(P903,Maestro!E:F,2,0)</f>
        <v>Fibrocemento</v>
      </c>
      <c r="R903" s="43">
        <f>VLOOKUP(P903,ORD!$A:$C,3,0)</f>
        <v>16</v>
      </c>
      <c r="S903" t="str">
        <f t="shared" si="15"/>
        <v>735505010570000000000Fibrocemento</v>
      </c>
      <c r="T903" t="str">
        <f>IFERROR(VLOOKUP(S903,Maestro!$A:$H,8,0),"Producción")</f>
        <v>Gasoil</v>
      </c>
      <c r="U903" s="43" t="s">
        <v>182</v>
      </c>
    </row>
    <row r="904" spans="1:21" x14ac:dyDescent="0.3">
      <c r="A904" s="43">
        <v>7355050105</v>
      </c>
      <c r="B904" s="43" t="s">
        <v>462</v>
      </c>
      <c r="C904" s="52"/>
      <c r="D904" s="57"/>
      <c r="E904" s="43" t="s">
        <v>581</v>
      </c>
      <c r="F904" s="43" t="s">
        <v>557</v>
      </c>
      <c r="G904" s="43" t="s">
        <v>570</v>
      </c>
      <c r="H904" s="43" t="s">
        <v>571</v>
      </c>
      <c r="I904" s="43" t="s">
        <v>560</v>
      </c>
      <c r="J904" s="43">
        <v>70000000000</v>
      </c>
      <c r="K904" s="43">
        <v>700091</v>
      </c>
      <c r="L904" s="43">
        <v>3</v>
      </c>
      <c r="M904" s="43" t="s">
        <v>813</v>
      </c>
      <c r="N904" s="53"/>
      <c r="O904" s="53"/>
      <c r="P904" s="43" t="str">
        <f>VLOOKUP(K904,Maestro!J:K,2,0)</f>
        <v>FIBROCEMENTO</v>
      </c>
      <c r="Q904" s="43" t="str">
        <f>VLOOKUP(P904,Maestro!E:F,2,0)</f>
        <v>Fibrocemento</v>
      </c>
      <c r="R904" s="43">
        <f>VLOOKUP(P904,ORD!$A:$C,3,0)</f>
        <v>16</v>
      </c>
      <c r="S904" t="str">
        <f t="shared" si="15"/>
        <v>735505010570000000000Fibrocemento</v>
      </c>
      <c r="T904" t="str">
        <f>IFERROR(VLOOKUP(S904,Maestro!$A:$H,8,0),"Producción")</f>
        <v>Gasoil</v>
      </c>
      <c r="U904" s="43" t="s">
        <v>182</v>
      </c>
    </row>
    <row r="905" spans="1:21" x14ac:dyDescent="0.3">
      <c r="A905" s="43">
        <v>7355050105</v>
      </c>
      <c r="B905" s="43" t="s">
        <v>462</v>
      </c>
      <c r="C905" s="52"/>
      <c r="D905" s="57"/>
      <c r="E905" s="43" t="s">
        <v>581</v>
      </c>
      <c r="F905" s="43" t="s">
        <v>557</v>
      </c>
      <c r="G905" s="43" t="s">
        <v>570</v>
      </c>
      <c r="H905" s="43" t="s">
        <v>571</v>
      </c>
      <c r="I905" s="43" t="s">
        <v>560</v>
      </c>
      <c r="J905" s="43">
        <v>70000000000</v>
      </c>
      <c r="K905" s="43">
        <v>700091</v>
      </c>
      <c r="L905" s="43">
        <v>4</v>
      </c>
      <c r="M905" s="43" t="s">
        <v>813</v>
      </c>
      <c r="N905" s="53"/>
      <c r="O905" s="53"/>
      <c r="P905" s="43" t="str">
        <f>VLOOKUP(K905,Maestro!J:K,2,0)</f>
        <v>FIBROCEMENTO</v>
      </c>
      <c r="Q905" s="43" t="str">
        <f>VLOOKUP(P905,Maestro!E:F,2,0)</f>
        <v>Fibrocemento</v>
      </c>
      <c r="R905" s="43">
        <f>VLOOKUP(P905,ORD!$A:$C,3,0)</f>
        <v>16</v>
      </c>
      <c r="S905" t="str">
        <f t="shared" si="15"/>
        <v>735505010570000000000Fibrocemento</v>
      </c>
      <c r="T905" t="str">
        <f>IFERROR(VLOOKUP(S905,Maestro!$A:$H,8,0),"Producción")</f>
        <v>Gasoil</v>
      </c>
      <c r="U905" s="43" t="s">
        <v>182</v>
      </c>
    </row>
    <row r="906" spans="1:21" x14ac:dyDescent="0.3">
      <c r="A906" s="43">
        <v>7355050105</v>
      </c>
      <c r="B906" s="43" t="s">
        <v>462</v>
      </c>
      <c r="C906" s="52"/>
      <c r="D906" s="57"/>
      <c r="E906" s="43" t="s">
        <v>581</v>
      </c>
      <c r="F906" s="43" t="s">
        <v>557</v>
      </c>
      <c r="G906" s="43" t="s">
        <v>570</v>
      </c>
      <c r="H906" s="43" t="s">
        <v>571</v>
      </c>
      <c r="I906" s="43" t="s">
        <v>560</v>
      </c>
      <c r="J906" s="43">
        <v>70000000000</v>
      </c>
      <c r="K906" s="43">
        <v>700091</v>
      </c>
      <c r="L906" s="43">
        <v>5</v>
      </c>
      <c r="M906" s="43" t="s">
        <v>813</v>
      </c>
      <c r="N906" s="53"/>
      <c r="O906" s="53"/>
      <c r="P906" s="43" t="str">
        <f>VLOOKUP(K906,Maestro!J:K,2,0)</f>
        <v>FIBROCEMENTO</v>
      </c>
      <c r="Q906" s="43" t="str">
        <f>VLOOKUP(P906,Maestro!E:F,2,0)</f>
        <v>Fibrocemento</v>
      </c>
      <c r="R906" s="43">
        <f>VLOOKUP(P906,ORD!$A:$C,3,0)</f>
        <v>16</v>
      </c>
      <c r="S906" t="str">
        <f t="shared" si="15"/>
        <v>735505010570000000000Fibrocemento</v>
      </c>
      <c r="T906" t="str">
        <f>IFERROR(VLOOKUP(S906,Maestro!$A:$H,8,0),"Producción")</f>
        <v>Gasoil</v>
      </c>
      <c r="U906" s="43" t="s">
        <v>182</v>
      </c>
    </row>
    <row r="907" spans="1:21" x14ac:dyDescent="0.3">
      <c r="A907" s="43">
        <v>7355050105</v>
      </c>
      <c r="B907" s="43" t="s">
        <v>462</v>
      </c>
      <c r="C907" s="52"/>
      <c r="D907" s="57"/>
      <c r="E907" s="43" t="s">
        <v>581</v>
      </c>
      <c r="F907" s="43" t="s">
        <v>557</v>
      </c>
      <c r="G907" s="43" t="s">
        <v>570</v>
      </c>
      <c r="H907" s="43" t="s">
        <v>571</v>
      </c>
      <c r="I907" s="43" t="s">
        <v>560</v>
      </c>
      <c r="J907" s="43">
        <v>70000000000</v>
      </c>
      <c r="K907" s="43">
        <v>700091</v>
      </c>
      <c r="L907" s="43">
        <v>6</v>
      </c>
      <c r="M907" s="43" t="s">
        <v>813</v>
      </c>
      <c r="N907" s="53"/>
      <c r="O907" s="53"/>
      <c r="P907" s="43" t="str">
        <f>VLOOKUP(K907,Maestro!J:K,2,0)</f>
        <v>FIBROCEMENTO</v>
      </c>
      <c r="Q907" s="43" t="str">
        <f>VLOOKUP(P907,Maestro!E:F,2,0)</f>
        <v>Fibrocemento</v>
      </c>
      <c r="R907" s="43">
        <f>VLOOKUP(P907,ORD!$A:$C,3,0)</f>
        <v>16</v>
      </c>
      <c r="S907" t="str">
        <f t="shared" si="15"/>
        <v>735505010570000000000Fibrocemento</v>
      </c>
      <c r="T907" t="str">
        <f>IFERROR(VLOOKUP(S907,Maestro!$A:$H,8,0),"Producción")</f>
        <v>Gasoil</v>
      </c>
      <c r="U907" s="43" t="s">
        <v>182</v>
      </c>
    </row>
    <row r="908" spans="1:21" x14ac:dyDescent="0.3">
      <c r="A908" s="43">
        <v>7355050105</v>
      </c>
      <c r="B908" s="43" t="s">
        <v>462</v>
      </c>
      <c r="C908" s="52"/>
      <c r="D908" s="57"/>
      <c r="E908" s="43" t="s">
        <v>581</v>
      </c>
      <c r="F908" s="43" t="s">
        <v>557</v>
      </c>
      <c r="G908" s="43" t="s">
        <v>570</v>
      </c>
      <c r="H908" s="43" t="s">
        <v>571</v>
      </c>
      <c r="I908" s="43" t="s">
        <v>560</v>
      </c>
      <c r="J908" s="43">
        <v>70000000000</v>
      </c>
      <c r="K908" s="43">
        <v>700091</v>
      </c>
      <c r="L908" s="43">
        <v>7</v>
      </c>
      <c r="M908" s="43" t="s">
        <v>813</v>
      </c>
      <c r="N908" s="53"/>
      <c r="O908" s="53"/>
      <c r="P908" s="43" t="str">
        <f>VLOOKUP(K908,Maestro!J:K,2,0)</f>
        <v>FIBROCEMENTO</v>
      </c>
      <c r="Q908" s="43" t="str">
        <f>VLOOKUP(P908,Maestro!E:F,2,0)</f>
        <v>Fibrocemento</v>
      </c>
      <c r="R908" s="43">
        <f>VLOOKUP(P908,ORD!$A:$C,3,0)</f>
        <v>16</v>
      </c>
      <c r="S908" t="str">
        <f t="shared" si="15"/>
        <v>735505010570000000000Fibrocemento</v>
      </c>
      <c r="T908" t="str">
        <f>IFERROR(VLOOKUP(S908,Maestro!$A:$H,8,0),"Producción")</f>
        <v>Gasoil</v>
      </c>
      <c r="U908" s="43" t="s">
        <v>182</v>
      </c>
    </row>
    <row r="909" spans="1:21" x14ac:dyDescent="0.3">
      <c r="A909" s="43">
        <v>7355050105</v>
      </c>
      <c r="B909" s="43" t="s">
        <v>462</v>
      </c>
      <c r="C909" s="52"/>
      <c r="D909" s="57"/>
      <c r="E909" s="43" t="s">
        <v>581</v>
      </c>
      <c r="F909" s="43" t="s">
        <v>557</v>
      </c>
      <c r="G909" s="43" t="s">
        <v>570</v>
      </c>
      <c r="H909" s="43" t="s">
        <v>571</v>
      </c>
      <c r="I909" s="43" t="s">
        <v>560</v>
      </c>
      <c r="J909" s="43">
        <v>70000000000</v>
      </c>
      <c r="K909" s="43">
        <v>700091</v>
      </c>
      <c r="L909" s="43">
        <v>8</v>
      </c>
      <c r="M909" s="43" t="s">
        <v>813</v>
      </c>
      <c r="N909" s="53"/>
      <c r="O909" s="53"/>
      <c r="P909" s="43" t="str">
        <f>VLOOKUP(K909,Maestro!J:K,2,0)</f>
        <v>FIBROCEMENTO</v>
      </c>
      <c r="Q909" s="43" t="str">
        <f>VLOOKUP(P909,Maestro!E:F,2,0)</f>
        <v>Fibrocemento</v>
      </c>
      <c r="R909" s="43">
        <f>VLOOKUP(P909,ORD!$A:$C,3,0)</f>
        <v>16</v>
      </c>
      <c r="S909" t="str">
        <f t="shared" si="15"/>
        <v>735505010570000000000Fibrocemento</v>
      </c>
      <c r="T909" t="str">
        <f>IFERROR(VLOOKUP(S909,Maestro!$A:$H,8,0),"Producción")</f>
        <v>Gasoil</v>
      </c>
      <c r="U909" s="43" t="s">
        <v>182</v>
      </c>
    </row>
    <row r="910" spans="1:21" x14ac:dyDescent="0.3">
      <c r="A910" s="43">
        <v>7355050105</v>
      </c>
      <c r="B910" s="43" t="s">
        <v>462</v>
      </c>
      <c r="C910" s="52"/>
      <c r="D910" s="57"/>
      <c r="E910" s="43" t="s">
        <v>581</v>
      </c>
      <c r="F910" s="43" t="s">
        <v>557</v>
      </c>
      <c r="G910" s="43" t="s">
        <v>570</v>
      </c>
      <c r="H910" s="43" t="s">
        <v>571</v>
      </c>
      <c r="I910" s="43" t="s">
        <v>560</v>
      </c>
      <c r="J910" s="43">
        <v>70000000000</v>
      </c>
      <c r="K910" s="43">
        <v>700091</v>
      </c>
      <c r="L910" s="43">
        <v>9</v>
      </c>
      <c r="M910" s="43" t="s">
        <v>813</v>
      </c>
      <c r="N910" s="53"/>
      <c r="O910" s="53"/>
      <c r="P910" s="43" t="str">
        <f>VLOOKUP(K910,Maestro!J:K,2,0)</f>
        <v>FIBROCEMENTO</v>
      </c>
      <c r="Q910" s="43" t="str">
        <f>VLOOKUP(P910,Maestro!E:F,2,0)</f>
        <v>Fibrocemento</v>
      </c>
      <c r="R910" s="43">
        <f>VLOOKUP(P910,ORD!$A:$C,3,0)</f>
        <v>16</v>
      </c>
      <c r="S910" t="str">
        <f t="shared" si="15"/>
        <v>735505010570000000000Fibrocemento</v>
      </c>
      <c r="T910" t="str">
        <f>IFERROR(VLOOKUP(S910,Maestro!$A:$H,8,0),"Producción")</f>
        <v>Gasoil</v>
      </c>
      <c r="U910" s="43" t="s">
        <v>182</v>
      </c>
    </row>
    <row r="911" spans="1:21" x14ac:dyDescent="0.3">
      <c r="A911" s="43">
        <v>7355050105</v>
      </c>
      <c r="B911" s="43" t="s">
        <v>462</v>
      </c>
      <c r="C911" s="52"/>
      <c r="D911" s="57"/>
      <c r="E911" s="43" t="s">
        <v>581</v>
      </c>
      <c r="F911" s="43" t="s">
        <v>557</v>
      </c>
      <c r="G911" s="43" t="s">
        <v>570</v>
      </c>
      <c r="H911" s="43" t="s">
        <v>571</v>
      </c>
      <c r="I911" s="43" t="s">
        <v>560</v>
      </c>
      <c r="J911" s="43">
        <v>70000000000</v>
      </c>
      <c r="K911" s="43">
        <v>700091</v>
      </c>
      <c r="L911" s="43">
        <v>10</v>
      </c>
      <c r="M911" s="43" t="s">
        <v>813</v>
      </c>
      <c r="N911" s="53"/>
      <c r="O911" s="53"/>
      <c r="P911" s="43" t="str">
        <f>VLOOKUP(K911,Maestro!J:K,2,0)</f>
        <v>FIBROCEMENTO</v>
      </c>
      <c r="Q911" s="43" t="str">
        <f>VLOOKUP(P911,Maestro!E:F,2,0)</f>
        <v>Fibrocemento</v>
      </c>
      <c r="R911" s="43">
        <f>VLOOKUP(P911,ORD!$A:$C,3,0)</f>
        <v>16</v>
      </c>
      <c r="S911" t="str">
        <f t="shared" si="15"/>
        <v>735505010570000000000Fibrocemento</v>
      </c>
      <c r="T911" t="str">
        <f>IFERROR(VLOOKUP(S911,Maestro!$A:$H,8,0),"Producción")</f>
        <v>Gasoil</v>
      </c>
      <c r="U911" s="43" t="s">
        <v>182</v>
      </c>
    </row>
    <row r="912" spans="1:21" x14ac:dyDescent="0.3">
      <c r="A912" s="43">
        <v>7355050105</v>
      </c>
      <c r="B912" s="43" t="s">
        <v>462</v>
      </c>
      <c r="C912" s="52"/>
      <c r="D912" s="57"/>
      <c r="E912" s="43" t="s">
        <v>581</v>
      </c>
      <c r="F912" s="43" t="s">
        <v>557</v>
      </c>
      <c r="G912" s="43" t="s">
        <v>570</v>
      </c>
      <c r="H912" s="43" t="s">
        <v>571</v>
      </c>
      <c r="I912" s="43" t="s">
        <v>560</v>
      </c>
      <c r="J912" s="43">
        <v>70000000000</v>
      </c>
      <c r="K912" s="43">
        <v>700091</v>
      </c>
      <c r="L912" s="43">
        <v>11</v>
      </c>
      <c r="M912" s="43" t="s">
        <v>813</v>
      </c>
      <c r="N912" s="53"/>
      <c r="O912" s="53"/>
      <c r="P912" s="43" t="str">
        <f>VLOOKUP(K912,Maestro!J:K,2,0)</f>
        <v>FIBROCEMENTO</v>
      </c>
      <c r="Q912" s="43" t="str">
        <f>VLOOKUP(P912,Maestro!E:F,2,0)</f>
        <v>Fibrocemento</v>
      </c>
      <c r="R912" s="43">
        <f>VLOOKUP(P912,ORD!$A:$C,3,0)</f>
        <v>16</v>
      </c>
      <c r="S912" t="str">
        <f t="shared" si="15"/>
        <v>735505010570000000000Fibrocemento</v>
      </c>
      <c r="T912" t="str">
        <f>IFERROR(VLOOKUP(S912,Maestro!$A:$H,8,0),"Producción")</f>
        <v>Gasoil</v>
      </c>
      <c r="U912" s="43" t="s">
        <v>182</v>
      </c>
    </row>
    <row r="913" spans="1:21" x14ac:dyDescent="0.3">
      <c r="A913" s="43">
        <v>7355050105</v>
      </c>
      <c r="B913" s="43" t="s">
        <v>462</v>
      </c>
      <c r="C913" s="52"/>
      <c r="D913" s="57"/>
      <c r="E913" s="43" t="s">
        <v>581</v>
      </c>
      <c r="F913" s="43" t="s">
        <v>557</v>
      </c>
      <c r="G913" s="43" t="s">
        <v>570</v>
      </c>
      <c r="H913" s="43" t="s">
        <v>571</v>
      </c>
      <c r="I913" s="43" t="s">
        <v>560</v>
      </c>
      <c r="J913" s="43">
        <v>70000000000</v>
      </c>
      <c r="K913" s="43">
        <v>700091</v>
      </c>
      <c r="L913" s="43">
        <v>12</v>
      </c>
      <c r="M913" s="43" t="s">
        <v>813</v>
      </c>
      <c r="N913" s="53"/>
      <c r="O913" s="53"/>
      <c r="P913" s="43" t="str">
        <f>VLOOKUP(K913,Maestro!J:K,2,0)</f>
        <v>FIBROCEMENTO</v>
      </c>
      <c r="Q913" s="43" t="str">
        <f>VLOOKUP(P913,Maestro!E:F,2,0)</f>
        <v>Fibrocemento</v>
      </c>
      <c r="R913" s="43">
        <f>VLOOKUP(P913,ORD!$A:$C,3,0)</f>
        <v>16</v>
      </c>
      <c r="S913" t="str">
        <f t="shared" si="15"/>
        <v>735505010570000000000Fibrocemento</v>
      </c>
      <c r="T913" t="str">
        <f>IFERROR(VLOOKUP(S913,Maestro!$A:$H,8,0),"Producción")</f>
        <v>Gasoil</v>
      </c>
      <c r="U913" s="43" t="s">
        <v>182</v>
      </c>
    </row>
    <row r="914" spans="1:21" x14ac:dyDescent="0.3">
      <c r="A914" s="43">
        <v>7105450101</v>
      </c>
      <c r="B914" s="43" t="s">
        <v>466</v>
      </c>
      <c r="C914" s="50">
        <f>Datos!$H$64*D914+Datos!$H$90*D914</f>
        <v>56765664.241145872</v>
      </c>
      <c r="D914" s="56">
        <f>Datos!$H$254*Datos!$H$197*(1+Datos!$H$221)</f>
        <v>244.09097245940526</v>
      </c>
      <c r="E914" s="43" t="s">
        <v>556</v>
      </c>
      <c r="F914" s="43" t="s">
        <v>557</v>
      </c>
      <c r="G914" s="43" t="s">
        <v>577</v>
      </c>
      <c r="H914" s="43" t="s">
        <v>578</v>
      </c>
      <c r="I914" s="43" t="s">
        <v>560</v>
      </c>
      <c r="J914" s="43" t="s">
        <v>467</v>
      </c>
      <c r="K914" s="43">
        <v>700064</v>
      </c>
      <c r="L914" s="43">
        <v>1</v>
      </c>
      <c r="M914" s="43" t="s">
        <v>579</v>
      </c>
      <c r="N914" s="51"/>
      <c r="O914" s="51"/>
      <c r="P914" s="43" t="str">
        <f>VLOOKUP(K914,Maestro!J:K,2,0)</f>
        <v>FIBROCEMENTO</v>
      </c>
      <c r="Q914" s="43" t="str">
        <f>VLOOKUP(P914,Maestro!E:F,2,0)</f>
        <v>Fibrocemento</v>
      </c>
      <c r="R914" s="43">
        <f>VLOOKUP(P914,ORD!$A:$C,3,0)</f>
        <v>16</v>
      </c>
      <c r="S914" t="str">
        <f t="shared" si="15"/>
        <v>7105450101YESO00001Fibrocemento</v>
      </c>
      <c r="T914" t="str">
        <f>IFERROR(VLOOKUP(S914,Maestro!$A:$H,8,0),"Producción")</f>
        <v>Yeso</v>
      </c>
      <c r="U914" s="43" t="s">
        <v>182</v>
      </c>
    </row>
    <row r="915" spans="1:21" x14ac:dyDescent="0.3">
      <c r="A915" s="43">
        <v>7105330101</v>
      </c>
      <c r="B915" s="43" t="s">
        <v>443</v>
      </c>
      <c r="C915" s="52"/>
      <c r="D915" s="56">
        <f>Datos!$H$254*Datos!$H$196*(1+Datos!$H$210)</f>
        <v>0</v>
      </c>
      <c r="E915" s="43" t="s">
        <v>556</v>
      </c>
      <c r="F915" s="43" t="s">
        <v>557</v>
      </c>
      <c r="G915" s="43" t="s">
        <v>563</v>
      </c>
      <c r="H915" s="43" t="s">
        <v>564</v>
      </c>
      <c r="I915" s="43" t="s">
        <v>560</v>
      </c>
      <c r="J915" s="43" t="s">
        <v>444</v>
      </c>
      <c r="K915" s="43">
        <v>700064</v>
      </c>
      <c r="L915" s="43">
        <v>1</v>
      </c>
      <c r="M915" s="43" t="s">
        <v>565</v>
      </c>
      <c r="N915" s="51"/>
      <c r="O915" s="51"/>
      <c r="P915" s="43" t="str">
        <f>VLOOKUP(K915,Maestro!J:K,2,0)</f>
        <v>FIBROCEMENTO</v>
      </c>
      <c r="Q915" s="43" t="str">
        <f>VLOOKUP(P915,Maestro!E:F,2,0)</f>
        <v>Fibrocemento</v>
      </c>
      <c r="R915" s="43">
        <f>VLOOKUP(P915,ORD!$A:$C,3,0)</f>
        <v>16</v>
      </c>
      <c r="S915" t="str">
        <f t="shared" si="15"/>
        <v>7105330101CALIZATRIFibrocemento</v>
      </c>
      <c r="T915" t="str">
        <f>IFERROR(VLOOKUP(S915,Maestro!$A:$H,8,0),"Producción")</f>
        <v>Caliza Triturada</v>
      </c>
      <c r="U915" s="43" t="s">
        <v>182</v>
      </c>
    </row>
    <row r="916" spans="1:21" x14ac:dyDescent="0.3">
      <c r="A916" s="43">
        <v>7199990001</v>
      </c>
      <c r="B916" s="43" t="s">
        <v>438</v>
      </c>
      <c r="C916" s="50"/>
      <c r="D916" s="56">
        <f>Datos!$H$254*Datos!$H$195*(1+Datos!$H$219)</f>
        <v>2559.8738397094803</v>
      </c>
      <c r="E916" s="43" t="s">
        <v>556</v>
      </c>
      <c r="F916" s="43" t="s">
        <v>557</v>
      </c>
      <c r="G916" s="43" t="s">
        <v>567</v>
      </c>
      <c r="H916" s="43" t="s">
        <v>568</v>
      </c>
      <c r="I916" s="43" t="s">
        <v>560</v>
      </c>
      <c r="J916" s="43" t="s">
        <v>463</v>
      </c>
      <c r="K916" s="43">
        <v>700064</v>
      </c>
      <c r="L916" s="43">
        <v>1</v>
      </c>
      <c r="M916" s="43" t="s">
        <v>62</v>
      </c>
      <c r="N916" s="51"/>
      <c r="O916" s="51"/>
      <c r="P916" s="43" t="str">
        <f>VLOOKUP(K916,Maestro!J:K,2,0)</f>
        <v>FIBROCEMENTO</v>
      </c>
      <c r="Q916" s="43" t="str">
        <f>VLOOKUP(P916,Maestro!E:F,2,0)</f>
        <v>Fibrocemento</v>
      </c>
      <c r="R916" s="43">
        <f>VLOOKUP(P916,ORD!$A:$C,3,0)</f>
        <v>16</v>
      </c>
      <c r="S916" t="str">
        <f t="shared" si="15"/>
        <v>7199990001CLINKER001Fibrocemento</v>
      </c>
      <c r="T916" t="str">
        <f>IFERROR(VLOOKUP(S916,Maestro!$A:$H,8,0),"Producción")</f>
        <v>Clinker</v>
      </c>
      <c r="U916" s="43" t="s">
        <v>182</v>
      </c>
    </row>
    <row r="917" spans="1:21" x14ac:dyDescent="0.3">
      <c r="A917" s="43">
        <v>7999999995</v>
      </c>
      <c r="B917" s="43" t="s">
        <v>566</v>
      </c>
      <c r="C917" s="50"/>
      <c r="D917" s="56">
        <f>-Datos!$H$254</f>
        <v>-2800.7372425705471</v>
      </c>
      <c r="E917" s="43" t="s">
        <v>556</v>
      </c>
      <c r="F917" s="43" t="s">
        <v>557</v>
      </c>
      <c r="G917" s="43" t="s">
        <v>567</v>
      </c>
      <c r="H917" s="43" t="s">
        <v>568</v>
      </c>
      <c r="I917" s="43" t="s">
        <v>560</v>
      </c>
      <c r="J917" s="43" t="s">
        <v>595</v>
      </c>
      <c r="K917" s="43">
        <v>700064</v>
      </c>
      <c r="L917" s="43">
        <v>1</v>
      </c>
      <c r="M917" s="43" t="s">
        <v>61</v>
      </c>
      <c r="N917" s="51"/>
      <c r="O917" s="51"/>
      <c r="P917" s="43" t="str">
        <f>VLOOKUP(K917,Maestro!J:K,2,0)</f>
        <v>FIBROCEMENTO</v>
      </c>
      <c r="Q917" s="43" t="str">
        <f>VLOOKUP(P917,Maestro!E:F,2,0)</f>
        <v>Fibrocemento</v>
      </c>
      <c r="R917" s="43">
        <f>VLOOKUP(P917,ORD!$A:$C,3,0)</f>
        <v>16</v>
      </c>
      <c r="S917" t="str">
        <f t="shared" si="15"/>
        <v>7999999995CEMENTOFCEFibrocemento</v>
      </c>
      <c r="T917" t="str">
        <f>IFERROR(VLOOKUP(S917,Maestro!$A:$H,8,0),"Producción")</f>
        <v>Producción</v>
      </c>
      <c r="U917" s="43" t="s">
        <v>182</v>
      </c>
    </row>
    <row r="918" spans="1:21" x14ac:dyDescent="0.3">
      <c r="A918" s="43">
        <v>7355250320</v>
      </c>
      <c r="B918" s="43" t="s">
        <v>490</v>
      </c>
      <c r="C918" s="52">
        <f>Datos!$H$120*D918</f>
        <v>4180605.6607851516</v>
      </c>
      <c r="D918" s="56">
        <f>Datos!$H$254</f>
        <v>2800.7372425705471</v>
      </c>
      <c r="E918" s="57"/>
      <c r="F918" s="58"/>
      <c r="G918" s="43"/>
      <c r="H918" s="43"/>
      <c r="I918" s="43" t="s">
        <v>560</v>
      </c>
      <c r="J918" s="43" t="s">
        <v>802</v>
      </c>
      <c r="K918" s="43">
        <v>700064</v>
      </c>
      <c r="L918" s="43">
        <v>1</v>
      </c>
      <c r="M918" s="43" t="s">
        <v>61</v>
      </c>
      <c r="N918" s="53"/>
      <c r="O918" s="53"/>
      <c r="P918" s="43" t="str">
        <f>VLOOKUP(K918,Maestro!J:K,2,0)</f>
        <v>FIBROCEMENTO</v>
      </c>
      <c r="Q918" s="43" t="str">
        <f>VLOOKUP(P918,Maestro!E:F,2,0)</f>
        <v>Fibrocemento</v>
      </c>
      <c r="R918" s="43">
        <f>VLOOKUP(P918,ORD!$A:$C,3,0)</f>
        <v>16</v>
      </c>
      <c r="S918" t="str">
        <f t="shared" si="15"/>
        <v>7355250320PLACAS Y SEGMENTOSFibrocemento</v>
      </c>
      <c r="T918" t="str">
        <f>IFERROR(VLOOKUP(S918,Maestro!$A:$H,8,0),"Producción")</f>
        <v>Placas y Segmentos</v>
      </c>
      <c r="U918" s="43" t="s">
        <v>182</v>
      </c>
    </row>
    <row r="919" spans="1:21" x14ac:dyDescent="0.3">
      <c r="A919" s="43">
        <v>7105450101</v>
      </c>
      <c r="B919" s="43" t="s">
        <v>466</v>
      </c>
      <c r="C919" s="50">
        <f>Datos!$I$64*D919+Datos!$I$90*D919</f>
        <v>57501155.153518975</v>
      </c>
      <c r="D919" s="56">
        <f>Datos!$I$254*Datos!$I$197*(1+Datos!$I$221)</f>
        <v>247.28358891879955</v>
      </c>
      <c r="E919" s="43" t="s">
        <v>556</v>
      </c>
      <c r="F919" s="43" t="s">
        <v>557</v>
      </c>
      <c r="G919" s="43" t="s">
        <v>577</v>
      </c>
      <c r="H919" s="43" t="s">
        <v>578</v>
      </c>
      <c r="I919" s="43" t="s">
        <v>560</v>
      </c>
      <c r="J919" s="43" t="s">
        <v>467</v>
      </c>
      <c r="K919" s="43">
        <v>700064</v>
      </c>
      <c r="L919" s="43">
        <v>2</v>
      </c>
      <c r="M919" s="43" t="s">
        <v>579</v>
      </c>
      <c r="N919" s="51"/>
      <c r="O919" s="51"/>
      <c r="P919" s="43" t="str">
        <f>VLOOKUP(K919,Maestro!J:K,2,0)</f>
        <v>FIBROCEMENTO</v>
      </c>
      <c r="Q919" s="43" t="str">
        <f>VLOOKUP(P919,Maestro!E:F,2,0)</f>
        <v>Fibrocemento</v>
      </c>
      <c r="R919" s="43">
        <f>VLOOKUP(P919,ORD!$A:$C,3,0)</f>
        <v>16</v>
      </c>
      <c r="S919" t="str">
        <f t="shared" si="15"/>
        <v>7105450101YESO00001Fibrocemento</v>
      </c>
      <c r="T919" t="str">
        <f>IFERROR(VLOOKUP(S919,Maestro!$A:$H,8,0),"Producción")</f>
        <v>Yeso</v>
      </c>
      <c r="U919" s="43" t="s">
        <v>182</v>
      </c>
    </row>
    <row r="920" spans="1:21" x14ac:dyDescent="0.3">
      <c r="A920" s="43">
        <v>7105330101</v>
      </c>
      <c r="B920" s="43" t="s">
        <v>443</v>
      </c>
      <c r="C920" s="52"/>
      <c r="D920" s="56">
        <f>Datos!$I$254*Datos!$I$196*(1+Datos!$I$210)</f>
        <v>0</v>
      </c>
      <c r="E920" s="43" t="s">
        <v>556</v>
      </c>
      <c r="F920" s="43" t="s">
        <v>557</v>
      </c>
      <c r="G920" s="43" t="s">
        <v>563</v>
      </c>
      <c r="H920" s="43" t="s">
        <v>564</v>
      </c>
      <c r="I920" s="43" t="s">
        <v>560</v>
      </c>
      <c r="J920" s="43" t="s">
        <v>444</v>
      </c>
      <c r="K920" s="43">
        <v>700064</v>
      </c>
      <c r="L920" s="43">
        <v>2</v>
      </c>
      <c r="M920" s="43" t="s">
        <v>565</v>
      </c>
      <c r="N920" s="51"/>
      <c r="O920" s="51"/>
      <c r="P920" s="43" t="str">
        <f>VLOOKUP(K920,Maestro!J:K,2,0)</f>
        <v>FIBROCEMENTO</v>
      </c>
      <c r="Q920" s="43" t="str">
        <f>VLOOKUP(P920,Maestro!E:F,2,0)</f>
        <v>Fibrocemento</v>
      </c>
      <c r="R920" s="43">
        <f>VLOOKUP(P920,ORD!$A:$C,3,0)</f>
        <v>16</v>
      </c>
      <c r="S920" t="str">
        <f t="shared" si="15"/>
        <v>7105330101CALIZATRIFibrocemento</v>
      </c>
      <c r="T920" t="str">
        <f>IFERROR(VLOOKUP(S920,Maestro!$A:$H,8,0),"Producción")</f>
        <v>Caliza Triturada</v>
      </c>
      <c r="U920" s="43" t="s">
        <v>182</v>
      </c>
    </row>
    <row r="921" spans="1:21" x14ac:dyDescent="0.3">
      <c r="A921" s="43">
        <v>7199990001</v>
      </c>
      <c r="B921" s="43" t="s">
        <v>438</v>
      </c>
      <c r="C921" s="50"/>
      <c r="D921" s="56">
        <f>Datos!$I$254*Datos!$I$195*(1+Datos!$I$219)</f>
        <v>2593.356009378776</v>
      </c>
      <c r="E921" s="43" t="s">
        <v>556</v>
      </c>
      <c r="F921" s="43" t="s">
        <v>557</v>
      </c>
      <c r="G921" s="43" t="s">
        <v>567</v>
      </c>
      <c r="H921" s="43" t="s">
        <v>568</v>
      </c>
      <c r="I921" s="43" t="s">
        <v>560</v>
      </c>
      <c r="J921" s="43" t="s">
        <v>463</v>
      </c>
      <c r="K921" s="43">
        <v>700064</v>
      </c>
      <c r="L921" s="43">
        <v>2</v>
      </c>
      <c r="M921" s="43" t="s">
        <v>62</v>
      </c>
      <c r="N921" s="51"/>
      <c r="O921" s="51"/>
      <c r="P921" s="43" t="str">
        <f>VLOOKUP(K921,Maestro!J:K,2,0)</f>
        <v>FIBROCEMENTO</v>
      </c>
      <c r="Q921" s="43" t="str">
        <f>VLOOKUP(P921,Maestro!E:F,2,0)</f>
        <v>Fibrocemento</v>
      </c>
      <c r="R921" s="43">
        <f>VLOOKUP(P921,ORD!$A:$C,3,0)</f>
        <v>16</v>
      </c>
      <c r="S921" t="str">
        <f t="shared" si="15"/>
        <v>7199990001CLINKER001Fibrocemento</v>
      </c>
      <c r="T921" t="str">
        <f>IFERROR(VLOOKUP(S921,Maestro!$A:$H,8,0),"Producción")</f>
        <v>Clinker</v>
      </c>
      <c r="U921" s="43" t="s">
        <v>182</v>
      </c>
    </row>
    <row r="922" spans="1:21" x14ac:dyDescent="0.3">
      <c r="A922" s="43">
        <v>7999999995</v>
      </c>
      <c r="B922" s="43" t="s">
        <v>566</v>
      </c>
      <c r="C922" s="50"/>
      <c r="D922" s="56">
        <f>-Datos!$I$254</f>
        <v>-2837.3698133247003</v>
      </c>
      <c r="E922" s="43" t="s">
        <v>556</v>
      </c>
      <c r="F922" s="43" t="s">
        <v>557</v>
      </c>
      <c r="G922" s="43" t="s">
        <v>567</v>
      </c>
      <c r="H922" s="43" t="s">
        <v>568</v>
      </c>
      <c r="I922" s="43" t="s">
        <v>560</v>
      </c>
      <c r="J922" s="43" t="s">
        <v>595</v>
      </c>
      <c r="K922" s="43">
        <v>700064</v>
      </c>
      <c r="L922" s="43">
        <v>2</v>
      </c>
      <c r="M922" s="43" t="s">
        <v>61</v>
      </c>
      <c r="N922" s="51"/>
      <c r="O922" s="51"/>
      <c r="P922" s="43" t="str">
        <f>VLOOKUP(K922,Maestro!J:K,2,0)</f>
        <v>FIBROCEMENTO</v>
      </c>
      <c r="Q922" s="43" t="str">
        <f>VLOOKUP(P922,Maestro!E:F,2,0)</f>
        <v>Fibrocemento</v>
      </c>
      <c r="R922" s="43">
        <f>VLOOKUP(P922,ORD!$A:$C,3,0)</f>
        <v>16</v>
      </c>
      <c r="S922" t="str">
        <f t="shared" si="15"/>
        <v>7999999995CEMENTOFCEFibrocemento</v>
      </c>
      <c r="T922" t="str">
        <f>IFERROR(VLOOKUP(S922,Maestro!$A:$H,8,0),"Producción")</f>
        <v>Producción</v>
      </c>
      <c r="U922" s="43" t="s">
        <v>182</v>
      </c>
    </row>
    <row r="923" spans="1:21" x14ac:dyDescent="0.3">
      <c r="A923" s="43">
        <v>7355250320</v>
      </c>
      <c r="B923" s="43" t="s">
        <v>490</v>
      </c>
      <c r="C923" s="52">
        <f>Datos!$I$120*D923</f>
        <v>4235286.3821095722</v>
      </c>
      <c r="D923" s="56">
        <f>Datos!$I$254</f>
        <v>2837.3698133247003</v>
      </c>
      <c r="E923" s="57"/>
      <c r="F923" s="58"/>
      <c r="G923" s="43"/>
      <c r="H923" s="43"/>
      <c r="I923" s="43" t="s">
        <v>560</v>
      </c>
      <c r="J923" s="43" t="s">
        <v>802</v>
      </c>
      <c r="K923" s="43">
        <v>700064</v>
      </c>
      <c r="L923" s="43">
        <v>2</v>
      </c>
      <c r="M923" s="43" t="s">
        <v>61</v>
      </c>
      <c r="N923" s="53"/>
      <c r="O923" s="53"/>
      <c r="P923" s="43" t="str">
        <f>VLOOKUP(K923,Maestro!J:K,2,0)</f>
        <v>FIBROCEMENTO</v>
      </c>
      <c r="Q923" s="43" t="str">
        <f>VLOOKUP(P923,Maestro!E:F,2,0)</f>
        <v>Fibrocemento</v>
      </c>
      <c r="R923" s="43">
        <f>VLOOKUP(P923,ORD!$A:$C,3,0)</f>
        <v>16</v>
      </c>
      <c r="S923" t="str">
        <f t="shared" si="15"/>
        <v>7355250320PLACAS Y SEGMENTOSFibrocemento</v>
      </c>
      <c r="T923" t="str">
        <f>IFERROR(VLOOKUP(S923,Maestro!$A:$H,8,0),"Producción")</f>
        <v>Placas y Segmentos</v>
      </c>
      <c r="U923" s="43" t="s">
        <v>182</v>
      </c>
    </row>
    <row r="924" spans="1:21" x14ac:dyDescent="0.3">
      <c r="A924" s="43">
        <v>7105450101</v>
      </c>
      <c r="B924" s="43" t="s">
        <v>466</v>
      </c>
      <c r="C924" s="50">
        <f>Datos!$J$64*D924+Datos!$J$90*D924</f>
        <v>58297947.825787671</v>
      </c>
      <c r="D924" s="56">
        <f>Datos!$J$254*Datos!$J$197*(1+Datos!$J$221)</f>
        <v>250.52570256659453</v>
      </c>
      <c r="E924" s="43" t="s">
        <v>556</v>
      </c>
      <c r="F924" s="43" t="s">
        <v>557</v>
      </c>
      <c r="G924" s="43" t="s">
        <v>577</v>
      </c>
      <c r="H924" s="43" t="s">
        <v>578</v>
      </c>
      <c r="I924" s="43" t="s">
        <v>560</v>
      </c>
      <c r="J924" s="43" t="s">
        <v>467</v>
      </c>
      <c r="K924" s="43">
        <v>700064</v>
      </c>
      <c r="L924" s="43">
        <v>3</v>
      </c>
      <c r="M924" s="43" t="s">
        <v>579</v>
      </c>
      <c r="N924" s="51"/>
      <c r="O924" s="51"/>
      <c r="P924" s="43" t="str">
        <f>VLOOKUP(K924,Maestro!J:K,2,0)</f>
        <v>FIBROCEMENTO</v>
      </c>
      <c r="Q924" s="43" t="str">
        <f>VLOOKUP(P924,Maestro!E:F,2,0)</f>
        <v>Fibrocemento</v>
      </c>
      <c r="R924" s="43">
        <f>VLOOKUP(P924,ORD!$A:$C,3,0)</f>
        <v>16</v>
      </c>
      <c r="S924" t="str">
        <f t="shared" si="15"/>
        <v>7105450101YESO00001Fibrocemento</v>
      </c>
      <c r="T924" t="str">
        <f>IFERROR(VLOOKUP(S924,Maestro!$A:$H,8,0),"Producción")</f>
        <v>Yeso</v>
      </c>
      <c r="U924" s="43" t="s">
        <v>182</v>
      </c>
    </row>
    <row r="925" spans="1:21" x14ac:dyDescent="0.3">
      <c r="A925" s="43">
        <v>7105330101</v>
      </c>
      <c r="B925" s="43" t="s">
        <v>443</v>
      </c>
      <c r="C925" s="52"/>
      <c r="D925" s="56">
        <f>Datos!$J$254*Datos!$J$196*(1+Datos!$J$210)</f>
        <v>0</v>
      </c>
      <c r="E925" s="43" t="s">
        <v>556</v>
      </c>
      <c r="F925" s="43" t="s">
        <v>557</v>
      </c>
      <c r="G925" s="43" t="s">
        <v>563</v>
      </c>
      <c r="H925" s="43" t="s">
        <v>564</v>
      </c>
      <c r="I925" s="43" t="s">
        <v>560</v>
      </c>
      <c r="J925" s="43" t="s">
        <v>444</v>
      </c>
      <c r="K925" s="43">
        <v>700064</v>
      </c>
      <c r="L925" s="43">
        <v>3</v>
      </c>
      <c r="M925" s="43" t="s">
        <v>565</v>
      </c>
      <c r="N925" s="51"/>
      <c r="O925" s="51"/>
      <c r="P925" s="43" t="str">
        <f>VLOOKUP(K925,Maestro!J:K,2,0)</f>
        <v>FIBROCEMENTO</v>
      </c>
      <c r="Q925" s="43" t="str">
        <f>VLOOKUP(P925,Maestro!E:F,2,0)</f>
        <v>Fibrocemento</v>
      </c>
      <c r="R925" s="43">
        <f>VLOOKUP(P925,ORD!$A:$C,3,0)</f>
        <v>16</v>
      </c>
      <c r="S925" t="str">
        <f t="shared" si="15"/>
        <v>7105330101CALIZATRIFibrocemento</v>
      </c>
      <c r="T925" t="str">
        <f>IFERROR(VLOOKUP(S925,Maestro!$A:$H,8,0),"Producción")</f>
        <v>Caliza Triturada</v>
      </c>
      <c r="U925" s="43" t="s">
        <v>182</v>
      </c>
    </row>
    <row r="926" spans="1:21" x14ac:dyDescent="0.3">
      <c r="A926" s="43">
        <v>7199990001</v>
      </c>
      <c r="B926" s="43" t="s">
        <v>438</v>
      </c>
      <c r="C926" s="50"/>
      <c r="D926" s="56">
        <f>Datos!$J$254*Datos!$J$195*(1+Datos!$J$219)</f>
        <v>2627.3572746805307</v>
      </c>
      <c r="E926" s="43" t="s">
        <v>556</v>
      </c>
      <c r="F926" s="43" t="s">
        <v>557</v>
      </c>
      <c r="G926" s="43" t="s">
        <v>567</v>
      </c>
      <c r="H926" s="43" t="s">
        <v>568</v>
      </c>
      <c r="I926" s="43" t="s">
        <v>560</v>
      </c>
      <c r="J926" s="43" t="s">
        <v>463</v>
      </c>
      <c r="K926" s="43">
        <v>700064</v>
      </c>
      <c r="L926" s="43">
        <v>3</v>
      </c>
      <c r="M926" s="43" t="s">
        <v>62</v>
      </c>
      <c r="N926" s="51"/>
      <c r="O926" s="51"/>
      <c r="P926" s="43" t="str">
        <f>VLOOKUP(K926,Maestro!J:K,2,0)</f>
        <v>FIBROCEMENTO</v>
      </c>
      <c r="Q926" s="43" t="str">
        <f>VLOOKUP(P926,Maestro!E:F,2,0)</f>
        <v>Fibrocemento</v>
      </c>
      <c r="R926" s="43">
        <f>VLOOKUP(P926,ORD!$A:$C,3,0)</f>
        <v>16</v>
      </c>
      <c r="S926" t="str">
        <f t="shared" si="15"/>
        <v>7199990001CLINKER001Fibrocemento</v>
      </c>
      <c r="T926" t="str">
        <f>IFERROR(VLOOKUP(S926,Maestro!$A:$H,8,0),"Producción")</f>
        <v>Clinker</v>
      </c>
      <c r="U926" s="43" t="s">
        <v>182</v>
      </c>
    </row>
    <row r="927" spans="1:21" x14ac:dyDescent="0.3">
      <c r="A927" s="43">
        <v>7999999995</v>
      </c>
      <c r="B927" s="43" t="s">
        <v>566</v>
      </c>
      <c r="C927" s="50"/>
      <c r="D927" s="56">
        <f>-Datos!$J$254</f>
        <v>-2874.5703224075828</v>
      </c>
      <c r="E927" s="43" t="s">
        <v>556</v>
      </c>
      <c r="F927" s="43" t="s">
        <v>557</v>
      </c>
      <c r="G927" s="43" t="s">
        <v>567</v>
      </c>
      <c r="H927" s="43" t="s">
        <v>568</v>
      </c>
      <c r="I927" s="43" t="s">
        <v>560</v>
      </c>
      <c r="J927" s="43" t="s">
        <v>595</v>
      </c>
      <c r="K927" s="43">
        <v>700064</v>
      </c>
      <c r="L927" s="43">
        <v>3</v>
      </c>
      <c r="M927" s="43" t="s">
        <v>61</v>
      </c>
      <c r="N927" s="51"/>
      <c r="O927" s="51"/>
      <c r="P927" s="43" t="str">
        <f>VLOOKUP(K927,Maestro!J:K,2,0)</f>
        <v>FIBROCEMENTO</v>
      </c>
      <c r="Q927" s="43" t="str">
        <f>VLOOKUP(P927,Maestro!E:F,2,0)</f>
        <v>Fibrocemento</v>
      </c>
      <c r="R927" s="43">
        <f>VLOOKUP(P927,ORD!$A:$C,3,0)</f>
        <v>16</v>
      </c>
      <c r="S927" t="str">
        <f t="shared" si="15"/>
        <v>7999999995CEMENTOFCEFibrocemento</v>
      </c>
      <c r="T927" t="str">
        <f>IFERROR(VLOOKUP(S927,Maestro!$A:$H,8,0),"Producción")</f>
        <v>Producción</v>
      </c>
      <c r="U927" s="43" t="s">
        <v>182</v>
      </c>
    </row>
    <row r="928" spans="1:21" x14ac:dyDescent="0.3">
      <c r="A928" s="43">
        <v>7355250320</v>
      </c>
      <c r="B928" s="43" t="s">
        <v>490</v>
      </c>
      <c r="C928" s="52">
        <f>Datos!$J$120*D928</f>
        <v>4290814.8538605487</v>
      </c>
      <c r="D928" s="56">
        <f>Datos!$J$254</f>
        <v>2874.5703224075828</v>
      </c>
      <c r="E928" s="57"/>
      <c r="F928" s="58"/>
      <c r="G928" s="43"/>
      <c r="H928" s="43"/>
      <c r="I928" s="43" t="s">
        <v>560</v>
      </c>
      <c r="J928" s="43" t="s">
        <v>802</v>
      </c>
      <c r="K928" s="43">
        <v>700064</v>
      </c>
      <c r="L928" s="43">
        <v>3</v>
      </c>
      <c r="M928" s="43" t="s">
        <v>61</v>
      </c>
      <c r="N928" s="53"/>
      <c r="O928" s="53"/>
      <c r="P928" s="43" t="str">
        <f>VLOOKUP(K928,Maestro!J:K,2,0)</f>
        <v>FIBROCEMENTO</v>
      </c>
      <c r="Q928" s="43" t="str">
        <f>VLOOKUP(P928,Maestro!E:F,2,0)</f>
        <v>Fibrocemento</v>
      </c>
      <c r="R928" s="43">
        <f>VLOOKUP(P928,ORD!$A:$C,3,0)</f>
        <v>16</v>
      </c>
      <c r="S928" t="str">
        <f t="shared" si="15"/>
        <v>7355250320PLACAS Y SEGMENTOSFibrocemento</v>
      </c>
      <c r="T928" t="str">
        <f>IFERROR(VLOOKUP(S928,Maestro!$A:$H,8,0),"Producción")</f>
        <v>Placas y Segmentos</v>
      </c>
      <c r="U928" s="43" t="s">
        <v>182</v>
      </c>
    </row>
    <row r="929" spans="1:21" x14ac:dyDescent="0.3">
      <c r="A929" s="43">
        <v>7105450101</v>
      </c>
      <c r="B929" s="43" t="s">
        <v>466</v>
      </c>
      <c r="C929" s="50">
        <f>Datos!$K$64*D929+Datos!$K$90*D929</f>
        <v>53392097.117234007</v>
      </c>
      <c r="D929" s="56">
        <f>Datos!$K$254*Datos!$K$197*(1+Datos!$K$221)</f>
        <v>229.43650290355174</v>
      </c>
      <c r="E929" s="43" t="s">
        <v>556</v>
      </c>
      <c r="F929" s="43" t="s">
        <v>557</v>
      </c>
      <c r="G929" s="43" t="s">
        <v>577</v>
      </c>
      <c r="H929" s="43" t="s">
        <v>578</v>
      </c>
      <c r="I929" s="43" t="s">
        <v>560</v>
      </c>
      <c r="J929" s="43" t="s">
        <v>467</v>
      </c>
      <c r="K929" s="43">
        <v>700064</v>
      </c>
      <c r="L929" s="43">
        <v>4</v>
      </c>
      <c r="M929" s="43" t="s">
        <v>579</v>
      </c>
      <c r="N929" s="51"/>
      <c r="O929" s="51"/>
      <c r="P929" s="43" t="str">
        <f>VLOOKUP(K929,Maestro!J:K,2,0)</f>
        <v>FIBROCEMENTO</v>
      </c>
      <c r="Q929" s="43" t="str">
        <f>VLOOKUP(P929,Maestro!E:F,2,0)</f>
        <v>Fibrocemento</v>
      </c>
      <c r="R929" s="43">
        <f>VLOOKUP(P929,ORD!$A:$C,3,0)</f>
        <v>16</v>
      </c>
      <c r="S929" t="str">
        <f t="shared" si="15"/>
        <v>7105450101YESO00001Fibrocemento</v>
      </c>
      <c r="T929" t="str">
        <f>IFERROR(VLOOKUP(S929,Maestro!$A:$H,8,0),"Producción")</f>
        <v>Yeso</v>
      </c>
      <c r="U929" s="43" t="s">
        <v>182</v>
      </c>
    </row>
    <row r="930" spans="1:21" x14ac:dyDescent="0.3">
      <c r="A930" s="43">
        <v>7105330101</v>
      </c>
      <c r="B930" s="43" t="s">
        <v>443</v>
      </c>
      <c r="C930" s="52"/>
      <c r="D930" s="56">
        <f>Datos!$K$254*Datos!$K$196*(1+Datos!$K$210)</f>
        <v>0</v>
      </c>
      <c r="E930" s="43" t="s">
        <v>556</v>
      </c>
      <c r="F930" s="43" t="s">
        <v>557</v>
      </c>
      <c r="G930" s="43" t="s">
        <v>563</v>
      </c>
      <c r="H930" s="43" t="s">
        <v>564</v>
      </c>
      <c r="I930" s="43" t="s">
        <v>560</v>
      </c>
      <c r="J930" s="43" t="s">
        <v>444</v>
      </c>
      <c r="K930" s="43">
        <v>700064</v>
      </c>
      <c r="L930" s="43">
        <v>4</v>
      </c>
      <c r="M930" s="43" t="s">
        <v>565</v>
      </c>
      <c r="N930" s="51"/>
      <c r="O930" s="51"/>
      <c r="P930" s="43" t="str">
        <f>VLOOKUP(K930,Maestro!J:K,2,0)</f>
        <v>FIBROCEMENTO</v>
      </c>
      <c r="Q930" s="43" t="str">
        <f>VLOOKUP(P930,Maestro!E:F,2,0)</f>
        <v>Fibrocemento</v>
      </c>
      <c r="R930" s="43">
        <f>VLOOKUP(P930,ORD!$A:$C,3,0)</f>
        <v>16</v>
      </c>
      <c r="S930" t="str">
        <f t="shared" si="15"/>
        <v>7105330101CALIZATRIFibrocemento</v>
      </c>
      <c r="T930" t="str">
        <f>IFERROR(VLOOKUP(S930,Maestro!$A:$H,8,0),"Producción")</f>
        <v>Caliza Triturada</v>
      </c>
      <c r="U930" s="43" t="s">
        <v>182</v>
      </c>
    </row>
    <row r="931" spans="1:21" x14ac:dyDescent="0.3">
      <c r="A931" s="43">
        <v>7199990001</v>
      </c>
      <c r="B931" s="43" t="s">
        <v>438</v>
      </c>
      <c r="C931" s="50"/>
      <c r="D931" s="56">
        <f>Datos!$K$254*Datos!$K$195*(1+Datos!$K$219)</f>
        <v>2406.1869053961377</v>
      </c>
      <c r="E931" s="43" t="s">
        <v>556</v>
      </c>
      <c r="F931" s="43" t="s">
        <v>557</v>
      </c>
      <c r="G931" s="43" t="s">
        <v>567</v>
      </c>
      <c r="H931" s="43" t="s">
        <v>568</v>
      </c>
      <c r="I931" s="43" t="s">
        <v>560</v>
      </c>
      <c r="J931" s="43" t="s">
        <v>463</v>
      </c>
      <c r="K931" s="43">
        <v>700064</v>
      </c>
      <c r="L931" s="43">
        <v>4</v>
      </c>
      <c r="M931" s="43" t="s">
        <v>62</v>
      </c>
      <c r="N931" s="51"/>
      <c r="O931" s="51"/>
      <c r="P931" s="43" t="str">
        <f>VLOOKUP(K931,Maestro!J:K,2,0)</f>
        <v>FIBROCEMENTO</v>
      </c>
      <c r="Q931" s="43" t="str">
        <f>VLOOKUP(P931,Maestro!E:F,2,0)</f>
        <v>Fibrocemento</v>
      </c>
      <c r="R931" s="43">
        <f>VLOOKUP(P931,ORD!$A:$C,3,0)</f>
        <v>16</v>
      </c>
      <c r="S931" t="str">
        <f t="shared" si="15"/>
        <v>7199990001CLINKER001Fibrocemento</v>
      </c>
      <c r="T931" t="str">
        <f>IFERROR(VLOOKUP(S931,Maestro!$A:$H,8,0),"Producción")</f>
        <v>Clinker</v>
      </c>
      <c r="U931" s="43" t="s">
        <v>182</v>
      </c>
    </row>
    <row r="932" spans="1:21" x14ac:dyDescent="0.3">
      <c r="A932" s="43">
        <v>7999999995</v>
      </c>
      <c r="B932" s="43" t="s">
        <v>566</v>
      </c>
      <c r="C932" s="50"/>
      <c r="D932" s="56">
        <f>-Datos!$K$254</f>
        <v>-2632.5896120307852</v>
      </c>
      <c r="E932" s="43" t="s">
        <v>556</v>
      </c>
      <c r="F932" s="43" t="s">
        <v>557</v>
      </c>
      <c r="G932" s="43" t="s">
        <v>567</v>
      </c>
      <c r="H932" s="43" t="s">
        <v>568</v>
      </c>
      <c r="I932" s="43" t="s">
        <v>560</v>
      </c>
      <c r="J932" s="43" t="s">
        <v>595</v>
      </c>
      <c r="K932" s="43">
        <v>700064</v>
      </c>
      <c r="L932" s="43">
        <v>4</v>
      </c>
      <c r="M932" s="43" t="s">
        <v>61</v>
      </c>
      <c r="N932" s="51"/>
      <c r="O932" s="51"/>
      <c r="P932" s="43" t="str">
        <f>VLOOKUP(K932,Maestro!J:K,2,0)</f>
        <v>FIBROCEMENTO</v>
      </c>
      <c r="Q932" s="43" t="str">
        <f>VLOOKUP(P932,Maestro!E:F,2,0)</f>
        <v>Fibrocemento</v>
      </c>
      <c r="R932" s="43">
        <f>VLOOKUP(P932,ORD!$A:$C,3,0)</f>
        <v>16</v>
      </c>
      <c r="S932" t="str">
        <f t="shared" si="15"/>
        <v>7999999995CEMENTOFCEFibrocemento</v>
      </c>
      <c r="T932" t="str">
        <f>IFERROR(VLOOKUP(S932,Maestro!$A:$H,8,0),"Producción")</f>
        <v>Producción</v>
      </c>
      <c r="U932" s="43" t="s">
        <v>182</v>
      </c>
    </row>
    <row r="933" spans="1:21" x14ac:dyDescent="0.3">
      <c r="A933" s="43">
        <v>7355250320</v>
      </c>
      <c r="B933" s="43" t="s">
        <v>490</v>
      </c>
      <c r="C933" s="52">
        <f>Datos!$K$120*D933</f>
        <v>3929614.9839743003</v>
      </c>
      <c r="D933" s="56">
        <f>Datos!$K$254</f>
        <v>2632.5896120307852</v>
      </c>
      <c r="E933" s="57"/>
      <c r="F933" s="58"/>
      <c r="G933" s="43"/>
      <c r="H933" s="43"/>
      <c r="I933" s="43" t="s">
        <v>560</v>
      </c>
      <c r="J933" s="43" t="s">
        <v>802</v>
      </c>
      <c r="K933" s="43">
        <v>700064</v>
      </c>
      <c r="L933" s="43">
        <v>4</v>
      </c>
      <c r="M933" s="43" t="s">
        <v>61</v>
      </c>
      <c r="N933" s="53"/>
      <c r="O933" s="53"/>
      <c r="P933" s="43" t="str">
        <f>VLOOKUP(K933,Maestro!J:K,2,0)</f>
        <v>FIBROCEMENTO</v>
      </c>
      <c r="Q933" s="43" t="str">
        <f>VLOOKUP(P933,Maestro!E:F,2,0)</f>
        <v>Fibrocemento</v>
      </c>
      <c r="R933" s="43">
        <f>VLOOKUP(P933,ORD!$A:$C,3,0)</f>
        <v>16</v>
      </c>
      <c r="S933" t="str">
        <f t="shared" si="15"/>
        <v>7355250320PLACAS Y SEGMENTOSFibrocemento</v>
      </c>
      <c r="T933" t="str">
        <f>IFERROR(VLOOKUP(S933,Maestro!$A:$H,8,0),"Producción")</f>
        <v>Placas y Segmentos</v>
      </c>
      <c r="U933" s="43" t="s">
        <v>182</v>
      </c>
    </row>
    <row r="934" spans="1:21" x14ac:dyDescent="0.3">
      <c r="A934" s="43">
        <v>7105450101</v>
      </c>
      <c r="B934" s="43" t="s">
        <v>466</v>
      </c>
      <c r="C934" s="50">
        <f>Datos!$L$64*D934+Datos!$L$90*D934</f>
        <v>52821738.187578179</v>
      </c>
      <c r="D934" s="56">
        <f>Datos!$L$254*Datos!$L$197*(1+Datos!$L$221)</f>
        <v>227.20490578455755</v>
      </c>
      <c r="E934" s="43" t="s">
        <v>556</v>
      </c>
      <c r="F934" s="43" t="s">
        <v>557</v>
      </c>
      <c r="G934" s="43" t="s">
        <v>577</v>
      </c>
      <c r="H934" s="43" t="s">
        <v>578</v>
      </c>
      <c r="I934" s="43" t="s">
        <v>560</v>
      </c>
      <c r="J934" s="43" t="s">
        <v>467</v>
      </c>
      <c r="K934" s="43">
        <v>700064</v>
      </c>
      <c r="L934" s="43">
        <v>5</v>
      </c>
      <c r="M934" s="43" t="s">
        <v>579</v>
      </c>
      <c r="N934" s="51"/>
      <c r="O934" s="51"/>
      <c r="P934" s="43" t="str">
        <f>VLOOKUP(K934,Maestro!J:K,2,0)</f>
        <v>FIBROCEMENTO</v>
      </c>
      <c r="Q934" s="43" t="str">
        <f>VLOOKUP(P934,Maestro!E:F,2,0)</f>
        <v>Fibrocemento</v>
      </c>
      <c r="R934" s="43">
        <f>VLOOKUP(P934,ORD!$A:$C,3,0)</f>
        <v>16</v>
      </c>
      <c r="S934" t="str">
        <f t="shared" si="15"/>
        <v>7105450101YESO00001Fibrocemento</v>
      </c>
      <c r="T934" t="str">
        <f>IFERROR(VLOOKUP(S934,Maestro!$A:$H,8,0),"Producción")</f>
        <v>Yeso</v>
      </c>
      <c r="U934" s="43" t="s">
        <v>182</v>
      </c>
    </row>
    <row r="935" spans="1:21" x14ac:dyDescent="0.3">
      <c r="A935" s="43">
        <v>7105330101</v>
      </c>
      <c r="B935" s="43" t="s">
        <v>443</v>
      </c>
      <c r="C935" s="52"/>
      <c r="D935" s="56">
        <f>Datos!$L$254*Datos!$L$196*(1+Datos!$L$210)</f>
        <v>0</v>
      </c>
      <c r="E935" s="43" t="s">
        <v>556</v>
      </c>
      <c r="F935" s="43" t="s">
        <v>557</v>
      </c>
      <c r="G935" s="43" t="s">
        <v>563</v>
      </c>
      <c r="H935" s="43" t="s">
        <v>564</v>
      </c>
      <c r="I935" s="43" t="s">
        <v>560</v>
      </c>
      <c r="J935" s="43" t="s">
        <v>444</v>
      </c>
      <c r="K935" s="43">
        <v>700064</v>
      </c>
      <c r="L935" s="43">
        <v>5</v>
      </c>
      <c r="M935" s="43" t="s">
        <v>565</v>
      </c>
      <c r="N935" s="51"/>
      <c r="O935" s="51"/>
      <c r="P935" s="43" t="str">
        <f>VLOOKUP(K935,Maestro!J:K,2,0)</f>
        <v>FIBROCEMENTO</v>
      </c>
      <c r="Q935" s="43" t="str">
        <f>VLOOKUP(P935,Maestro!E:F,2,0)</f>
        <v>Fibrocemento</v>
      </c>
      <c r="R935" s="43">
        <f>VLOOKUP(P935,ORD!$A:$C,3,0)</f>
        <v>16</v>
      </c>
      <c r="S935" t="str">
        <f t="shared" si="15"/>
        <v>7105330101CALIZATRIFibrocemento</v>
      </c>
      <c r="T935" t="str">
        <f>IFERROR(VLOOKUP(S935,Maestro!$A:$H,8,0),"Producción")</f>
        <v>Caliza Triturada</v>
      </c>
      <c r="U935" s="43" t="s">
        <v>182</v>
      </c>
    </row>
    <row r="936" spans="1:21" x14ac:dyDescent="0.3">
      <c r="A936" s="43">
        <v>7199990001</v>
      </c>
      <c r="B936" s="43" t="s">
        <v>438</v>
      </c>
      <c r="C936" s="50"/>
      <c r="D936" s="56">
        <f>Datos!$L$254*Datos!$L$195*(1+Datos!$L$219)</f>
        <v>2382.7833070240827</v>
      </c>
      <c r="E936" s="43" t="s">
        <v>556</v>
      </c>
      <c r="F936" s="43" t="s">
        <v>557</v>
      </c>
      <c r="G936" s="43" t="s">
        <v>567</v>
      </c>
      <c r="H936" s="43" t="s">
        <v>568</v>
      </c>
      <c r="I936" s="43" t="s">
        <v>560</v>
      </c>
      <c r="J936" s="43" t="s">
        <v>463</v>
      </c>
      <c r="K936" s="43">
        <v>700064</v>
      </c>
      <c r="L936" s="43">
        <v>5</v>
      </c>
      <c r="M936" s="43" t="s">
        <v>62</v>
      </c>
      <c r="N936" s="51"/>
      <c r="O936" s="51"/>
      <c r="P936" s="43" t="str">
        <f>VLOOKUP(K936,Maestro!J:K,2,0)</f>
        <v>FIBROCEMENTO</v>
      </c>
      <c r="Q936" s="43" t="str">
        <f>VLOOKUP(P936,Maestro!E:F,2,0)</f>
        <v>Fibrocemento</v>
      </c>
      <c r="R936" s="43">
        <f>VLOOKUP(P936,ORD!$A:$C,3,0)</f>
        <v>16</v>
      </c>
      <c r="S936" t="str">
        <f t="shared" si="15"/>
        <v>7199990001CLINKER001Fibrocemento</v>
      </c>
      <c r="T936" t="str">
        <f>IFERROR(VLOOKUP(S936,Maestro!$A:$H,8,0),"Producción")</f>
        <v>Clinker</v>
      </c>
      <c r="U936" s="43" t="s">
        <v>182</v>
      </c>
    </row>
    <row r="937" spans="1:21" x14ac:dyDescent="0.3">
      <c r="A937" s="43">
        <v>7999999995</v>
      </c>
      <c r="B937" s="43" t="s">
        <v>566</v>
      </c>
      <c r="C937" s="50"/>
      <c r="D937" s="56">
        <f>-Datos!$L$254</f>
        <v>-2606.9839245340072</v>
      </c>
      <c r="E937" s="43" t="s">
        <v>556</v>
      </c>
      <c r="F937" s="43" t="s">
        <v>557</v>
      </c>
      <c r="G937" s="43" t="s">
        <v>567</v>
      </c>
      <c r="H937" s="43" t="s">
        <v>568</v>
      </c>
      <c r="I937" s="43" t="s">
        <v>560</v>
      </c>
      <c r="J937" s="43" t="s">
        <v>595</v>
      </c>
      <c r="K937" s="43">
        <v>700064</v>
      </c>
      <c r="L937" s="43">
        <v>5</v>
      </c>
      <c r="M937" s="43" t="s">
        <v>61</v>
      </c>
      <c r="N937" s="51"/>
      <c r="O937" s="51"/>
      <c r="P937" s="43" t="str">
        <f>VLOOKUP(K937,Maestro!J:K,2,0)</f>
        <v>FIBROCEMENTO</v>
      </c>
      <c r="Q937" s="43" t="str">
        <f>VLOOKUP(P937,Maestro!E:F,2,0)</f>
        <v>Fibrocemento</v>
      </c>
      <c r="R937" s="43">
        <f>VLOOKUP(P937,ORD!$A:$C,3,0)</f>
        <v>16</v>
      </c>
      <c r="S937" t="str">
        <f t="shared" si="15"/>
        <v>7999999995CEMENTOFCEFibrocemento</v>
      </c>
      <c r="T937" t="str">
        <f>IFERROR(VLOOKUP(S937,Maestro!$A:$H,8,0),"Producción")</f>
        <v>Producción</v>
      </c>
      <c r="U937" s="43" t="s">
        <v>182</v>
      </c>
    </row>
    <row r="938" spans="1:21" x14ac:dyDescent="0.3">
      <c r="A938" s="43">
        <v>7355250320</v>
      </c>
      <c r="B938" s="43" t="s">
        <v>490</v>
      </c>
      <c r="C938" s="52">
        <f>Datos!$L$120*D938</f>
        <v>3891393.8754496477</v>
      </c>
      <c r="D938" s="56">
        <f>Datos!$L$254</f>
        <v>2606.9839245340072</v>
      </c>
      <c r="E938" s="57"/>
      <c r="F938" s="58"/>
      <c r="G938" s="43"/>
      <c r="H938" s="43"/>
      <c r="I938" s="43" t="s">
        <v>560</v>
      </c>
      <c r="J938" s="43" t="s">
        <v>802</v>
      </c>
      <c r="K938" s="43">
        <v>700064</v>
      </c>
      <c r="L938" s="43">
        <v>5</v>
      </c>
      <c r="M938" s="43" t="s">
        <v>61</v>
      </c>
      <c r="N938" s="53"/>
      <c r="O938" s="53"/>
      <c r="P938" s="43" t="str">
        <f>VLOOKUP(K938,Maestro!J:K,2,0)</f>
        <v>FIBROCEMENTO</v>
      </c>
      <c r="Q938" s="43" t="str">
        <f>VLOOKUP(P938,Maestro!E:F,2,0)</f>
        <v>Fibrocemento</v>
      </c>
      <c r="R938" s="43">
        <f>VLOOKUP(P938,ORD!$A:$C,3,0)</f>
        <v>16</v>
      </c>
      <c r="S938" t="str">
        <f t="shared" si="15"/>
        <v>7355250320PLACAS Y SEGMENTOSFibrocemento</v>
      </c>
      <c r="T938" t="str">
        <f>IFERROR(VLOOKUP(S938,Maestro!$A:$H,8,0),"Producción")</f>
        <v>Placas y Segmentos</v>
      </c>
      <c r="U938" s="43" t="s">
        <v>182</v>
      </c>
    </row>
    <row r="939" spans="1:21" x14ac:dyDescent="0.3">
      <c r="A939" s="43">
        <v>7105450101</v>
      </c>
      <c r="B939" s="43" t="s">
        <v>466</v>
      </c>
      <c r="C939" s="50">
        <f>Datos!$M$64*D939+Datos!$M$90*D939</f>
        <v>53181857.166528247</v>
      </c>
      <c r="D939" s="56">
        <f>Datos!$M$254*Datos!$M$197*(1+Datos!$M$221)</f>
        <v>228.26540912726392</v>
      </c>
      <c r="E939" s="43" t="s">
        <v>556</v>
      </c>
      <c r="F939" s="43" t="s">
        <v>557</v>
      </c>
      <c r="G939" s="43" t="s">
        <v>577</v>
      </c>
      <c r="H939" s="43" t="s">
        <v>578</v>
      </c>
      <c r="I939" s="43" t="s">
        <v>560</v>
      </c>
      <c r="J939" s="43" t="s">
        <v>467</v>
      </c>
      <c r="K939" s="43">
        <v>700064</v>
      </c>
      <c r="L939" s="43">
        <v>6</v>
      </c>
      <c r="M939" s="43" t="s">
        <v>579</v>
      </c>
      <c r="N939" s="51"/>
      <c r="O939" s="51"/>
      <c r="P939" s="43" t="str">
        <f>VLOOKUP(K939,Maestro!J:K,2,0)</f>
        <v>FIBROCEMENTO</v>
      </c>
      <c r="Q939" s="43" t="str">
        <f>VLOOKUP(P939,Maestro!E:F,2,0)</f>
        <v>Fibrocemento</v>
      </c>
      <c r="R939" s="43">
        <f>VLOOKUP(P939,ORD!$A:$C,3,0)</f>
        <v>16</v>
      </c>
      <c r="S939" t="str">
        <f t="shared" ref="S939:S1002" si="16">A939&amp;J939&amp;Q939</f>
        <v>7105450101YESO00001Fibrocemento</v>
      </c>
      <c r="T939" t="str">
        <f>IFERROR(VLOOKUP(S939,Maestro!$A:$H,8,0),"Producción")</f>
        <v>Yeso</v>
      </c>
      <c r="U939" s="43" t="s">
        <v>182</v>
      </c>
    </row>
    <row r="940" spans="1:21" x14ac:dyDescent="0.3">
      <c r="A940" s="43">
        <v>7105330101</v>
      </c>
      <c r="B940" s="43" t="s">
        <v>443</v>
      </c>
      <c r="C940" s="52"/>
      <c r="D940" s="56">
        <f>Datos!$M$254*Datos!$M$196*(1+Datos!$M$210)</f>
        <v>0</v>
      </c>
      <c r="E940" s="43" t="s">
        <v>556</v>
      </c>
      <c r="F940" s="43" t="s">
        <v>557</v>
      </c>
      <c r="G940" s="43" t="s">
        <v>563</v>
      </c>
      <c r="H940" s="43" t="s">
        <v>564</v>
      </c>
      <c r="I940" s="43" t="s">
        <v>560</v>
      </c>
      <c r="J940" s="43" t="s">
        <v>444</v>
      </c>
      <c r="K940" s="43">
        <v>700064</v>
      </c>
      <c r="L940" s="43">
        <v>6</v>
      </c>
      <c r="M940" s="43" t="s">
        <v>565</v>
      </c>
      <c r="N940" s="51"/>
      <c r="O940" s="51"/>
      <c r="P940" s="43" t="str">
        <f>VLOOKUP(K940,Maestro!J:K,2,0)</f>
        <v>FIBROCEMENTO</v>
      </c>
      <c r="Q940" s="43" t="str">
        <f>VLOOKUP(P940,Maestro!E:F,2,0)</f>
        <v>Fibrocemento</v>
      </c>
      <c r="R940" s="43">
        <f>VLOOKUP(P940,ORD!$A:$C,3,0)</f>
        <v>16</v>
      </c>
      <c r="S940" t="str">
        <f t="shared" si="16"/>
        <v>7105330101CALIZATRIFibrocemento</v>
      </c>
      <c r="T940" t="str">
        <f>IFERROR(VLOOKUP(S940,Maestro!$A:$H,8,0),"Producción")</f>
        <v>Caliza Triturada</v>
      </c>
      <c r="U940" s="43" t="s">
        <v>182</v>
      </c>
    </row>
    <row r="941" spans="1:21" x14ac:dyDescent="0.3">
      <c r="A941" s="43">
        <v>7199990001</v>
      </c>
      <c r="B941" s="43" t="s">
        <v>438</v>
      </c>
      <c r="C941" s="50"/>
      <c r="D941" s="56">
        <f>Datos!$M$254*Datos!$M$195*(1+Datos!$M$219)</f>
        <v>2393.9052044730761</v>
      </c>
      <c r="E941" s="43" t="s">
        <v>556</v>
      </c>
      <c r="F941" s="43" t="s">
        <v>557</v>
      </c>
      <c r="G941" s="43" t="s">
        <v>567</v>
      </c>
      <c r="H941" s="43" t="s">
        <v>568</v>
      </c>
      <c r="I941" s="43" t="s">
        <v>560</v>
      </c>
      <c r="J941" s="43" t="s">
        <v>463</v>
      </c>
      <c r="K941" s="43">
        <v>700064</v>
      </c>
      <c r="L941" s="43">
        <v>6</v>
      </c>
      <c r="M941" s="43" t="s">
        <v>62</v>
      </c>
      <c r="N941" s="51"/>
      <c r="O941" s="51"/>
      <c r="P941" s="43" t="str">
        <f>VLOOKUP(K941,Maestro!J:K,2,0)</f>
        <v>FIBROCEMENTO</v>
      </c>
      <c r="Q941" s="43" t="str">
        <f>VLOOKUP(P941,Maestro!E:F,2,0)</f>
        <v>Fibrocemento</v>
      </c>
      <c r="R941" s="43">
        <f>VLOOKUP(P941,ORD!$A:$C,3,0)</f>
        <v>16</v>
      </c>
      <c r="S941" t="str">
        <f t="shared" si="16"/>
        <v>7199990001CLINKER001Fibrocemento</v>
      </c>
      <c r="T941" t="str">
        <f>IFERROR(VLOOKUP(S941,Maestro!$A:$H,8,0),"Producción")</f>
        <v>Clinker</v>
      </c>
      <c r="U941" s="43" t="s">
        <v>182</v>
      </c>
    </row>
    <row r="942" spans="1:21" x14ac:dyDescent="0.3">
      <c r="A942" s="43">
        <v>7999999995</v>
      </c>
      <c r="B942" s="43" t="s">
        <v>566</v>
      </c>
      <c r="C942" s="50"/>
      <c r="D942" s="56">
        <f>-Datos!$M$254</f>
        <v>-2619.1523024869539</v>
      </c>
      <c r="E942" s="43" t="s">
        <v>556</v>
      </c>
      <c r="F942" s="43" t="s">
        <v>557</v>
      </c>
      <c r="G942" s="43" t="s">
        <v>567</v>
      </c>
      <c r="H942" s="43" t="s">
        <v>568</v>
      </c>
      <c r="I942" s="43" t="s">
        <v>560</v>
      </c>
      <c r="J942" s="43" t="s">
        <v>595</v>
      </c>
      <c r="K942" s="43">
        <v>700064</v>
      </c>
      <c r="L942" s="43">
        <v>6</v>
      </c>
      <c r="M942" s="43" t="s">
        <v>61</v>
      </c>
      <c r="N942" s="51"/>
      <c r="O942" s="51"/>
      <c r="P942" s="43" t="str">
        <f>VLOOKUP(K942,Maestro!J:K,2,0)</f>
        <v>FIBROCEMENTO</v>
      </c>
      <c r="Q942" s="43" t="str">
        <f>VLOOKUP(P942,Maestro!E:F,2,0)</f>
        <v>Fibrocemento</v>
      </c>
      <c r="R942" s="43">
        <f>VLOOKUP(P942,ORD!$A:$C,3,0)</f>
        <v>16</v>
      </c>
      <c r="S942" t="str">
        <f t="shared" si="16"/>
        <v>7999999995CEMENTOFCEFibrocemento</v>
      </c>
      <c r="T942" t="str">
        <f>IFERROR(VLOOKUP(S942,Maestro!$A:$H,8,0),"Producción")</f>
        <v>Producción</v>
      </c>
      <c r="U942" s="43" t="s">
        <v>182</v>
      </c>
    </row>
    <row r="943" spans="1:21" x14ac:dyDescent="0.3">
      <c r="A943" s="43">
        <v>7355250320</v>
      </c>
      <c r="B943" s="43" t="s">
        <v>490</v>
      </c>
      <c r="C943" s="52">
        <f>Datos!$M$120*D943</f>
        <v>3909557.3750380529</v>
      </c>
      <c r="D943" s="56">
        <f>Datos!$M$254</f>
        <v>2619.1523024869539</v>
      </c>
      <c r="E943" s="57"/>
      <c r="F943" s="58"/>
      <c r="G943" s="43"/>
      <c r="H943" s="43"/>
      <c r="I943" s="43" t="s">
        <v>560</v>
      </c>
      <c r="J943" s="43" t="s">
        <v>802</v>
      </c>
      <c r="K943" s="43">
        <v>700064</v>
      </c>
      <c r="L943" s="43">
        <v>6</v>
      </c>
      <c r="M943" s="43" t="s">
        <v>61</v>
      </c>
      <c r="N943" s="53"/>
      <c r="O943" s="53"/>
      <c r="P943" s="43" t="str">
        <f>VLOOKUP(K943,Maestro!J:K,2,0)</f>
        <v>FIBROCEMENTO</v>
      </c>
      <c r="Q943" s="43" t="str">
        <f>VLOOKUP(P943,Maestro!E:F,2,0)</f>
        <v>Fibrocemento</v>
      </c>
      <c r="R943" s="43">
        <f>VLOOKUP(P943,ORD!$A:$C,3,0)</f>
        <v>16</v>
      </c>
      <c r="S943" t="str">
        <f t="shared" si="16"/>
        <v>7355250320PLACAS Y SEGMENTOSFibrocemento</v>
      </c>
      <c r="T943" t="str">
        <f>IFERROR(VLOOKUP(S943,Maestro!$A:$H,8,0),"Producción")</f>
        <v>Placas y Segmentos</v>
      </c>
      <c r="U943" s="43" t="s">
        <v>182</v>
      </c>
    </row>
    <row r="944" spans="1:21" x14ac:dyDescent="0.3">
      <c r="A944" s="43">
        <v>7105450101</v>
      </c>
      <c r="B944" s="43" t="s">
        <v>466</v>
      </c>
      <c r="C944" s="50">
        <f>Datos!$N$64*D944+Datos!$N$90*D944</f>
        <v>61610271.779477954</v>
      </c>
      <c r="D944" s="56">
        <f>Datos!$N$254*Datos!$N$197*(1+Datos!$N$221)</f>
        <v>264.94348492734935</v>
      </c>
      <c r="E944" s="43" t="s">
        <v>556</v>
      </c>
      <c r="F944" s="43" t="s">
        <v>557</v>
      </c>
      <c r="G944" s="43" t="s">
        <v>577</v>
      </c>
      <c r="H944" s="43" t="s">
        <v>578</v>
      </c>
      <c r="I944" s="43" t="s">
        <v>560</v>
      </c>
      <c r="J944" s="43" t="s">
        <v>467</v>
      </c>
      <c r="K944" s="43">
        <v>700064</v>
      </c>
      <c r="L944" s="43">
        <v>7</v>
      </c>
      <c r="M944" s="43" t="s">
        <v>579</v>
      </c>
      <c r="N944" s="51"/>
      <c r="O944" s="51"/>
      <c r="P944" s="43" t="str">
        <f>VLOOKUP(K944,Maestro!J:K,2,0)</f>
        <v>FIBROCEMENTO</v>
      </c>
      <c r="Q944" s="43" t="str">
        <f>VLOOKUP(P944,Maestro!E:F,2,0)</f>
        <v>Fibrocemento</v>
      </c>
      <c r="R944" s="43">
        <f>VLOOKUP(P944,ORD!$A:$C,3,0)</f>
        <v>16</v>
      </c>
      <c r="S944" t="str">
        <f t="shared" si="16"/>
        <v>7105450101YESO00001Fibrocemento</v>
      </c>
      <c r="T944" t="str">
        <f>IFERROR(VLOOKUP(S944,Maestro!$A:$H,8,0),"Producción")</f>
        <v>Yeso</v>
      </c>
      <c r="U944" s="43" t="s">
        <v>182</v>
      </c>
    </row>
    <row r="945" spans="1:21" x14ac:dyDescent="0.3">
      <c r="A945" s="43">
        <v>7105330101</v>
      </c>
      <c r="B945" s="43" t="s">
        <v>443</v>
      </c>
      <c r="C945" s="52"/>
      <c r="D945" s="56">
        <f>Datos!$N$254*Datos!$N$196*(1+Datos!$N$210)</f>
        <v>0</v>
      </c>
      <c r="E945" s="43" t="s">
        <v>556</v>
      </c>
      <c r="F945" s="43" t="s">
        <v>557</v>
      </c>
      <c r="G945" s="43" t="s">
        <v>563</v>
      </c>
      <c r="H945" s="43" t="s">
        <v>564</v>
      </c>
      <c r="I945" s="43" t="s">
        <v>560</v>
      </c>
      <c r="J945" s="43" t="s">
        <v>444</v>
      </c>
      <c r="K945" s="43">
        <v>700064</v>
      </c>
      <c r="L945" s="43">
        <v>7</v>
      </c>
      <c r="M945" s="43" t="s">
        <v>565</v>
      </c>
      <c r="N945" s="51"/>
      <c r="O945" s="51"/>
      <c r="P945" s="43" t="str">
        <f>VLOOKUP(K945,Maestro!J:K,2,0)</f>
        <v>FIBROCEMENTO</v>
      </c>
      <c r="Q945" s="43" t="str">
        <f>VLOOKUP(P945,Maestro!E:F,2,0)</f>
        <v>Fibrocemento</v>
      </c>
      <c r="R945" s="43">
        <f>VLOOKUP(P945,ORD!$A:$C,3,0)</f>
        <v>16</v>
      </c>
      <c r="S945" t="str">
        <f t="shared" si="16"/>
        <v>7105330101CALIZATRIFibrocemento</v>
      </c>
      <c r="T945" t="str">
        <f>IFERROR(VLOOKUP(S945,Maestro!$A:$H,8,0),"Producción")</f>
        <v>Caliza Triturada</v>
      </c>
      <c r="U945" s="43" t="s">
        <v>182</v>
      </c>
    </row>
    <row r="946" spans="1:21" x14ac:dyDescent="0.3">
      <c r="A946" s="43">
        <v>7199990001</v>
      </c>
      <c r="B946" s="43" t="s">
        <v>438</v>
      </c>
      <c r="C946" s="50"/>
      <c r="D946" s="56">
        <f>Datos!$N$254*Datos!$N$195*(1+Datos!$N$219)</f>
        <v>2778.5619813521762</v>
      </c>
      <c r="E946" s="43" t="s">
        <v>556</v>
      </c>
      <c r="F946" s="43" t="s">
        <v>557</v>
      </c>
      <c r="G946" s="43" t="s">
        <v>567</v>
      </c>
      <c r="H946" s="43" t="s">
        <v>568</v>
      </c>
      <c r="I946" s="43" t="s">
        <v>560</v>
      </c>
      <c r="J946" s="43" t="s">
        <v>463</v>
      </c>
      <c r="K946" s="43">
        <v>700064</v>
      </c>
      <c r="L946" s="43">
        <v>7</v>
      </c>
      <c r="M946" s="43" t="s">
        <v>62</v>
      </c>
      <c r="N946" s="51"/>
      <c r="O946" s="51"/>
      <c r="P946" s="43" t="str">
        <f>VLOOKUP(K946,Maestro!J:K,2,0)</f>
        <v>FIBROCEMENTO</v>
      </c>
      <c r="Q946" s="43" t="str">
        <f>VLOOKUP(P946,Maestro!E:F,2,0)</f>
        <v>Fibrocemento</v>
      </c>
      <c r="R946" s="43">
        <f>VLOOKUP(P946,ORD!$A:$C,3,0)</f>
        <v>16</v>
      </c>
      <c r="S946" t="str">
        <f t="shared" si="16"/>
        <v>7199990001CLINKER001Fibrocemento</v>
      </c>
      <c r="T946" t="str">
        <f>IFERROR(VLOOKUP(S946,Maestro!$A:$H,8,0),"Producción")</f>
        <v>Clinker</v>
      </c>
      <c r="U946" s="43" t="s">
        <v>182</v>
      </c>
    </row>
    <row r="947" spans="1:21" x14ac:dyDescent="0.3">
      <c r="A947" s="43">
        <v>7999999995</v>
      </c>
      <c r="B947" s="43" t="s">
        <v>566</v>
      </c>
      <c r="C947" s="50"/>
      <c r="D947" s="56">
        <f>-Datos!$N$254</f>
        <v>-3040.0021677813743</v>
      </c>
      <c r="E947" s="43" t="s">
        <v>556</v>
      </c>
      <c r="F947" s="43" t="s">
        <v>557</v>
      </c>
      <c r="G947" s="43" t="s">
        <v>567</v>
      </c>
      <c r="H947" s="43" t="s">
        <v>568</v>
      </c>
      <c r="I947" s="43" t="s">
        <v>560</v>
      </c>
      <c r="J947" s="43" t="s">
        <v>595</v>
      </c>
      <c r="K947" s="43">
        <v>700064</v>
      </c>
      <c r="L947" s="43">
        <v>7</v>
      </c>
      <c r="M947" s="43" t="s">
        <v>61</v>
      </c>
      <c r="N947" s="51"/>
      <c r="O947" s="51"/>
      <c r="P947" s="43" t="str">
        <f>VLOOKUP(K947,Maestro!J:K,2,0)</f>
        <v>FIBROCEMENTO</v>
      </c>
      <c r="Q947" s="43" t="str">
        <f>VLOOKUP(P947,Maestro!E:F,2,0)</f>
        <v>Fibrocemento</v>
      </c>
      <c r="R947" s="43">
        <f>VLOOKUP(P947,ORD!$A:$C,3,0)</f>
        <v>16</v>
      </c>
      <c r="S947" t="str">
        <f t="shared" si="16"/>
        <v>7999999995CEMENTOFCEFibrocemento</v>
      </c>
      <c r="T947" t="str">
        <f>IFERROR(VLOOKUP(S947,Maestro!$A:$H,8,0),"Producción")</f>
        <v>Producción</v>
      </c>
      <c r="U947" s="43" t="s">
        <v>182</v>
      </c>
    </row>
    <row r="948" spans="1:21" x14ac:dyDescent="0.3">
      <c r="A948" s="43">
        <v>7355250320</v>
      </c>
      <c r="B948" s="43" t="s">
        <v>490</v>
      </c>
      <c r="C948" s="52">
        <f>Datos!$N$120*D948</f>
        <v>4537751.7313125171</v>
      </c>
      <c r="D948" s="56">
        <f>Datos!$N$254</f>
        <v>3040.0021677813743</v>
      </c>
      <c r="E948" s="57"/>
      <c r="F948" s="58"/>
      <c r="G948" s="43"/>
      <c r="H948" s="43"/>
      <c r="I948" s="43" t="s">
        <v>560</v>
      </c>
      <c r="J948" s="43" t="s">
        <v>802</v>
      </c>
      <c r="K948" s="43">
        <v>700064</v>
      </c>
      <c r="L948" s="43">
        <v>7</v>
      </c>
      <c r="M948" s="43" t="s">
        <v>61</v>
      </c>
      <c r="N948" s="53"/>
      <c r="O948" s="53"/>
      <c r="P948" s="43" t="str">
        <f>VLOOKUP(K948,Maestro!J:K,2,0)</f>
        <v>FIBROCEMENTO</v>
      </c>
      <c r="Q948" s="43" t="str">
        <f>VLOOKUP(P948,Maestro!E:F,2,0)</f>
        <v>Fibrocemento</v>
      </c>
      <c r="R948" s="43">
        <f>VLOOKUP(P948,ORD!$A:$C,3,0)</f>
        <v>16</v>
      </c>
      <c r="S948" t="str">
        <f t="shared" si="16"/>
        <v>7355250320PLACAS Y SEGMENTOSFibrocemento</v>
      </c>
      <c r="T948" t="str">
        <f>IFERROR(VLOOKUP(S948,Maestro!$A:$H,8,0),"Producción")</f>
        <v>Placas y Segmentos</v>
      </c>
      <c r="U948" s="43" t="s">
        <v>182</v>
      </c>
    </row>
    <row r="949" spans="1:21" x14ac:dyDescent="0.3">
      <c r="A949" s="43">
        <v>7105450101</v>
      </c>
      <c r="B949" s="43" t="s">
        <v>466</v>
      </c>
      <c r="C949" s="50">
        <f>Datos!$O$64*D949+Datos!$O$90*D949</f>
        <v>55964882.15552143</v>
      </c>
      <c r="D949" s="56">
        <f>Datos!$O$254*Datos!$O$197*(1+Datos!$O$221)</f>
        <v>240.73949991685245</v>
      </c>
      <c r="E949" s="43" t="s">
        <v>556</v>
      </c>
      <c r="F949" s="43" t="s">
        <v>557</v>
      </c>
      <c r="G949" s="43" t="s">
        <v>577</v>
      </c>
      <c r="H949" s="43" t="s">
        <v>578</v>
      </c>
      <c r="I949" s="43" t="s">
        <v>560</v>
      </c>
      <c r="J949" s="43" t="s">
        <v>467</v>
      </c>
      <c r="K949" s="43">
        <v>700064</v>
      </c>
      <c r="L949" s="43">
        <v>8</v>
      </c>
      <c r="M949" s="43" t="s">
        <v>579</v>
      </c>
      <c r="N949" s="51"/>
      <c r="O949" s="51"/>
      <c r="P949" s="43" t="str">
        <f>VLOOKUP(K949,Maestro!J:K,2,0)</f>
        <v>FIBROCEMENTO</v>
      </c>
      <c r="Q949" s="43" t="str">
        <f>VLOOKUP(P949,Maestro!E:F,2,0)</f>
        <v>Fibrocemento</v>
      </c>
      <c r="R949" s="43">
        <f>VLOOKUP(P949,ORD!$A:$C,3,0)</f>
        <v>16</v>
      </c>
      <c r="S949" t="str">
        <f t="shared" si="16"/>
        <v>7105450101YESO00001Fibrocemento</v>
      </c>
      <c r="T949" t="str">
        <f>IFERROR(VLOOKUP(S949,Maestro!$A:$H,8,0),"Producción")</f>
        <v>Yeso</v>
      </c>
      <c r="U949" s="43" t="s">
        <v>182</v>
      </c>
    </row>
    <row r="950" spans="1:21" x14ac:dyDescent="0.3">
      <c r="A950" s="43">
        <v>7105330101</v>
      </c>
      <c r="B950" s="43" t="s">
        <v>443</v>
      </c>
      <c r="C950" s="52"/>
      <c r="D950" s="56">
        <f>Datos!$O$254*Datos!$O$196*(1+Datos!$O$210)</f>
        <v>0</v>
      </c>
      <c r="E950" s="43" t="s">
        <v>556</v>
      </c>
      <c r="F950" s="43" t="s">
        <v>557</v>
      </c>
      <c r="G950" s="43" t="s">
        <v>563</v>
      </c>
      <c r="H950" s="43" t="s">
        <v>564</v>
      </c>
      <c r="I950" s="43" t="s">
        <v>560</v>
      </c>
      <c r="J950" s="43" t="s">
        <v>444</v>
      </c>
      <c r="K950" s="43">
        <v>700064</v>
      </c>
      <c r="L950" s="43">
        <v>8</v>
      </c>
      <c r="M950" s="43" t="s">
        <v>565</v>
      </c>
      <c r="N950" s="51"/>
      <c r="O950" s="51"/>
      <c r="P950" s="43" t="str">
        <f>VLOOKUP(K950,Maestro!J:K,2,0)</f>
        <v>FIBROCEMENTO</v>
      </c>
      <c r="Q950" s="43" t="str">
        <f>VLOOKUP(P950,Maestro!E:F,2,0)</f>
        <v>Fibrocemento</v>
      </c>
      <c r="R950" s="43">
        <f>VLOOKUP(P950,ORD!$A:$C,3,0)</f>
        <v>16</v>
      </c>
      <c r="S950" t="str">
        <f t="shared" si="16"/>
        <v>7105330101CALIZATRIFibrocemento</v>
      </c>
      <c r="T950" t="str">
        <f>IFERROR(VLOOKUP(S950,Maestro!$A:$H,8,0),"Producción")</f>
        <v>Caliza Triturada</v>
      </c>
      <c r="U950" s="43" t="s">
        <v>182</v>
      </c>
    </row>
    <row r="951" spans="1:21" x14ac:dyDescent="0.3">
      <c r="A951" s="43">
        <v>7199990001</v>
      </c>
      <c r="B951" s="43" t="s">
        <v>438</v>
      </c>
      <c r="C951" s="50"/>
      <c r="D951" s="56">
        <f>Datos!$O$254*Datos!$O$195*(1+Datos!$O$219)</f>
        <v>2524.7256865445265</v>
      </c>
      <c r="E951" s="43" t="s">
        <v>556</v>
      </c>
      <c r="F951" s="43" t="s">
        <v>557</v>
      </c>
      <c r="G951" s="43" t="s">
        <v>567</v>
      </c>
      <c r="H951" s="43" t="s">
        <v>568</v>
      </c>
      <c r="I951" s="43" t="s">
        <v>560</v>
      </c>
      <c r="J951" s="43" t="s">
        <v>463</v>
      </c>
      <c r="K951" s="43">
        <v>700064</v>
      </c>
      <c r="L951" s="43">
        <v>8</v>
      </c>
      <c r="M951" s="43" t="s">
        <v>62</v>
      </c>
      <c r="N951" s="51"/>
      <c r="O951" s="51"/>
      <c r="P951" s="43" t="str">
        <f>VLOOKUP(K951,Maestro!J:K,2,0)</f>
        <v>FIBROCEMENTO</v>
      </c>
      <c r="Q951" s="43" t="str">
        <f>VLOOKUP(P951,Maestro!E:F,2,0)</f>
        <v>Fibrocemento</v>
      </c>
      <c r="R951" s="43">
        <f>VLOOKUP(P951,ORD!$A:$C,3,0)</f>
        <v>16</v>
      </c>
      <c r="S951" t="str">
        <f t="shared" si="16"/>
        <v>7199990001CLINKER001Fibrocemento</v>
      </c>
      <c r="T951" t="str">
        <f>IFERROR(VLOOKUP(S951,Maestro!$A:$H,8,0),"Producción")</f>
        <v>Clinker</v>
      </c>
      <c r="U951" s="43" t="s">
        <v>182</v>
      </c>
    </row>
    <row r="952" spans="1:21" x14ac:dyDescent="0.3">
      <c r="A952" s="43">
        <v>7999999995</v>
      </c>
      <c r="B952" s="43" t="s">
        <v>566</v>
      </c>
      <c r="C952" s="50"/>
      <c r="D952" s="56">
        <f>-Datos!$O$254</f>
        <v>-2762.2819327620641</v>
      </c>
      <c r="E952" s="43" t="s">
        <v>556</v>
      </c>
      <c r="F952" s="43" t="s">
        <v>557</v>
      </c>
      <c r="G952" s="43" t="s">
        <v>567</v>
      </c>
      <c r="H952" s="43" t="s">
        <v>568</v>
      </c>
      <c r="I952" s="43" t="s">
        <v>560</v>
      </c>
      <c r="J952" s="43" t="s">
        <v>595</v>
      </c>
      <c r="K952" s="43">
        <v>700064</v>
      </c>
      <c r="L952" s="43">
        <v>8</v>
      </c>
      <c r="M952" s="43" t="s">
        <v>61</v>
      </c>
      <c r="N952" s="51"/>
      <c r="O952" s="51"/>
      <c r="P952" s="43" t="str">
        <f>VLOOKUP(K952,Maestro!J:K,2,0)</f>
        <v>FIBROCEMENTO</v>
      </c>
      <c r="Q952" s="43" t="str">
        <f>VLOOKUP(P952,Maestro!E:F,2,0)</f>
        <v>Fibrocemento</v>
      </c>
      <c r="R952" s="43">
        <f>VLOOKUP(P952,ORD!$A:$C,3,0)</f>
        <v>16</v>
      </c>
      <c r="S952" t="str">
        <f t="shared" si="16"/>
        <v>7999999995CEMENTOFCEFibrocemento</v>
      </c>
      <c r="T952" t="str">
        <f>IFERROR(VLOOKUP(S952,Maestro!$A:$H,8,0),"Producción")</f>
        <v>Producción</v>
      </c>
      <c r="U952" s="43" t="s">
        <v>182</v>
      </c>
    </row>
    <row r="953" spans="1:21" x14ac:dyDescent="0.3">
      <c r="A953" s="43">
        <v>7355250320</v>
      </c>
      <c r="B953" s="43" t="s">
        <v>490</v>
      </c>
      <c r="C953" s="52">
        <f>Datos!$O$120*D953</f>
        <v>4123204.1725523472</v>
      </c>
      <c r="D953" s="56">
        <f>Datos!$O$254</f>
        <v>2762.2819327620641</v>
      </c>
      <c r="E953" s="57"/>
      <c r="F953" s="58"/>
      <c r="G953" s="43"/>
      <c r="H953" s="43"/>
      <c r="I953" s="43" t="s">
        <v>560</v>
      </c>
      <c r="J953" s="43" t="s">
        <v>802</v>
      </c>
      <c r="K953" s="43">
        <v>700064</v>
      </c>
      <c r="L953" s="43">
        <v>8</v>
      </c>
      <c r="M953" s="43" t="s">
        <v>61</v>
      </c>
      <c r="N953" s="53"/>
      <c r="O953" s="53"/>
      <c r="P953" s="43" t="str">
        <f>VLOOKUP(K953,Maestro!J:K,2,0)</f>
        <v>FIBROCEMENTO</v>
      </c>
      <c r="Q953" s="43" t="str">
        <f>VLOOKUP(P953,Maestro!E:F,2,0)</f>
        <v>Fibrocemento</v>
      </c>
      <c r="R953" s="43">
        <f>VLOOKUP(P953,ORD!$A:$C,3,0)</f>
        <v>16</v>
      </c>
      <c r="S953" t="str">
        <f t="shared" si="16"/>
        <v>7355250320PLACAS Y SEGMENTOSFibrocemento</v>
      </c>
      <c r="T953" t="str">
        <f>IFERROR(VLOOKUP(S953,Maestro!$A:$H,8,0),"Producción")</f>
        <v>Placas y Segmentos</v>
      </c>
      <c r="U953" s="43" t="s">
        <v>182</v>
      </c>
    </row>
    <row r="954" spans="1:21" x14ac:dyDescent="0.3">
      <c r="A954" s="43">
        <v>7105450101</v>
      </c>
      <c r="B954" s="43" t="s">
        <v>466</v>
      </c>
      <c r="C954" s="50">
        <f>Datos!$P$64*D954+Datos!$P$90*D954</f>
        <v>59192130.221985012</v>
      </c>
      <c r="D954" s="56">
        <f>Datos!$P$254*Datos!$P$197*(1+Datos!$P$221)</f>
        <v>254.48836982969985</v>
      </c>
      <c r="E954" s="43" t="s">
        <v>556</v>
      </c>
      <c r="F954" s="43" t="s">
        <v>557</v>
      </c>
      <c r="G954" s="43" t="s">
        <v>577</v>
      </c>
      <c r="H954" s="43" t="s">
        <v>578</v>
      </c>
      <c r="I954" s="43" t="s">
        <v>560</v>
      </c>
      <c r="J954" s="43" t="s">
        <v>467</v>
      </c>
      <c r="K954" s="43">
        <v>700064</v>
      </c>
      <c r="L954" s="43">
        <v>9</v>
      </c>
      <c r="M954" s="43" t="s">
        <v>579</v>
      </c>
      <c r="N954" s="51"/>
      <c r="O954" s="51"/>
      <c r="P954" s="43" t="str">
        <f>VLOOKUP(K954,Maestro!J:K,2,0)</f>
        <v>FIBROCEMENTO</v>
      </c>
      <c r="Q954" s="43" t="str">
        <f>VLOOKUP(P954,Maestro!E:F,2,0)</f>
        <v>Fibrocemento</v>
      </c>
      <c r="R954" s="43">
        <f>VLOOKUP(P954,ORD!$A:$C,3,0)</f>
        <v>16</v>
      </c>
      <c r="S954" t="str">
        <f t="shared" si="16"/>
        <v>7105450101YESO00001Fibrocemento</v>
      </c>
      <c r="T954" t="str">
        <f>IFERROR(VLOOKUP(S954,Maestro!$A:$H,8,0),"Producción")</f>
        <v>Yeso</v>
      </c>
      <c r="U954" s="43" t="s">
        <v>182</v>
      </c>
    </row>
    <row r="955" spans="1:21" x14ac:dyDescent="0.3">
      <c r="A955" s="43">
        <v>7105330101</v>
      </c>
      <c r="B955" s="43" t="s">
        <v>443</v>
      </c>
      <c r="C955" s="52"/>
      <c r="D955" s="56">
        <f>Datos!$P$254*Datos!$P$196*(1+Datos!$P$210)</f>
        <v>0</v>
      </c>
      <c r="E955" s="43" t="s">
        <v>556</v>
      </c>
      <c r="F955" s="43" t="s">
        <v>557</v>
      </c>
      <c r="G955" s="43" t="s">
        <v>563</v>
      </c>
      <c r="H955" s="43" t="s">
        <v>564</v>
      </c>
      <c r="I955" s="43" t="s">
        <v>560</v>
      </c>
      <c r="J955" s="43" t="s">
        <v>444</v>
      </c>
      <c r="K955" s="43">
        <v>700064</v>
      </c>
      <c r="L955" s="43">
        <v>9</v>
      </c>
      <c r="M955" s="43" t="s">
        <v>565</v>
      </c>
      <c r="N955" s="51"/>
      <c r="O955" s="51"/>
      <c r="P955" s="43" t="str">
        <f>VLOOKUP(K955,Maestro!J:K,2,0)</f>
        <v>FIBROCEMENTO</v>
      </c>
      <c r="Q955" s="43" t="str">
        <f>VLOOKUP(P955,Maestro!E:F,2,0)</f>
        <v>Fibrocemento</v>
      </c>
      <c r="R955" s="43">
        <f>VLOOKUP(P955,ORD!$A:$C,3,0)</f>
        <v>16</v>
      </c>
      <c r="S955" t="str">
        <f t="shared" si="16"/>
        <v>7105330101CALIZATRIFibrocemento</v>
      </c>
      <c r="T955" t="str">
        <f>IFERROR(VLOOKUP(S955,Maestro!$A:$H,8,0),"Producción")</f>
        <v>Caliza Triturada</v>
      </c>
      <c r="U955" s="43" t="s">
        <v>182</v>
      </c>
    </row>
    <row r="956" spans="1:21" x14ac:dyDescent="0.3">
      <c r="A956" s="43">
        <v>7199990001</v>
      </c>
      <c r="B956" s="43" t="s">
        <v>438</v>
      </c>
      <c r="C956" s="50"/>
      <c r="D956" s="56">
        <f>Datos!$P$254*Datos!$P$195*(1+Datos!$P$219)</f>
        <v>2668.91525677257</v>
      </c>
      <c r="E956" s="43" t="s">
        <v>556</v>
      </c>
      <c r="F956" s="43" t="s">
        <v>557</v>
      </c>
      <c r="G956" s="43" t="s">
        <v>567</v>
      </c>
      <c r="H956" s="43" t="s">
        <v>568</v>
      </c>
      <c r="I956" s="43" t="s">
        <v>560</v>
      </c>
      <c r="J956" s="43" t="s">
        <v>463</v>
      </c>
      <c r="K956" s="43">
        <v>700064</v>
      </c>
      <c r="L956" s="43">
        <v>9</v>
      </c>
      <c r="M956" s="43" t="s">
        <v>62</v>
      </c>
      <c r="N956" s="51"/>
      <c r="O956" s="51"/>
      <c r="P956" s="43" t="str">
        <f>VLOOKUP(K956,Maestro!J:K,2,0)</f>
        <v>FIBROCEMENTO</v>
      </c>
      <c r="Q956" s="43" t="str">
        <f>VLOOKUP(P956,Maestro!E:F,2,0)</f>
        <v>Fibrocemento</v>
      </c>
      <c r="R956" s="43">
        <f>VLOOKUP(P956,ORD!$A:$C,3,0)</f>
        <v>16</v>
      </c>
      <c r="S956" t="str">
        <f t="shared" si="16"/>
        <v>7199990001CLINKER001Fibrocemento</v>
      </c>
      <c r="T956" t="str">
        <f>IFERROR(VLOOKUP(S956,Maestro!$A:$H,8,0),"Producción")</f>
        <v>Clinker</v>
      </c>
      <c r="U956" s="43" t="s">
        <v>182</v>
      </c>
    </row>
    <row r="957" spans="1:21" x14ac:dyDescent="0.3">
      <c r="A957" s="43">
        <v>7999999995</v>
      </c>
      <c r="B957" s="43" t="s">
        <v>566</v>
      </c>
      <c r="C957" s="50"/>
      <c r="D957" s="56">
        <f>-Datos!$P$254</f>
        <v>-2920.0385741494201</v>
      </c>
      <c r="E957" s="43" t="s">
        <v>556</v>
      </c>
      <c r="F957" s="43" t="s">
        <v>557</v>
      </c>
      <c r="G957" s="43" t="s">
        <v>567</v>
      </c>
      <c r="H957" s="43" t="s">
        <v>568</v>
      </c>
      <c r="I957" s="43" t="s">
        <v>560</v>
      </c>
      <c r="J957" s="43" t="s">
        <v>595</v>
      </c>
      <c r="K957" s="43">
        <v>700064</v>
      </c>
      <c r="L957" s="43">
        <v>9</v>
      </c>
      <c r="M957" s="43" t="s">
        <v>61</v>
      </c>
      <c r="N957" s="51"/>
      <c r="O957" s="51"/>
      <c r="P957" s="43" t="str">
        <f>VLOOKUP(K957,Maestro!J:K,2,0)</f>
        <v>FIBROCEMENTO</v>
      </c>
      <c r="Q957" s="43" t="str">
        <f>VLOOKUP(P957,Maestro!E:F,2,0)</f>
        <v>Fibrocemento</v>
      </c>
      <c r="R957" s="43">
        <f>VLOOKUP(P957,ORD!$A:$C,3,0)</f>
        <v>16</v>
      </c>
      <c r="S957" t="str">
        <f t="shared" si="16"/>
        <v>7999999995CEMENTOFCEFibrocemento</v>
      </c>
      <c r="T957" t="str">
        <f>IFERROR(VLOOKUP(S957,Maestro!$A:$H,8,0),"Producción")</f>
        <v>Producción</v>
      </c>
      <c r="U957" s="43" t="s">
        <v>182</v>
      </c>
    </row>
    <row r="958" spans="1:21" x14ac:dyDescent="0.3">
      <c r="A958" s="43">
        <v>7355250320</v>
      </c>
      <c r="B958" s="43" t="s">
        <v>490</v>
      </c>
      <c r="C958" s="52">
        <f>Datos!$P$120*D958</f>
        <v>4358684.4232470253</v>
      </c>
      <c r="D958" s="56">
        <f>Datos!$P$254</f>
        <v>2920.0385741494201</v>
      </c>
      <c r="E958" s="57"/>
      <c r="F958" s="58"/>
      <c r="G958" s="43"/>
      <c r="H958" s="43"/>
      <c r="I958" s="43" t="s">
        <v>560</v>
      </c>
      <c r="J958" s="43" t="s">
        <v>802</v>
      </c>
      <c r="K958" s="43">
        <v>700064</v>
      </c>
      <c r="L958" s="43">
        <v>9</v>
      </c>
      <c r="M958" s="43" t="s">
        <v>61</v>
      </c>
      <c r="N958" s="53"/>
      <c r="O958" s="53"/>
      <c r="P958" s="43" t="str">
        <f>VLOOKUP(K958,Maestro!J:K,2,0)</f>
        <v>FIBROCEMENTO</v>
      </c>
      <c r="Q958" s="43" t="str">
        <f>VLOOKUP(P958,Maestro!E:F,2,0)</f>
        <v>Fibrocemento</v>
      </c>
      <c r="R958" s="43">
        <f>VLOOKUP(P958,ORD!$A:$C,3,0)</f>
        <v>16</v>
      </c>
      <c r="S958" t="str">
        <f t="shared" si="16"/>
        <v>7355250320PLACAS Y SEGMENTOSFibrocemento</v>
      </c>
      <c r="T958" t="str">
        <f>IFERROR(VLOOKUP(S958,Maestro!$A:$H,8,0),"Producción")</f>
        <v>Placas y Segmentos</v>
      </c>
      <c r="U958" s="43" t="s">
        <v>182</v>
      </c>
    </row>
    <row r="959" spans="1:21" x14ac:dyDescent="0.3">
      <c r="A959" s="43">
        <v>7105450101</v>
      </c>
      <c r="B959" s="43" t="s">
        <v>466</v>
      </c>
      <c r="C959" s="50">
        <f>Datos!$Q$64*D959+Datos!$Q$90*D959</f>
        <v>62426116.483601362</v>
      </c>
      <c r="D959" s="56">
        <f>Datos!$Q$254*Datos!$Q$197*(1+Datos!$Q$221)</f>
        <v>268.24927142584579</v>
      </c>
      <c r="E959" s="43" t="s">
        <v>556</v>
      </c>
      <c r="F959" s="43" t="s">
        <v>557</v>
      </c>
      <c r="G959" s="43" t="s">
        <v>577</v>
      </c>
      <c r="H959" s="43" t="s">
        <v>578</v>
      </c>
      <c r="I959" s="43" t="s">
        <v>560</v>
      </c>
      <c r="J959" s="43" t="s">
        <v>467</v>
      </c>
      <c r="K959" s="43">
        <v>700064</v>
      </c>
      <c r="L959" s="43">
        <v>10</v>
      </c>
      <c r="M959" s="43" t="s">
        <v>579</v>
      </c>
      <c r="N959" s="51"/>
      <c r="O959" s="51"/>
      <c r="P959" s="43" t="str">
        <f>VLOOKUP(K959,Maestro!J:K,2,0)</f>
        <v>FIBROCEMENTO</v>
      </c>
      <c r="Q959" s="43" t="str">
        <f>VLOOKUP(P959,Maestro!E:F,2,0)</f>
        <v>Fibrocemento</v>
      </c>
      <c r="R959" s="43">
        <f>VLOOKUP(P959,ORD!$A:$C,3,0)</f>
        <v>16</v>
      </c>
      <c r="S959" t="str">
        <f t="shared" si="16"/>
        <v>7105450101YESO00001Fibrocemento</v>
      </c>
      <c r="T959" t="str">
        <f>IFERROR(VLOOKUP(S959,Maestro!$A:$H,8,0),"Producción")</f>
        <v>Yeso</v>
      </c>
      <c r="U959" s="43" t="s">
        <v>182</v>
      </c>
    </row>
    <row r="960" spans="1:21" x14ac:dyDescent="0.3">
      <c r="A960" s="43">
        <v>7105330101</v>
      </c>
      <c r="B960" s="43" t="s">
        <v>443</v>
      </c>
      <c r="C960" s="52"/>
      <c r="D960" s="56">
        <f>Datos!$Q$254*Datos!$Q$196*(1+Datos!$Q$210)</f>
        <v>0</v>
      </c>
      <c r="E960" s="43" t="s">
        <v>556</v>
      </c>
      <c r="F960" s="43" t="s">
        <v>557</v>
      </c>
      <c r="G960" s="43" t="s">
        <v>563</v>
      </c>
      <c r="H960" s="43" t="s">
        <v>564</v>
      </c>
      <c r="I960" s="43" t="s">
        <v>560</v>
      </c>
      <c r="J960" s="43" t="s">
        <v>444</v>
      </c>
      <c r="K960" s="43">
        <v>700064</v>
      </c>
      <c r="L960" s="43">
        <v>10</v>
      </c>
      <c r="M960" s="43" t="s">
        <v>565</v>
      </c>
      <c r="N960" s="51"/>
      <c r="O960" s="51"/>
      <c r="P960" s="43" t="str">
        <f>VLOOKUP(K960,Maestro!J:K,2,0)</f>
        <v>FIBROCEMENTO</v>
      </c>
      <c r="Q960" s="43" t="str">
        <f>VLOOKUP(P960,Maestro!E:F,2,0)</f>
        <v>Fibrocemento</v>
      </c>
      <c r="R960" s="43">
        <f>VLOOKUP(P960,ORD!$A:$C,3,0)</f>
        <v>16</v>
      </c>
      <c r="S960" t="str">
        <f t="shared" si="16"/>
        <v>7105330101CALIZATRIFibrocemento</v>
      </c>
      <c r="T960" t="str">
        <f>IFERROR(VLOOKUP(S960,Maestro!$A:$H,8,0),"Producción")</f>
        <v>Caliza Triturada</v>
      </c>
      <c r="U960" s="43" t="s">
        <v>182</v>
      </c>
    </row>
    <row r="961" spans="1:21" x14ac:dyDescent="0.3">
      <c r="A961" s="43">
        <v>7199990001</v>
      </c>
      <c r="B961" s="43" t="s">
        <v>438</v>
      </c>
      <c r="C961" s="50"/>
      <c r="D961" s="56">
        <f>Datos!$Q$254*Datos!$Q$195*(1+Datos!$Q$219)</f>
        <v>2813.2310077889206</v>
      </c>
      <c r="E961" s="43" t="s">
        <v>556</v>
      </c>
      <c r="F961" s="43" t="s">
        <v>557</v>
      </c>
      <c r="G961" s="43" t="s">
        <v>567</v>
      </c>
      <c r="H961" s="43" t="s">
        <v>568</v>
      </c>
      <c r="I961" s="43" t="s">
        <v>560</v>
      </c>
      <c r="J961" s="43" t="s">
        <v>463</v>
      </c>
      <c r="K961" s="43">
        <v>700064</v>
      </c>
      <c r="L961" s="43">
        <v>10</v>
      </c>
      <c r="M961" s="43" t="s">
        <v>62</v>
      </c>
      <c r="N961" s="51"/>
      <c r="O961" s="51"/>
      <c r="P961" s="43" t="str">
        <f>VLOOKUP(K961,Maestro!J:K,2,0)</f>
        <v>FIBROCEMENTO</v>
      </c>
      <c r="Q961" s="43" t="str">
        <f>VLOOKUP(P961,Maestro!E:F,2,0)</f>
        <v>Fibrocemento</v>
      </c>
      <c r="R961" s="43">
        <f>VLOOKUP(P961,ORD!$A:$C,3,0)</f>
        <v>16</v>
      </c>
      <c r="S961" t="str">
        <f t="shared" si="16"/>
        <v>7199990001CLINKER001Fibrocemento</v>
      </c>
      <c r="T961" t="str">
        <f>IFERROR(VLOOKUP(S961,Maestro!$A:$H,8,0),"Producción")</f>
        <v>Clinker</v>
      </c>
      <c r="U961" s="43" t="s">
        <v>182</v>
      </c>
    </row>
    <row r="962" spans="1:21" x14ac:dyDescent="0.3">
      <c r="A962" s="43">
        <v>7999999995</v>
      </c>
      <c r="B962" s="43" t="s">
        <v>566</v>
      </c>
      <c r="C962" s="50"/>
      <c r="D962" s="56">
        <f>-Datos!$Q$254</f>
        <v>-3077.9332689156681</v>
      </c>
      <c r="E962" s="43" t="s">
        <v>556</v>
      </c>
      <c r="F962" s="43" t="s">
        <v>557</v>
      </c>
      <c r="G962" s="43" t="s">
        <v>567</v>
      </c>
      <c r="H962" s="43" t="s">
        <v>568</v>
      </c>
      <c r="I962" s="43" t="s">
        <v>560</v>
      </c>
      <c r="J962" s="43" t="s">
        <v>595</v>
      </c>
      <c r="K962" s="43">
        <v>700064</v>
      </c>
      <c r="L962" s="43">
        <v>10</v>
      </c>
      <c r="M962" s="43" t="s">
        <v>61</v>
      </c>
      <c r="N962" s="51"/>
      <c r="O962" s="51"/>
      <c r="P962" s="43" t="str">
        <f>VLOOKUP(K962,Maestro!J:K,2,0)</f>
        <v>FIBROCEMENTO</v>
      </c>
      <c r="Q962" s="43" t="str">
        <f>VLOOKUP(P962,Maestro!E:F,2,0)</f>
        <v>Fibrocemento</v>
      </c>
      <c r="R962" s="43">
        <f>VLOOKUP(P962,ORD!$A:$C,3,0)</f>
        <v>16</v>
      </c>
      <c r="S962" t="str">
        <f t="shared" si="16"/>
        <v>7999999995CEMENTOFCEFibrocemento</v>
      </c>
      <c r="T962" t="str">
        <f>IFERROR(VLOOKUP(S962,Maestro!$A:$H,8,0),"Producción")</f>
        <v>Producción</v>
      </c>
      <c r="U962" s="43" t="s">
        <v>182</v>
      </c>
    </row>
    <row r="963" spans="1:21" x14ac:dyDescent="0.3">
      <c r="A963" s="43">
        <v>7355250320</v>
      </c>
      <c r="B963" s="43" t="s">
        <v>490</v>
      </c>
      <c r="C963" s="52">
        <f>Datos!$Q$120*D963</f>
        <v>4594370.7435181392</v>
      </c>
      <c r="D963" s="56">
        <f>Datos!$Q$254</f>
        <v>3077.9332689156681</v>
      </c>
      <c r="E963" s="57"/>
      <c r="F963" s="58"/>
      <c r="G963" s="43"/>
      <c r="H963" s="43"/>
      <c r="I963" s="43" t="s">
        <v>560</v>
      </c>
      <c r="J963" s="43" t="s">
        <v>802</v>
      </c>
      <c r="K963" s="43">
        <v>700064</v>
      </c>
      <c r="L963" s="43">
        <v>10</v>
      </c>
      <c r="M963" s="43" t="s">
        <v>61</v>
      </c>
      <c r="N963" s="53"/>
      <c r="O963" s="53"/>
      <c r="P963" s="43" t="str">
        <f>VLOOKUP(K963,Maestro!J:K,2,0)</f>
        <v>FIBROCEMENTO</v>
      </c>
      <c r="Q963" s="43" t="str">
        <f>VLOOKUP(P963,Maestro!E:F,2,0)</f>
        <v>Fibrocemento</v>
      </c>
      <c r="R963" s="43">
        <f>VLOOKUP(P963,ORD!$A:$C,3,0)</f>
        <v>16</v>
      </c>
      <c r="S963" t="str">
        <f t="shared" si="16"/>
        <v>7355250320PLACAS Y SEGMENTOSFibrocemento</v>
      </c>
      <c r="T963" t="str">
        <f>IFERROR(VLOOKUP(S963,Maestro!$A:$H,8,0),"Producción")</f>
        <v>Placas y Segmentos</v>
      </c>
      <c r="U963" s="43" t="s">
        <v>182</v>
      </c>
    </row>
    <row r="964" spans="1:21" x14ac:dyDescent="0.3">
      <c r="A964" s="43">
        <v>7105450101</v>
      </c>
      <c r="B964" s="43" t="s">
        <v>466</v>
      </c>
      <c r="C964" s="50">
        <f>Datos!$R$64*D964+Datos!$R$90*D964</f>
        <v>57762311.37075609</v>
      </c>
      <c r="D964" s="56">
        <f>Datos!$R$254*Datos!$R$197*(1+Datos!$R$221)</f>
        <v>248.45332815011938</v>
      </c>
      <c r="E964" s="43" t="s">
        <v>556</v>
      </c>
      <c r="F964" s="43" t="s">
        <v>557</v>
      </c>
      <c r="G964" s="43" t="s">
        <v>577</v>
      </c>
      <c r="H964" s="43" t="s">
        <v>578</v>
      </c>
      <c r="I964" s="43" t="s">
        <v>560</v>
      </c>
      <c r="J964" s="43" t="s">
        <v>467</v>
      </c>
      <c r="K964" s="43">
        <v>700064</v>
      </c>
      <c r="L964" s="43">
        <v>11</v>
      </c>
      <c r="M964" s="43" t="s">
        <v>579</v>
      </c>
      <c r="N964" s="51"/>
      <c r="O964" s="51"/>
      <c r="P964" s="43" t="str">
        <f>VLOOKUP(K964,Maestro!J:K,2,0)</f>
        <v>FIBROCEMENTO</v>
      </c>
      <c r="Q964" s="43" t="str">
        <f>VLOOKUP(P964,Maestro!E:F,2,0)</f>
        <v>Fibrocemento</v>
      </c>
      <c r="R964" s="43">
        <f>VLOOKUP(P964,ORD!$A:$C,3,0)</f>
        <v>16</v>
      </c>
      <c r="S964" t="str">
        <f t="shared" si="16"/>
        <v>7105450101YESO00001Fibrocemento</v>
      </c>
      <c r="T964" t="str">
        <f>IFERROR(VLOOKUP(S964,Maestro!$A:$H,8,0),"Producción")</f>
        <v>Yeso</v>
      </c>
      <c r="U964" s="43" t="s">
        <v>182</v>
      </c>
    </row>
    <row r="965" spans="1:21" x14ac:dyDescent="0.3">
      <c r="A965" s="43">
        <v>7105330101</v>
      </c>
      <c r="B965" s="43" t="s">
        <v>443</v>
      </c>
      <c r="C965" s="52"/>
      <c r="D965" s="56">
        <f>Datos!$R$254*Datos!$R$196*(1+Datos!$R$210)</f>
        <v>0</v>
      </c>
      <c r="E965" s="43" t="s">
        <v>556</v>
      </c>
      <c r="F965" s="43" t="s">
        <v>557</v>
      </c>
      <c r="G965" s="43" t="s">
        <v>563</v>
      </c>
      <c r="H965" s="43" t="s">
        <v>564</v>
      </c>
      <c r="I965" s="43" t="s">
        <v>560</v>
      </c>
      <c r="J965" s="43" t="s">
        <v>444</v>
      </c>
      <c r="K965" s="43">
        <v>700064</v>
      </c>
      <c r="L965" s="43">
        <v>11</v>
      </c>
      <c r="M965" s="43" t="s">
        <v>565</v>
      </c>
      <c r="N965" s="51"/>
      <c r="O965" s="51"/>
      <c r="P965" s="43" t="str">
        <f>VLOOKUP(K965,Maestro!J:K,2,0)</f>
        <v>FIBROCEMENTO</v>
      </c>
      <c r="Q965" s="43" t="str">
        <f>VLOOKUP(P965,Maestro!E:F,2,0)</f>
        <v>Fibrocemento</v>
      </c>
      <c r="R965" s="43">
        <f>VLOOKUP(P965,ORD!$A:$C,3,0)</f>
        <v>16</v>
      </c>
      <c r="S965" t="str">
        <f t="shared" si="16"/>
        <v>7105330101CALIZATRIFibrocemento</v>
      </c>
      <c r="T965" t="str">
        <f>IFERROR(VLOOKUP(S965,Maestro!$A:$H,8,0),"Producción")</f>
        <v>Caliza Triturada</v>
      </c>
      <c r="U965" s="43" t="s">
        <v>182</v>
      </c>
    </row>
    <row r="966" spans="1:21" x14ac:dyDescent="0.3">
      <c r="A966" s="43">
        <v>7199990001</v>
      </c>
      <c r="B966" s="43" t="s">
        <v>438</v>
      </c>
      <c r="C966" s="50"/>
      <c r="D966" s="56">
        <f>Datos!$R$254*Datos!$R$195*(1+Datos!$R$219)</f>
        <v>2605.6235046792654</v>
      </c>
      <c r="E966" s="43" t="s">
        <v>556</v>
      </c>
      <c r="F966" s="43" t="s">
        <v>557</v>
      </c>
      <c r="G966" s="43" t="s">
        <v>567</v>
      </c>
      <c r="H966" s="43" t="s">
        <v>568</v>
      </c>
      <c r="I966" s="43" t="s">
        <v>560</v>
      </c>
      <c r="J966" s="43" t="s">
        <v>463</v>
      </c>
      <c r="K966" s="43">
        <v>700064</v>
      </c>
      <c r="L966" s="43">
        <v>11</v>
      </c>
      <c r="M966" s="43" t="s">
        <v>62</v>
      </c>
      <c r="N966" s="51"/>
      <c r="O966" s="51"/>
      <c r="P966" s="43" t="str">
        <f>VLOOKUP(K966,Maestro!J:K,2,0)</f>
        <v>FIBROCEMENTO</v>
      </c>
      <c r="Q966" s="43" t="str">
        <f>VLOOKUP(P966,Maestro!E:F,2,0)</f>
        <v>Fibrocemento</v>
      </c>
      <c r="R966" s="43">
        <f>VLOOKUP(P966,ORD!$A:$C,3,0)</f>
        <v>16</v>
      </c>
      <c r="S966" t="str">
        <f t="shared" si="16"/>
        <v>7199990001CLINKER001Fibrocemento</v>
      </c>
      <c r="T966" t="str">
        <f>IFERROR(VLOOKUP(S966,Maestro!$A:$H,8,0),"Producción")</f>
        <v>Clinker</v>
      </c>
      <c r="U966" s="43" t="s">
        <v>182</v>
      </c>
    </row>
    <row r="967" spans="1:21" x14ac:dyDescent="0.3">
      <c r="A967" s="43">
        <v>7999999995</v>
      </c>
      <c r="B967" s="43" t="s">
        <v>566</v>
      </c>
      <c r="C967" s="50"/>
      <c r="D967" s="56">
        <f>-Datos!$R$254</f>
        <v>-2850.7915806118876</v>
      </c>
      <c r="E967" s="43" t="s">
        <v>556</v>
      </c>
      <c r="F967" s="43" t="s">
        <v>557</v>
      </c>
      <c r="G967" s="43" t="s">
        <v>567</v>
      </c>
      <c r="H967" s="43" t="s">
        <v>568</v>
      </c>
      <c r="I967" s="43" t="s">
        <v>560</v>
      </c>
      <c r="J967" s="43" t="s">
        <v>595</v>
      </c>
      <c r="K967" s="43">
        <v>700064</v>
      </c>
      <c r="L967" s="43">
        <v>11</v>
      </c>
      <c r="M967" s="43" t="s">
        <v>61</v>
      </c>
      <c r="N967" s="51"/>
      <c r="O967" s="51"/>
      <c r="P967" s="43" t="str">
        <f>VLOOKUP(K967,Maestro!J:K,2,0)</f>
        <v>FIBROCEMENTO</v>
      </c>
      <c r="Q967" s="43" t="str">
        <f>VLOOKUP(P967,Maestro!E:F,2,0)</f>
        <v>Fibrocemento</v>
      </c>
      <c r="R967" s="43">
        <f>VLOOKUP(P967,ORD!$A:$C,3,0)</f>
        <v>16</v>
      </c>
      <c r="S967" t="str">
        <f t="shared" si="16"/>
        <v>7999999995CEMENTOFCEFibrocemento</v>
      </c>
      <c r="T967" t="str">
        <f>IFERROR(VLOOKUP(S967,Maestro!$A:$H,8,0),"Producción")</f>
        <v>Producción</v>
      </c>
      <c r="U967" s="43" t="s">
        <v>182</v>
      </c>
    </row>
    <row r="968" spans="1:21" x14ac:dyDescent="0.3">
      <c r="A968" s="43">
        <v>7355250320</v>
      </c>
      <c r="B968" s="43" t="s">
        <v>490</v>
      </c>
      <c r="C968" s="52">
        <f>Datos!$R$120*D968</f>
        <v>4255320.791423548</v>
      </c>
      <c r="D968" s="56">
        <f>Datos!$R$254</f>
        <v>2850.7915806118876</v>
      </c>
      <c r="E968" s="57"/>
      <c r="F968" s="58"/>
      <c r="G968" s="43"/>
      <c r="H968" s="43"/>
      <c r="I968" s="43" t="s">
        <v>560</v>
      </c>
      <c r="J968" s="43" t="s">
        <v>802</v>
      </c>
      <c r="K968" s="43">
        <v>700064</v>
      </c>
      <c r="L968" s="43">
        <v>11</v>
      </c>
      <c r="M968" s="43" t="s">
        <v>61</v>
      </c>
      <c r="N968" s="53"/>
      <c r="O968" s="53"/>
      <c r="P968" s="43" t="str">
        <f>VLOOKUP(K968,Maestro!J:K,2,0)</f>
        <v>FIBROCEMENTO</v>
      </c>
      <c r="Q968" s="43" t="str">
        <f>VLOOKUP(P968,Maestro!E:F,2,0)</f>
        <v>Fibrocemento</v>
      </c>
      <c r="R968" s="43">
        <f>VLOOKUP(P968,ORD!$A:$C,3,0)</f>
        <v>16</v>
      </c>
      <c r="S968" t="str">
        <f t="shared" si="16"/>
        <v>7355250320PLACAS Y SEGMENTOSFibrocemento</v>
      </c>
      <c r="T968" t="str">
        <f>IFERROR(VLOOKUP(S968,Maestro!$A:$H,8,0),"Producción")</f>
        <v>Placas y Segmentos</v>
      </c>
      <c r="U968" s="43" t="s">
        <v>182</v>
      </c>
    </row>
    <row r="969" spans="1:21" x14ac:dyDescent="0.3">
      <c r="A969" s="43">
        <v>7105450101</v>
      </c>
      <c r="B969" s="43" t="s">
        <v>466</v>
      </c>
      <c r="C969" s="50">
        <f>Datos!$S$64*D969+Datos!$S$90*D969</f>
        <v>55139281.232407533</v>
      </c>
      <c r="D969" s="56">
        <f>Datos!$S$254*Datos!$S$197*(1+Datos!$S$221)</f>
        <v>236.91699158411433</v>
      </c>
      <c r="E969" s="43" t="s">
        <v>556</v>
      </c>
      <c r="F969" s="43" t="s">
        <v>557</v>
      </c>
      <c r="G969" s="43" t="s">
        <v>577</v>
      </c>
      <c r="H969" s="43" t="s">
        <v>578</v>
      </c>
      <c r="I969" s="43" t="s">
        <v>560</v>
      </c>
      <c r="J969" s="43" t="s">
        <v>467</v>
      </c>
      <c r="K969" s="43">
        <v>700064</v>
      </c>
      <c r="L969" s="43">
        <v>12</v>
      </c>
      <c r="M969" s="43" t="s">
        <v>579</v>
      </c>
      <c r="N969" s="51"/>
      <c r="O969" s="51"/>
      <c r="P969" s="43" t="str">
        <f>VLOOKUP(K969,Maestro!J:K,2,0)</f>
        <v>FIBROCEMENTO</v>
      </c>
      <c r="Q969" s="43" t="str">
        <f>VLOOKUP(P969,Maestro!E:F,2,0)</f>
        <v>Fibrocemento</v>
      </c>
      <c r="R969" s="43">
        <f>VLOOKUP(P969,ORD!$A:$C,3,0)</f>
        <v>16</v>
      </c>
      <c r="S969" t="str">
        <f t="shared" si="16"/>
        <v>7105450101YESO00001Fibrocemento</v>
      </c>
      <c r="T969" t="str">
        <f>IFERROR(VLOOKUP(S969,Maestro!$A:$H,8,0),"Producción")</f>
        <v>Yeso</v>
      </c>
      <c r="U969" s="43" t="s">
        <v>182</v>
      </c>
    </row>
    <row r="970" spans="1:21" x14ac:dyDescent="0.3">
      <c r="A970" s="43">
        <v>7105330101</v>
      </c>
      <c r="B970" s="43" t="s">
        <v>443</v>
      </c>
      <c r="C970" s="52"/>
      <c r="D970" s="56">
        <f>Datos!$S$254*Datos!$S$196*(1+Datos!$S$210)</f>
        <v>0</v>
      </c>
      <c r="E970" s="43" t="s">
        <v>556</v>
      </c>
      <c r="F970" s="43" t="s">
        <v>557</v>
      </c>
      <c r="G970" s="43" t="s">
        <v>563</v>
      </c>
      <c r="H970" s="43" t="s">
        <v>564</v>
      </c>
      <c r="I970" s="43" t="s">
        <v>560</v>
      </c>
      <c r="J970" s="43" t="s">
        <v>444</v>
      </c>
      <c r="K970" s="43">
        <v>700064</v>
      </c>
      <c r="L970" s="43">
        <v>12</v>
      </c>
      <c r="M970" s="43" t="s">
        <v>565</v>
      </c>
      <c r="N970" s="51"/>
      <c r="O970" s="51"/>
      <c r="P970" s="43" t="str">
        <f>VLOOKUP(K970,Maestro!J:K,2,0)</f>
        <v>FIBROCEMENTO</v>
      </c>
      <c r="Q970" s="43" t="str">
        <f>VLOOKUP(P970,Maestro!E:F,2,0)</f>
        <v>Fibrocemento</v>
      </c>
      <c r="R970" s="43">
        <f>VLOOKUP(P970,ORD!$A:$C,3,0)</f>
        <v>16</v>
      </c>
      <c r="S970" t="str">
        <f t="shared" si="16"/>
        <v>7105330101CALIZATRIFibrocemento</v>
      </c>
      <c r="T970" t="str">
        <f>IFERROR(VLOOKUP(S970,Maestro!$A:$H,8,0),"Producción")</f>
        <v>Caliza Triturada</v>
      </c>
      <c r="U970" s="43" t="s">
        <v>182</v>
      </c>
    </row>
    <row r="971" spans="1:21" x14ac:dyDescent="0.3">
      <c r="A971" s="43">
        <v>7199990001</v>
      </c>
      <c r="B971" s="43" t="s">
        <v>438</v>
      </c>
      <c r="C971" s="50"/>
      <c r="D971" s="56">
        <f>Datos!$S$254*Datos!$S$195*(1+Datos!$S$219)</f>
        <v>2484.6376038741396</v>
      </c>
      <c r="E971" s="43" t="s">
        <v>556</v>
      </c>
      <c r="F971" s="43" t="s">
        <v>557</v>
      </c>
      <c r="G971" s="43" t="s">
        <v>567</v>
      </c>
      <c r="H971" s="43" t="s">
        <v>568</v>
      </c>
      <c r="I971" s="43" t="s">
        <v>560</v>
      </c>
      <c r="J971" s="43" t="s">
        <v>463</v>
      </c>
      <c r="K971" s="43">
        <v>700064</v>
      </c>
      <c r="L971" s="43">
        <v>12</v>
      </c>
      <c r="M971" s="43" t="s">
        <v>62</v>
      </c>
      <c r="N971" s="51"/>
      <c r="O971" s="51"/>
      <c r="P971" s="43" t="str">
        <f>VLOOKUP(K971,Maestro!J:K,2,0)</f>
        <v>FIBROCEMENTO</v>
      </c>
      <c r="Q971" s="43" t="str">
        <f>VLOOKUP(P971,Maestro!E:F,2,0)</f>
        <v>Fibrocemento</v>
      </c>
      <c r="R971" s="43">
        <f>VLOOKUP(P971,ORD!$A:$C,3,0)</f>
        <v>16</v>
      </c>
      <c r="S971" t="str">
        <f t="shared" si="16"/>
        <v>7199990001CLINKER001Fibrocemento</v>
      </c>
      <c r="T971" t="str">
        <f>IFERROR(VLOOKUP(S971,Maestro!$A:$H,8,0),"Producción")</f>
        <v>Clinker</v>
      </c>
      <c r="U971" s="43" t="s">
        <v>182</v>
      </c>
    </row>
    <row r="972" spans="1:21" x14ac:dyDescent="0.3">
      <c r="A972" s="43">
        <v>7999999995</v>
      </c>
      <c r="B972" s="43" t="s">
        <v>566</v>
      </c>
      <c r="C972" s="50"/>
      <c r="D972" s="56">
        <f>-Datos!$S$254</f>
        <v>-2718.4218860767392</v>
      </c>
      <c r="E972" s="43" t="s">
        <v>556</v>
      </c>
      <c r="F972" s="43" t="s">
        <v>557</v>
      </c>
      <c r="G972" s="43" t="s">
        <v>567</v>
      </c>
      <c r="H972" s="43" t="s">
        <v>568</v>
      </c>
      <c r="I972" s="43" t="s">
        <v>560</v>
      </c>
      <c r="J972" s="43" t="s">
        <v>595</v>
      </c>
      <c r="K972" s="43">
        <v>700064</v>
      </c>
      <c r="L972" s="43">
        <v>12</v>
      </c>
      <c r="M972" s="43" t="s">
        <v>61</v>
      </c>
      <c r="N972" s="51"/>
      <c r="O972" s="51"/>
      <c r="P972" s="43" t="str">
        <f>VLOOKUP(K972,Maestro!J:K,2,0)</f>
        <v>FIBROCEMENTO</v>
      </c>
      <c r="Q972" s="43" t="str">
        <f>VLOOKUP(P972,Maestro!E:F,2,0)</f>
        <v>Fibrocemento</v>
      </c>
      <c r="R972" s="43">
        <f>VLOOKUP(P972,ORD!$A:$C,3,0)</f>
        <v>16</v>
      </c>
      <c r="S972" t="str">
        <f t="shared" si="16"/>
        <v>7999999995CEMENTOFCEFibrocemento</v>
      </c>
      <c r="T972" t="str">
        <f>IFERROR(VLOOKUP(S972,Maestro!$A:$H,8,0),"Producción")</f>
        <v>Producción</v>
      </c>
      <c r="U972" s="43" t="s">
        <v>182</v>
      </c>
    </row>
    <row r="973" spans="1:21" x14ac:dyDescent="0.3">
      <c r="A973" s="43">
        <v>7355250320</v>
      </c>
      <c r="B973" s="43" t="s">
        <v>490</v>
      </c>
      <c r="C973" s="52">
        <f>Datos!$S$120*D973</f>
        <v>4057735.1393749686</v>
      </c>
      <c r="D973" s="56">
        <f>Datos!$S$254</f>
        <v>2718.4218860767392</v>
      </c>
      <c r="E973" s="57"/>
      <c r="F973" s="58"/>
      <c r="G973" s="43"/>
      <c r="H973" s="43"/>
      <c r="I973" s="43" t="s">
        <v>560</v>
      </c>
      <c r="J973" s="43" t="s">
        <v>802</v>
      </c>
      <c r="K973" s="43">
        <v>700064</v>
      </c>
      <c r="L973" s="43">
        <v>12</v>
      </c>
      <c r="M973" s="43" t="s">
        <v>61</v>
      </c>
      <c r="N973" s="53"/>
      <c r="O973" s="53"/>
      <c r="P973" s="43" t="str">
        <f>VLOOKUP(K973,Maestro!J:K,2,0)</f>
        <v>FIBROCEMENTO</v>
      </c>
      <c r="Q973" s="43" t="str">
        <f>VLOOKUP(P973,Maestro!E:F,2,0)</f>
        <v>Fibrocemento</v>
      </c>
      <c r="R973" s="43">
        <f>VLOOKUP(P973,ORD!$A:$C,3,0)</f>
        <v>16</v>
      </c>
      <c r="S973" t="str">
        <f t="shared" si="16"/>
        <v>7355250320PLACAS Y SEGMENTOSFibrocemento</v>
      </c>
      <c r="T973" t="str">
        <f>IFERROR(VLOOKUP(S973,Maestro!$A:$H,8,0),"Producción")</f>
        <v>Placas y Segmentos</v>
      </c>
      <c r="U973" s="43" t="s">
        <v>182</v>
      </c>
    </row>
    <row r="974" spans="1:21" x14ac:dyDescent="0.3">
      <c r="A974" s="43">
        <v>7355050105</v>
      </c>
      <c r="B974" s="43" t="s">
        <v>462</v>
      </c>
      <c r="C974" s="50"/>
      <c r="D974" s="56">
        <f>Datos!$H$254</f>
        <v>2800.7372425705471</v>
      </c>
      <c r="E974" s="43" t="s">
        <v>581</v>
      </c>
      <c r="F974" s="43" t="s">
        <v>557</v>
      </c>
      <c r="G974" s="43" t="s">
        <v>570</v>
      </c>
      <c r="H974" s="43" t="s">
        <v>571</v>
      </c>
      <c r="I974" s="43" t="s">
        <v>560</v>
      </c>
      <c r="J974" s="43">
        <v>70000000000</v>
      </c>
      <c r="K974" s="43">
        <v>700064</v>
      </c>
      <c r="L974" s="43">
        <v>1</v>
      </c>
      <c r="M974" s="43" t="s">
        <v>813</v>
      </c>
      <c r="N974" s="53"/>
      <c r="O974" s="53"/>
      <c r="P974" s="43" t="str">
        <f>VLOOKUP(K974,Maestro!J:K,2,0)</f>
        <v>FIBROCEMENTO</v>
      </c>
      <c r="Q974" s="43" t="str">
        <f>VLOOKUP(P974,Maestro!E:F,2,0)</f>
        <v>Fibrocemento</v>
      </c>
      <c r="R974" s="43">
        <f>VLOOKUP(P974,ORD!$A:$C,3,0)</f>
        <v>16</v>
      </c>
      <c r="S974" t="str">
        <f t="shared" si="16"/>
        <v>735505010570000000000Fibrocemento</v>
      </c>
      <c r="T974" t="str">
        <f>IFERROR(VLOOKUP(S974,Maestro!$A:$H,8,0),"Producción")</f>
        <v>Gasoil</v>
      </c>
      <c r="U974" s="43" t="s">
        <v>182</v>
      </c>
    </row>
    <row r="975" spans="1:21" x14ac:dyDescent="0.3">
      <c r="A975" s="43">
        <v>7355050105</v>
      </c>
      <c r="B975" s="43" t="s">
        <v>462</v>
      </c>
      <c r="C975" s="50"/>
      <c r="D975" s="56">
        <f>Datos!$I$254</f>
        <v>2837.3698133247003</v>
      </c>
      <c r="E975" s="43" t="s">
        <v>581</v>
      </c>
      <c r="F975" s="43" t="s">
        <v>557</v>
      </c>
      <c r="G975" s="43" t="s">
        <v>570</v>
      </c>
      <c r="H975" s="43" t="s">
        <v>571</v>
      </c>
      <c r="I975" s="43" t="s">
        <v>560</v>
      </c>
      <c r="J975" s="43">
        <v>70000000000</v>
      </c>
      <c r="K975" s="43">
        <v>700064</v>
      </c>
      <c r="L975" s="43">
        <v>2</v>
      </c>
      <c r="M975" s="43" t="s">
        <v>813</v>
      </c>
      <c r="N975" s="53"/>
      <c r="O975" s="53"/>
      <c r="P975" s="43" t="str">
        <f>VLOOKUP(K975,Maestro!J:K,2,0)</f>
        <v>FIBROCEMENTO</v>
      </c>
      <c r="Q975" s="43" t="str">
        <f>VLOOKUP(P975,Maestro!E:F,2,0)</f>
        <v>Fibrocemento</v>
      </c>
      <c r="R975" s="43">
        <f>VLOOKUP(P975,ORD!$A:$C,3,0)</f>
        <v>16</v>
      </c>
      <c r="S975" t="str">
        <f t="shared" si="16"/>
        <v>735505010570000000000Fibrocemento</v>
      </c>
      <c r="T975" t="str">
        <f>IFERROR(VLOOKUP(S975,Maestro!$A:$H,8,0),"Producción")</f>
        <v>Gasoil</v>
      </c>
      <c r="U975" s="43" t="s">
        <v>182</v>
      </c>
    </row>
    <row r="976" spans="1:21" x14ac:dyDescent="0.3">
      <c r="A976" s="43">
        <v>7355050105</v>
      </c>
      <c r="B976" s="43" t="s">
        <v>462</v>
      </c>
      <c r="C976" s="50"/>
      <c r="D976" s="56">
        <f>Datos!$J$254</f>
        <v>2874.5703224075828</v>
      </c>
      <c r="E976" s="43" t="s">
        <v>581</v>
      </c>
      <c r="F976" s="43" t="s">
        <v>557</v>
      </c>
      <c r="G976" s="43" t="s">
        <v>570</v>
      </c>
      <c r="H976" s="43" t="s">
        <v>571</v>
      </c>
      <c r="I976" s="43" t="s">
        <v>560</v>
      </c>
      <c r="J976" s="43">
        <v>70000000000</v>
      </c>
      <c r="K976" s="43">
        <v>700064</v>
      </c>
      <c r="L976" s="43">
        <v>3</v>
      </c>
      <c r="M976" s="43" t="s">
        <v>813</v>
      </c>
      <c r="N976" s="53"/>
      <c r="O976" s="53"/>
      <c r="P976" s="43" t="str">
        <f>VLOOKUP(K976,Maestro!J:K,2,0)</f>
        <v>FIBROCEMENTO</v>
      </c>
      <c r="Q976" s="43" t="str">
        <f>VLOOKUP(P976,Maestro!E:F,2,0)</f>
        <v>Fibrocemento</v>
      </c>
      <c r="R976" s="43">
        <f>VLOOKUP(P976,ORD!$A:$C,3,0)</f>
        <v>16</v>
      </c>
      <c r="S976" t="str">
        <f t="shared" si="16"/>
        <v>735505010570000000000Fibrocemento</v>
      </c>
      <c r="T976" t="str">
        <f>IFERROR(VLOOKUP(S976,Maestro!$A:$H,8,0),"Producción")</f>
        <v>Gasoil</v>
      </c>
      <c r="U976" s="43" t="s">
        <v>182</v>
      </c>
    </row>
    <row r="977" spans="1:21" x14ac:dyDescent="0.3">
      <c r="A977" s="43">
        <v>7355050105</v>
      </c>
      <c r="B977" s="43" t="s">
        <v>462</v>
      </c>
      <c r="C977" s="50"/>
      <c r="D977" s="56">
        <f>Datos!$K$254</f>
        <v>2632.5896120307852</v>
      </c>
      <c r="E977" s="43" t="s">
        <v>581</v>
      </c>
      <c r="F977" s="43" t="s">
        <v>557</v>
      </c>
      <c r="G977" s="43" t="s">
        <v>570</v>
      </c>
      <c r="H977" s="43" t="s">
        <v>571</v>
      </c>
      <c r="I977" s="43" t="s">
        <v>560</v>
      </c>
      <c r="J977" s="43">
        <v>70000000000</v>
      </c>
      <c r="K977" s="43">
        <v>700064</v>
      </c>
      <c r="L977" s="43">
        <v>4</v>
      </c>
      <c r="M977" s="43" t="s">
        <v>813</v>
      </c>
      <c r="N977" s="53"/>
      <c r="O977" s="53"/>
      <c r="P977" s="43" t="str">
        <f>VLOOKUP(K977,Maestro!J:K,2,0)</f>
        <v>FIBROCEMENTO</v>
      </c>
      <c r="Q977" s="43" t="str">
        <f>VLOOKUP(P977,Maestro!E:F,2,0)</f>
        <v>Fibrocemento</v>
      </c>
      <c r="R977" s="43">
        <f>VLOOKUP(P977,ORD!$A:$C,3,0)</f>
        <v>16</v>
      </c>
      <c r="S977" t="str">
        <f t="shared" si="16"/>
        <v>735505010570000000000Fibrocemento</v>
      </c>
      <c r="T977" t="str">
        <f>IFERROR(VLOOKUP(S977,Maestro!$A:$H,8,0),"Producción")</f>
        <v>Gasoil</v>
      </c>
      <c r="U977" s="43" t="s">
        <v>182</v>
      </c>
    </row>
    <row r="978" spans="1:21" x14ac:dyDescent="0.3">
      <c r="A978" s="43">
        <v>7355050105</v>
      </c>
      <c r="B978" s="43" t="s">
        <v>462</v>
      </c>
      <c r="C978" s="50"/>
      <c r="D978" s="56">
        <f>Datos!$L$254</f>
        <v>2606.9839245340072</v>
      </c>
      <c r="E978" s="43" t="s">
        <v>581</v>
      </c>
      <c r="F978" s="43" t="s">
        <v>557</v>
      </c>
      <c r="G978" s="43" t="s">
        <v>570</v>
      </c>
      <c r="H978" s="43" t="s">
        <v>571</v>
      </c>
      <c r="I978" s="43" t="s">
        <v>560</v>
      </c>
      <c r="J978" s="43">
        <v>70000000000</v>
      </c>
      <c r="K978" s="43">
        <v>700064</v>
      </c>
      <c r="L978" s="43">
        <v>5</v>
      </c>
      <c r="M978" s="43" t="s">
        <v>813</v>
      </c>
      <c r="N978" s="53"/>
      <c r="O978" s="53"/>
      <c r="P978" s="43" t="str">
        <f>VLOOKUP(K978,Maestro!J:K,2,0)</f>
        <v>FIBROCEMENTO</v>
      </c>
      <c r="Q978" s="43" t="str">
        <f>VLOOKUP(P978,Maestro!E:F,2,0)</f>
        <v>Fibrocemento</v>
      </c>
      <c r="R978" s="43">
        <f>VLOOKUP(P978,ORD!$A:$C,3,0)</f>
        <v>16</v>
      </c>
      <c r="S978" t="str">
        <f t="shared" si="16"/>
        <v>735505010570000000000Fibrocemento</v>
      </c>
      <c r="T978" t="str">
        <f>IFERROR(VLOOKUP(S978,Maestro!$A:$H,8,0),"Producción")</f>
        <v>Gasoil</v>
      </c>
      <c r="U978" s="43" t="s">
        <v>182</v>
      </c>
    </row>
    <row r="979" spans="1:21" x14ac:dyDescent="0.3">
      <c r="A979" s="43">
        <v>7355050105</v>
      </c>
      <c r="B979" s="43" t="s">
        <v>462</v>
      </c>
      <c r="C979" s="50"/>
      <c r="D979" s="56">
        <f>Datos!$M$254</f>
        <v>2619.1523024869539</v>
      </c>
      <c r="E979" s="43" t="s">
        <v>581</v>
      </c>
      <c r="F979" s="43" t="s">
        <v>557</v>
      </c>
      <c r="G979" s="43" t="s">
        <v>570</v>
      </c>
      <c r="H979" s="43" t="s">
        <v>571</v>
      </c>
      <c r="I979" s="43" t="s">
        <v>560</v>
      </c>
      <c r="J979" s="43">
        <v>70000000000</v>
      </c>
      <c r="K979" s="43">
        <v>700064</v>
      </c>
      <c r="L979" s="43">
        <v>6</v>
      </c>
      <c r="M979" s="43" t="s">
        <v>813</v>
      </c>
      <c r="N979" s="53"/>
      <c r="O979" s="53"/>
      <c r="P979" s="43" t="str">
        <f>VLOOKUP(K979,Maestro!J:K,2,0)</f>
        <v>FIBROCEMENTO</v>
      </c>
      <c r="Q979" s="43" t="str">
        <f>VLOOKUP(P979,Maestro!E:F,2,0)</f>
        <v>Fibrocemento</v>
      </c>
      <c r="R979" s="43">
        <f>VLOOKUP(P979,ORD!$A:$C,3,0)</f>
        <v>16</v>
      </c>
      <c r="S979" t="str">
        <f t="shared" si="16"/>
        <v>735505010570000000000Fibrocemento</v>
      </c>
      <c r="T979" t="str">
        <f>IFERROR(VLOOKUP(S979,Maestro!$A:$H,8,0),"Producción")</f>
        <v>Gasoil</v>
      </c>
      <c r="U979" s="43" t="s">
        <v>182</v>
      </c>
    </row>
    <row r="980" spans="1:21" x14ac:dyDescent="0.3">
      <c r="A980" s="43">
        <v>7355050105</v>
      </c>
      <c r="B980" s="43" t="s">
        <v>462</v>
      </c>
      <c r="C980" s="50"/>
      <c r="D980" s="56">
        <f>Datos!$N$254</f>
        <v>3040.0021677813743</v>
      </c>
      <c r="E980" s="43" t="s">
        <v>581</v>
      </c>
      <c r="F980" s="43" t="s">
        <v>557</v>
      </c>
      <c r="G980" s="43" t="s">
        <v>570</v>
      </c>
      <c r="H980" s="43" t="s">
        <v>571</v>
      </c>
      <c r="I980" s="43" t="s">
        <v>560</v>
      </c>
      <c r="J980" s="43">
        <v>70000000000</v>
      </c>
      <c r="K980" s="43">
        <v>700064</v>
      </c>
      <c r="L980" s="43">
        <v>7</v>
      </c>
      <c r="M980" s="43" t="s">
        <v>813</v>
      </c>
      <c r="N980" s="53"/>
      <c r="O980" s="53"/>
      <c r="P980" s="43" t="str">
        <f>VLOOKUP(K980,Maestro!J:K,2,0)</f>
        <v>FIBROCEMENTO</v>
      </c>
      <c r="Q980" s="43" t="str">
        <f>VLOOKUP(P980,Maestro!E:F,2,0)</f>
        <v>Fibrocemento</v>
      </c>
      <c r="R980" s="43">
        <f>VLOOKUP(P980,ORD!$A:$C,3,0)</f>
        <v>16</v>
      </c>
      <c r="S980" t="str">
        <f t="shared" si="16"/>
        <v>735505010570000000000Fibrocemento</v>
      </c>
      <c r="T980" t="str">
        <f>IFERROR(VLOOKUP(S980,Maestro!$A:$H,8,0),"Producción")</f>
        <v>Gasoil</v>
      </c>
      <c r="U980" s="43" t="s">
        <v>182</v>
      </c>
    </row>
    <row r="981" spans="1:21" x14ac:dyDescent="0.3">
      <c r="A981" s="43">
        <v>7355050105</v>
      </c>
      <c r="B981" s="43" t="s">
        <v>462</v>
      </c>
      <c r="C981" s="50"/>
      <c r="D981" s="56">
        <f>Datos!$O$254</f>
        <v>2762.2819327620641</v>
      </c>
      <c r="E981" s="43" t="s">
        <v>581</v>
      </c>
      <c r="F981" s="43" t="s">
        <v>557</v>
      </c>
      <c r="G981" s="43" t="s">
        <v>570</v>
      </c>
      <c r="H981" s="43" t="s">
        <v>571</v>
      </c>
      <c r="I981" s="43" t="s">
        <v>560</v>
      </c>
      <c r="J981" s="43">
        <v>70000000000</v>
      </c>
      <c r="K981" s="43">
        <v>700064</v>
      </c>
      <c r="L981" s="43">
        <v>8</v>
      </c>
      <c r="M981" s="43" t="s">
        <v>813</v>
      </c>
      <c r="N981" s="53"/>
      <c r="O981" s="53"/>
      <c r="P981" s="43" t="str">
        <f>VLOOKUP(K981,Maestro!J:K,2,0)</f>
        <v>FIBROCEMENTO</v>
      </c>
      <c r="Q981" s="43" t="str">
        <f>VLOOKUP(P981,Maestro!E:F,2,0)</f>
        <v>Fibrocemento</v>
      </c>
      <c r="R981" s="43">
        <f>VLOOKUP(P981,ORD!$A:$C,3,0)</f>
        <v>16</v>
      </c>
      <c r="S981" t="str">
        <f t="shared" si="16"/>
        <v>735505010570000000000Fibrocemento</v>
      </c>
      <c r="T981" t="str">
        <f>IFERROR(VLOOKUP(S981,Maestro!$A:$H,8,0),"Producción")</f>
        <v>Gasoil</v>
      </c>
      <c r="U981" s="43" t="s">
        <v>182</v>
      </c>
    </row>
    <row r="982" spans="1:21" x14ac:dyDescent="0.3">
      <c r="A982" s="43">
        <v>7355050105</v>
      </c>
      <c r="B982" s="43" t="s">
        <v>462</v>
      </c>
      <c r="C982" s="50"/>
      <c r="D982" s="56">
        <f>Datos!$P$254</f>
        <v>2920.0385741494201</v>
      </c>
      <c r="E982" s="43" t="s">
        <v>581</v>
      </c>
      <c r="F982" s="43" t="s">
        <v>557</v>
      </c>
      <c r="G982" s="43" t="s">
        <v>570</v>
      </c>
      <c r="H982" s="43" t="s">
        <v>571</v>
      </c>
      <c r="I982" s="43" t="s">
        <v>560</v>
      </c>
      <c r="J982" s="43">
        <v>70000000000</v>
      </c>
      <c r="K982" s="43">
        <v>700064</v>
      </c>
      <c r="L982" s="43">
        <v>9</v>
      </c>
      <c r="M982" s="43" t="s">
        <v>813</v>
      </c>
      <c r="N982" s="53"/>
      <c r="O982" s="53"/>
      <c r="P982" s="43" t="str">
        <f>VLOOKUP(K982,Maestro!J:K,2,0)</f>
        <v>FIBROCEMENTO</v>
      </c>
      <c r="Q982" s="43" t="str">
        <f>VLOOKUP(P982,Maestro!E:F,2,0)</f>
        <v>Fibrocemento</v>
      </c>
      <c r="R982" s="43">
        <f>VLOOKUP(P982,ORD!$A:$C,3,0)</f>
        <v>16</v>
      </c>
      <c r="S982" t="str">
        <f t="shared" si="16"/>
        <v>735505010570000000000Fibrocemento</v>
      </c>
      <c r="T982" t="str">
        <f>IFERROR(VLOOKUP(S982,Maestro!$A:$H,8,0),"Producción")</f>
        <v>Gasoil</v>
      </c>
      <c r="U982" s="43" t="s">
        <v>182</v>
      </c>
    </row>
    <row r="983" spans="1:21" x14ac:dyDescent="0.3">
      <c r="A983" s="43">
        <v>7355050105</v>
      </c>
      <c r="B983" s="43" t="s">
        <v>462</v>
      </c>
      <c r="C983" s="50"/>
      <c r="D983" s="56">
        <f>Datos!$Q$254</f>
        <v>3077.9332689156681</v>
      </c>
      <c r="E983" s="43" t="s">
        <v>581</v>
      </c>
      <c r="F983" s="43" t="s">
        <v>557</v>
      </c>
      <c r="G983" s="43" t="s">
        <v>570</v>
      </c>
      <c r="H983" s="43" t="s">
        <v>571</v>
      </c>
      <c r="I983" s="43" t="s">
        <v>560</v>
      </c>
      <c r="J983" s="43">
        <v>70000000000</v>
      </c>
      <c r="K983" s="43">
        <v>700064</v>
      </c>
      <c r="L983" s="43">
        <v>10</v>
      </c>
      <c r="M983" s="43" t="s">
        <v>813</v>
      </c>
      <c r="N983" s="53"/>
      <c r="O983" s="53"/>
      <c r="P983" s="43" t="str">
        <f>VLOOKUP(K983,Maestro!J:K,2,0)</f>
        <v>FIBROCEMENTO</v>
      </c>
      <c r="Q983" s="43" t="str">
        <f>VLOOKUP(P983,Maestro!E:F,2,0)</f>
        <v>Fibrocemento</v>
      </c>
      <c r="R983" s="43">
        <f>VLOOKUP(P983,ORD!$A:$C,3,0)</f>
        <v>16</v>
      </c>
      <c r="S983" t="str">
        <f t="shared" si="16"/>
        <v>735505010570000000000Fibrocemento</v>
      </c>
      <c r="T983" t="str">
        <f>IFERROR(VLOOKUP(S983,Maestro!$A:$H,8,0),"Producción")</f>
        <v>Gasoil</v>
      </c>
      <c r="U983" s="43" t="s">
        <v>182</v>
      </c>
    </row>
    <row r="984" spans="1:21" x14ac:dyDescent="0.3">
      <c r="A984" s="43">
        <v>7355050105</v>
      </c>
      <c r="B984" s="43" t="s">
        <v>462</v>
      </c>
      <c r="C984" s="50"/>
      <c r="D984" s="56">
        <f>Datos!$R$254</f>
        <v>2850.7915806118876</v>
      </c>
      <c r="E984" s="43" t="s">
        <v>581</v>
      </c>
      <c r="F984" s="43" t="s">
        <v>557</v>
      </c>
      <c r="G984" s="43" t="s">
        <v>570</v>
      </c>
      <c r="H984" s="43" t="s">
        <v>571</v>
      </c>
      <c r="I984" s="43" t="s">
        <v>560</v>
      </c>
      <c r="J984" s="43">
        <v>70000000000</v>
      </c>
      <c r="K984" s="43">
        <v>700064</v>
      </c>
      <c r="L984" s="43">
        <v>11</v>
      </c>
      <c r="M984" s="43" t="s">
        <v>813</v>
      </c>
      <c r="N984" s="53"/>
      <c r="O984" s="53"/>
      <c r="P984" s="43" t="str">
        <f>VLOOKUP(K984,Maestro!J:K,2,0)</f>
        <v>FIBROCEMENTO</v>
      </c>
      <c r="Q984" s="43" t="str">
        <f>VLOOKUP(P984,Maestro!E:F,2,0)</f>
        <v>Fibrocemento</v>
      </c>
      <c r="R984" s="43">
        <f>VLOOKUP(P984,ORD!$A:$C,3,0)</f>
        <v>16</v>
      </c>
      <c r="S984" t="str">
        <f t="shared" si="16"/>
        <v>735505010570000000000Fibrocemento</v>
      </c>
      <c r="T984" t="str">
        <f>IFERROR(VLOOKUP(S984,Maestro!$A:$H,8,0),"Producción")</f>
        <v>Gasoil</v>
      </c>
      <c r="U984" s="43" t="s">
        <v>182</v>
      </c>
    </row>
    <row r="985" spans="1:21" x14ac:dyDescent="0.3">
      <c r="A985" s="43">
        <v>7355050105</v>
      </c>
      <c r="B985" s="43" t="s">
        <v>462</v>
      </c>
      <c r="C985" s="50"/>
      <c r="D985" s="56">
        <f>Datos!$S$254</f>
        <v>2718.4218860767392</v>
      </c>
      <c r="E985" s="43" t="s">
        <v>581</v>
      </c>
      <c r="F985" s="43" t="s">
        <v>557</v>
      </c>
      <c r="G985" s="43" t="s">
        <v>570</v>
      </c>
      <c r="H985" s="43" t="s">
        <v>571</v>
      </c>
      <c r="I985" s="43" t="s">
        <v>560</v>
      </c>
      <c r="J985" s="43">
        <v>70000000000</v>
      </c>
      <c r="K985" s="43">
        <v>700064</v>
      </c>
      <c r="L985" s="43">
        <v>12</v>
      </c>
      <c r="M985" s="43" t="s">
        <v>813</v>
      </c>
      <c r="N985" s="53"/>
      <c r="O985" s="53"/>
      <c r="P985" s="43" t="str">
        <f>VLOOKUP(K985,Maestro!J:K,2,0)</f>
        <v>FIBROCEMENTO</v>
      </c>
      <c r="Q985" s="43" t="str">
        <f>VLOOKUP(P985,Maestro!E:F,2,0)</f>
        <v>Fibrocemento</v>
      </c>
      <c r="R985" s="43">
        <f>VLOOKUP(P985,ORD!$A:$C,3,0)</f>
        <v>16</v>
      </c>
      <c r="S985" t="str">
        <f t="shared" si="16"/>
        <v>735505010570000000000Fibrocemento</v>
      </c>
      <c r="T985" t="str">
        <f>IFERROR(VLOOKUP(S985,Maestro!$A:$H,8,0),"Producción")</f>
        <v>Gasoil</v>
      </c>
      <c r="U985" s="43" t="s">
        <v>182</v>
      </c>
    </row>
    <row r="986" spans="1:21" x14ac:dyDescent="0.3">
      <c r="A986" s="43">
        <v>7199990001</v>
      </c>
      <c r="B986" s="43" t="s">
        <v>438</v>
      </c>
      <c r="C986" s="52"/>
      <c r="D986" s="49"/>
      <c r="E986" s="43" t="s">
        <v>556</v>
      </c>
      <c r="F986" s="43" t="s">
        <v>557</v>
      </c>
      <c r="G986" s="43" t="s">
        <v>567</v>
      </c>
      <c r="H986" s="43" t="s">
        <v>568</v>
      </c>
      <c r="I986" s="43" t="s">
        <v>560</v>
      </c>
      <c r="J986" s="43" t="s">
        <v>472</v>
      </c>
      <c r="K986" s="43">
        <v>700100</v>
      </c>
      <c r="L986" s="43">
        <v>1</v>
      </c>
      <c r="M986" s="43" t="s">
        <v>468</v>
      </c>
      <c r="N986" s="51"/>
      <c r="O986" s="51"/>
      <c r="P986" s="43" t="str">
        <f>VLOOKUP(K986,Maestro!J:K,2,0)</f>
        <v>CEMENTO BIG BAG 1,5 TONELADAS</v>
      </c>
      <c r="Q986" s="43" t="str">
        <f>VLOOKUP(P986,Maestro!E:F,2,0)</f>
        <v>CEMENTO BIG BAG 1,5 TONELADAS</v>
      </c>
      <c r="R986" s="43">
        <f>VLOOKUP(P986,ORD!$A:$C,3,0)</f>
        <v>19</v>
      </c>
      <c r="S986" t="str">
        <f t="shared" si="16"/>
        <v>7199990001CEMENTOARTCEMENTO BIG BAG 1,5 TONELADAS</v>
      </c>
      <c r="T986" t="str">
        <f>IFERROR(VLOOKUP(S986,Maestro!$A:$H,8,0),"Producción")</f>
        <v>Cemento ART</v>
      </c>
      <c r="U986" s="43" t="s">
        <v>182</v>
      </c>
    </row>
    <row r="987" spans="1:21" x14ac:dyDescent="0.3">
      <c r="A987" s="43">
        <v>7360050302</v>
      </c>
      <c r="B987" s="43" t="s">
        <v>599</v>
      </c>
      <c r="C987" s="52"/>
      <c r="D987" s="52"/>
      <c r="E987" s="43" t="s">
        <v>581</v>
      </c>
      <c r="F987" s="43" t="s">
        <v>557</v>
      </c>
      <c r="G987" s="43" t="s">
        <v>582</v>
      </c>
      <c r="H987" s="43" t="s">
        <v>583</v>
      </c>
      <c r="I987" s="43" t="s">
        <v>560</v>
      </c>
      <c r="J987" s="43">
        <v>22000000001</v>
      </c>
      <c r="K987" s="43">
        <v>700100</v>
      </c>
      <c r="L987" s="43">
        <v>1</v>
      </c>
      <c r="M987" s="43" t="s">
        <v>600</v>
      </c>
      <c r="N987" s="51"/>
      <c r="O987" s="51"/>
      <c r="P987" s="43" t="str">
        <f>VLOOKUP(K987,Maestro!J:K,2,0)</f>
        <v>CEMENTO BIG BAG 1,5 TONELADAS</v>
      </c>
      <c r="Q987" s="43" t="str">
        <f>VLOOKUP(P987,Maestro!E:F,2,0)</f>
        <v>CEMENTO BIG BAG 1,5 TONELADAS</v>
      </c>
      <c r="R987" s="43">
        <f>VLOOKUP(P987,ORD!$A:$C,3,0)</f>
        <v>19</v>
      </c>
      <c r="S987" t="str">
        <f t="shared" si="16"/>
        <v>736005030222000000001CEMENTO BIG BAG 1,5 TONELADAS</v>
      </c>
      <c r="T987" t="str">
        <f>IFERROR(VLOOKUP(S987,Maestro!$A:$H,8,0),"Producción")</f>
        <v>Sacos</v>
      </c>
      <c r="U987" s="43" t="s">
        <v>182</v>
      </c>
    </row>
    <row r="988" spans="1:21" x14ac:dyDescent="0.3">
      <c r="A988" s="43">
        <v>7999999995</v>
      </c>
      <c r="B988" s="43" t="s">
        <v>566</v>
      </c>
      <c r="C988" s="52"/>
      <c r="D988" s="166"/>
      <c r="E988" s="43" t="s">
        <v>581</v>
      </c>
      <c r="F988" s="43" t="s">
        <v>557</v>
      </c>
      <c r="G988" s="43" t="s">
        <v>585</v>
      </c>
      <c r="H988" s="43" t="s">
        <v>586</v>
      </c>
      <c r="I988" s="43" t="s">
        <v>560</v>
      </c>
      <c r="J988" s="43" t="s">
        <v>601</v>
      </c>
      <c r="K988" s="43">
        <v>700100</v>
      </c>
      <c r="L988" s="43">
        <v>1</v>
      </c>
      <c r="M988" s="43" t="s">
        <v>602</v>
      </c>
      <c r="N988" s="51"/>
      <c r="O988" s="51"/>
      <c r="P988" s="43" t="str">
        <f>VLOOKUP(K988,Maestro!J:K,2,0)</f>
        <v>CEMENTO BIG BAG 1,5 TONELADAS</v>
      </c>
      <c r="Q988" s="43" t="str">
        <f>VLOOKUP(P988,Maestro!E:F,2,0)</f>
        <v>CEMENTO BIG BAG 1,5 TONELADAS</v>
      </c>
      <c r="R988" s="43">
        <f>VLOOKUP(P988,ORD!$A:$C,3,0)</f>
        <v>19</v>
      </c>
      <c r="S988" t="str">
        <f t="shared" si="16"/>
        <v>7999999995CEMARTBBCEMENTO BIG BAG 1,5 TONELADAS</v>
      </c>
      <c r="T988" t="str">
        <f>IFERROR(VLOOKUP(S988,Maestro!$A:$H,8,0),"Producción")</f>
        <v>Producción</v>
      </c>
      <c r="U988" s="43" t="s">
        <v>182</v>
      </c>
    </row>
    <row r="989" spans="1:21" x14ac:dyDescent="0.3">
      <c r="A989" s="43">
        <v>7199990001</v>
      </c>
      <c r="B989" s="43" t="s">
        <v>438</v>
      </c>
      <c r="C989" s="52"/>
      <c r="D989" s="49"/>
      <c r="E989" s="43" t="s">
        <v>556</v>
      </c>
      <c r="F989" s="43" t="s">
        <v>557</v>
      </c>
      <c r="G989" s="43" t="s">
        <v>567</v>
      </c>
      <c r="H989" s="43" t="s">
        <v>568</v>
      </c>
      <c r="I989" s="43" t="s">
        <v>560</v>
      </c>
      <c r="J989" s="43" t="s">
        <v>472</v>
      </c>
      <c r="K989" s="43">
        <v>700100</v>
      </c>
      <c r="L989" s="43">
        <v>2</v>
      </c>
      <c r="M989" s="43" t="s">
        <v>468</v>
      </c>
      <c r="N989" s="51"/>
      <c r="O989" s="51"/>
      <c r="P989" s="43" t="str">
        <f>VLOOKUP(K989,Maestro!J:K,2,0)</f>
        <v>CEMENTO BIG BAG 1,5 TONELADAS</v>
      </c>
      <c r="Q989" s="43" t="str">
        <f>VLOOKUP(P989,Maestro!E:F,2,0)</f>
        <v>CEMENTO BIG BAG 1,5 TONELADAS</v>
      </c>
      <c r="R989" s="43">
        <f>VLOOKUP(P989,ORD!$A:$C,3,0)</f>
        <v>19</v>
      </c>
      <c r="S989" t="str">
        <f t="shared" si="16"/>
        <v>7199990001CEMENTOARTCEMENTO BIG BAG 1,5 TONELADAS</v>
      </c>
      <c r="T989" t="str">
        <f>IFERROR(VLOOKUP(S989,Maestro!$A:$H,8,0),"Producción")</f>
        <v>Cemento ART</v>
      </c>
      <c r="U989" s="43" t="s">
        <v>182</v>
      </c>
    </row>
    <row r="990" spans="1:21" x14ac:dyDescent="0.3">
      <c r="A990" s="43">
        <v>7360050302</v>
      </c>
      <c r="B990" s="43" t="s">
        <v>474</v>
      </c>
      <c r="C990" s="52"/>
      <c r="D990" s="52"/>
      <c r="E990" s="43" t="s">
        <v>581</v>
      </c>
      <c r="F990" s="43" t="s">
        <v>557</v>
      </c>
      <c r="G990" s="43" t="s">
        <v>582</v>
      </c>
      <c r="H990" s="43" t="s">
        <v>583</v>
      </c>
      <c r="I990" s="43" t="s">
        <v>560</v>
      </c>
      <c r="J990" s="43">
        <v>22000000001</v>
      </c>
      <c r="K990" s="43">
        <v>700100</v>
      </c>
      <c r="L990" s="43">
        <v>2</v>
      </c>
      <c r="M990" s="43" t="s">
        <v>600</v>
      </c>
      <c r="N990" s="51"/>
      <c r="O990" s="51"/>
      <c r="P990" s="43" t="str">
        <f>VLOOKUP(K990,Maestro!J:K,2,0)</f>
        <v>CEMENTO BIG BAG 1,5 TONELADAS</v>
      </c>
      <c r="Q990" s="43" t="str">
        <f>VLOOKUP(P990,Maestro!E:F,2,0)</f>
        <v>CEMENTO BIG BAG 1,5 TONELADAS</v>
      </c>
      <c r="R990" s="43">
        <f>VLOOKUP(P990,ORD!$A:$C,3,0)</f>
        <v>19</v>
      </c>
      <c r="S990" t="str">
        <f t="shared" si="16"/>
        <v>736005030222000000001CEMENTO BIG BAG 1,5 TONELADAS</v>
      </c>
      <c r="T990" t="str">
        <f>IFERROR(VLOOKUP(S990,Maestro!$A:$H,8,0),"Producción")</f>
        <v>Sacos</v>
      </c>
      <c r="U990" s="43" t="s">
        <v>182</v>
      </c>
    </row>
    <row r="991" spans="1:21" x14ac:dyDescent="0.3">
      <c r="A991" s="43">
        <v>7999999995</v>
      </c>
      <c r="B991" s="43" t="s">
        <v>566</v>
      </c>
      <c r="C991" s="52"/>
      <c r="D991" s="166"/>
      <c r="E991" s="43" t="s">
        <v>581</v>
      </c>
      <c r="F991" s="43" t="s">
        <v>557</v>
      </c>
      <c r="G991" s="43" t="s">
        <v>585</v>
      </c>
      <c r="H991" s="43" t="s">
        <v>586</v>
      </c>
      <c r="I991" s="43" t="s">
        <v>560</v>
      </c>
      <c r="J991" s="43" t="s">
        <v>601</v>
      </c>
      <c r="K991" s="43">
        <v>700100</v>
      </c>
      <c r="L991" s="43">
        <v>2</v>
      </c>
      <c r="M991" s="43" t="s">
        <v>602</v>
      </c>
      <c r="N991" s="51"/>
      <c r="O991" s="51"/>
      <c r="P991" s="43" t="str">
        <f>VLOOKUP(K991,Maestro!J:K,2,0)</f>
        <v>CEMENTO BIG BAG 1,5 TONELADAS</v>
      </c>
      <c r="Q991" s="43" t="str">
        <f>VLOOKUP(P991,Maestro!E:F,2,0)</f>
        <v>CEMENTO BIG BAG 1,5 TONELADAS</v>
      </c>
      <c r="R991" s="43">
        <f>VLOOKUP(P991,ORD!$A:$C,3,0)</f>
        <v>19</v>
      </c>
      <c r="S991" t="str">
        <f t="shared" si="16"/>
        <v>7999999995CEMARTBBCEMENTO BIG BAG 1,5 TONELADAS</v>
      </c>
      <c r="T991" t="str">
        <f>IFERROR(VLOOKUP(S991,Maestro!$A:$H,8,0),"Producción")</f>
        <v>Producción</v>
      </c>
      <c r="U991" s="43" t="s">
        <v>182</v>
      </c>
    </row>
    <row r="992" spans="1:21" x14ac:dyDescent="0.3">
      <c r="A992" s="43">
        <v>7199990001</v>
      </c>
      <c r="B992" s="43" t="s">
        <v>438</v>
      </c>
      <c r="C992" s="52"/>
      <c r="D992" s="49"/>
      <c r="E992" s="43" t="s">
        <v>556</v>
      </c>
      <c r="F992" s="43" t="s">
        <v>557</v>
      </c>
      <c r="G992" s="43" t="s">
        <v>567</v>
      </c>
      <c r="H992" s="43" t="s">
        <v>568</v>
      </c>
      <c r="I992" s="43" t="s">
        <v>560</v>
      </c>
      <c r="J992" s="43" t="s">
        <v>472</v>
      </c>
      <c r="K992" s="43">
        <v>700100</v>
      </c>
      <c r="L992" s="43">
        <v>3</v>
      </c>
      <c r="M992" s="43" t="s">
        <v>468</v>
      </c>
      <c r="N992" s="51"/>
      <c r="O992" s="51"/>
      <c r="P992" s="43" t="str">
        <f>VLOOKUP(K992,Maestro!J:K,2,0)</f>
        <v>CEMENTO BIG BAG 1,5 TONELADAS</v>
      </c>
      <c r="Q992" s="43" t="str">
        <f>VLOOKUP(P992,Maestro!E:F,2,0)</f>
        <v>CEMENTO BIG BAG 1,5 TONELADAS</v>
      </c>
      <c r="R992" s="43">
        <f>VLOOKUP(P992,ORD!$A:$C,3,0)</f>
        <v>19</v>
      </c>
      <c r="S992" t="str">
        <f t="shared" si="16"/>
        <v>7199990001CEMENTOARTCEMENTO BIG BAG 1,5 TONELADAS</v>
      </c>
      <c r="T992" t="str">
        <f>IFERROR(VLOOKUP(S992,Maestro!$A:$H,8,0),"Producción")</f>
        <v>Cemento ART</v>
      </c>
      <c r="U992" s="43" t="s">
        <v>182</v>
      </c>
    </row>
    <row r="993" spans="1:21" x14ac:dyDescent="0.3">
      <c r="A993" s="43">
        <v>7360050302</v>
      </c>
      <c r="B993" s="43" t="s">
        <v>474</v>
      </c>
      <c r="C993" s="52"/>
      <c r="D993" s="52"/>
      <c r="E993" s="43" t="s">
        <v>581</v>
      </c>
      <c r="F993" s="43" t="s">
        <v>557</v>
      </c>
      <c r="G993" s="43" t="s">
        <v>582</v>
      </c>
      <c r="H993" s="43" t="s">
        <v>583</v>
      </c>
      <c r="I993" s="43" t="s">
        <v>560</v>
      </c>
      <c r="J993" s="43">
        <v>22000000001</v>
      </c>
      <c r="K993" s="43">
        <v>700100</v>
      </c>
      <c r="L993" s="43">
        <v>3</v>
      </c>
      <c r="M993" s="43" t="s">
        <v>600</v>
      </c>
      <c r="N993" s="51"/>
      <c r="O993" s="51"/>
      <c r="P993" s="43" t="str">
        <f>VLOOKUP(K993,Maestro!J:K,2,0)</f>
        <v>CEMENTO BIG BAG 1,5 TONELADAS</v>
      </c>
      <c r="Q993" s="43" t="str">
        <f>VLOOKUP(P993,Maestro!E:F,2,0)</f>
        <v>CEMENTO BIG BAG 1,5 TONELADAS</v>
      </c>
      <c r="R993" s="43">
        <f>VLOOKUP(P993,ORD!$A:$C,3,0)</f>
        <v>19</v>
      </c>
      <c r="S993" t="str">
        <f t="shared" si="16"/>
        <v>736005030222000000001CEMENTO BIG BAG 1,5 TONELADAS</v>
      </c>
      <c r="T993" t="str">
        <f>IFERROR(VLOOKUP(S993,Maestro!$A:$H,8,0),"Producción")</f>
        <v>Sacos</v>
      </c>
      <c r="U993" s="43" t="s">
        <v>182</v>
      </c>
    </row>
    <row r="994" spans="1:21" x14ac:dyDescent="0.3">
      <c r="A994" s="43">
        <v>7999999995</v>
      </c>
      <c r="B994" s="43" t="s">
        <v>566</v>
      </c>
      <c r="C994" s="52"/>
      <c r="D994" s="166"/>
      <c r="E994" s="43" t="s">
        <v>581</v>
      </c>
      <c r="F994" s="43" t="s">
        <v>557</v>
      </c>
      <c r="G994" s="43" t="s">
        <v>585</v>
      </c>
      <c r="H994" s="43" t="s">
        <v>586</v>
      </c>
      <c r="I994" s="43" t="s">
        <v>560</v>
      </c>
      <c r="J994" s="43" t="s">
        <v>601</v>
      </c>
      <c r="K994" s="43">
        <v>700100</v>
      </c>
      <c r="L994" s="43">
        <v>3</v>
      </c>
      <c r="M994" s="43" t="s">
        <v>602</v>
      </c>
      <c r="N994" s="51"/>
      <c r="O994" s="51"/>
      <c r="P994" s="43" t="str">
        <f>VLOOKUP(K994,Maestro!J:K,2,0)</f>
        <v>CEMENTO BIG BAG 1,5 TONELADAS</v>
      </c>
      <c r="Q994" s="43" t="str">
        <f>VLOOKUP(P994,Maestro!E:F,2,0)</f>
        <v>CEMENTO BIG BAG 1,5 TONELADAS</v>
      </c>
      <c r="R994" s="43">
        <f>VLOOKUP(P994,ORD!$A:$C,3,0)</f>
        <v>19</v>
      </c>
      <c r="S994" t="str">
        <f t="shared" si="16"/>
        <v>7999999995CEMARTBBCEMENTO BIG BAG 1,5 TONELADAS</v>
      </c>
      <c r="T994" t="str">
        <f>IFERROR(VLOOKUP(S994,Maestro!$A:$H,8,0),"Producción")</f>
        <v>Producción</v>
      </c>
      <c r="U994" s="43" t="s">
        <v>182</v>
      </c>
    </row>
    <row r="995" spans="1:21" x14ac:dyDescent="0.3">
      <c r="A995" s="43">
        <v>7199990001</v>
      </c>
      <c r="B995" s="43" t="s">
        <v>438</v>
      </c>
      <c r="C995" s="52"/>
      <c r="D995" s="49"/>
      <c r="E995" s="43" t="s">
        <v>556</v>
      </c>
      <c r="F995" s="43" t="s">
        <v>557</v>
      </c>
      <c r="G995" s="43" t="s">
        <v>567</v>
      </c>
      <c r="H995" s="43" t="s">
        <v>568</v>
      </c>
      <c r="I995" s="43" t="s">
        <v>560</v>
      </c>
      <c r="J995" s="43" t="s">
        <v>472</v>
      </c>
      <c r="K995" s="43">
        <v>700100</v>
      </c>
      <c r="L995" s="43">
        <v>4</v>
      </c>
      <c r="M995" s="43" t="s">
        <v>468</v>
      </c>
      <c r="N995" s="51"/>
      <c r="O995" s="51"/>
      <c r="P995" s="43" t="str">
        <f>VLOOKUP(K995,Maestro!J:K,2,0)</f>
        <v>CEMENTO BIG BAG 1,5 TONELADAS</v>
      </c>
      <c r="Q995" s="43" t="str">
        <f>VLOOKUP(P995,Maestro!E:F,2,0)</f>
        <v>CEMENTO BIG BAG 1,5 TONELADAS</v>
      </c>
      <c r="R995" s="43">
        <f>VLOOKUP(P995,ORD!$A:$C,3,0)</f>
        <v>19</v>
      </c>
      <c r="S995" t="str">
        <f t="shared" si="16"/>
        <v>7199990001CEMENTOARTCEMENTO BIG BAG 1,5 TONELADAS</v>
      </c>
      <c r="T995" t="str">
        <f>IFERROR(VLOOKUP(S995,Maestro!$A:$H,8,0),"Producción")</f>
        <v>Cemento ART</v>
      </c>
      <c r="U995" s="43" t="s">
        <v>182</v>
      </c>
    </row>
    <row r="996" spans="1:21" x14ac:dyDescent="0.3">
      <c r="A996" s="43">
        <v>7360050302</v>
      </c>
      <c r="B996" s="43" t="s">
        <v>474</v>
      </c>
      <c r="C996" s="52"/>
      <c r="D996" s="52"/>
      <c r="E996" s="43" t="s">
        <v>581</v>
      </c>
      <c r="F996" s="43" t="s">
        <v>557</v>
      </c>
      <c r="G996" s="43" t="s">
        <v>582</v>
      </c>
      <c r="H996" s="43" t="s">
        <v>583</v>
      </c>
      <c r="I996" s="43" t="s">
        <v>560</v>
      </c>
      <c r="J996" s="43">
        <v>22000000001</v>
      </c>
      <c r="K996" s="43">
        <v>700100</v>
      </c>
      <c r="L996" s="43">
        <v>4</v>
      </c>
      <c r="M996" s="43" t="s">
        <v>600</v>
      </c>
      <c r="N996" s="51"/>
      <c r="O996" s="51"/>
      <c r="P996" s="43" t="str">
        <f>VLOOKUP(K996,Maestro!J:K,2,0)</f>
        <v>CEMENTO BIG BAG 1,5 TONELADAS</v>
      </c>
      <c r="Q996" s="43" t="str">
        <f>VLOOKUP(P996,Maestro!E:F,2,0)</f>
        <v>CEMENTO BIG BAG 1,5 TONELADAS</v>
      </c>
      <c r="R996" s="43">
        <f>VLOOKUP(P996,ORD!$A:$C,3,0)</f>
        <v>19</v>
      </c>
      <c r="S996" t="str">
        <f t="shared" si="16"/>
        <v>736005030222000000001CEMENTO BIG BAG 1,5 TONELADAS</v>
      </c>
      <c r="T996" t="str">
        <f>IFERROR(VLOOKUP(S996,Maestro!$A:$H,8,0),"Producción")</f>
        <v>Sacos</v>
      </c>
      <c r="U996" s="43" t="s">
        <v>182</v>
      </c>
    </row>
    <row r="997" spans="1:21" x14ac:dyDescent="0.3">
      <c r="A997" s="43">
        <v>7999999995</v>
      </c>
      <c r="B997" s="43" t="s">
        <v>566</v>
      </c>
      <c r="C997" s="52"/>
      <c r="D997" s="166"/>
      <c r="E997" s="43" t="s">
        <v>581</v>
      </c>
      <c r="F997" s="43" t="s">
        <v>557</v>
      </c>
      <c r="G997" s="43" t="s">
        <v>585</v>
      </c>
      <c r="H997" s="43" t="s">
        <v>586</v>
      </c>
      <c r="I997" s="43" t="s">
        <v>560</v>
      </c>
      <c r="J997" s="43" t="s">
        <v>601</v>
      </c>
      <c r="K997" s="43">
        <v>700100</v>
      </c>
      <c r="L997" s="43">
        <v>4</v>
      </c>
      <c r="M997" s="43" t="s">
        <v>602</v>
      </c>
      <c r="N997" s="51"/>
      <c r="O997" s="51"/>
      <c r="P997" s="43" t="str">
        <f>VLOOKUP(K997,Maestro!J:K,2,0)</f>
        <v>CEMENTO BIG BAG 1,5 TONELADAS</v>
      </c>
      <c r="Q997" s="43" t="str">
        <f>VLOOKUP(P997,Maestro!E:F,2,0)</f>
        <v>CEMENTO BIG BAG 1,5 TONELADAS</v>
      </c>
      <c r="R997" s="43">
        <f>VLOOKUP(P997,ORD!$A:$C,3,0)</f>
        <v>19</v>
      </c>
      <c r="S997" t="str">
        <f t="shared" si="16"/>
        <v>7999999995CEMARTBBCEMENTO BIG BAG 1,5 TONELADAS</v>
      </c>
      <c r="T997" t="str">
        <f>IFERROR(VLOOKUP(S997,Maestro!$A:$H,8,0),"Producción")</f>
        <v>Producción</v>
      </c>
      <c r="U997" s="43" t="s">
        <v>182</v>
      </c>
    </row>
    <row r="998" spans="1:21" x14ac:dyDescent="0.3">
      <c r="A998" s="43">
        <v>7199990001</v>
      </c>
      <c r="B998" s="43" t="s">
        <v>438</v>
      </c>
      <c r="C998" s="52"/>
      <c r="D998" s="49"/>
      <c r="E998" s="43" t="s">
        <v>556</v>
      </c>
      <c r="F998" s="43" t="s">
        <v>557</v>
      </c>
      <c r="G998" s="43" t="s">
        <v>567</v>
      </c>
      <c r="H998" s="43" t="s">
        <v>568</v>
      </c>
      <c r="I998" s="43" t="s">
        <v>560</v>
      </c>
      <c r="J998" s="43" t="s">
        <v>472</v>
      </c>
      <c r="K998" s="43">
        <v>700100</v>
      </c>
      <c r="L998" s="43">
        <v>5</v>
      </c>
      <c r="M998" s="43" t="s">
        <v>468</v>
      </c>
      <c r="N998" s="51"/>
      <c r="O998" s="51"/>
      <c r="P998" s="43" t="str">
        <f>VLOOKUP(K998,Maestro!J:K,2,0)</f>
        <v>CEMENTO BIG BAG 1,5 TONELADAS</v>
      </c>
      <c r="Q998" s="43" t="str">
        <f>VLOOKUP(P998,Maestro!E:F,2,0)</f>
        <v>CEMENTO BIG BAG 1,5 TONELADAS</v>
      </c>
      <c r="R998" s="43">
        <f>VLOOKUP(P998,ORD!$A:$C,3,0)</f>
        <v>19</v>
      </c>
      <c r="S998" t="str">
        <f t="shared" si="16"/>
        <v>7199990001CEMENTOARTCEMENTO BIG BAG 1,5 TONELADAS</v>
      </c>
      <c r="T998" t="str">
        <f>IFERROR(VLOOKUP(S998,Maestro!$A:$H,8,0),"Producción")</f>
        <v>Cemento ART</v>
      </c>
      <c r="U998" s="43" t="s">
        <v>182</v>
      </c>
    </row>
    <row r="999" spans="1:21" x14ac:dyDescent="0.3">
      <c r="A999" s="43">
        <v>7360050302</v>
      </c>
      <c r="B999" s="43" t="s">
        <v>474</v>
      </c>
      <c r="C999" s="52"/>
      <c r="D999" s="52"/>
      <c r="E999" s="43" t="s">
        <v>581</v>
      </c>
      <c r="F999" s="43" t="s">
        <v>557</v>
      </c>
      <c r="G999" s="43" t="s">
        <v>582</v>
      </c>
      <c r="H999" s="43" t="s">
        <v>583</v>
      </c>
      <c r="I999" s="43" t="s">
        <v>560</v>
      </c>
      <c r="J999" s="43">
        <v>22000000001</v>
      </c>
      <c r="K999" s="43">
        <v>700100</v>
      </c>
      <c r="L999" s="43">
        <v>5</v>
      </c>
      <c r="M999" s="43" t="s">
        <v>600</v>
      </c>
      <c r="N999" s="51"/>
      <c r="O999" s="51"/>
      <c r="P999" s="43" t="str">
        <f>VLOOKUP(K999,Maestro!J:K,2,0)</f>
        <v>CEMENTO BIG BAG 1,5 TONELADAS</v>
      </c>
      <c r="Q999" s="43" t="str">
        <f>VLOOKUP(P999,Maestro!E:F,2,0)</f>
        <v>CEMENTO BIG BAG 1,5 TONELADAS</v>
      </c>
      <c r="R999" s="43">
        <f>VLOOKUP(P999,ORD!$A:$C,3,0)</f>
        <v>19</v>
      </c>
      <c r="S999" t="str">
        <f t="shared" si="16"/>
        <v>736005030222000000001CEMENTO BIG BAG 1,5 TONELADAS</v>
      </c>
      <c r="T999" t="str">
        <f>IFERROR(VLOOKUP(S999,Maestro!$A:$H,8,0),"Producción")</f>
        <v>Sacos</v>
      </c>
      <c r="U999" s="43" t="s">
        <v>182</v>
      </c>
    </row>
    <row r="1000" spans="1:21" x14ac:dyDescent="0.3">
      <c r="A1000" s="43">
        <v>7999999995</v>
      </c>
      <c r="B1000" s="43" t="s">
        <v>566</v>
      </c>
      <c r="C1000" s="52"/>
      <c r="D1000" s="166"/>
      <c r="E1000" s="43" t="s">
        <v>581</v>
      </c>
      <c r="F1000" s="43" t="s">
        <v>557</v>
      </c>
      <c r="G1000" s="43" t="s">
        <v>585</v>
      </c>
      <c r="H1000" s="43" t="s">
        <v>586</v>
      </c>
      <c r="I1000" s="43" t="s">
        <v>560</v>
      </c>
      <c r="J1000" s="43" t="s">
        <v>601</v>
      </c>
      <c r="K1000" s="43">
        <v>700100</v>
      </c>
      <c r="L1000" s="43">
        <v>5</v>
      </c>
      <c r="M1000" s="43" t="s">
        <v>602</v>
      </c>
      <c r="N1000" s="51"/>
      <c r="O1000" s="51"/>
      <c r="P1000" s="43" t="str">
        <f>VLOOKUP(K1000,Maestro!J:K,2,0)</f>
        <v>CEMENTO BIG BAG 1,5 TONELADAS</v>
      </c>
      <c r="Q1000" s="43" t="str">
        <f>VLOOKUP(P1000,Maestro!E:F,2,0)</f>
        <v>CEMENTO BIG BAG 1,5 TONELADAS</v>
      </c>
      <c r="R1000" s="43">
        <f>VLOOKUP(P1000,ORD!$A:$C,3,0)</f>
        <v>19</v>
      </c>
      <c r="S1000" t="str">
        <f t="shared" si="16"/>
        <v>7999999995CEMARTBBCEMENTO BIG BAG 1,5 TONELADAS</v>
      </c>
      <c r="T1000" t="str">
        <f>IFERROR(VLOOKUP(S1000,Maestro!$A:$H,8,0),"Producción")</f>
        <v>Producción</v>
      </c>
      <c r="U1000" s="43" t="s">
        <v>182</v>
      </c>
    </row>
    <row r="1001" spans="1:21" x14ac:dyDescent="0.3">
      <c r="A1001" s="43">
        <v>7199990001</v>
      </c>
      <c r="B1001" s="43" t="s">
        <v>438</v>
      </c>
      <c r="C1001" s="52"/>
      <c r="D1001" s="49"/>
      <c r="E1001" s="43" t="s">
        <v>556</v>
      </c>
      <c r="F1001" s="43" t="s">
        <v>557</v>
      </c>
      <c r="G1001" s="43" t="s">
        <v>567</v>
      </c>
      <c r="H1001" s="43" t="s">
        <v>568</v>
      </c>
      <c r="I1001" s="43" t="s">
        <v>560</v>
      </c>
      <c r="J1001" s="43" t="s">
        <v>472</v>
      </c>
      <c r="K1001" s="43">
        <v>700100</v>
      </c>
      <c r="L1001" s="43">
        <v>6</v>
      </c>
      <c r="M1001" s="43" t="s">
        <v>468</v>
      </c>
      <c r="N1001" s="51"/>
      <c r="O1001" s="51"/>
      <c r="P1001" s="43" t="str">
        <f>VLOOKUP(K1001,Maestro!J:K,2,0)</f>
        <v>CEMENTO BIG BAG 1,5 TONELADAS</v>
      </c>
      <c r="Q1001" s="43" t="str">
        <f>VLOOKUP(P1001,Maestro!E:F,2,0)</f>
        <v>CEMENTO BIG BAG 1,5 TONELADAS</v>
      </c>
      <c r="R1001" s="43">
        <f>VLOOKUP(P1001,ORD!$A:$C,3,0)</f>
        <v>19</v>
      </c>
      <c r="S1001" t="str">
        <f t="shared" si="16"/>
        <v>7199990001CEMENTOARTCEMENTO BIG BAG 1,5 TONELADAS</v>
      </c>
      <c r="T1001" t="str">
        <f>IFERROR(VLOOKUP(S1001,Maestro!$A:$H,8,0),"Producción")</f>
        <v>Cemento ART</v>
      </c>
      <c r="U1001" s="43" t="s">
        <v>182</v>
      </c>
    </row>
    <row r="1002" spans="1:21" x14ac:dyDescent="0.3">
      <c r="A1002" s="43">
        <v>7360050302</v>
      </c>
      <c r="B1002" s="43" t="s">
        <v>474</v>
      </c>
      <c r="C1002" s="52"/>
      <c r="D1002" s="52"/>
      <c r="E1002" s="43" t="s">
        <v>581</v>
      </c>
      <c r="F1002" s="43" t="s">
        <v>557</v>
      </c>
      <c r="G1002" s="43" t="s">
        <v>582</v>
      </c>
      <c r="H1002" s="43" t="s">
        <v>583</v>
      </c>
      <c r="I1002" s="43" t="s">
        <v>560</v>
      </c>
      <c r="J1002" s="43">
        <v>22000000001</v>
      </c>
      <c r="K1002" s="43">
        <v>700100</v>
      </c>
      <c r="L1002" s="43">
        <v>6</v>
      </c>
      <c r="M1002" s="43" t="s">
        <v>600</v>
      </c>
      <c r="N1002" s="51"/>
      <c r="O1002" s="51"/>
      <c r="P1002" s="43" t="str">
        <f>VLOOKUP(K1002,Maestro!J:K,2,0)</f>
        <v>CEMENTO BIG BAG 1,5 TONELADAS</v>
      </c>
      <c r="Q1002" s="43" t="str">
        <f>VLOOKUP(P1002,Maestro!E:F,2,0)</f>
        <v>CEMENTO BIG BAG 1,5 TONELADAS</v>
      </c>
      <c r="R1002" s="43">
        <f>VLOOKUP(P1002,ORD!$A:$C,3,0)</f>
        <v>19</v>
      </c>
      <c r="S1002" t="str">
        <f t="shared" si="16"/>
        <v>736005030222000000001CEMENTO BIG BAG 1,5 TONELADAS</v>
      </c>
      <c r="T1002" t="str">
        <f>IFERROR(VLOOKUP(S1002,Maestro!$A:$H,8,0),"Producción")</f>
        <v>Sacos</v>
      </c>
      <c r="U1002" s="43" t="s">
        <v>182</v>
      </c>
    </row>
    <row r="1003" spans="1:21" x14ac:dyDescent="0.3">
      <c r="A1003" s="43">
        <v>7999999995</v>
      </c>
      <c r="B1003" s="43" t="s">
        <v>566</v>
      </c>
      <c r="C1003" s="52"/>
      <c r="D1003" s="166"/>
      <c r="E1003" s="43" t="s">
        <v>581</v>
      </c>
      <c r="F1003" s="43" t="s">
        <v>557</v>
      </c>
      <c r="G1003" s="43" t="s">
        <v>585</v>
      </c>
      <c r="H1003" s="43" t="s">
        <v>586</v>
      </c>
      <c r="I1003" s="43" t="s">
        <v>560</v>
      </c>
      <c r="J1003" s="43" t="s">
        <v>601</v>
      </c>
      <c r="K1003" s="43">
        <v>700100</v>
      </c>
      <c r="L1003" s="43">
        <v>6</v>
      </c>
      <c r="M1003" s="43" t="s">
        <v>602</v>
      </c>
      <c r="N1003" s="51"/>
      <c r="O1003" s="51"/>
      <c r="P1003" s="43" t="str">
        <f>VLOOKUP(K1003,Maestro!J:K,2,0)</f>
        <v>CEMENTO BIG BAG 1,5 TONELADAS</v>
      </c>
      <c r="Q1003" s="43" t="str">
        <f>VLOOKUP(P1003,Maestro!E:F,2,0)</f>
        <v>CEMENTO BIG BAG 1,5 TONELADAS</v>
      </c>
      <c r="R1003" s="43">
        <f>VLOOKUP(P1003,ORD!$A:$C,3,0)</f>
        <v>19</v>
      </c>
      <c r="S1003" t="str">
        <f t="shared" ref="S1003:S1066" si="17">A1003&amp;J1003&amp;Q1003</f>
        <v>7999999995CEMARTBBCEMENTO BIG BAG 1,5 TONELADAS</v>
      </c>
      <c r="T1003" t="str">
        <f>IFERROR(VLOOKUP(S1003,Maestro!$A:$H,8,0),"Producción")</f>
        <v>Producción</v>
      </c>
      <c r="U1003" s="43" t="s">
        <v>182</v>
      </c>
    </row>
    <row r="1004" spans="1:21" x14ac:dyDescent="0.3">
      <c r="A1004" s="43">
        <v>7199990001</v>
      </c>
      <c r="B1004" s="43" t="s">
        <v>438</v>
      </c>
      <c r="C1004" s="52"/>
      <c r="D1004" s="49"/>
      <c r="E1004" s="43" t="s">
        <v>556</v>
      </c>
      <c r="F1004" s="43" t="s">
        <v>557</v>
      </c>
      <c r="G1004" s="43" t="s">
        <v>567</v>
      </c>
      <c r="H1004" s="43" t="s">
        <v>568</v>
      </c>
      <c r="I1004" s="43" t="s">
        <v>560</v>
      </c>
      <c r="J1004" s="43" t="s">
        <v>472</v>
      </c>
      <c r="K1004" s="43">
        <v>700100</v>
      </c>
      <c r="L1004" s="43">
        <v>7</v>
      </c>
      <c r="M1004" s="43" t="s">
        <v>468</v>
      </c>
      <c r="N1004" s="51"/>
      <c r="O1004" s="51"/>
      <c r="P1004" s="43" t="str">
        <f>VLOOKUP(K1004,Maestro!J:K,2,0)</f>
        <v>CEMENTO BIG BAG 1,5 TONELADAS</v>
      </c>
      <c r="Q1004" s="43" t="str">
        <f>VLOOKUP(P1004,Maestro!E:F,2,0)</f>
        <v>CEMENTO BIG BAG 1,5 TONELADAS</v>
      </c>
      <c r="R1004" s="43">
        <f>VLOOKUP(P1004,ORD!$A:$C,3,0)</f>
        <v>19</v>
      </c>
      <c r="S1004" t="str">
        <f t="shared" si="17"/>
        <v>7199990001CEMENTOARTCEMENTO BIG BAG 1,5 TONELADAS</v>
      </c>
      <c r="T1004" t="str">
        <f>IFERROR(VLOOKUP(S1004,Maestro!$A:$H,8,0),"Producción")</f>
        <v>Cemento ART</v>
      </c>
      <c r="U1004" s="43" t="s">
        <v>182</v>
      </c>
    </row>
    <row r="1005" spans="1:21" x14ac:dyDescent="0.3">
      <c r="A1005" s="43">
        <v>7360050302</v>
      </c>
      <c r="B1005" s="43" t="s">
        <v>474</v>
      </c>
      <c r="C1005" s="52"/>
      <c r="D1005" s="52"/>
      <c r="E1005" s="43" t="s">
        <v>581</v>
      </c>
      <c r="F1005" s="43" t="s">
        <v>557</v>
      </c>
      <c r="G1005" s="43" t="s">
        <v>582</v>
      </c>
      <c r="H1005" s="43" t="s">
        <v>583</v>
      </c>
      <c r="I1005" s="43" t="s">
        <v>560</v>
      </c>
      <c r="J1005" s="43">
        <v>22000000001</v>
      </c>
      <c r="K1005" s="43">
        <v>700100</v>
      </c>
      <c r="L1005" s="43">
        <v>7</v>
      </c>
      <c r="M1005" s="43" t="s">
        <v>600</v>
      </c>
      <c r="N1005" s="51"/>
      <c r="O1005" s="51"/>
      <c r="P1005" s="43" t="str">
        <f>VLOOKUP(K1005,Maestro!J:K,2,0)</f>
        <v>CEMENTO BIG BAG 1,5 TONELADAS</v>
      </c>
      <c r="Q1005" s="43" t="str">
        <f>VLOOKUP(P1005,Maestro!E:F,2,0)</f>
        <v>CEMENTO BIG BAG 1,5 TONELADAS</v>
      </c>
      <c r="R1005" s="43">
        <f>VLOOKUP(P1005,ORD!$A:$C,3,0)</f>
        <v>19</v>
      </c>
      <c r="S1005" t="str">
        <f t="shared" si="17"/>
        <v>736005030222000000001CEMENTO BIG BAG 1,5 TONELADAS</v>
      </c>
      <c r="T1005" t="str">
        <f>IFERROR(VLOOKUP(S1005,Maestro!$A:$H,8,0),"Producción")</f>
        <v>Sacos</v>
      </c>
      <c r="U1005" s="43" t="s">
        <v>182</v>
      </c>
    </row>
    <row r="1006" spans="1:21" x14ac:dyDescent="0.3">
      <c r="A1006" s="43">
        <v>7999999995</v>
      </c>
      <c r="B1006" s="43" t="s">
        <v>566</v>
      </c>
      <c r="C1006" s="52"/>
      <c r="D1006" s="166"/>
      <c r="E1006" s="43" t="s">
        <v>581</v>
      </c>
      <c r="F1006" s="43" t="s">
        <v>557</v>
      </c>
      <c r="G1006" s="43" t="s">
        <v>585</v>
      </c>
      <c r="H1006" s="43" t="s">
        <v>586</v>
      </c>
      <c r="I1006" s="43" t="s">
        <v>560</v>
      </c>
      <c r="J1006" s="43" t="s">
        <v>601</v>
      </c>
      <c r="K1006" s="43">
        <v>700100</v>
      </c>
      <c r="L1006" s="43">
        <v>7</v>
      </c>
      <c r="M1006" s="43" t="s">
        <v>602</v>
      </c>
      <c r="N1006" s="51"/>
      <c r="O1006" s="51"/>
      <c r="P1006" s="43" t="str">
        <f>VLOOKUP(K1006,Maestro!J:K,2,0)</f>
        <v>CEMENTO BIG BAG 1,5 TONELADAS</v>
      </c>
      <c r="Q1006" s="43" t="str">
        <f>VLOOKUP(P1006,Maestro!E:F,2,0)</f>
        <v>CEMENTO BIG BAG 1,5 TONELADAS</v>
      </c>
      <c r="R1006" s="43">
        <f>VLOOKUP(P1006,ORD!$A:$C,3,0)</f>
        <v>19</v>
      </c>
      <c r="S1006" t="str">
        <f t="shared" si="17"/>
        <v>7999999995CEMARTBBCEMENTO BIG BAG 1,5 TONELADAS</v>
      </c>
      <c r="T1006" t="str">
        <f>IFERROR(VLOOKUP(S1006,Maestro!$A:$H,8,0),"Producción")</f>
        <v>Producción</v>
      </c>
      <c r="U1006" s="43" t="s">
        <v>182</v>
      </c>
    </row>
    <row r="1007" spans="1:21" x14ac:dyDescent="0.3">
      <c r="A1007" s="43">
        <v>7199990001</v>
      </c>
      <c r="B1007" s="43" t="s">
        <v>438</v>
      </c>
      <c r="C1007" s="52"/>
      <c r="D1007" s="49"/>
      <c r="E1007" s="43" t="s">
        <v>556</v>
      </c>
      <c r="F1007" s="43" t="s">
        <v>557</v>
      </c>
      <c r="G1007" s="43" t="s">
        <v>567</v>
      </c>
      <c r="H1007" s="43" t="s">
        <v>568</v>
      </c>
      <c r="I1007" s="43" t="s">
        <v>560</v>
      </c>
      <c r="J1007" s="43" t="s">
        <v>472</v>
      </c>
      <c r="K1007" s="43">
        <v>700100</v>
      </c>
      <c r="L1007" s="43">
        <v>8</v>
      </c>
      <c r="M1007" s="43" t="s">
        <v>468</v>
      </c>
      <c r="N1007" s="51"/>
      <c r="O1007" s="51"/>
      <c r="P1007" s="43" t="str">
        <f>VLOOKUP(K1007,Maestro!J:K,2,0)</f>
        <v>CEMENTO BIG BAG 1,5 TONELADAS</v>
      </c>
      <c r="Q1007" s="43" t="str">
        <f>VLOOKUP(P1007,Maestro!E:F,2,0)</f>
        <v>CEMENTO BIG BAG 1,5 TONELADAS</v>
      </c>
      <c r="R1007" s="43">
        <f>VLOOKUP(P1007,ORD!$A:$C,3,0)</f>
        <v>19</v>
      </c>
      <c r="S1007" t="str">
        <f t="shared" si="17"/>
        <v>7199990001CEMENTOARTCEMENTO BIG BAG 1,5 TONELADAS</v>
      </c>
      <c r="T1007" t="str">
        <f>IFERROR(VLOOKUP(S1007,Maestro!$A:$H,8,0),"Producción")</f>
        <v>Cemento ART</v>
      </c>
      <c r="U1007" s="43" t="s">
        <v>182</v>
      </c>
    </row>
    <row r="1008" spans="1:21" x14ac:dyDescent="0.3">
      <c r="A1008" s="43">
        <v>7360050302</v>
      </c>
      <c r="B1008" s="43" t="s">
        <v>474</v>
      </c>
      <c r="C1008" s="52"/>
      <c r="D1008" s="52"/>
      <c r="E1008" s="43" t="s">
        <v>581</v>
      </c>
      <c r="F1008" s="43" t="s">
        <v>557</v>
      </c>
      <c r="G1008" s="43" t="s">
        <v>582</v>
      </c>
      <c r="H1008" s="43" t="s">
        <v>583</v>
      </c>
      <c r="I1008" s="43" t="s">
        <v>560</v>
      </c>
      <c r="J1008" s="43">
        <v>22000000001</v>
      </c>
      <c r="K1008" s="43">
        <v>700100</v>
      </c>
      <c r="L1008" s="43">
        <v>8</v>
      </c>
      <c r="M1008" s="43" t="s">
        <v>600</v>
      </c>
      <c r="N1008" s="51"/>
      <c r="O1008" s="51"/>
      <c r="P1008" s="43" t="str">
        <f>VLOOKUP(K1008,Maestro!J:K,2,0)</f>
        <v>CEMENTO BIG BAG 1,5 TONELADAS</v>
      </c>
      <c r="Q1008" s="43" t="str">
        <f>VLOOKUP(P1008,Maestro!E:F,2,0)</f>
        <v>CEMENTO BIG BAG 1,5 TONELADAS</v>
      </c>
      <c r="R1008" s="43">
        <f>VLOOKUP(P1008,ORD!$A:$C,3,0)</f>
        <v>19</v>
      </c>
      <c r="S1008" t="str">
        <f t="shared" si="17"/>
        <v>736005030222000000001CEMENTO BIG BAG 1,5 TONELADAS</v>
      </c>
      <c r="T1008" t="str">
        <f>IFERROR(VLOOKUP(S1008,Maestro!$A:$H,8,0),"Producción")</f>
        <v>Sacos</v>
      </c>
      <c r="U1008" s="43" t="s">
        <v>182</v>
      </c>
    </row>
    <row r="1009" spans="1:21" x14ac:dyDescent="0.3">
      <c r="A1009" s="43">
        <v>7999999995</v>
      </c>
      <c r="B1009" s="43" t="s">
        <v>566</v>
      </c>
      <c r="C1009" s="52"/>
      <c r="D1009" s="166"/>
      <c r="E1009" s="43" t="s">
        <v>581</v>
      </c>
      <c r="F1009" s="43" t="s">
        <v>557</v>
      </c>
      <c r="G1009" s="43" t="s">
        <v>585</v>
      </c>
      <c r="H1009" s="43" t="s">
        <v>586</v>
      </c>
      <c r="I1009" s="43" t="s">
        <v>560</v>
      </c>
      <c r="J1009" s="43" t="s">
        <v>601</v>
      </c>
      <c r="K1009" s="43">
        <v>700100</v>
      </c>
      <c r="L1009" s="43">
        <v>8</v>
      </c>
      <c r="M1009" s="43" t="s">
        <v>602</v>
      </c>
      <c r="N1009" s="51"/>
      <c r="O1009" s="51"/>
      <c r="P1009" s="43" t="str">
        <f>VLOOKUP(K1009,Maestro!J:K,2,0)</f>
        <v>CEMENTO BIG BAG 1,5 TONELADAS</v>
      </c>
      <c r="Q1009" s="43" t="str">
        <f>VLOOKUP(P1009,Maestro!E:F,2,0)</f>
        <v>CEMENTO BIG BAG 1,5 TONELADAS</v>
      </c>
      <c r="R1009" s="43">
        <f>VLOOKUP(P1009,ORD!$A:$C,3,0)</f>
        <v>19</v>
      </c>
      <c r="S1009" t="str">
        <f t="shared" si="17"/>
        <v>7999999995CEMARTBBCEMENTO BIG BAG 1,5 TONELADAS</v>
      </c>
      <c r="T1009" t="str">
        <f>IFERROR(VLOOKUP(S1009,Maestro!$A:$H,8,0),"Producción")</f>
        <v>Producción</v>
      </c>
      <c r="U1009" s="43" t="s">
        <v>182</v>
      </c>
    </row>
    <row r="1010" spans="1:21" x14ac:dyDescent="0.3">
      <c r="A1010" s="43">
        <v>7199990001</v>
      </c>
      <c r="B1010" s="43" t="s">
        <v>438</v>
      </c>
      <c r="C1010" s="52"/>
      <c r="D1010" s="49"/>
      <c r="E1010" s="43" t="s">
        <v>556</v>
      </c>
      <c r="F1010" s="43" t="s">
        <v>557</v>
      </c>
      <c r="G1010" s="43" t="s">
        <v>567</v>
      </c>
      <c r="H1010" s="43" t="s">
        <v>568</v>
      </c>
      <c r="I1010" s="43" t="s">
        <v>560</v>
      </c>
      <c r="J1010" s="43" t="s">
        <v>472</v>
      </c>
      <c r="K1010" s="43">
        <v>700100</v>
      </c>
      <c r="L1010" s="43">
        <v>9</v>
      </c>
      <c r="M1010" s="43" t="s">
        <v>468</v>
      </c>
      <c r="N1010" s="51"/>
      <c r="O1010" s="51"/>
      <c r="P1010" s="43" t="str">
        <f>VLOOKUP(K1010,Maestro!J:K,2,0)</f>
        <v>CEMENTO BIG BAG 1,5 TONELADAS</v>
      </c>
      <c r="Q1010" s="43" t="str">
        <f>VLOOKUP(P1010,Maestro!E:F,2,0)</f>
        <v>CEMENTO BIG BAG 1,5 TONELADAS</v>
      </c>
      <c r="R1010" s="43">
        <f>VLOOKUP(P1010,ORD!$A:$C,3,0)</f>
        <v>19</v>
      </c>
      <c r="S1010" t="str">
        <f t="shared" si="17"/>
        <v>7199990001CEMENTOARTCEMENTO BIG BAG 1,5 TONELADAS</v>
      </c>
      <c r="T1010" t="str">
        <f>IFERROR(VLOOKUP(S1010,Maestro!$A:$H,8,0),"Producción")</f>
        <v>Cemento ART</v>
      </c>
      <c r="U1010" s="43" t="s">
        <v>182</v>
      </c>
    </row>
    <row r="1011" spans="1:21" x14ac:dyDescent="0.3">
      <c r="A1011" s="43">
        <v>7360050302</v>
      </c>
      <c r="B1011" s="43" t="s">
        <v>474</v>
      </c>
      <c r="C1011" s="52"/>
      <c r="D1011" s="52"/>
      <c r="E1011" s="43" t="s">
        <v>581</v>
      </c>
      <c r="F1011" s="43" t="s">
        <v>557</v>
      </c>
      <c r="G1011" s="43" t="s">
        <v>582</v>
      </c>
      <c r="H1011" s="43" t="s">
        <v>583</v>
      </c>
      <c r="I1011" s="43" t="s">
        <v>560</v>
      </c>
      <c r="J1011" s="43">
        <v>22000000001</v>
      </c>
      <c r="K1011" s="43">
        <v>700100</v>
      </c>
      <c r="L1011" s="43">
        <v>9</v>
      </c>
      <c r="M1011" s="43" t="s">
        <v>600</v>
      </c>
      <c r="N1011" s="51"/>
      <c r="O1011" s="51"/>
      <c r="P1011" s="43" t="str">
        <f>VLOOKUP(K1011,Maestro!J:K,2,0)</f>
        <v>CEMENTO BIG BAG 1,5 TONELADAS</v>
      </c>
      <c r="Q1011" s="43" t="str">
        <f>VLOOKUP(P1011,Maestro!E:F,2,0)</f>
        <v>CEMENTO BIG BAG 1,5 TONELADAS</v>
      </c>
      <c r="R1011" s="43">
        <f>VLOOKUP(P1011,ORD!$A:$C,3,0)</f>
        <v>19</v>
      </c>
      <c r="S1011" t="str">
        <f t="shared" si="17"/>
        <v>736005030222000000001CEMENTO BIG BAG 1,5 TONELADAS</v>
      </c>
      <c r="T1011" t="str">
        <f>IFERROR(VLOOKUP(S1011,Maestro!$A:$H,8,0),"Producción")</f>
        <v>Sacos</v>
      </c>
      <c r="U1011" s="43" t="s">
        <v>182</v>
      </c>
    </row>
    <row r="1012" spans="1:21" x14ac:dyDescent="0.3">
      <c r="A1012" s="43">
        <v>7999999995</v>
      </c>
      <c r="B1012" s="43" t="s">
        <v>566</v>
      </c>
      <c r="C1012" s="52"/>
      <c r="D1012" s="166"/>
      <c r="E1012" s="43" t="s">
        <v>581</v>
      </c>
      <c r="F1012" s="43" t="s">
        <v>557</v>
      </c>
      <c r="G1012" s="43" t="s">
        <v>585</v>
      </c>
      <c r="H1012" s="43" t="s">
        <v>586</v>
      </c>
      <c r="I1012" s="43" t="s">
        <v>560</v>
      </c>
      <c r="J1012" s="43" t="s">
        <v>601</v>
      </c>
      <c r="K1012" s="43">
        <v>700100</v>
      </c>
      <c r="L1012" s="43">
        <v>9</v>
      </c>
      <c r="M1012" s="43" t="s">
        <v>602</v>
      </c>
      <c r="N1012" s="51"/>
      <c r="O1012" s="51"/>
      <c r="P1012" s="43" t="str">
        <f>VLOOKUP(K1012,Maestro!J:K,2,0)</f>
        <v>CEMENTO BIG BAG 1,5 TONELADAS</v>
      </c>
      <c r="Q1012" s="43" t="str">
        <f>VLOOKUP(P1012,Maestro!E:F,2,0)</f>
        <v>CEMENTO BIG BAG 1,5 TONELADAS</v>
      </c>
      <c r="R1012" s="43">
        <f>VLOOKUP(P1012,ORD!$A:$C,3,0)</f>
        <v>19</v>
      </c>
      <c r="S1012" t="str">
        <f t="shared" si="17"/>
        <v>7999999995CEMARTBBCEMENTO BIG BAG 1,5 TONELADAS</v>
      </c>
      <c r="T1012" t="str">
        <f>IFERROR(VLOOKUP(S1012,Maestro!$A:$H,8,0),"Producción")</f>
        <v>Producción</v>
      </c>
      <c r="U1012" s="43" t="s">
        <v>182</v>
      </c>
    </row>
    <row r="1013" spans="1:21" x14ac:dyDescent="0.3">
      <c r="A1013" s="43">
        <v>7199990001</v>
      </c>
      <c r="B1013" s="43" t="s">
        <v>438</v>
      </c>
      <c r="C1013" s="52"/>
      <c r="D1013" s="49"/>
      <c r="E1013" s="43" t="s">
        <v>556</v>
      </c>
      <c r="F1013" s="43" t="s">
        <v>557</v>
      </c>
      <c r="G1013" s="43" t="s">
        <v>567</v>
      </c>
      <c r="H1013" s="43" t="s">
        <v>568</v>
      </c>
      <c r="I1013" s="43" t="s">
        <v>560</v>
      </c>
      <c r="J1013" s="43" t="s">
        <v>472</v>
      </c>
      <c r="K1013" s="43">
        <v>700100</v>
      </c>
      <c r="L1013" s="43">
        <v>10</v>
      </c>
      <c r="M1013" s="43" t="s">
        <v>468</v>
      </c>
      <c r="N1013" s="51"/>
      <c r="O1013" s="51"/>
      <c r="P1013" s="43" t="str">
        <f>VLOOKUP(K1013,Maestro!J:K,2,0)</f>
        <v>CEMENTO BIG BAG 1,5 TONELADAS</v>
      </c>
      <c r="Q1013" s="43" t="str">
        <f>VLOOKUP(P1013,Maestro!E:F,2,0)</f>
        <v>CEMENTO BIG BAG 1,5 TONELADAS</v>
      </c>
      <c r="R1013" s="43">
        <f>VLOOKUP(P1013,ORD!$A:$C,3,0)</f>
        <v>19</v>
      </c>
      <c r="S1013" t="str">
        <f t="shared" si="17"/>
        <v>7199990001CEMENTOARTCEMENTO BIG BAG 1,5 TONELADAS</v>
      </c>
      <c r="T1013" t="str">
        <f>IFERROR(VLOOKUP(S1013,Maestro!$A:$H,8,0),"Producción")</f>
        <v>Cemento ART</v>
      </c>
      <c r="U1013" s="43" t="s">
        <v>182</v>
      </c>
    </row>
    <row r="1014" spans="1:21" x14ac:dyDescent="0.3">
      <c r="A1014" s="43">
        <v>7360050302</v>
      </c>
      <c r="B1014" s="43" t="s">
        <v>474</v>
      </c>
      <c r="C1014" s="52"/>
      <c r="D1014" s="52"/>
      <c r="E1014" s="43" t="s">
        <v>581</v>
      </c>
      <c r="F1014" s="43" t="s">
        <v>557</v>
      </c>
      <c r="G1014" s="43" t="s">
        <v>582</v>
      </c>
      <c r="H1014" s="43" t="s">
        <v>583</v>
      </c>
      <c r="I1014" s="43" t="s">
        <v>560</v>
      </c>
      <c r="J1014" s="43">
        <v>22000000001</v>
      </c>
      <c r="K1014" s="43">
        <v>700100</v>
      </c>
      <c r="L1014" s="43">
        <v>10</v>
      </c>
      <c r="M1014" s="43" t="s">
        <v>600</v>
      </c>
      <c r="N1014" s="51"/>
      <c r="O1014" s="51"/>
      <c r="P1014" s="43" t="str">
        <f>VLOOKUP(K1014,Maestro!J:K,2,0)</f>
        <v>CEMENTO BIG BAG 1,5 TONELADAS</v>
      </c>
      <c r="Q1014" s="43" t="str">
        <f>VLOOKUP(P1014,Maestro!E:F,2,0)</f>
        <v>CEMENTO BIG BAG 1,5 TONELADAS</v>
      </c>
      <c r="R1014" s="43">
        <f>VLOOKUP(P1014,ORD!$A:$C,3,0)</f>
        <v>19</v>
      </c>
      <c r="S1014" t="str">
        <f t="shared" si="17"/>
        <v>736005030222000000001CEMENTO BIG BAG 1,5 TONELADAS</v>
      </c>
      <c r="T1014" t="str">
        <f>IFERROR(VLOOKUP(S1014,Maestro!$A:$H,8,0),"Producción")</f>
        <v>Sacos</v>
      </c>
      <c r="U1014" s="43" t="s">
        <v>182</v>
      </c>
    </row>
    <row r="1015" spans="1:21" x14ac:dyDescent="0.3">
      <c r="A1015" s="43">
        <v>7999999995</v>
      </c>
      <c r="B1015" s="43" t="s">
        <v>566</v>
      </c>
      <c r="C1015" s="52"/>
      <c r="D1015" s="166"/>
      <c r="E1015" s="43" t="s">
        <v>581</v>
      </c>
      <c r="F1015" s="43" t="s">
        <v>557</v>
      </c>
      <c r="G1015" s="43" t="s">
        <v>585</v>
      </c>
      <c r="H1015" s="43" t="s">
        <v>586</v>
      </c>
      <c r="I1015" s="43" t="s">
        <v>560</v>
      </c>
      <c r="J1015" s="43" t="s">
        <v>601</v>
      </c>
      <c r="K1015" s="43">
        <v>700100</v>
      </c>
      <c r="L1015" s="43">
        <v>10</v>
      </c>
      <c r="M1015" s="43" t="s">
        <v>602</v>
      </c>
      <c r="N1015" s="51"/>
      <c r="O1015" s="51"/>
      <c r="P1015" s="43" t="str">
        <f>VLOOKUP(K1015,Maestro!J:K,2,0)</f>
        <v>CEMENTO BIG BAG 1,5 TONELADAS</v>
      </c>
      <c r="Q1015" s="43" t="str">
        <f>VLOOKUP(P1015,Maestro!E:F,2,0)</f>
        <v>CEMENTO BIG BAG 1,5 TONELADAS</v>
      </c>
      <c r="R1015" s="43">
        <f>VLOOKUP(P1015,ORD!$A:$C,3,0)</f>
        <v>19</v>
      </c>
      <c r="S1015" t="str">
        <f t="shared" si="17"/>
        <v>7999999995CEMARTBBCEMENTO BIG BAG 1,5 TONELADAS</v>
      </c>
      <c r="T1015" t="str">
        <f>IFERROR(VLOOKUP(S1015,Maestro!$A:$H,8,0),"Producción")</f>
        <v>Producción</v>
      </c>
      <c r="U1015" s="43" t="s">
        <v>182</v>
      </c>
    </row>
    <row r="1016" spans="1:21" x14ac:dyDescent="0.3">
      <c r="A1016" s="43">
        <v>7199990001</v>
      </c>
      <c r="B1016" s="43" t="s">
        <v>438</v>
      </c>
      <c r="C1016" s="52"/>
      <c r="D1016" s="49"/>
      <c r="E1016" s="43" t="s">
        <v>556</v>
      </c>
      <c r="F1016" s="43" t="s">
        <v>557</v>
      </c>
      <c r="G1016" s="43" t="s">
        <v>567</v>
      </c>
      <c r="H1016" s="43" t="s">
        <v>568</v>
      </c>
      <c r="I1016" s="43" t="s">
        <v>560</v>
      </c>
      <c r="J1016" s="43" t="s">
        <v>472</v>
      </c>
      <c r="K1016" s="43">
        <v>700100</v>
      </c>
      <c r="L1016" s="43">
        <v>11</v>
      </c>
      <c r="M1016" s="43" t="s">
        <v>468</v>
      </c>
      <c r="N1016" s="51"/>
      <c r="O1016" s="51"/>
      <c r="P1016" s="43" t="str">
        <f>VLOOKUP(K1016,Maestro!J:K,2,0)</f>
        <v>CEMENTO BIG BAG 1,5 TONELADAS</v>
      </c>
      <c r="Q1016" s="43" t="str">
        <f>VLOOKUP(P1016,Maestro!E:F,2,0)</f>
        <v>CEMENTO BIG BAG 1,5 TONELADAS</v>
      </c>
      <c r="R1016" s="43">
        <f>VLOOKUP(P1016,ORD!$A:$C,3,0)</f>
        <v>19</v>
      </c>
      <c r="S1016" t="str">
        <f t="shared" si="17"/>
        <v>7199990001CEMENTOARTCEMENTO BIG BAG 1,5 TONELADAS</v>
      </c>
      <c r="T1016" t="str">
        <f>IFERROR(VLOOKUP(S1016,Maestro!$A:$H,8,0),"Producción")</f>
        <v>Cemento ART</v>
      </c>
      <c r="U1016" s="43" t="s">
        <v>182</v>
      </c>
    </row>
    <row r="1017" spans="1:21" x14ac:dyDescent="0.3">
      <c r="A1017" s="43">
        <v>7360050302</v>
      </c>
      <c r="B1017" s="43" t="s">
        <v>474</v>
      </c>
      <c r="C1017" s="52"/>
      <c r="D1017" s="52"/>
      <c r="E1017" s="43" t="s">
        <v>581</v>
      </c>
      <c r="F1017" s="43" t="s">
        <v>557</v>
      </c>
      <c r="G1017" s="43" t="s">
        <v>582</v>
      </c>
      <c r="H1017" s="43" t="s">
        <v>583</v>
      </c>
      <c r="I1017" s="43" t="s">
        <v>560</v>
      </c>
      <c r="J1017" s="43">
        <v>22000000001</v>
      </c>
      <c r="K1017" s="43">
        <v>700100</v>
      </c>
      <c r="L1017" s="43">
        <v>11</v>
      </c>
      <c r="M1017" s="43" t="s">
        <v>600</v>
      </c>
      <c r="N1017" s="51"/>
      <c r="O1017" s="51"/>
      <c r="P1017" s="43" t="str">
        <f>VLOOKUP(K1017,Maestro!J:K,2,0)</f>
        <v>CEMENTO BIG BAG 1,5 TONELADAS</v>
      </c>
      <c r="Q1017" s="43" t="str">
        <f>VLOOKUP(P1017,Maestro!E:F,2,0)</f>
        <v>CEMENTO BIG BAG 1,5 TONELADAS</v>
      </c>
      <c r="R1017" s="43">
        <f>VLOOKUP(P1017,ORD!$A:$C,3,0)</f>
        <v>19</v>
      </c>
      <c r="S1017" t="str">
        <f t="shared" si="17"/>
        <v>736005030222000000001CEMENTO BIG BAG 1,5 TONELADAS</v>
      </c>
      <c r="T1017" t="str">
        <f>IFERROR(VLOOKUP(S1017,Maestro!$A:$H,8,0),"Producción")</f>
        <v>Sacos</v>
      </c>
      <c r="U1017" s="43" t="s">
        <v>182</v>
      </c>
    </row>
    <row r="1018" spans="1:21" x14ac:dyDescent="0.3">
      <c r="A1018" s="43">
        <v>7999999995</v>
      </c>
      <c r="B1018" s="43" t="s">
        <v>566</v>
      </c>
      <c r="C1018" s="52"/>
      <c r="D1018" s="166"/>
      <c r="E1018" s="43" t="s">
        <v>581</v>
      </c>
      <c r="F1018" s="43" t="s">
        <v>557</v>
      </c>
      <c r="G1018" s="43" t="s">
        <v>585</v>
      </c>
      <c r="H1018" s="43" t="s">
        <v>586</v>
      </c>
      <c r="I1018" s="43" t="s">
        <v>560</v>
      </c>
      <c r="J1018" s="43" t="s">
        <v>601</v>
      </c>
      <c r="K1018" s="43">
        <v>700100</v>
      </c>
      <c r="L1018" s="43">
        <v>11</v>
      </c>
      <c r="M1018" s="43" t="s">
        <v>602</v>
      </c>
      <c r="N1018" s="51"/>
      <c r="O1018" s="51"/>
      <c r="P1018" s="43" t="str">
        <f>VLOOKUP(K1018,Maestro!J:K,2,0)</f>
        <v>CEMENTO BIG BAG 1,5 TONELADAS</v>
      </c>
      <c r="Q1018" s="43" t="str">
        <f>VLOOKUP(P1018,Maestro!E:F,2,0)</f>
        <v>CEMENTO BIG BAG 1,5 TONELADAS</v>
      </c>
      <c r="R1018" s="43">
        <f>VLOOKUP(P1018,ORD!$A:$C,3,0)</f>
        <v>19</v>
      </c>
      <c r="S1018" t="str">
        <f t="shared" si="17"/>
        <v>7999999995CEMARTBBCEMENTO BIG BAG 1,5 TONELADAS</v>
      </c>
      <c r="T1018" t="str">
        <f>IFERROR(VLOOKUP(S1018,Maestro!$A:$H,8,0),"Producción")</f>
        <v>Producción</v>
      </c>
      <c r="U1018" s="43" t="s">
        <v>182</v>
      </c>
    </row>
    <row r="1019" spans="1:21" x14ac:dyDescent="0.3">
      <c r="A1019" s="43">
        <v>7199990001</v>
      </c>
      <c r="B1019" s="43" t="s">
        <v>438</v>
      </c>
      <c r="C1019" s="52"/>
      <c r="D1019" s="49"/>
      <c r="E1019" s="43" t="s">
        <v>556</v>
      </c>
      <c r="F1019" s="43" t="s">
        <v>557</v>
      </c>
      <c r="G1019" s="43" t="s">
        <v>567</v>
      </c>
      <c r="H1019" s="43" t="s">
        <v>568</v>
      </c>
      <c r="I1019" s="43" t="s">
        <v>560</v>
      </c>
      <c r="J1019" s="43" t="s">
        <v>472</v>
      </c>
      <c r="K1019" s="43">
        <v>700100</v>
      </c>
      <c r="L1019" s="43">
        <v>12</v>
      </c>
      <c r="M1019" s="43" t="s">
        <v>468</v>
      </c>
      <c r="N1019" s="51"/>
      <c r="O1019" s="51"/>
      <c r="P1019" s="43" t="str">
        <f>VLOOKUP(K1019,Maestro!J:K,2,0)</f>
        <v>CEMENTO BIG BAG 1,5 TONELADAS</v>
      </c>
      <c r="Q1019" s="43" t="str">
        <f>VLOOKUP(P1019,Maestro!E:F,2,0)</f>
        <v>CEMENTO BIG BAG 1,5 TONELADAS</v>
      </c>
      <c r="R1019" s="43">
        <f>VLOOKUP(P1019,ORD!$A:$C,3,0)</f>
        <v>19</v>
      </c>
      <c r="S1019" t="str">
        <f t="shared" si="17"/>
        <v>7199990001CEMENTOARTCEMENTO BIG BAG 1,5 TONELADAS</v>
      </c>
      <c r="T1019" t="str">
        <f>IFERROR(VLOOKUP(S1019,Maestro!$A:$H,8,0),"Producción")</f>
        <v>Cemento ART</v>
      </c>
      <c r="U1019" s="43" t="s">
        <v>182</v>
      </c>
    </row>
    <row r="1020" spans="1:21" x14ac:dyDescent="0.3">
      <c r="A1020" s="43">
        <v>7360050302</v>
      </c>
      <c r="B1020" s="43" t="s">
        <v>474</v>
      </c>
      <c r="C1020" s="52"/>
      <c r="D1020" s="52"/>
      <c r="E1020" s="43" t="s">
        <v>581</v>
      </c>
      <c r="F1020" s="43" t="s">
        <v>557</v>
      </c>
      <c r="G1020" s="43" t="s">
        <v>582</v>
      </c>
      <c r="H1020" s="43" t="s">
        <v>583</v>
      </c>
      <c r="I1020" s="43" t="s">
        <v>560</v>
      </c>
      <c r="J1020" s="43">
        <v>22000000001</v>
      </c>
      <c r="K1020" s="43">
        <v>700100</v>
      </c>
      <c r="L1020" s="43">
        <v>12</v>
      </c>
      <c r="M1020" s="43" t="s">
        <v>600</v>
      </c>
      <c r="N1020" s="51"/>
      <c r="O1020" s="51"/>
      <c r="P1020" s="43" t="str">
        <f>VLOOKUP(K1020,Maestro!J:K,2,0)</f>
        <v>CEMENTO BIG BAG 1,5 TONELADAS</v>
      </c>
      <c r="Q1020" s="43" t="str">
        <f>VLOOKUP(P1020,Maestro!E:F,2,0)</f>
        <v>CEMENTO BIG BAG 1,5 TONELADAS</v>
      </c>
      <c r="R1020" s="43">
        <f>VLOOKUP(P1020,ORD!$A:$C,3,0)</f>
        <v>19</v>
      </c>
      <c r="S1020" t="str">
        <f t="shared" si="17"/>
        <v>736005030222000000001CEMENTO BIG BAG 1,5 TONELADAS</v>
      </c>
      <c r="T1020" t="str">
        <f>IFERROR(VLOOKUP(S1020,Maestro!$A:$H,8,0),"Producción")</f>
        <v>Sacos</v>
      </c>
      <c r="U1020" s="43" t="s">
        <v>182</v>
      </c>
    </row>
    <row r="1021" spans="1:21" x14ac:dyDescent="0.3">
      <c r="A1021" s="43">
        <v>7999999995</v>
      </c>
      <c r="B1021" s="43" t="s">
        <v>566</v>
      </c>
      <c r="C1021" s="52"/>
      <c r="D1021" s="166"/>
      <c r="E1021" s="43" t="s">
        <v>581</v>
      </c>
      <c r="F1021" s="43" t="s">
        <v>557</v>
      </c>
      <c r="G1021" s="43" t="s">
        <v>585</v>
      </c>
      <c r="H1021" s="43" t="s">
        <v>586</v>
      </c>
      <c r="I1021" s="43" t="s">
        <v>560</v>
      </c>
      <c r="J1021" s="43" t="s">
        <v>601</v>
      </c>
      <c r="K1021" s="43">
        <v>700100</v>
      </c>
      <c r="L1021" s="43">
        <v>12</v>
      </c>
      <c r="M1021" s="43" t="s">
        <v>602</v>
      </c>
      <c r="N1021" s="51"/>
      <c r="O1021" s="51"/>
      <c r="P1021" s="43" t="str">
        <f>VLOOKUP(K1021,Maestro!J:K,2,0)</f>
        <v>CEMENTO BIG BAG 1,5 TONELADAS</v>
      </c>
      <c r="Q1021" s="43" t="str">
        <f>VLOOKUP(P1021,Maestro!E:F,2,0)</f>
        <v>CEMENTO BIG BAG 1,5 TONELADAS</v>
      </c>
      <c r="R1021" s="43">
        <f>VLOOKUP(P1021,ORD!$A:$C,3,0)</f>
        <v>19</v>
      </c>
      <c r="S1021" t="str">
        <f t="shared" si="17"/>
        <v>7999999995CEMARTBBCEMENTO BIG BAG 1,5 TONELADAS</v>
      </c>
      <c r="T1021" t="str">
        <f>IFERROR(VLOOKUP(S1021,Maestro!$A:$H,8,0),"Producción")</f>
        <v>Producción</v>
      </c>
      <c r="U1021" s="43" t="s">
        <v>182</v>
      </c>
    </row>
    <row r="1022" spans="1:21" x14ac:dyDescent="0.3">
      <c r="A1022" s="43">
        <v>7355250321</v>
      </c>
      <c r="B1022" s="43" t="s">
        <v>490</v>
      </c>
      <c r="C1022" s="49">
        <f>Datos!$H$83*D1022</f>
        <v>17053348.701444525</v>
      </c>
      <c r="D1022" s="50">
        <f>Datos!$H$461</f>
        <v>1960.1550231545432</v>
      </c>
      <c r="E1022" s="43"/>
      <c r="F1022" s="43"/>
      <c r="G1022" s="43"/>
      <c r="H1022" s="43"/>
      <c r="I1022" s="43" t="s">
        <v>560</v>
      </c>
      <c r="J1022" s="40" t="s">
        <v>794</v>
      </c>
      <c r="K1022" s="43">
        <v>700002</v>
      </c>
      <c r="L1022" s="43">
        <v>1</v>
      </c>
      <c r="M1022" s="43" t="s">
        <v>495</v>
      </c>
      <c r="N1022" s="53"/>
      <c r="O1022" s="53"/>
      <c r="P1022" s="43" t="str">
        <f>VLOOKUP(K1022,Maestro!J:K,2,0)</f>
        <v>CARBON MOLIDO</v>
      </c>
      <c r="Q1022" s="43" t="str">
        <f>VLOOKUP(P1022,Maestro!E:F,2,0)</f>
        <v>Molienda de Carbón</v>
      </c>
      <c r="R1022" s="43">
        <f>VLOOKUP(P1022,ORD!$A:$C,3,0)</f>
        <v>4</v>
      </c>
      <c r="S1022" t="str">
        <f t="shared" si="17"/>
        <v>7355250321DESCARGUE FINOS CARBONMolienda de Carbón</v>
      </c>
      <c r="T1022" t="str">
        <f>IFERROR(VLOOKUP(S1022,Maestro!$A:$H,8,0),"Producción")</f>
        <v>Descargue Finos Carbón</v>
      </c>
      <c r="U1022" s="43" t="s">
        <v>182</v>
      </c>
    </row>
    <row r="1023" spans="1:21" x14ac:dyDescent="0.3">
      <c r="A1023" s="43">
        <v>7355250321</v>
      </c>
      <c r="B1023" s="43" t="s">
        <v>490</v>
      </c>
      <c r="C1023" s="49">
        <f>Datos!$I$83*D1023</f>
        <v>17264082.293682568</v>
      </c>
      <c r="D1023" s="50">
        <f>Datos!$I$461</f>
        <v>1984.3772751359272</v>
      </c>
      <c r="E1023" s="43"/>
      <c r="F1023" s="43"/>
      <c r="G1023" s="43"/>
      <c r="H1023" s="43"/>
      <c r="I1023" s="43" t="s">
        <v>560</v>
      </c>
      <c r="J1023" s="40" t="s">
        <v>794</v>
      </c>
      <c r="K1023" s="43">
        <v>700002</v>
      </c>
      <c r="L1023" s="43">
        <v>2</v>
      </c>
      <c r="M1023" s="43" t="s">
        <v>495</v>
      </c>
      <c r="N1023" s="53"/>
      <c r="O1023" s="53"/>
      <c r="P1023" s="43" t="str">
        <f>VLOOKUP(K1023,Maestro!J:K,2,0)</f>
        <v>CARBON MOLIDO</v>
      </c>
      <c r="Q1023" s="43" t="str">
        <f>VLOOKUP(P1023,Maestro!E:F,2,0)</f>
        <v>Molienda de Carbón</v>
      </c>
      <c r="R1023" s="43">
        <f>VLOOKUP(P1023,ORD!$A:$C,3,0)</f>
        <v>4</v>
      </c>
      <c r="S1023" t="str">
        <f t="shared" si="17"/>
        <v>7355250321DESCARGUE FINOS CARBONMolienda de Carbón</v>
      </c>
      <c r="T1023" t="str">
        <f>IFERROR(VLOOKUP(S1023,Maestro!$A:$H,8,0),"Producción")</f>
        <v>Descargue Finos Carbón</v>
      </c>
      <c r="U1023" s="43" t="s">
        <v>182</v>
      </c>
    </row>
    <row r="1024" spans="1:21" x14ac:dyDescent="0.3">
      <c r="A1024" s="43">
        <v>7355250321</v>
      </c>
      <c r="B1024" s="43" t="s">
        <v>490</v>
      </c>
      <c r="C1024" s="49">
        <f>Datos!$J$83*D1024</f>
        <v>11995742.487731516</v>
      </c>
      <c r="D1024" s="50">
        <f>Datos!$J$461</f>
        <v>1378.8209756013237</v>
      </c>
      <c r="E1024" s="43"/>
      <c r="F1024" s="43"/>
      <c r="G1024" s="43"/>
      <c r="H1024" s="43"/>
      <c r="I1024" s="43" t="s">
        <v>560</v>
      </c>
      <c r="J1024" s="40" t="s">
        <v>794</v>
      </c>
      <c r="K1024" s="43">
        <v>700002</v>
      </c>
      <c r="L1024" s="43">
        <v>3</v>
      </c>
      <c r="M1024" s="43" t="s">
        <v>495</v>
      </c>
      <c r="N1024" s="53"/>
      <c r="O1024" s="53"/>
      <c r="P1024" s="43" t="str">
        <f>VLOOKUP(K1024,Maestro!J:K,2,0)</f>
        <v>CARBON MOLIDO</v>
      </c>
      <c r="Q1024" s="43" t="str">
        <f>VLOOKUP(P1024,Maestro!E:F,2,0)</f>
        <v>Molienda de Carbón</v>
      </c>
      <c r="R1024" s="43">
        <f>VLOOKUP(P1024,ORD!$A:$C,3,0)</f>
        <v>4</v>
      </c>
      <c r="S1024" t="str">
        <f t="shared" si="17"/>
        <v>7355250321DESCARGUE FINOS CARBONMolienda de Carbón</v>
      </c>
      <c r="T1024" t="str">
        <f>IFERROR(VLOOKUP(S1024,Maestro!$A:$H,8,0),"Producción")</f>
        <v>Descargue Finos Carbón</v>
      </c>
      <c r="U1024" s="43" t="s">
        <v>182</v>
      </c>
    </row>
    <row r="1025" spans="1:21" x14ac:dyDescent="0.3">
      <c r="A1025" s="43">
        <v>7355250321</v>
      </c>
      <c r="B1025" s="43" t="s">
        <v>490</v>
      </c>
      <c r="C1025" s="49">
        <f>Datos!$K$83*D1025</f>
        <v>12547581.915261235</v>
      </c>
      <c r="D1025" s="50">
        <f>Datos!$K$461</f>
        <v>1442.2507948576133</v>
      </c>
      <c r="E1025" s="43"/>
      <c r="F1025" s="43"/>
      <c r="G1025" s="43"/>
      <c r="H1025" s="43"/>
      <c r="I1025" s="43" t="s">
        <v>560</v>
      </c>
      <c r="J1025" s="40" t="s">
        <v>794</v>
      </c>
      <c r="K1025" s="43">
        <v>700002</v>
      </c>
      <c r="L1025" s="43">
        <v>4</v>
      </c>
      <c r="M1025" s="43" t="s">
        <v>495</v>
      </c>
      <c r="N1025" s="53"/>
      <c r="O1025" s="53"/>
      <c r="P1025" s="43" t="str">
        <f>VLOOKUP(K1025,Maestro!J:K,2,0)</f>
        <v>CARBON MOLIDO</v>
      </c>
      <c r="Q1025" s="43" t="str">
        <f>VLOOKUP(P1025,Maestro!E:F,2,0)</f>
        <v>Molienda de Carbón</v>
      </c>
      <c r="R1025" s="43">
        <f>VLOOKUP(P1025,ORD!$A:$C,3,0)</f>
        <v>4</v>
      </c>
      <c r="S1025" t="str">
        <f t="shared" si="17"/>
        <v>7355250321DESCARGUE FINOS CARBONMolienda de Carbón</v>
      </c>
      <c r="T1025" t="str">
        <f>IFERROR(VLOOKUP(S1025,Maestro!$A:$H,8,0),"Producción")</f>
        <v>Descargue Finos Carbón</v>
      </c>
      <c r="U1025" s="43" t="s">
        <v>182</v>
      </c>
    </row>
    <row r="1026" spans="1:21" x14ac:dyDescent="0.3">
      <c r="A1026" s="43">
        <v>7355250321</v>
      </c>
      <c r="B1026" s="43" t="s">
        <v>490</v>
      </c>
      <c r="C1026" s="49">
        <f>Datos!$L$83*D1026</f>
        <v>19160684.623824947</v>
      </c>
      <c r="D1026" s="50">
        <f>Datos!$L$461</f>
        <v>2202.3775429683847</v>
      </c>
      <c r="E1026" s="43"/>
      <c r="F1026" s="43"/>
      <c r="G1026" s="43"/>
      <c r="H1026" s="43"/>
      <c r="I1026" s="43" t="s">
        <v>560</v>
      </c>
      <c r="J1026" s="40" t="s">
        <v>794</v>
      </c>
      <c r="K1026" s="43">
        <v>700002</v>
      </c>
      <c r="L1026" s="43">
        <v>5</v>
      </c>
      <c r="M1026" s="43" t="s">
        <v>495</v>
      </c>
      <c r="N1026" s="53"/>
      <c r="O1026" s="53"/>
      <c r="P1026" s="43" t="str">
        <f>VLOOKUP(K1026,Maestro!J:K,2,0)</f>
        <v>CARBON MOLIDO</v>
      </c>
      <c r="Q1026" s="43" t="str">
        <f>VLOOKUP(P1026,Maestro!E:F,2,0)</f>
        <v>Molienda de Carbón</v>
      </c>
      <c r="R1026" s="43">
        <f>VLOOKUP(P1026,ORD!$A:$C,3,0)</f>
        <v>4</v>
      </c>
      <c r="S1026" t="str">
        <f t="shared" si="17"/>
        <v>7355250321DESCARGUE FINOS CARBONMolienda de Carbón</v>
      </c>
      <c r="T1026" t="str">
        <f>IFERROR(VLOOKUP(S1026,Maestro!$A:$H,8,0),"Producción")</f>
        <v>Descargue Finos Carbón</v>
      </c>
      <c r="U1026" s="43" t="s">
        <v>182</v>
      </c>
    </row>
    <row r="1027" spans="1:21" x14ac:dyDescent="0.3">
      <c r="A1027" s="43">
        <v>7355250321</v>
      </c>
      <c r="B1027" s="43" t="s">
        <v>490</v>
      </c>
      <c r="C1027" s="49">
        <f>Datos!$M$83*D1027</f>
        <v>8202537.8274467597</v>
      </c>
      <c r="D1027" s="50">
        <f>Datos!$M$461</f>
        <v>942.82043993640912</v>
      </c>
      <c r="E1027" s="43"/>
      <c r="F1027" s="43"/>
      <c r="G1027" s="43"/>
      <c r="H1027" s="43"/>
      <c r="I1027" s="43" t="s">
        <v>560</v>
      </c>
      <c r="J1027" s="40" t="s">
        <v>794</v>
      </c>
      <c r="K1027" s="43">
        <v>700002</v>
      </c>
      <c r="L1027" s="43">
        <v>6</v>
      </c>
      <c r="M1027" s="43" t="s">
        <v>495</v>
      </c>
      <c r="N1027" s="53"/>
      <c r="O1027" s="53"/>
      <c r="P1027" s="43" t="str">
        <f>VLOOKUP(K1027,Maestro!J:K,2,0)</f>
        <v>CARBON MOLIDO</v>
      </c>
      <c r="Q1027" s="43" t="str">
        <f>VLOOKUP(P1027,Maestro!E:F,2,0)</f>
        <v>Molienda de Carbón</v>
      </c>
      <c r="R1027" s="43">
        <f>VLOOKUP(P1027,ORD!$A:$C,3,0)</f>
        <v>4</v>
      </c>
      <c r="S1027" t="str">
        <f t="shared" si="17"/>
        <v>7355250321DESCARGUE FINOS CARBONMolienda de Carbón</v>
      </c>
      <c r="T1027" t="str">
        <f>IFERROR(VLOOKUP(S1027,Maestro!$A:$H,8,0),"Producción")</f>
        <v>Descargue Finos Carbón</v>
      </c>
      <c r="U1027" s="43" t="s">
        <v>182</v>
      </c>
    </row>
    <row r="1028" spans="1:21" x14ac:dyDescent="0.3">
      <c r="A1028" s="43">
        <v>7355250321</v>
      </c>
      <c r="B1028" s="43" t="s">
        <v>490</v>
      </c>
      <c r="C1028" s="49">
        <f>Datos!$N$83*D1028</f>
        <v>15708585.79883186</v>
      </c>
      <c r="D1028" s="50">
        <f>Datos!$N$461</f>
        <v>1805.5845745783747</v>
      </c>
      <c r="E1028" s="43"/>
      <c r="F1028" s="43"/>
      <c r="G1028" s="43"/>
      <c r="H1028" s="43"/>
      <c r="I1028" s="43" t="s">
        <v>560</v>
      </c>
      <c r="J1028" s="40" t="s">
        <v>794</v>
      </c>
      <c r="K1028" s="43">
        <v>700002</v>
      </c>
      <c r="L1028" s="43">
        <v>7</v>
      </c>
      <c r="M1028" s="43" t="s">
        <v>495</v>
      </c>
      <c r="N1028" s="53"/>
      <c r="O1028" s="53"/>
      <c r="P1028" s="43" t="str">
        <f>VLOOKUP(K1028,Maestro!J:K,2,0)</f>
        <v>CARBON MOLIDO</v>
      </c>
      <c r="Q1028" s="43" t="str">
        <f>VLOOKUP(P1028,Maestro!E:F,2,0)</f>
        <v>Molienda de Carbón</v>
      </c>
      <c r="R1028" s="43">
        <f>VLOOKUP(P1028,ORD!$A:$C,3,0)</f>
        <v>4</v>
      </c>
      <c r="S1028" t="str">
        <f t="shared" si="17"/>
        <v>7355250321DESCARGUE FINOS CARBONMolienda de Carbón</v>
      </c>
      <c r="T1028" t="str">
        <f>IFERROR(VLOOKUP(S1028,Maestro!$A:$H,8,0),"Producción")</f>
        <v>Descargue Finos Carbón</v>
      </c>
      <c r="U1028" s="43" t="s">
        <v>182</v>
      </c>
    </row>
    <row r="1029" spans="1:21" x14ac:dyDescent="0.3">
      <c r="A1029" s="43">
        <v>7355250321</v>
      </c>
      <c r="B1029" s="43" t="s">
        <v>490</v>
      </c>
      <c r="C1029" s="49">
        <f>Datos!$O$83*D1029</f>
        <v>19160684.623824947</v>
      </c>
      <c r="D1029" s="50">
        <f>Datos!$O$461</f>
        <v>2202.3775429683847</v>
      </c>
      <c r="E1029" s="43"/>
      <c r="F1029" s="43"/>
      <c r="G1029" s="43"/>
      <c r="H1029" s="43"/>
      <c r="I1029" s="43" t="s">
        <v>560</v>
      </c>
      <c r="J1029" s="40" t="s">
        <v>794</v>
      </c>
      <c r="K1029" s="43">
        <v>700002</v>
      </c>
      <c r="L1029" s="43">
        <v>8</v>
      </c>
      <c r="M1029" s="43" t="s">
        <v>495</v>
      </c>
      <c r="N1029" s="53"/>
      <c r="O1029" s="53"/>
      <c r="P1029" s="43" t="str">
        <f>VLOOKUP(K1029,Maestro!J:K,2,0)</f>
        <v>CARBON MOLIDO</v>
      </c>
      <c r="Q1029" s="43" t="str">
        <f>VLOOKUP(P1029,Maestro!E:F,2,0)</f>
        <v>Molienda de Carbón</v>
      </c>
      <c r="R1029" s="43">
        <f>VLOOKUP(P1029,ORD!$A:$C,3,0)</f>
        <v>4</v>
      </c>
      <c r="S1029" t="str">
        <f t="shared" si="17"/>
        <v>7355250321DESCARGUE FINOS CARBONMolienda de Carbón</v>
      </c>
      <c r="T1029" t="str">
        <f>IFERROR(VLOOKUP(S1029,Maestro!$A:$H,8,0),"Producción")</f>
        <v>Descargue Finos Carbón</v>
      </c>
      <c r="U1029" s="43" t="s">
        <v>182</v>
      </c>
    </row>
    <row r="1030" spans="1:21" x14ac:dyDescent="0.3">
      <c r="A1030" s="43">
        <v>7355250321</v>
      </c>
      <c r="B1030" s="43" t="s">
        <v>490</v>
      </c>
      <c r="C1030" s="49">
        <f>Datos!$P$83*D1030</f>
        <v>14524545.594588017</v>
      </c>
      <c r="D1030" s="50">
        <f>Datos!$P$461</f>
        <v>1669.487999377933</v>
      </c>
      <c r="E1030" s="43"/>
      <c r="F1030" s="43"/>
      <c r="G1030" s="43"/>
      <c r="H1030" s="43"/>
      <c r="I1030" s="43" t="s">
        <v>560</v>
      </c>
      <c r="J1030" s="40" t="s">
        <v>794</v>
      </c>
      <c r="K1030" s="43">
        <v>700002</v>
      </c>
      <c r="L1030" s="43">
        <v>9</v>
      </c>
      <c r="M1030" s="43" t="s">
        <v>495</v>
      </c>
      <c r="N1030" s="53"/>
      <c r="O1030" s="53"/>
      <c r="P1030" s="43" t="str">
        <f>VLOOKUP(K1030,Maestro!J:K,2,0)</f>
        <v>CARBON MOLIDO</v>
      </c>
      <c r="Q1030" s="43" t="str">
        <f>VLOOKUP(P1030,Maestro!E:F,2,0)</f>
        <v>Molienda de Carbón</v>
      </c>
      <c r="R1030" s="43">
        <f>VLOOKUP(P1030,ORD!$A:$C,3,0)</f>
        <v>4</v>
      </c>
      <c r="S1030" t="str">
        <f t="shared" si="17"/>
        <v>7355250321DESCARGUE FINOS CARBONMolienda de Carbón</v>
      </c>
      <c r="T1030" t="str">
        <f>IFERROR(VLOOKUP(S1030,Maestro!$A:$H,8,0),"Producción")</f>
        <v>Descargue Finos Carbón</v>
      </c>
      <c r="U1030" s="43" t="s">
        <v>182</v>
      </c>
    </row>
    <row r="1031" spans="1:21" x14ac:dyDescent="0.3">
      <c r="A1031" s="43">
        <v>7355250321</v>
      </c>
      <c r="B1031" s="43" t="s">
        <v>490</v>
      </c>
      <c r="C1031" s="49">
        <f>Datos!$Q$83*D1031</f>
        <v>11283180.361832982</v>
      </c>
      <c r="D1031" s="50">
        <f>Datos!$Q$461</f>
        <v>1296.9172829693082</v>
      </c>
      <c r="E1031" s="43"/>
      <c r="F1031" s="43"/>
      <c r="G1031" s="43"/>
      <c r="H1031" s="43"/>
      <c r="I1031" s="43" t="s">
        <v>560</v>
      </c>
      <c r="J1031" s="40" t="s">
        <v>794</v>
      </c>
      <c r="K1031" s="43">
        <v>700002</v>
      </c>
      <c r="L1031" s="43">
        <v>10</v>
      </c>
      <c r="M1031" s="43" t="s">
        <v>495</v>
      </c>
      <c r="N1031" s="53"/>
      <c r="O1031" s="53"/>
      <c r="P1031" s="43" t="str">
        <f>VLOOKUP(K1031,Maestro!J:K,2,0)</f>
        <v>CARBON MOLIDO</v>
      </c>
      <c r="Q1031" s="43" t="str">
        <f>VLOOKUP(P1031,Maestro!E:F,2,0)</f>
        <v>Molienda de Carbón</v>
      </c>
      <c r="R1031" s="43">
        <f>VLOOKUP(P1031,ORD!$A:$C,3,0)</f>
        <v>4</v>
      </c>
      <c r="S1031" t="str">
        <f t="shared" si="17"/>
        <v>7355250321DESCARGUE FINOS CARBONMolienda de Carbón</v>
      </c>
      <c r="T1031" t="str">
        <f>IFERROR(VLOOKUP(S1031,Maestro!$A:$H,8,0),"Producción")</f>
        <v>Descargue Finos Carbón</v>
      </c>
      <c r="U1031" s="43" t="s">
        <v>182</v>
      </c>
    </row>
    <row r="1032" spans="1:21" x14ac:dyDescent="0.3">
      <c r="A1032" s="43">
        <v>7355250321</v>
      </c>
      <c r="B1032" s="43" t="s">
        <v>490</v>
      </c>
      <c r="C1032" s="49">
        <f>Datos!$R$83*D1032</f>
        <v>18528483.847110819</v>
      </c>
      <c r="D1032" s="50">
        <f>Datos!$R$461</f>
        <v>2129.7107870242321</v>
      </c>
      <c r="E1032" s="43"/>
      <c r="F1032" s="43"/>
      <c r="G1032" s="43"/>
      <c r="H1032" s="43"/>
      <c r="I1032" s="43" t="s">
        <v>560</v>
      </c>
      <c r="J1032" s="40" t="s">
        <v>794</v>
      </c>
      <c r="K1032" s="43">
        <v>700002</v>
      </c>
      <c r="L1032" s="43">
        <v>11</v>
      </c>
      <c r="M1032" s="43" t="s">
        <v>495</v>
      </c>
      <c r="N1032" s="53"/>
      <c r="O1032" s="53"/>
      <c r="P1032" s="43" t="str">
        <f>VLOOKUP(K1032,Maestro!J:K,2,0)</f>
        <v>CARBON MOLIDO</v>
      </c>
      <c r="Q1032" s="43" t="str">
        <f>VLOOKUP(P1032,Maestro!E:F,2,0)</f>
        <v>Molienda de Carbón</v>
      </c>
      <c r="R1032" s="43">
        <f>VLOOKUP(P1032,ORD!$A:$C,3,0)</f>
        <v>4</v>
      </c>
      <c r="S1032" t="str">
        <f t="shared" si="17"/>
        <v>7355250321DESCARGUE FINOS CARBONMolienda de Carbón</v>
      </c>
      <c r="T1032" t="str">
        <f>IFERROR(VLOOKUP(S1032,Maestro!$A:$H,8,0),"Producción")</f>
        <v>Descargue Finos Carbón</v>
      </c>
      <c r="U1032" s="43" t="s">
        <v>182</v>
      </c>
    </row>
    <row r="1033" spans="1:21" x14ac:dyDescent="0.3">
      <c r="A1033" s="43">
        <v>7355250321</v>
      </c>
      <c r="B1033" s="43" t="s">
        <v>490</v>
      </c>
      <c r="C1033" s="49">
        <f>Datos!$S$83*D1033</f>
        <v>11602891.424935792</v>
      </c>
      <c r="D1033" s="50">
        <f>Datos!$S$461</f>
        <v>1333.6656810271024</v>
      </c>
      <c r="E1033" s="43"/>
      <c r="F1033" s="43"/>
      <c r="G1033" s="43"/>
      <c r="H1033" s="43"/>
      <c r="I1033" s="43" t="s">
        <v>560</v>
      </c>
      <c r="J1033" s="40" t="s">
        <v>794</v>
      </c>
      <c r="K1033" s="43">
        <v>700002</v>
      </c>
      <c r="L1033" s="43">
        <v>12</v>
      </c>
      <c r="M1033" s="43" t="s">
        <v>495</v>
      </c>
      <c r="N1033" s="53"/>
      <c r="O1033" s="53"/>
      <c r="P1033" s="43" t="str">
        <f>VLOOKUP(K1033,Maestro!J:K,2,0)</f>
        <v>CARBON MOLIDO</v>
      </c>
      <c r="Q1033" s="43" t="str">
        <f>VLOOKUP(P1033,Maestro!E:F,2,0)</f>
        <v>Molienda de Carbón</v>
      </c>
      <c r="R1033" s="43">
        <f>VLOOKUP(P1033,ORD!$A:$C,3,0)</f>
        <v>4</v>
      </c>
      <c r="S1033" t="str">
        <f t="shared" si="17"/>
        <v>7355250321DESCARGUE FINOS CARBONMolienda de Carbón</v>
      </c>
      <c r="T1033" t="str">
        <f>IFERROR(VLOOKUP(S1033,Maestro!$A:$H,8,0),"Producción")</f>
        <v>Descargue Finos Carbón</v>
      </c>
      <c r="U1033" s="43" t="s">
        <v>182</v>
      </c>
    </row>
    <row r="1034" spans="1:21" x14ac:dyDescent="0.3">
      <c r="A1034" s="43">
        <v>7355250324</v>
      </c>
      <c r="B1034" s="43" t="s">
        <v>490</v>
      </c>
      <c r="C1034" s="49">
        <f>Datos!$H$96*D1034</f>
        <v>15400000</v>
      </c>
      <c r="D1034" s="50">
        <f>Datos!$H$242</f>
        <v>2500</v>
      </c>
      <c r="E1034" s="43"/>
      <c r="F1034" s="43"/>
      <c r="G1034" s="43"/>
      <c r="H1034" s="43"/>
      <c r="I1034" s="43" t="s">
        <v>560</v>
      </c>
      <c r="J1034" s="43" t="s">
        <v>789</v>
      </c>
      <c r="K1034" s="43">
        <v>700001</v>
      </c>
      <c r="L1034" s="43">
        <v>1</v>
      </c>
      <c r="M1034" s="43" t="s">
        <v>62</v>
      </c>
      <c r="N1034" s="53"/>
      <c r="O1034" s="53"/>
      <c r="P1034" s="43" t="str">
        <f>VLOOKUP(K1034,Maestro!J:K,2,0)</f>
        <v>CLINKER</v>
      </c>
      <c r="Q1034" s="43" t="str">
        <f>VLOOKUP(P1034,Maestro!E:F,2,0)</f>
        <v>Clinkerización</v>
      </c>
      <c r="R1034" s="43">
        <f>VLOOKUP(P1034,ORD!$A:$C,3,0)</f>
        <v>5</v>
      </c>
      <c r="S1034" t="str">
        <f t="shared" si="17"/>
        <v>7355250324CARGUE CLINKERClinkerización</v>
      </c>
      <c r="T1034" t="str">
        <f>IFERROR(VLOOKUP(S1034,Maestro!$A:$H,8,0),"Producción")</f>
        <v>Cargue Clinker</v>
      </c>
      <c r="U1034" s="43" t="s">
        <v>182</v>
      </c>
    </row>
    <row r="1035" spans="1:21" x14ac:dyDescent="0.3">
      <c r="A1035" s="43">
        <v>7355250324</v>
      </c>
      <c r="B1035" s="43" t="s">
        <v>490</v>
      </c>
      <c r="C1035" s="49">
        <f>Datos!$I$96*D1035</f>
        <v>15400000</v>
      </c>
      <c r="D1035" s="50">
        <f>Datos!$I$242</f>
        <v>2500</v>
      </c>
      <c r="E1035" s="43"/>
      <c r="F1035" s="43"/>
      <c r="G1035" s="43"/>
      <c r="H1035" s="43"/>
      <c r="I1035" s="43" t="s">
        <v>560</v>
      </c>
      <c r="J1035" s="43" t="s">
        <v>789</v>
      </c>
      <c r="K1035" s="43">
        <v>700001</v>
      </c>
      <c r="L1035" s="43">
        <v>2</v>
      </c>
      <c r="M1035" s="43" t="s">
        <v>62</v>
      </c>
      <c r="N1035" s="53"/>
      <c r="O1035" s="53"/>
      <c r="P1035" s="43" t="str">
        <f>VLOOKUP(K1035,Maestro!J:K,2,0)</f>
        <v>CLINKER</v>
      </c>
      <c r="Q1035" s="43" t="str">
        <f>VLOOKUP(P1035,Maestro!E:F,2,0)</f>
        <v>Clinkerización</v>
      </c>
      <c r="R1035" s="43">
        <f>VLOOKUP(P1035,ORD!$A:$C,3,0)</f>
        <v>5</v>
      </c>
      <c r="S1035" t="str">
        <f t="shared" si="17"/>
        <v>7355250324CARGUE CLINKERClinkerización</v>
      </c>
      <c r="T1035" t="str">
        <f>IFERROR(VLOOKUP(S1035,Maestro!$A:$H,8,0),"Producción")</f>
        <v>Cargue Clinker</v>
      </c>
      <c r="U1035" s="43" t="s">
        <v>182</v>
      </c>
    </row>
    <row r="1036" spans="1:21" x14ac:dyDescent="0.3">
      <c r="A1036" s="43">
        <v>7355250324</v>
      </c>
      <c r="B1036" s="43" t="s">
        <v>490</v>
      </c>
      <c r="C1036" s="49">
        <f>Datos!$J$96*D1036</f>
        <v>15400000</v>
      </c>
      <c r="D1036" s="50">
        <f>Datos!$J$242</f>
        <v>2500</v>
      </c>
      <c r="E1036" s="43"/>
      <c r="F1036" s="43"/>
      <c r="G1036" s="43"/>
      <c r="H1036" s="43"/>
      <c r="I1036" s="43" t="s">
        <v>560</v>
      </c>
      <c r="J1036" s="43" t="s">
        <v>789</v>
      </c>
      <c r="K1036" s="43">
        <v>700001</v>
      </c>
      <c r="L1036" s="43">
        <v>3</v>
      </c>
      <c r="M1036" s="43" t="s">
        <v>62</v>
      </c>
      <c r="N1036" s="53"/>
      <c r="O1036" s="53"/>
      <c r="P1036" s="43" t="str">
        <f>VLOOKUP(K1036,Maestro!J:K,2,0)</f>
        <v>CLINKER</v>
      </c>
      <c r="Q1036" s="43" t="str">
        <f>VLOOKUP(P1036,Maestro!E:F,2,0)</f>
        <v>Clinkerización</v>
      </c>
      <c r="R1036" s="43">
        <f>VLOOKUP(P1036,ORD!$A:$C,3,0)</f>
        <v>5</v>
      </c>
      <c r="S1036" t="str">
        <f t="shared" si="17"/>
        <v>7355250324CARGUE CLINKERClinkerización</v>
      </c>
      <c r="T1036" t="str">
        <f>IFERROR(VLOOKUP(S1036,Maestro!$A:$H,8,0),"Producción")</f>
        <v>Cargue Clinker</v>
      </c>
      <c r="U1036" s="43" t="s">
        <v>182</v>
      </c>
    </row>
    <row r="1037" spans="1:21" x14ac:dyDescent="0.3">
      <c r="A1037" s="43">
        <v>7355250324</v>
      </c>
      <c r="B1037" s="43" t="s">
        <v>490</v>
      </c>
      <c r="C1037" s="49">
        <f>Datos!$K$96*D1037</f>
        <v>15400000</v>
      </c>
      <c r="D1037" s="50">
        <f>Datos!$K$242</f>
        <v>2500</v>
      </c>
      <c r="E1037" s="43"/>
      <c r="F1037" s="43"/>
      <c r="G1037" s="43"/>
      <c r="H1037" s="43"/>
      <c r="I1037" s="43" t="s">
        <v>560</v>
      </c>
      <c r="J1037" s="43" t="s">
        <v>789</v>
      </c>
      <c r="K1037" s="43">
        <v>700001</v>
      </c>
      <c r="L1037" s="43">
        <v>4</v>
      </c>
      <c r="M1037" s="43" t="s">
        <v>62</v>
      </c>
      <c r="N1037" s="53"/>
      <c r="O1037" s="53"/>
      <c r="P1037" s="43" t="str">
        <f>VLOOKUP(K1037,Maestro!J:K,2,0)</f>
        <v>CLINKER</v>
      </c>
      <c r="Q1037" s="43" t="str">
        <f>VLOOKUP(P1037,Maestro!E:F,2,0)</f>
        <v>Clinkerización</v>
      </c>
      <c r="R1037" s="43">
        <f>VLOOKUP(P1037,ORD!$A:$C,3,0)</f>
        <v>5</v>
      </c>
      <c r="S1037" t="str">
        <f t="shared" si="17"/>
        <v>7355250324CARGUE CLINKERClinkerización</v>
      </c>
      <c r="T1037" t="str">
        <f>IFERROR(VLOOKUP(S1037,Maestro!$A:$H,8,0),"Producción")</f>
        <v>Cargue Clinker</v>
      </c>
      <c r="U1037" s="43" t="s">
        <v>182</v>
      </c>
    </row>
    <row r="1038" spans="1:21" x14ac:dyDescent="0.3">
      <c r="A1038" s="43">
        <v>7355250324</v>
      </c>
      <c r="B1038" s="43" t="s">
        <v>490</v>
      </c>
      <c r="C1038" s="49">
        <f>Datos!$L$96*D1038</f>
        <v>15400000</v>
      </c>
      <c r="D1038" s="50">
        <f>Datos!$L$242</f>
        <v>2500</v>
      </c>
      <c r="E1038" s="43"/>
      <c r="F1038" s="43"/>
      <c r="G1038" s="43"/>
      <c r="H1038" s="43"/>
      <c r="I1038" s="43" t="s">
        <v>560</v>
      </c>
      <c r="J1038" s="43" t="s">
        <v>789</v>
      </c>
      <c r="K1038" s="43">
        <v>700001</v>
      </c>
      <c r="L1038" s="43">
        <v>5</v>
      </c>
      <c r="M1038" s="43" t="s">
        <v>62</v>
      </c>
      <c r="N1038" s="53"/>
      <c r="O1038" s="53"/>
      <c r="P1038" s="43" t="str">
        <f>VLOOKUP(K1038,Maestro!J:K,2,0)</f>
        <v>CLINKER</v>
      </c>
      <c r="Q1038" s="43" t="str">
        <f>VLOOKUP(P1038,Maestro!E:F,2,0)</f>
        <v>Clinkerización</v>
      </c>
      <c r="R1038" s="43">
        <f>VLOOKUP(P1038,ORD!$A:$C,3,0)</f>
        <v>5</v>
      </c>
      <c r="S1038" t="str">
        <f t="shared" si="17"/>
        <v>7355250324CARGUE CLINKERClinkerización</v>
      </c>
      <c r="T1038" t="str">
        <f>IFERROR(VLOOKUP(S1038,Maestro!$A:$H,8,0),"Producción")</f>
        <v>Cargue Clinker</v>
      </c>
      <c r="U1038" s="43" t="s">
        <v>182</v>
      </c>
    </row>
    <row r="1039" spans="1:21" x14ac:dyDescent="0.3">
      <c r="A1039" s="43">
        <v>7355250324</v>
      </c>
      <c r="B1039" s="43" t="s">
        <v>490</v>
      </c>
      <c r="C1039" s="49">
        <f>Datos!$M$96*D1039</f>
        <v>15400000</v>
      </c>
      <c r="D1039" s="50">
        <f>Datos!$M$242</f>
        <v>2500</v>
      </c>
      <c r="E1039" s="43"/>
      <c r="F1039" s="43"/>
      <c r="G1039" s="43"/>
      <c r="H1039" s="43"/>
      <c r="I1039" s="43" t="s">
        <v>560</v>
      </c>
      <c r="J1039" s="43" t="s">
        <v>789</v>
      </c>
      <c r="K1039" s="43">
        <v>700001</v>
      </c>
      <c r="L1039" s="43">
        <v>6</v>
      </c>
      <c r="M1039" s="43" t="s">
        <v>62</v>
      </c>
      <c r="N1039" s="53"/>
      <c r="O1039" s="53"/>
      <c r="P1039" s="43" t="str">
        <f>VLOOKUP(K1039,Maestro!J:K,2,0)</f>
        <v>CLINKER</v>
      </c>
      <c r="Q1039" s="43" t="str">
        <f>VLOOKUP(P1039,Maestro!E:F,2,0)</f>
        <v>Clinkerización</v>
      </c>
      <c r="R1039" s="43">
        <f>VLOOKUP(P1039,ORD!$A:$C,3,0)</f>
        <v>5</v>
      </c>
      <c r="S1039" t="str">
        <f t="shared" si="17"/>
        <v>7355250324CARGUE CLINKERClinkerización</v>
      </c>
      <c r="T1039" t="str">
        <f>IFERROR(VLOOKUP(S1039,Maestro!$A:$H,8,0),"Producción")</f>
        <v>Cargue Clinker</v>
      </c>
      <c r="U1039" s="43" t="s">
        <v>182</v>
      </c>
    </row>
    <row r="1040" spans="1:21" x14ac:dyDescent="0.3">
      <c r="A1040" s="43">
        <v>7355250324</v>
      </c>
      <c r="B1040" s="43" t="s">
        <v>490</v>
      </c>
      <c r="C1040" s="49">
        <f>Datos!$N$96*D1040</f>
        <v>15400000</v>
      </c>
      <c r="D1040" s="50">
        <f>Datos!$N$242</f>
        <v>2500</v>
      </c>
      <c r="E1040" s="43"/>
      <c r="F1040" s="43"/>
      <c r="G1040" s="43"/>
      <c r="H1040" s="43"/>
      <c r="I1040" s="43" t="s">
        <v>560</v>
      </c>
      <c r="J1040" s="43" t="s">
        <v>789</v>
      </c>
      <c r="K1040" s="43">
        <v>700001</v>
      </c>
      <c r="L1040" s="43">
        <v>7</v>
      </c>
      <c r="M1040" s="43" t="s">
        <v>62</v>
      </c>
      <c r="N1040" s="53"/>
      <c r="O1040" s="53"/>
      <c r="P1040" s="43" t="str">
        <f>VLOOKUP(K1040,Maestro!J:K,2,0)</f>
        <v>CLINKER</v>
      </c>
      <c r="Q1040" s="43" t="str">
        <f>VLOOKUP(P1040,Maestro!E:F,2,0)</f>
        <v>Clinkerización</v>
      </c>
      <c r="R1040" s="43">
        <f>VLOOKUP(P1040,ORD!$A:$C,3,0)</f>
        <v>5</v>
      </c>
      <c r="S1040" t="str">
        <f t="shared" si="17"/>
        <v>7355250324CARGUE CLINKERClinkerización</v>
      </c>
      <c r="T1040" t="str">
        <f>IFERROR(VLOOKUP(S1040,Maestro!$A:$H,8,0),"Producción")</f>
        <v>Cargue Clinker</v>
      </c>
      <c r="U1040" s="43" t="s">
        <v>182</v>
      </c>
    </row>
    <row r="1041" spans="1:21" x14ac:dyDescent="0.3">
      <c r="A1041" s="43">
        <v>7355250324</v>
      </c>
      <c r="B1041" s="43" t="s">
        <v>490</v>
      </c>
      <c r="C1041" s="49">
        <f>Datos!$O$96*D1041</f>
        <v>15400000</v>
      </c>
      <c r="D1041" s="50">
        <f>Datos!$O$242</f>
        <v>2500</v>
      </c>
      <c r="E1041" s="43"/>
      <c r="F1041" s="43"/>
      <c r="G1041" s="43"/>
      <c r="H1041" s="43"/>
      <c r="I1041" s="43" t="s">
        <v>560</v>
      </c>
      <c r="J1041" s="43" t="s">
        <v>789</v>
      </c>
      <c r="K1041" s="43">
        <v>700001</v>
      </c>
      <c r="L1041" s="43">
        <v>8</v>
      </c>
      <c r="M1041" s="43" t="s">
        <v>62</v>
      </c>
      <c r="N1041" s="53"/>
      <c r="O1041" s="53"/>
      <c r="P1041" s="43" t="str">
        <f>VLOOKUP(K1041,Maestro!J:K,2,0)</f>
        <v>CLINKER</v>
      </c>
      <c r="Q1041" s="43" t="str">
        <f>VLOOKUP(P1041,Maestro!E:F,2,0)</f>
        <v>Clinkerización</v>
      </c>
      <c r="R1041" s="43">
        <f>VLOOKUP(P1041,ORD!$A:$C,3,0)</f>
        <v>5</v>
      </c>
      <c r="S1041" t="str">
        <f t="shared" si="17"/>
        <v>7355250324CARGUE CLINKERClinkerización</v>
      </c>
      <c r="T1041" t="str">
        <f>IFERROR(VLOOKUP(S1041,Maestro!$A:$H,8,0),"Producción")</f>
        <v>Cargue Clinker</v>
      </c>
      <c r="U1041" s="43" t="s">
        <v>182</v>
      </c>
    </row>
    <row r="1042" spans="1:21" x14ac:dyDescent="0.3">
      <c r="A1042" s="43">
        <v>7355250324</v>
      </c>
      <c r="B1042" s="43" t="s">
        <v>490</v>
      </c>
      <c r="C1042" s="49">
        <f>Datos!$P$96*D1042</f>
        <v>15400000</v>
      </c>
      <c r="D1042" s="50">
        <f>Datos!$P$242</f>
        <v>2500</v>
      </c>
      <c r="E1042" s="43"/>
      <c r="F1042" s="43"/>
      <c r="G1042" s="43"/>
      <c r="H1042" s="43"/>
      <c r="I1042" s="43" t="s">
        <v>560</v>
      </c>
      <c r="J1042" s="43" t="s">
        <v>789</v>
      </c>
      <c r="K1042" s="43">
        <v>700001</v>
      </c>
      <c r="L1042" s="43">
        <v>9</v>
      </c>
      <c r="M1042" s="43" t="s">
        <v>62</v>
      </c>
      <c r="N1042" s="53"/>
      <c r="O1042" s="53"/>
      <c r="P1042" s="43" t="str">
        <f>VLOOKUP(K1042,Maestro!J:K,2,0)</f>
        <v>CLINKER</v>
      </c>
      <c r="Q1042" s="43" t="str">
        <f>VLOOKUP(P1042,Maestro!E:F,2,0)</f>
        <v>Clinkerización</v>
      </c>
      <c r="R1042" s="43">
        <f>VLOOKUP(P1042,ORD!$A:$C,3,0)</f>
        <v>5</v>
      </c>
      <c r="S1042" t="str">
        <f t="shared" si="17"/>
        <v>7355250324CARGUE CLINKERClinkerización</v>
      </c>
      <c r="T1042" t="str">
        <f>IFERROR(VLOOKUP(S1042,Maestro!$A:$H,8,0),"Producción")</f>
        <v>Cargue Clinker</v>
      </c>
      <c r="U1042" s="43" t="s">
        <v>182</v>
      </c>
    </row>
    <row r="1043" spans="1:21" x14ac:dyDescent="0.3">
      <c r="A1043" s="43">
        <v>7355250324</v>
      </c>
      <c r="B1043" s="43" t="s">
        <v>490</v>
      </c>
      <c r="C1043" s="49">
        <f>Datos!$Q$96*D1043</f>
        <v>15400000</v>
      </c>
      <c r="D1043" s="50">
        <f>Datos!$Q$242</f>
        <v>2500</v>
      </c>
      <c r="E1043" s="43"/>
      <c r="F1043" s="43"/>
      <c r="G1043" s="43"/>
      <c r="H1043" s="43"/>
      <c r="I1043" s="43" t="s">
        <v>560</v>
      </c>
      <c r="J1043" s="43" t="s">
        <v>789</v>
      </c>
      <c r="K1043" s="43">
        <v>700001</v>
      </c>
      <c r="L1043" s="43">
        <v>10</v>
      </c>
      <c r="M1043" s="43" t="s">
        <v>62</v>
      </c>
      <c r="N1043" s="53"/>
      <c r="O1043" s="53"/>
      <c r="P1043" s="43" t="str">
        <f>VLOOKUP(K1043,Maestro!J:K,2,0)</f>
        <v>CLINKER</v>
      </c>
      <c r="Q1043" s="43" t="str">
        <f>VLOOKUP(P1043,Maestro!E:F,2,0)</f>
        <v>Clinkerización</v>
      </c>
      <c r="R1043" s="43">
        <f>VLOOKUP(P1043,ORD!$A:$C,3,0)</f>
        <v>5</v>
      </c>
      <c r="S1043" t="str">
        <f t="shared" si="17"/>
        <v>7355250324CARGUE CLINKERClinkerización</v>
      </c>
      <c r="T1043" t="str">
        <f>IFERROR(VLOOKUP(S1043,Maestro!$A:$H,8,0),"Producción")</f>
        <v>Cargue Clinker</v>
      </c>
      <c r="U1043" s="43" t="s">
        <v>182</v>
      </c>
    </row>
    <row r="1044" spans="1:21" x14ac:dyDescent="0.3">
      <c r="A1044" s="43">
        <v>7355250324</v>
      </c>
      <c r="B1044" s="43" t="s">
        <v>490</v>
      </c>
      <c r="C1044" s="49">
        <f>Datos!$R$96*D1044</f>
        <v>15400000</v>
      </c>
      <c r="D1044" s="50">
        <f>Datos!$R$242</f>
        <v>2500</v>
      </c>
      <c r="E1044" s="43"/>
      <c r="F1044" s="43"/>
      <c r="G1044" s="43"/>
      <c r="H1044" s="43"/>
      <c r="I1044" s="43" t="s">
        <v>560</v>
      </c>
      <c r="J1044" s="43" t="s">
        <v>789</v>
      </c>
      <c r="K1044" s="43">
        <v>700001</v>
      </c>
      <c r="L1044" s="43">
        <v>11</v>
      </c>
      <c r="M1044" s="43" t="s">
        <v>62</v>
      </c>
      <c r="N1044" s="53"/>
      <c r="O1044" s="53"/>
      <c r="P1044" s="43" t="str">
        <f>VLOOKUP(K1044,Maestro!J:K,2,0)</f>
        <v>CLINKER</v>
      </c>
      <c r="Q1044" s="43" t="str">
        <f>VLOOKUP(P1044,Maestro!E:F,2,0)</f>
        <v>Clinkerización</v>
      </c>
      <c r="R1044" s="43">
        <f>VLOOKUP(P1044,ORD!$A:$C,3,0)</f>
        <v>5</v>
      </c>
      <c r="S1044" t="str">
        <f t="shared" si="17"/>
        <v>7355250324CARGUE CLINKERClinkerización</v>
      </c>
      <c r="T1044" t="str">
        <f>IFERROR(VLOOKUP(S1044,Maestro!$A:$H,8,0),"Producción")</f>
        <v>Cargue Clinker</v>
      </c>
      <c r="U1044" s="43" t="s">
        <v>182</v>
      </c>
    </row>
    <row r="1045" spans="1:21" x14ac:dyDescent="0.3">
      <c r="A1045" s="43">
        <v>7355250324</v>
      </c>
      <c r="B1045" s="43" t="s">
        <v>490</v>
      </c>
      <c r="C1045" s="49">
        <f>Datos!$S$96*D1045</f>
        <v>15400000</v>
      </c>
      <c r="D1045" s="50">
        <f>Datos!$S$242</f>
        <v>2500</v>
      </c>
      <c r="E1045" s="43"/>
      <c r="F1045" s="43"/>
      <c r="G1045" s="43"/>
      <c r="H1045" s="43"/>
      <c r="I1045" s="43" t="s">
        <v>560</v>
      </c>
      <c r="J1045" s="43" t="s">
        <v>789</v>
      </c>
      <c r="K1045" s="43">
        <v>700001</v>
      </c>
      <c r="L1045" s="43">
        <v>12</v>
      </c>
      <c r="M1045" s="43" t="s">
        <v>62</v>
      </c>
      <c r="N1045" s="53"/>
      <c r="O1045" s="53"/>
      <c r="P1045" s="43" t="str">
        <f>VLOOKUP(K1045,Maestro!J:K,2,0)</f>
        <v>CLINKER</v>
      </c>
      <c r="Q1045" s="43" t="str">
        <f>VLOOKUP(P1045,Maestro!E:F,2,0)</f>
        <v>Clinkerización</v>
      </c>
      <c r="R1045" s="43">
        <f>VLOOKUP(P1045,ORD!$A:$C,3,0)</f>
        <v>5</v>
      </c>
      <c r="S1045" t="str">
        <f t="shared" si="17"/>
        <v>7355250324CARGUE CLINKERClinkerización</v>
      </c>
      <c r="T1045" t="str">
        <f>IFERROR(VLOOKUP(S1045,Maestro!$A:$H,8,0),"Producción")</f>
        <v>Cargue Clinker</v>
      </c>
      <c r="U1045" s="43" t="s">
        <v>182</v>
      </c>
    </row>
    <row r="1046" spans="1:21" x14ac:dyDescent="0.3">
      <c r="A1046" s="43">
        <v>7355250321</v>
      </c>
      <c r="B1046" s="43" t="s">
        <v>490</v>
      </c>
      <c r="C1046" s="52">
        <f>Datos!$H$97*D1046</f>
        <v>0</v>
      </c>
      <c r="D1046" s="56">
        <f>Datos!$H$248*Datos!$H$182*(1+Datos!$H$222)</f>
        <v>0</v>
      </c>
      <c r="E1046" s="57"/>
      <c r="F1046" s="58"/>
      <c r="G1046" s="43"/>
      <c r="H1046" s="43"/>
      <c r="I1046" s="43" t="s">
        <v>560</v>
      </c>
      <c r="J1046" s="43" t="s">
        <v>795</v>
      </c>
      <c r="K1046" s="43">
        <v>700003</v>
      </c>
      <c r="L1046" s="43">
        <v>1</v>
      </c>
      <c r="M1046" s="43" t="s">
        <v>464</v>
      </c>
      <c r="N1046" s="53"/>
      <c r="O1046" s="53"/>
      <c r="P1046" s="43" t="str">
        <f>VLOOKUP(K1046,Maestro!J:K,2,0)</f>
        <v>CEMENTO UG</v>
      </c>
      <c r="Q1046" s="43" t="str">
        <f>VLOOKUP(P1046,Maestro!E:F,2,0)</f>
        <v>Cemento UG</v>
      </c>
      <c r="R1046" s="43">
        <f>VLOOKUP(P1046,ORD!$A:$C,3,0)</f>
        <v>6</v>
      </c>
      <c r="S1046" t="str">
        <f t="shared" si="17"/>
        <v>7355250321DOSIFICADOR DE SALCemento UG</v>
      </c>
      <c r="T1046" t="str">
        <f>IFERROR(VLOOKUP(S1046,Maestro!$A:$H,8,0),"Producción")</f>
        <v>Dosificador de Sal</v>
      </c>
      <c r="U1046" s="43" t="s">
        <v>182</v>
      </c>
    </row>
    <row r="1047" spans="1:21" x14ac:dyDescent="0.3">
      <c r="A1047" s="43">
        <v>7355250321</v>
      </c>
      <c r="B1047" s="43" t="s">
        <v>490</v>
      </c>
      <c r="C1047" s="52">
        <f>Datos!$I$97*D1047</f>
        <v>0</v>
      </c>
      <c r="D1047" s="56">
        <f>Datos!$I$248*Datos!$I$182*(1+Datos!$I$222)</f>
        <v>0</v>
      </c>
      <c r="E1047" s="57"/>
      <c r="F1047" s="58"/>
      <c r="G1047" s="43"/>
      <c r="H1047" s="43"/>
      <c r="I1047" s="43" t="s">
        <v>560</v>
      </c>
      <c r="J1047" s="43" t="s">
        <v>795</v>
      </c>
      <c r="K1047" s="43">
        <v>700003</v>
      </c>
      <c r="L1047" s="43">
        <v>2</v>
      </c>
      <c r="M1047" s="43" t="s">
        <v>464</v>
      </c>
      <c r="N1047" s="53"/>
      <c r="O1047" s="53"/>
      <c r="P1047" s="43" t="str">
        <f>VLOOKUP(K1047,Maestro!J:K,2,0)</f>
        <v>CEMENTO UG</v>
      </c>
      <c r="Q1047" s="43" t="str">
        <f>VLOOKUP(P1047,Maestro!E:F,2,0)</f>
        <v>Cemento UG</v>
      </c>
      <c r="R1047" s="43">
        <f>VLOOKUP(P1047,ORD!$A:$C,3,0)</f>
        <v>6</v>
      </c>
      <c r="S1047" t="str">
        <f t="shared" si="17"/>
        <v>7355250321DOSIFICADOR DE SALCemento UG</v>
      </c>
      <c r="T1047" t="str">
        <f>IFERROR(VLOOKUP(S1047,Maestro!$A:$H,8,0),"Producción")</f>
        <v>Dosificador de Sal</v>
      </c>
      <c r="U1047" s="43" t="s">
        <v>182</v>
      </c>
    </row>
    <row r="1048" spans="1:21" x14ac:dyDescent="0.3">
      <c r="A1048" s="43">
        <v>7355250321</v>
      </c>
      <c r="B1048" s="43" t="s">
        <v>490</v>
      </c>
      <c r="C1048" s="52">
        <f>Datos!$J$97*D1048</f>
        <v>0</v>
      </c>
      <c r="D1048" s="56">
        <f>Datos!$J$248*Datos!$J$182*(1+Datos!$J$222)</f>
        <v>0</v>
      </c>
      <c r="E1048" s="57"/>
      <c r="F1048" s="58"/>
      <c r="G1048" s="43"/>
      <c r="H1048" s="43"/>
      <c r="I1048" s="43" t="s">
        <v>560</v>
      </c>
      <c r="J1048" s="43" t="s">
        <v>795</v>
      </c>
      <c r="K1048" s="43">
        <v>700003</v>
      </c>
      <c r="L1048" s="43">
        <v>3</v>
      </c>
      <c r="M1048" s="43" t="s">
        <v>464</v>
      </c>
      <c r="N1048" s="53"/>
      <c r="O1048" s="53"/>
      <c r="P1048" s="43" t="str">
        <f>VLOOKUP(K1048,Maestro!J:K,2,0)</f>
        <v>CEMENTO UG</v>
      </c>
      <c r="Q1048" s="43" t="str">
        <f>VLOOKUP(P1048,Maestro!E:F,2,0)</f>
        <v>Cemento UG</v>
      </c>
      <c r="R1048" s="43">
        <f>VLOOKUP(P1048,ORD!$A:$C,3,0)</f>
        <v>6</v>
      </c>
      <c r="S1048" t="str">
        <f t="shared" si="17"/>
        <v>7355250321DOSIFICADOR DE SALCemento UG</v>
      </c>
      <c r="T1048" t="str">
        <f>IFERROR(VLOOKUP(S1048,Maestro!$A:$H,8,0),"Producción")</f>
        <v>Dosificador de Sal</v>
      </c>
      <c r="U1048" s="43" t="s">
        <v>182</v>
      </c>
    </row>
    <row r="1049" spans="1:21" x14ac:dyDescent="0.3">
      <c r="A1049" s="43">
        <v>7355250321</v>
      </c>
      <c r="B1049" s="43" t="s">
        <v>490</v>
      </c>
      <c r="C1049" s="52">
        <f>Datos!$K$97*D1049</f>
        <v>0</v>
      </c>
      <c r="D1049" s="56">
        <f>Datos!$K$248*Datos!$K$182*(1+Datos!$K$222)</f>
        <v>0</v>
      </c>
      <c r="E1049" s="57"/>
      <c r="F1049" s="58"/>
      <c r="G1049" s="43"/>
      <c r="H1049" s="43"/>
      <c r="I1049" s="43" t="s">
        <v>560</v>
      </c>
      <c r="J1049" s="43" t="s">
        <v>795</v>
      </c>
      <c r="K1049" s="43">
        <v>700003</v>
      </c>
      <c r="L1049" s="43">
        <v>4</v>
      </c>
      <c r="M1049" s="43" t="s">
        <v>464</v>
      </c>
      <c r="N1049" s="53"/>
      <c r="O1049" s="53"/>
      <c r="P1049" s="43" t="str">
        <f>VLOOKUP(K1049,Maestro!J:K,2,0)</f>
        <v>CEMENTO UG</v>
      </c>
      <c r="Q1049" s="43" t="str">
        <f>VLOOKUP(P1049,Maestro!E:F,2,0)</f>
        <v>Cemento UG</v>
      </c>
      <c r="R1049" s="43">
        <f>VLOOKUP(P1049,ORD!$A:$C,3,0)</f>
        <v>6</v>
      </c>
      <c r="S1049" t="str">
        <f t="shared" si="17"/>
        <v>7355250321DOSIFICADOR DE SALCemento UG</v>
      </c>
      <c r="T1049" t="str">
        <f>IFERROR(VLOOKUP(S1049,Maestro!$A:$H,8,0),"Producción")</f>
        <v>Dosificador de Sal</v>
      </c>
      <c r="U1049" s="43" t="s">
        <v>182</v>
      </c>
    </row>
    <row r="1050" spans="1:21" x14ac:dyDescent="0.3">
      <c r="A1050" s="43">
        <v>7355250321</v>
      </c>
      <c r="B1050" s="43" t="s">
        <v>490</v>
      </c>
      <c r="C1050" s="52">
        <f>Datos!$L$97*D1050</f>
        <v>0</v>
      </c>
      <c r="D1050" s="56">
        <f>Datos!$L$248*Datos!$L$182*(1+Datos!$L$222)</f>
        <v>0</v>
      </c>
      <c r="E1050" s="57"/>
      <c r="F1050" s="58"/>
      <c r="G1050" s="43"/>
      <c r="H1050" s="43"/>
      <c r="I1050" s="43" t="s">
        <v>560</v>
      </c>
      <c r="J1050" s="43" t="s">
        <v>795</v>
      </c>
      <c r="K1050" s="43">
        <v>700003</v>
      </c>
      <c r="L1050" s="43">
        <v>5</v>
      </c>
      <c r="M1050" s="43" t="s">
        <v>464</v>
      </c>
      <c r="N1050" s="53"/>
      <c r="O1050" s="53"/>
      <c r="P1050" s="43" t="str">
        <f>VLOOKUP(K1050,Maestro!J:K,2,0)</f>
        <v>CEMENTO UG</v>
      </c>
      <c r="Q1050" s="43" t="str">
        <f>VLOOKUP(P1050,Maestro!E:F,2,0)</f>
        <v>Cemento UG</v>
      </c>
      <c r="R1050" s="43">
        <f>VLOOKUP(P1050,ORD!$A:$C,3,0)</f>
        <v>6</v>
      </c>
      <c r="S1050" t="str">
        <f t="shared" si="17"/>
        <v>7355250321DOSIFICADOR DE SALCemento UG</v>
      </c>
      <c r="T1050" t="str">
        <f>IFERROR(VLOOKUP(S1050,Maestro!$A:$H,8,0),"Producción")</f>
        <v>Dosificador de Sal</v>
      </c>
      <c r="U1050" s="43" t="s">
        <v>182</v>
      </c>
    </row>
    <row r="1051" spans="1:21" x14ac:dyDescent="0.3">
      <c r="A1051" s="43">
        <v>7355250321</v>
      </c>
      <c r="B1051" s="43" t="s">
        <v>490</v>
      </c>
      <c r="C1051" s="52">
        <f>Datos!$M$97*D1051</f>
        <v>0</v>
      </c>
      <c r="D1051" s="56">
        <f>Datos!$M$248*Datos!$M$182*(1+Datos!$M$222)</f>
        <v>0</v>
      </c>
      <c r="E1051" s="57"/>
      <c r="F1051" s="58"/>
      <c r="G1051" s="43"/>
      <c r="H1051" s="43"/>
      <c r="I1051" s="43" t="s">
        <v>560</v>
      </c>
      <c r="J1051" s="43" t="s">
        <v>795</v>
      </c>
      <c r="K1051" s="43">
        <v>700003</v>
      </c>
      <c r="L1051" s="43">
        <v>6</v>
      </c>
      <c r="M1051" s="43" t="s">
        <v>464</v>
      </c>
      <c r="N1051" s="53"/>
      <c r="O1051" s="53"/>
      <c r="P1051" s="43" t="str">
        <f>VLOOKUP(K1051,Maestro!J:K,2,0)</f>
        <v>CEMENTO UG</v>
      </c>
      <c r="Q1051" s="43" t="str">
        <f>VLOOKUP(P1051,Maestro!E:F,2,0)</f>
        <v>Cemento UG</v>
      </c>
      <c r="R1051" s="43">
        <f>VLOOKUP(P1051,ORD!$A:$C,3,0)</f>
        <v>6</v>
      </c>
      <c r="S1051" t="str">
        <f t="shared" si="17"/>
        <v>7355250321DOSIFICADOR DE SALCemento UG</v>
      </c>
      <c r="T1051" t="str">
        <f>IFERROR(VLOOKUP(S1051,Maestro!$A:$H,8,0),"Producción")</f>
        <v>Dosificador de Sal</v>
      </c>
      <c r="U1051" s="43" t="s">
        <v>182</v>
      </c>
    </row>
    <row r="1052" spans="1:21" x14ac:dyDescent="0.3">
      <c r="A1052" s="43">
        <v>7355250321</v>
      </c>
      <c r="B1052" s="43" t="s">
        <v>490</v>
      </c>
      <c r="C1052" s="52">
        <f>Datos!$N$97*D1052</f>
        <v>0</v>
      </c>
      <c r="D1052" s="56">
        <f>Datos!$N$248*Datos!$N$182*(1+Datos!$N$222)</f>
        <v>0</v>
      </c>
      <c r="E1052" s="57"/>
      <c r="F1052" s="58"/>
      <c r="G1052" s="43"/>
      <c r="H1052" s="43"/>
      <c r="I1052" s="43" t="s">
        <v>560</v>
      </c>
      <c r="J1052" s="43" t="s">
        <v>795</v>
      </c>
      <c r="K1052" s="43">
        <v>700003</v>
      </c>
      <c r="L1052" s="43">
        <v>7</v>
      </c>
      <c r="M1052" s="43" t="s">
        <v>464</v>
      </c>
      <c r="N1052" s="53"/>
      <c r="O1052" s="53"/>
      <c r="P1052" s="43" t="str">
        <f>VLOOKUP(K1052,Maestro!J:K,2,0)</f>
        <v>CEMENTO UG</v>
      </c>
      <c r="Q1052" s="43" t="str">
        <f>VLOOKUP(P1052,Maestro!E:F,2,0)</f>
        <v>Cemento UG</v>
      </c>
      <c r="R1052" s="43">
        <f>VLOOKUP(P1052,ORD!$A:$C,3,0)</f>
        <v>6</v>
      </c>
      <c r="S1052" t="str">
        <f t="shared" si="17"/>
        <v>7355250321DOSIFICADOR DE SALCemento UG</v>
      </c>
      <c r="T1052" t="str">
        <f>IFERROR(VLOOKUP(S1052,Maestro!$A:$H,8,0),"Producción")</f>
        <v>Dosificador de Sal</v>
      </c>
      <c r="U1052" s="43" t="s">
        <v>182</v>
      </c>
    </row>
    <row r="1053" spans="1:21" x14ac:dyDescent="0.3">
      <c r="A1053" s="43">
        <v>7355250321</v>
      </c>
      <c r="B1053" s="43" t="s">
        <v>490</v>
      </c>
      <c r="C1053" s="52">
        <f>Datos!$O$97*D1053</f>
        <v>0</v>
      </c>
      <c r="D1053" s="56">
        <f>Datos!$O$248*Datos!$O$182*(1+Datos!$O$222)</f>
        <v>0</v>
      </c>
      <c r="E1053" s="57"/>
      <c r="F1053" s="58"/>
      <c r="G1053" s="43"/>
      <c r="H1053" s="43"/>
      <c r="I1053" s="43" t="s">
        <v>560</v>
      </c>
      <c r="J1053" s="43" t="s">
        <v>795</v>
      </c>
      <c r="K1053" s="43">
        <v>700003</v>
      </c>
      <c r="L1053" s="43">
        <v>8</v>
      </c>
      <c r="M1053" s="43" t="s">
        <v>464</v>
      </c>
      <c r="N1053" s="53"/>
      <c r="O1053" s="53"/>
      <c r="P1053" s="43" t="str">
        <f>VLOOKUP(K1053,Maestro!J:K,2,0)</f>
        <v>CEMENTO UG</v>
      </c>
      <c r="Q1053" s="43" t="str">
        <f>VLOOKUP(P1053,Maestro!E:F,2,0)</f>
        <v>Cemento UG</v>
      </c>
      <c r="R1053" s="43">
        <f>VLOOKUP(P1053,ORD!$A:$C,3,0)</f>
        <v>6</v>
      </c>
      <c r="S1053" t="str">
        <f t="shared" si="17"/>
        <v>7355250321DOSIFICADOR DE SALCemento UG</v>
      </c>
      <c r="T1053" t="str">
        <f>IFERROR(VLOOKUP(S1053,Maestro!$A:$H,8,0),"Producción")</f>
        <v>Dosificador de Sal</v>
      </c>
      <c r="U1053" s="43" t="s">
        <v>182</v>
      </c>
    </row>
    <row r="1054" spans="1:21" x14ac:dyDescent="0.3">
      <c r="A1054" s="43">
        <v>7355250321</v>
      </c>
      <c r="B1054" s="43" t="s">
        <v>490</v>
      </c>
      <c r="C1054" s="52">
        <f>Datos!$P$97*D1054</f>
        <v>0</v>
      </c>
      <c r="D1054" s="56">
        <f>Datos!$P$248*Datos!$P$182*(1+Datos!$P$222)</f>
        <v>0</v>
      </c>
      <c r="E1054" s="57"/>
      <c r="F1054" s="58"/>
      <c r="G1054" s="43"/>
      <c r="H1054" s="43"/>
      <c r="I1054" s="43" t="s">
        <v>560</v>
      </c>
      <c r="J1054" s="43" t="s">
        <v>795</v>
      </c>
      <c r="K1054" s="43">
        <v>700003</v>
      </c>
      <c r="L1054" s="43">
        <v>9</v>
      </c>
      <c r="M1054" s="43" t="s">
        <v>464</v>
      </c>
      <c r="N1054" s="53"/>
      <c r="O1054" s="53"/>
      <c r="P1054" s="43" t="str">
        <f>VLOOKUP(K1054,Maestro!J:K,2,0)</f>
        <v>CEMENTO UG</v>
      </c>
      <c r="Q1054" s="43" t="str">
        <f>VLOOKUP(P1054,Maestro!E:F,2,0)</f>
        <v>Cemento UG</v>
      </c>
      <c r="R1054" s="43">
        <f>VLOOKUP(P1054,ORD!$A:$C,3,0)</f>
        <v>6</v>
      </c>
      <c r="S1054" t="str">
        <f t="shared" si="17"/>
        <v>7355250321DOSIFICADOR DE SALCemento UG</v>
      </c>
      <c r="T1054" t="str">
        <f>IFERROR(VLOOKUP(S1054,Maestro!$A:$H,8,0),"Producción")</f>
        <v>Dosificador de Sal</v>
      </c>
      <c r="U1054" s="43" t="s">
        <v>182</v>
      </c>
    </row>
    <row r="1055" spans="1:21" x14ac:dyDescent="0.3">
      <c r="A1055" s="43">
        <v>7355250321</v>
      </c>
      <c r="B1055" s="43" t="s">
        <v>490</v>
      </c>
      <c r="C1055" s="52">
        <f>Datos!$Q$97*D1055</f>
        <v>0</v>
      </c>
      <c r="D1055" s="56">
        <f>Datos!$Q$248*Datos!$Q$182*(1+Datos!$Q$222)</f>
        <v>0</v>
      </c>
      <c r="E1055" s="57"/>
      <c r="F1055" s="58"/>
      <c r="G1055" s="43"/>
      <c r="H1055" s="43"/>
      <c r="I1055" s="43" t="s">
        <v>560</v>
      </c>
      <c r="J1055" s="43" t="s">
        <v>795</v>
      </c>
      <c r="K1055" s="43">
        <v>700003</v>
      </c>
      <c r="L1055" s="43">
        <v>10</v>
      </c>
      <c r="M1055" s="43" t="s">
        <v>464</v>
      </c>
      <c r="N1055" s="53"/>
      <c r="O1055" s="53"/>
      <c r="P1055" s="43" t="str">
        <f>VLOOKUP(K1055,Maestro!J:K,2,0)</f>
        <v>CEMENTO UG</v>
      </c>
      <c r="Q1055" s="43" t="str">
        <f>VLOOKUP(P1055,Maestro!E:F,2,0)</f>
        <v>Cemento UG</v>
      </c>
      <c r="R1055" s="43">
        <f>VLOOKUP(P1055,ORD!$A:$C,3,0)</f>
        <v>6</v>
      </c>
      <c r="S1055" t="str">
        <f t="shared" si="17"/>
        <v>7355250321DOSIFICADOR DE SALCemento UG</v>
      </c>
      <c r="T1055" t="str">
        <f>IFERROR(VLOOKUP(S1055,Maestro!$A:$H,8,0),"Producción")</f>
        <v>Dosificador de Sal</v>
      </c>
      <c r="U1055" s="43" t="s">
        <v>182</v>
      </c>
    </row>
    <row r="1056" spans="1:21" x14ac:dyDescent="0.3">
      <c r="A1056" s="43">
        <v>7355250321</v>
      </c>
      <c r="B1056" s="43" t="s">
        <v>490</v>
      </c>
      <c r="C1056" s="52">
        <f>Datos!$R$97*D1056</f>
        <v>0</v>
      </c>
      <c r="D1056" s="56">
        <f>Datos!$R$248*Datos!$R$182*(1+Datos!$R$222)</f>
        <v>0</v>
      </c>
      <c r="E1056" s="57"/>
      <c r="F1056" s="58"/>
      <c r="G1056" s="43"/>
      <c r="H1056" s="43"/>
      <c r="I1056" s="43" t="s">
        <v>560</v>
      </c>
      <c r="J1056" s="43" t="s">
        <v>795</v>
      </c>
      <c r="K1056" s="43">
        <v>700003</v>
      </c>
      <c r="L1056" s="43">
        <v>11</v>
      </c>
      <c r="M1056" s="43" t="s">
        <v>464</v>
      </c>
      <c r="N1056" s="53"/>
      <c r="O1056" s="53"/>
      <c r="P1056" s="43" t="str">
        <f>VLOOKUP(K1056,Maestro!J:K,2,0)</f>
        <v>CEMENTO UG</v>
      </c>
      <c r="Q1056" s="43" t="str">
        <f>VLOOKUP(P1056,Maestro!E:F,2,0)</f>
        <v>Cemento UG</v>
      </c>
      <c r="R1056" s="43">
        <f>VLOOKUP(P1056,ORD!$A:$C,3,0)</f>
        <v>6</v>
      </c>
      <c r="S1056" t="str">
        <f t="shared" si="17"/>
        <v>7355250321DOSIFICADOR DE SALCemento UG</v>
      </c>
      <c r="T1056" t="str">
        <f>IFERROR(VLOOKUP(S1056,Maestro!$A:$H,8,0),"Producción")</f>
        <v>Dosificador de Sal</v>
      </c>
      <c r="U1056" s="43" t="s">
        <v>182</v>
      </c>
    </row>
    <row r="1057" spans="1:21" x14ac:dyDescent="0.3">
      <c r="A1057" s="43">
        <v>7355250321</v>
      </c>
      <c r="B1057" s="43" t="s">
        <v>490</v>
      </c>
      <c r="C1057" s="52">
        <f>Datos!$S$97*D1057</f>
        <v>0</v>
      </c>
      <c r="D1057" s="56">
        <f>Datos!$S$248*Datos!$S$182*(1+Datos!$S$222)</f>
        <v>0</v>
      </c>
      <c r="E1057" s="57"/>
      <c r="F1057" s="58"/>
      <c r="G1057" s="43"/>
      <c r="H1057" s="43"/>
      <c r="I1057" s="43" t="s">
        <v>560</v>
      </c>
      <c r="J1057" s="43" t="s">
        <v>795</v>
      </c>
      <c r="K1057" s="43">
        <v>700003</v>
      </c>
      <c r="L1057" s="43">
        <v>12</v>
      </c>
      <c r="M1057" s="43" t="s">
        <v>464</v>
      </c>
      <c r="N1057" s="53"/>
      <c r="O1057" s="53"/>
      <c r="P1057" s="43" t="str">
        <f>VLOOKUP(K1057,Maestro!J:K,2,0)</f>
        <v>CEMENTO UG</v>
      </c>
      <c r="Q1057" s="43" t="str">
        <f>VLOOKUP(P1057,Maestro!E:F,2,0)</f>
        <v>Cemento UG</v>
      </c>
      <c r="R1057" s="43">
        <f>VLOOKUP(P1057,ORD!$A:$C,3,0)</f>
        <v>6</v>
      </c>
      <c r="S1057" t="str">
        <f t="shared" si="17"/>
        <v>7355250321DOSIFICADOR DE SALCemento UG</v>
      </c>
      <c r="T1057" t="str">
        <f>IFERROR(VLOOKUP(S1057,Maestro!$A:$H,8,0),"Producción")</f>
        <v>Dosificador de Sal</v>
      </c>
      <c r="U1057" s="43" t="s">
        <v>182</v>
      </c>
    </row>
    <row r="1058" spans="1:21" x14ac:dyDescent="0.3">
      <c r="A1058" s="43">
        <v>7355250321</v>
      </c>
      <c r="B1058" s="43" t="s">
        <v>490</v>
      </c>
      <c r="C1058" s="52">
        <f>Datos!$H$97*D1058</f>
        <v>0</v>
      </c>
      <c r="D1058" s="56">
        <f>Datos!$H$251*Datos!$H$190*(1+Datos!$H$222)</f>
        <v>0</v>
      </c>
      <c r="E1058" s="57"/>
      <c r="F1058" s="58"/>
      <c r="G1058" s="43"/>
      <c r="H1058" s="43"/>
      <c r="I1058" s="43" t="s">
        <v>560</v>
      </c>
      <c r="J1058" s="43" t="s">
        <v>795</v>
      </c>
      <c r="K1058" s="43">
        <v>700060</v>
      </c>
      <c r="L1058" s="43">
        <v>1</v>
      </c>
      <c r="M1058" s="43" t="s">
        <v>468</v>
      </c>
      <c r="N1058" s="53"/>
      <c r="O1058" s="53"/>
      <c r="P1058" s="43" t="str">
        <f>VLOOKUP(K1058,Maestro!J:K,2,0)</f>
        <v>CEMENTO ART</v>
      </c>
      <c r="Q1058" s="43" t="str">
        <f>VLOOKUP(P1058,Maestro!E:F,2,0)</f>
        <v>Cemento ART</v>
      </c>
      <c r="R1058" s="43">
        <f>VLOOKUP(P1058,ORD!$A:$C,3,0)</f>
        <v>7</v>
      </c>
      <c r="S1058" t="str">
        <f t="shared" si="17"/>
        <v>7355250321DOSIFICADOR DE SALCemento ART</v>
      </c>
      <c r="T1058" t="str">
        <f>IFERROR(VLOOKUP(S1058,Maestro!$A:$H,8,0),"Producción")</f>
        <v>Dosificador de Sal</v>
      </c>
      <c r="U1058" s="43" t="s">
        <v>182</v>
      </c>
    </row>
    <row r="1059" spans="1:21" x14ac:dyDescent="0.3">
      <c r="A1059" s="43">
        <v>7355250321</v>
      </c>
      <c r="B1059" s="43" t="s">
        <v>490</v>
      </c>
      <c r="C1059" s="52">
        <f>Datos!$I$97*D1059</f>
        <v>0</v>
      </c>
      <c r="D1059" s="56">
        <f>Datos!$I$251*Datos!$I$190*(1+Datos!$I$222)</f>
        <v>0</v>
      </c>
      <c r="E1059" s="57"/>
      <c r="F1059" s="58"/>
      <c r="G1059" s="43"/>
      <c r="H1059" s="43"/>
      <c r="I1059" s="43" t="s">
        <v>560</v>
      </c>
      <c r="J1059" s="43" t="s">
        <v>795</v>
      </c>
      <c r="K1059" s="43">
        <v>700060</v>
      </c>
      <c r="L1059" s="43">
        <v>2</v>
      </c>
      <c r="M1059" s="43" t="s">
        <v>468</v>
      </c>
      <c r="N1059" s="53"/>
      <c r="O1059" s="53"/>
      <c r="P1059" s="43" t="str">
        <f>VLOOKUP(K1059,Maestro!J:K,2,0)</f>
        <v>CEMENTO ART</v>
      </c>
      <c r="Q1059" s="43" t="str">
        <f>VLOOKUP(P1059,Maestro!E:F,2,0)</f>
        <v>Cemento ART</v>
      </c>
      <c r="R1059" s="43">
        <f>VLOOKUP(P1059,ORD!$A:$C,3,0)</f>
        <v>7</v>
      </c>
      <c r="S1059" t="str">
        <f t="shared" si="17"/>
        <v>7355250321DOSIFICADOR DE SALCemento ART</v>
      </c>
      <c r="T1059" t="str">
        <f>IFERROR(VLOOKUP(S1059,Maestro!$A:$H,8,0),"Producción")</f>
        <v>Dosificador de Sal</v>
      </c>
      <c r="U1059" s="43" t="s">
        <v>182</v>
      </c>
    </row>
    <row r="1060" spans="1:21" x14ac:dyDescent="0.3">
      <c r="A1060" s="43">
        <v>7355250321</v>
      </c>
      <c r="B1060" s="43" t="s">
        <v>490</v>
      </c>
      <c r="C1060" s="52">
        <f>Datos!$J$97*D1060</f>
        <v>0</v>
      </c>
      <c r="D1060" s="56">
        <f>Datos!$J$251*Datos!$J$190*(1+Datos!$J$222)</f>
        <v>0</v>
      </c>
      <c r="E1060" s="57"/>
      <c r="F1060" s="58"/>
      <c r="G1060" s="43"/>
      <c r="H1060" s="43"/>
      <c r="I1060" s="43" t="s">
        <v>560</v>
      </c>
      <c r="J1060" s="43" t="s">
        <v>795</v>
      </c>
      <c r="K1060" s="43">
        <v>700060</v>
      </c>
      <c r="L1060" s="43">
        <v>3</v>
      </c>
      <c r="M1060" s="43" t="s">
        <v>468</v>
      </c>
      <c r="N1060" s="53"/>
      <c r="O1060" s="53"/>
      <c r="P1060" s="43" t="str">
        <f>VLOOKUP(K1060,Maestro!J:K,2,0)</f>
        <v>CEMENTO ART</v>
      </c>
      <c r="Q1060" s="43" t="str">
        <f>VLOOKUP(P1060,Maestro!E:F,2,0)</f>
        <v>Cemento ART</v>
      </c>
      <c r="R1060" s="43">
        <f>VLOOKUP(P1060,ORD!$A:$C,3,0)</f>
        <v>7</v>
      </c>
      <c r="S1060" t="str">
        <f t="shared" si="17"/>
        <v>7355250321DOSIFICADOR DE SALCemento ART</v>
      </c>
      <c r="T1060" t="str">
        <f>IFERROR(VLOOKUP(S1060,Maestro!$A:$H,8,0),"Producción")</f>
        <v>Dosificador de Sal</v>
      </c>
      <c r="U1060" s="43" t="s">
        <v>182</v>
      </c>
    </row>
    <row r="1061" spans="1:21" x14ac:dyDescent="0.3">
      <c r="A1061" s="43">
        <v>7355250321</v>
      </c>
      <c r="B1061" s="43" t="s">
        <v>490</v>
      </c>
      <c r="C1061" s="52">
        <f>Datos!$K$97*D1061</f>
        <v>0</v>
      </c>
      <c r="D1061" s="56">
        <f>Datos!$K$251*Datos!$K$190*(1+Datos!$K$222)</f>
        <v>0</v>
      </c>
      <c r="E1061" s="57"/>
      <c r="F1061" s="58"/>
      <c r="G1061" s="43"/>
      <c r="H1061" s="43"/>
      <c r="I1061" s="43" t="s">
        <v>560</v>
      </c>
      <c r="J1061" s="43" t="s">
        <v>795</v>
      </c>
      <c r="K1061" s="43">
        <v>700060</v>
      </c>
      <c r="L1061" s="43">
        <v>4</v>
      </c>
      <c r="M1061" s="43" t="s">
        <v>468</v>
      </c>
      <c r="N1061" s="53"/>
      <c r="O1061" s="53"/>
      <c r="P1061" s="43" t="str">
        <f>VLOOKUP(K1061,Maestro!J:K,2,0)</f>
        <v>CEMENTO ART</v>
      </c>
      <c r="Q1061" s="43" t="str">
        <f>VLOOKUP(P1061,Maestro!E:F,2,0)</f>
        <v>Cemento ART</v>
      </c>
      <c r="R1061" s="43">
        <f>VLOOKUP(P1061,ORD!$A:$C,3,0)</f>
        <v>7</v>
      </c>
      <c r="S1061" t="str">
        <f t="shared" si="17"/>
        <v>7355250321DOSIFICADOR DE SALCemento ART</v>
      </c>
      <c r="T1061" t="str">
        <f>IFERROR(VLOOKUP(S1061,Maestro!$A:$H,8,0),"Producción")</f>
        <v>Dosificador de Sal</v>
      </c>
      <c r="U1061" s="43" t="s">
        <v>182</v>
      </c>
    </row>
    <row r="1062" spans="1:21" x14ac:dyDescent="0.3">
      <c r="A1062" s="43">
        <v>7355250321</v>
      </c>
      <c r="B1062" s="43" t="s">
        <v>490</v>
      </c>
      <c r="C1062" s="52">
        <f>Datos!$L$97*D1062</f>
        <v>0</v>
      </c>
      <c r="D1062" s="56">
        <f>Datos!$L$251*Datos!$L$190*(1+Datos!$L$222)</f>
        <v>0</v>
      </c>
      <c r="E1062" s="57"/>
      <c r="F1062" s="58"/>
      <c r="G1062" s="43"/>
      <c r="H1062" s="43"/>
      <c r="I1062" s="43" t="s">
        <v>560</v>
      </c>
      <c r="J1062" s="43" t="s">
        <v>795</v>
      </c>
      <c r="K1062" s="43">
        <v>700060</v>
      </c>
      <c r="L1062" s="43">
        <v>5</v>
      </c>
      <c r="M1062" s="43" t="s">
        <v>468</v>
      </c>
      <c r="N1062" s="53"/>
      <c r="O1062" s="53"/>
      <c r="P1062" s="43" t="str">
        <f>VLOOKUP(K1062,Maestro!J:K,2,0)</f>
        <v>CEMENTO ART</v>
      </c>
      <c r="Q1062" s="43" t="str">
        <f>VLOOKUP(P1062,Maestro!E:F,2,0)</f>
        <v>Cemento ART</v>
      </c>
      <c r="R1062" s="43">
        <f>VLOOKUP(P1062,ORD!$A:$C,3,0)</f>
        <v>7</v>
      </c>
      <c r="S1062" t="str">
        <f t="shared" si="17"/>
        <v>7355250321DOSIFICADOR DE SALCemento ART</v>
      </c>
      <c r="T1062" t="str">
        <f>IFERROR(VLOOKUP(S1062,Maestro!$A:$H,8,0),"Producción")</f>
        <v>Dosificador de Sal</v>
      </c>
      <c r="U1062" s="43" t="s">
        <v>182</v>
      </c>
    </row>
    <row r="1063" spans="1:21" x14ac:dyDescent="0.3">
      <c r="A1063" s="43">
        <v>7355250321</v>
      </c>
      <c r="B1063" s="43" t="s">
        <v>490</v>
      </c>
      <c r="C1063" s="52">
        <f>Datos!$M$97*D1063</f>
        <v>0</v>
      </c>
      <c r="D1063" s="56">
        <f>Datos!$M$251*Datos!$M$190*(1+Datos!$M$222)</f>
        <v>0</v>
      </c>
      <c r="E1063" s="57"/>
      <c r="F1063" s="58"/>
      <c r="G1063" s="43"/>
      <c r="H1063" s="43"/>
      <c r="I1063" s="43" t="s">
        <v>560</v>
      </c>
      <c r="J1063" s="43" t="s">
        <v>795</v>
      </c>
      <c r="K1063" s="43">
        <v>700060</v>
      </c>
      <c r="L1063" s="43">
        <v>6</v>
      </c>
      <c r="M1063" s="43" t="s">
        <v>468</v>
      </c>
      <c r="N1063" s="53"/>
      <c r="O1063" s="53"/>
      <c r="P1063" s="43" t="str">
        <f>VLOOKUP(K1063,Maestro!J:K,2,0)</f>
        <v>CEMENTO ART</v>
      </c>
      <c r="Q1063" s="43" t="str">
        <f>VLOOKUP(P1063,Maestro!E:F,2,0)</f>
        <v>Cemento ART</v>
      </c>
      <c r="R1063" s="43">
        <f>VLOOKUP(P1063,ORD!$A:$C,3,0)</f>
        <v>7</v>
      </c>
      <c r="S1063" t="str">
        <f t="shared" si="17"/>
        <v>7355250321DOSIFICADOR DE SALCemento ART</v>
      </c>
      <c r="T1063" t="str">
        <f>IFERROR(VLOOKUP(S1063,Maestro!$A:$H,8,0),"Producción")</f>
        <v>Dosificador de Sal</v>
      </c>
      <c r="U1063" s="43" t="s">
        <v>182</v>
      </c>
    </row>
    <row r="1064" spans="1:21" x14ac:dyDescent="0.3">
      <c r="A1064" s="43">
        <v>7355250321</v>
      </c>
      <c r="B1064" s="43" t="s">
        <v>490</v>
      </c>
      <c r="C1064" s="52">
        <f>Datos!$N$97*D1064</f>
        <v>0</v>
      </c>
      <c r="D1064" s="56">
        <f>Datos!$N$251*Datos!$N$190*(1+Datos!$N$222)</f>
        <v>0</v>
      </c>
      <c r="E1064" s="57"/>
      <c r="F1064" s="58"/>
      <c r="G1064" s="43"/>
      <c r="H1064" s="43"/>
      <c r="I1064" s="43" t="s">
        <v>560</v>
      </c>
      <c r="J1064" s="43" t="s">
        <v>795</v>
      </c>
      <c r="K1064" s="43">
        <v>700060</v>
      </c>
      <c r="L1064" s="43">
        <v>7</v>
      </c>
      <c r="M1064" s="43" t="s">
        <v>468</v>
      </c>
      <c r="N1064" s="53"/>
      <c r="O1064" s="53"/>
      <c r="P1064" s="43" t="str">
        <f>VLOOKUP(K1064,Maestro!J:K,2,0)</f>
        <v>CEMENTO ART</v>
      </c>
      <c r="Q1064" s="43" t="str">
        <f>VLOOKUP(P1064,Maestro!E:F,2,0)</f>
        <v>Cemento ART</v>
      </c>
      <c r="R1064" s="43">
        <f>VLOOKUP(P1064,ORD!$A:$C,3,0)</f>
        <v>7</v>
      </c>
      <c r="S1064" t="str">
        <f t="shared" si="17"/>
        <v>7355250321DOSIFICADOR DE SALCemento ART</v>
      </c>
      <c r="T1064" t="str">
        <f>IFERROR(VLOOKUP(S1064,Maestro!$A:$H,8,0),"Producción")</f>
        <v>Dosificador de Sal</v>
      </c>
      <c r="U1064" s="43" t="s">
        <v>182</v>
      </c>
    </row>
    <row r="1065" spans="1:21" x14ac:dyDescent="0.3">
      <c r="A1065" s="43">
        <v>7355250321</v>
      </c>
      <c r="B1065" s="43" t="s">
        <v>490</v>
      </c>
      <c r="C1065" s="52">
        <f>Datos!$O$97*D1065</f>
        <v>0</v>
      </c>
      <c r="D1065" s="56">
        <f>Datos!$O$251*Datos!$O$190*(1+Datos!$O$222)</f>
        <v>0</v>
      </c>
      <c r="E1065" s="57"/>
      <c r="F1065" s="58"/>
      <c r="G1065" s="43"/>
      <c r="H1065" s="43"/>
      <c r="I1065" s="43" t="s">
        <v>560</v>
      </c>
      <c r="J1065" s="43" t="s">
        <v>795</v>
      </c>
      <c r="K1065" s="43">
        <v>700060</v>
      </c>
      <c r="L1065" s="43">
        <v>8</v>
      </c>
      <c r="M1065" s="43" t="s">
        <v>468</v>
      </c>
      <c r="N1065" s="53"/>
      <c r="O1065" s="53"/>
      <c r="P1065" s="43" t="str">
        <f>VLOOKUP(K1065,Maestro!J:K,2,0)</f>
        <v>CEMENTO ART</v>
      </c>
      <c r="Q1065" s="43" t="str">
        <f>VLOOKUP(P1065,Maestro!E:F,2,0)</f>
        <v>Cemento ART</v>
      </c>
      <c r="R1065" s="43">
        <f>VLOOKUP(P1065,ORD!$A:$C,3,0)</f>
        <v>7</v>
      </c>
      <c r="S1065" t="str">
        <f t="shared" si="17"/>
        <v>7355250321DOSIFICADOR DE SALCemento ART</v>
      </c>
      <c r="T1065" t="str">
        <f>IFERROR(VLOOKUP(S1065,Maestro!$A:$H,8,0),"Producción")</f>
        <v>Dosificador de Sal</v>
      </c>
      <c r="U1065" s="43" t="s">
        <v>182</v>
      </c>
    </row>
    <row r="1066" spans="1:21" x14ac:dyDescent="0.3">
      <c r="A1066" s="43">
        <v>7355250321</v>
      </c>
      <c r="B1066" s="43" t="s">
        <v>490</v>
      </c>
      <c r="C1066" s="52">
        <f>Datos!$P$97*D1066</f>
        <v>0</v>
      </c>
      <c r="D1066" s="56">
        <f>Datos!$P$251*Datos!$P$190*(1+Datos!$P$222)</f>
        <v>0</v>
      </c>
      <c r="E1066" s="57"/>
      <c r="F1066" s="58"/>
      <c r="G1066" s="43"/>
      <c r="H1066" s="43"/>
      <c r="I1066" s="43" t="s">
        <v>560</v>
      </c>
      <c r="J1066" s="43" t="s">
        <v>795</v>
      </c>
      <c r="K1066" s="43">
        <v>700060</v>
      </c>
      <c r="L1066" s="43">
        <v>9</v>
      </c>
      <c r="M1066" s="43" t="s">
        <v>468</v>
      </c>
      <c r="N1066" s="53"/>
      <c r="O1066" s="53"/>
      <c r="P1066" s="43" t="str">
        <f>VLOOKUP(K1066,Maestro!J:K,2,0)</f>
        <v>CEMENTO ART</v>
      </c>
      <c r="Q1066" s="43" t="str">
        <f>VLOOKUP(P1066,Maestro!E:F,2,0)</f>
        <v>Cemento ART</v>
      </c>
      <c r="R1066" s="43">
        <f>VLOOKUP(P1066,ORD!$A:$C,3,0)</f>
        <v>7</v>
      </c>
      <c r="S1066" t="str">
        <f t="shared" si="17"/>
        <v>7355250321DOSIFICADOR DE SALCemento ART</v>
      </c>
      <c r="T1066" t="str">
        <f>IFERROR(VLOOKUP(S1066,Maestro!$A:$H,8,0),"Producción")</f>
        <v>Dosificador de Sal</v>
      </c>
      <c r="U1066" s="43" t="s">
        <v>182</v>
      </c>
    </row>
    <row r="1067" spans="1:21" x14ac:dyDescent="0.3">
      <c r="A1067" s="43">
        <v>7355250321</v>
      </c>
      <c r="B1067" s="43" t="s">
        <v>490</v>
      </c>
      <c r="C1067" s="52">
        <f>Datos!$Q$97*D1067</f>
        <v>0</v>
      </c>
      <c r="D1067" s="56">
        <f>Datos!$Q$251*Datos!$Q$190*(1+Datos!$Q$222)</f>
        <v>0</v>
      </c>
      <c r="E1067" s="57"/>
      <c r="F1067" s="58"/>
      <c r="G1067" s="43"/>
      <c r="H1067" s="43"/>
      <c r="I1067" s="43" t="s">
        <v>560</v>
      </c>
      <c r="J1067" s="43" t="s">
        <v>795</v>
      </c>
      <c r="K1067" s="43">
        <v>700060</v>
      </c>
      <c r="L1067" s="43">
        <v>10</v>
      </c>
      <c r="M1067" s="43" t="s">
        <v>468</v>
      </c>
      <c r="N1067" s="53"/>
      <c r="O1067" s="53"/>
      <c r="P1067" s="43" t="str">
        <f>VLOOKUP(K1067,Maestro!J:K,2,0)</f>
        <v>CEMENTO ART</v>
      </c>
      <c r="Q1067" s="43" t="str">
        <f>VLOOKUP(P1067,Maestro!E:F,2,0)</f>
        <v>Cemento ART</v>
      </c>
      <c r="R1067" s="43">
        <f>VLOOKUP(P1067,ORD!$A:$C,3,0)</f>
        <v>7</v>
      </c>
      <c r="S1067" t="str">
        <f t="shared" ref="S1067:S1130" si="18">A1067&amp;J1067&amp;Q1067</f>
        <v>7355250321DOSIFICADOR DE SALCemento ART</v>
      </c>
      <c r="T1067" t="str">
        <f>IFERROR(VLOOKUP(S1067,Maestro!$A:$H,8,0),"Producción")</f>
        <v>Dosificador de Sal</v>
      </c>
      <c r="U1067" s="43" t="s">
        <v>182</v>
      </c>
    </row>
    <row r="1068" spans="1:21" x14ac:dyDescent="0.3">
      <c r="A1068" s="43">
        <v>7355250321</v>
      </c>
      <c r="B1068" s="43" t="s">
        <v>490</v>
      </c>
      <c r="C1068" s="52">
        <f>Datos!$R$97*D1068</f>
        <v>0</v>
      </c>
      <c r="D1068" s="56">
        <f>Datos!$R$251*Datos!$R$190*(1+Datos!$R$222)</f>
        <v>0</v>
      </c>
      <c r="E1068" s="57"/>
      <c r="F1068" s="58"/>
      <c r="G1068" s="43"/>
      <c r="H1068" s="43"/>
      <c r="I1068" s="43" t="s">
        <v>560</v>
      </c>
      <c r="J1068" s="43" t="s">
        <v>795</v>
      </c>
      <c r="K1068" s="43">
        <v>700060</v>
      </c>
      <c r="L1068" s="43">
        <v>11</v>
      </c>
      <c r="M1068" s="43" t="s">
        <v>468</v>
      </c>
      <c r="N1068" s="53"/>
      <c r="O1068" s="53"/>
      <c r="P1068" s="43" t="str">
        <f>VLOOKUP(K1068,Maestro!J:K,2,0)</f>
        <v>CEMENTO ART</v>
      </c>
      <c r="Q1068" s="43" t="str">
        <f>VLOOKUP(P1068,Maestro!E:F,2,0)</f>
        <v>Cemento ART</v>
      </c>
      <c r="R1068" s="43">
        <f>VLOOKUP(P1068,ORD!$A:$C,3,0)</f>
        <v>7</v>
      </c>
      <c r="S1068" t="str">
        <f t="shared" si="18"/>
        <v>7355250321DOSIFICADOR DE SALCemento ART</v>
      </c>
      <c r="T1068" t="str">
        <f>IFERROR(VLOOKUP(S1068,Maestro!$A:$H,8,0),"Producción")</f>
        <v>Dosificador de Sal</v>
      </c>
      <c r="U1068" s="43" t="s">
        <v>182</v>
      </c>
    </row>
    <row r="1069" spans="1:21" x14ac:dyDescent="0.3">
      <c r="A1069" s="43">
        <v>7355250321</v>
      </c>
      <c r="B1069" s="43" t="s">
        <v>490</v>
      </c>
      <c r="C1069" s="52">
        <f>Datos!$S$97*D1069</f>
        <v>0</v>
      </c>
      <c r="D1069" s="56">
        <f>Datos!$S$251*Datos!$S$190*(1+Datos!$S$222)</f>
        <v>0</v>
      </c>
      <c r="E1069" s="57"/>
      <c r="F1069" s="58"/>
      <c r="G1069" s="43"/>
      <c r="H1069" s="43"/>
      <c r="I1069" s="43" t="s">
        <v>560</v>
      </c>
      <c r="J1069" s="43" t="s">
        <v>795</v>
      </c>
      <c r="K1069" s="43">
        <v>700060</v>
      </c>
      <c r="L1069" s="43">
        <v>12</v>
      </c>
      <c r="M1069" s="43" t="s">
        <v>468</v>
      </c>
      <c r="N1069" s="53"/>
      <c r="O1069" s="53"/>
      <c r="P1069" s="43" t="str">
        <f>VLOOKUP(K1069,Maestro!J:K,2,0)</f>
        <v>CEMENTO ART</v>
      </c>
      <c r="Q1069" s="43" t="str">
        <f>VLOOKUP(P1069,Maestro!E:F,2,0)</f>
        <v>Cemento ART</v>
      </c>
      <c r="R1069" s="43">
        <f>VLOOKUP(P1069,ORD!$A:$C,3,0)</f>
        <v>7</v>
      </c>
      <c r="S1069" t="str">
        <f t="shared" si="18"/>
        <v>7355250321DOSIFICADOR DE SALCemento ART</v>
      </c>
      <c r="T1069" t="str">
        <f>IFERROR(VLOOKUP(S1069,Maestro!$A:$H,8,0),"Producción")</f>
        <v>Dosificador de Sal</v>
      </c>
      <c r="U1069" s="43" t="s">
        <v>182</v>
      </c>
    </row>
    <row r="1070" spans="1:21" x14ac:dyDescent="0.3">
      <c r="A1070" s="43">
        <v>7355250325</v>
      </c>
      <c r="B1070" s="43" t="s">
        <v>490</v>
      </c>
      <c r="C1070" s="49">
        <f>Datos!$H$95*D1070</f>
        <v>0</v>
      </c>
      <c r="D1070" s="50">
        <f>Datos!$H$260*Datos!$H$208</f>
        <v>0</v>
      </c>
      <c r="E1070" s="58"/>
      <c r="F1070" s="43"/>
      <c r="G1070" s="43"/>
      <c r="H1070" s="43"/>
      <c r="I1070" s="43" t="s">
        <v>560</v>
      </c>
      <c r="J1070" s="40" t="s">
        <v>788</v>
      </c>
      <c r="K1070" s="43">
        <v>700001</v>
      </c>
      <c r="L1070" s="43">
        <v>1</v>
      </c>
      <c r="M1070" s="43" t="s">
        <v>62</v>
      </c>
      <c r="N1070" s="53"/>
      <c r="O1070" s="53"/>
      <c r="P1070" s="43" t="str">
        <f>VLOOKUP(K1070,Maestro!J:K,2,0)</f>
        <v>CLINKER</v>
      </c>
      <c r="Q1070" s="43" t="str">
        <f>VLOOKUP(P1070,Maestro!E:F,2,0)</f>
        <v>Clinkerización</v>
      </c>
      <c r="R1070" s="43">
        <f>VLOOKUP(P1070,ORD!$A:$C,3,0)</f>
        <v>5</v>
      </c>
      <c r="S1070" t="str">
        <f t="shared" si="18"/>
        <v>7355250325CARGUE CK TOLVAClinkerización</v>
      </c>
      <c r="T1070" t="str">
        <f>IFERROR(VLOOKUP(S1070,Maestro!$A:$H,8,0),"Producción")</f>
        <v>Cargue Ck Tolva</v>
      </c>
      <c r="U1070" s="43" t="s">
        <v>182</v>
      </c>
    </row>
    <row r="1071" spans="1:21" x14ac:dyDescent="0.3">
      <c r="A1071" s="43">
        <v>7355250325</v>
      </c>
      <c r="B1071" s="43" t="s">
        <v>490</v>
      </c>
      <c r="C1071" s="49">
        <f>Datos!$I$95*D1071</f>
        <v>0</v>
      </c>
      <c r="D1071" s="50">
        <f>Datos!$I$260*Datos!$I$208</f>
        <v>0</v>
      </c>
      <c r="E1071" s="58"/>
      <c r="F1071" s="43"/>
      <c r="G1071" s="43"/>
      <c r="H1071" s="43"/>
      <c r="I1071" s="43" t="s">
        <v>560</v>
      </c>
      <c r="J1071" s="40" t="s">
        <v>788</v>
      </c>
      <c r="K1071" s="43">
        <v>700001</v>
      </c>
      <c r="L1071" s="43">
        <v>2</v>
      </c>
      <c r="M1071" s="43" t="s">
        <v>62</v>
      </c>
      <c r="N1071" s="53"/>
      <c r="O1071" s="53"/>
      <c r="P1071" s="43" t="str">
        <f>VLOOKUP(K1071,Maestro!J:K,2,0)</f>
        <v>CLINKER</v>
      </c>
      <c r="Q1071" s="43" t="str">
        <f>VLOOKUP(P1071,Maestro!E:F,2,0)</f>
        <v>Clinkerización</v>
      </c>
      <c r="R1071" s="43">
        <f>VLOOKUP(P1071,ORD!$A:$C,3,0)</f>
        <v>5</v>
      </c>
      <c r="S1071" t="str">
        <f t="shared" si="18"/>
        <v>7355250325CARGUE CK TOLVAClinkerización</v>
      </c>
      <c r="T1071" t="str">
        <f>IFERROR(VLOOKUP(S1071,Maestro!$A:$H,8,0),"Producción")</f>
        <v>Cargue Ck Tolva</v>
      </c>
      <c r="U1071" s="43" t="s">
        <v>182</v>
      </c>
    </row>
    <row r="1072" spans="1:21" x14ac:dyDescent="0.3">
      <c r="A1072" s="43">
        <v>7355250325</v>
      </c>
      <c r="B1072" s="43" t="s">
        <v>490</v>
      </c>
      <c r="C1072" s="49">
        <f>Datos!$J$95*D1072</f>
        <v>0</v>
      </c>
      <c r="D1072" s="50">
        <f>Datos!$J$260*Datos!$J$208</f>
        <v>0</v>
      </c>
      <c r="E1072" s="43"/>
      <c r="F1072" s="43"/>
      <c r="G1072" s="43"/>
      <c r="H1072" s="43"/>
      <c r="I1072" s="43" t="s">
        <v>560</v>
      </c>
      <c r="J1072" s="40" t="s">
        <v>788</v>
      </c>
      <c r="K1072" s="43">
        <v>700001</v>
      </c>
      <c r="L1072" s="43">
        <v>3</v>
      </c>
      <c r="M1072" s="43" t="s">
        <v>62</v>
      </c>
      <c r="N1072" s="53"/>
      <c r="O1072" s="53"/>
      <c r="P1072" s="43" t="str">
        <f>VLOOKUP(K1072,Maestro!J:K,2,0)</f>
        <v>CLINKER</v>
      </c>
      <c r="Q1072" s="43" t="str">
        <f>VLOOKUP(P1072,Maestro!E:F,2,0)</f>
        <v>Clinkerización</v>
      </c>
      <c r="R1072" s="43">
        <f>VLOOKUP(P1072,ORD!$A:$C,3,0)</f>
        <v>5</v>
      </c>
      <c r="S1072" t="str">
        <f t="shared" si="18"/>
        <v>7355250325CARGUE CK TOLVAClinkerización</v>
      </c>
      <c r="T1072" t="str">
        <f>IFERROR(VLOOKUP(S1072,Maestro!$A:$H,8,0),"Producción")</f>
        <v>Cargue Ck Tolva</v>
      </c>
      <c r="U1072" s="43" t="s">
        <v>182</v>
      </c>
    </row>
    <row r="1073" spans="1:21" x14ac:dyDescent="0.3">
      <c r="A1073" s="43">
        <v>7355250325</v>
      </c>
      <c r="B1073" s="43" t="s">
        <v>490</v>
      </c>
      <c r="C1073" s="49">
        <f>Datos!$K$95*D1073</f>
        <v>0</v>
      </c>
      <c r="D1073" s="50">
        <f>Datos!$K$260*Datos!$K$208</f>
        <v>0</v>
      </c>
      <c r="E1073" s="43"/>
      <c r="F1073" s="43"/>
      <c r="G1073" s="43"/>
      <c r="H1073" s="43"/>
      <c r="I1073" s="43" t="s">
        <v>560</v>
      </c>
      <c r="J1073" s="40" t="s">
        <v>788</v>
      </c>
      <c r="K1073" s="43">
        <v>700001</v>
      </c>
      <c r="L1073" s="43">
        <v>4</v>
      </c>
      <c r="M1073" s="43" t="s">
        <v>62</v>
      </c>
      <c r="N1073" s="53"/>
      <c r="O1073" s="53"/>
      <c r="P1073" s="43" t="str">
        <f>VLOOKUP(K1073,Maestro!J:K,2,0)</f>
        <v>CLINKER</v>
      </c>
      <c r="Q1073" s="43" t="str">
        <f>VLOOKUP(P1073,Maestro!E:F,2,0)</f>
        <v>Clinkerización</v>
      </c>
      <c r="R1073" s="43">
        <f>VLOOKUP(P1073,ORD!$A:$C,3,0)</f>
        <v>5</v>
      </c>
      <c r="S1073" t="str">
        <f t="shared" si="18"/>
        <v>7355250325CARGUE CK TOLVAClinkerización</v>
      </c>
      <c r="T1073" t="str">
        <f>IFERROR(VLOOKUP(S1073,Maestro!$A:$H,8,0),"Producción")</f>
        <v>Cargue Ck Tolva</v>
      </c>
      <c r="U1073" s="43" t="s">
        <v>182</v>
      </c>
    </row>
    <row r="1074" spans="1:21" x14ac:dyDescent="0.3">
      <c r="A1074" s="43">
        <v>7355250325</v>
      </c>
      <c r="B1074" s="43" t="s">
        <v>490</v>
      </c>
      <c r="C1074" s="49">
        <f>Datos!$L$95*D1074</f>
        <v>0</v>
      </c>
      <c r="D1074" s="50">
        <f>Datos!$L$260*Datos!$L$208</f>
        <v>0</v>
      </c>
      <c r="E1074" s="43"/>
      <c r="F1074" s="43"/>
      <c r="G1074" s="43"/>
      <c r="H1074" s="43"/>
      <c r="I1074" s="43" t="s">
        <v>560</v>
      </c>
      <c r="J1074" s="40" t="s">
        <v>788</v>
      </c>
      <c r="K1074" s="43">
        <v>700001</v>
      </c>
      <c r="L1074" s="43">
        <v>5</v>
      </c>
      <c r="M1074" s="43" t="s">
        <v>62</v>
      </c>
      <c r="N1074" s="53"/>
      <c r="O1074" s="53"/>
      <c r="P1074" s="43" t="str">
        <f>VLOOKUP(K1074,Maestro!J:K,2,0)</f>
        <v>CLINKER</v>
      </c>
      <c r="Q1074" s="43" t="str">
        <f>VLOOKUP(P1074,Maestro!E:F,2,0)</f>
        <v>Clinkerización</v>
      </c>
      <c r="R1074" s="43">
        <f>VLOOKUP(P1074,ORD!$A:$C,3,0)</f>
        <v>5</v>
      </c>
      <c r="S1074" t="str">
        <f t="shared" si="18"/>
        <v>7355250325CARGUE CK TOLVAClinkerización</v>
      </c>
      <c r="T1074" t="str">
        <f>IFERROR(VLOOKUP(S1074,Maestro!$A:$H,8,0),"Producción")</f>
        <v>Cargue Ck Tolva</v>
      </c>
      <c r="U1074" s="43" t="s">
        <v>182</v>
      </c>
    </row>
    <row r="1075" spans="1:21" x14ac:dyDescent="0.3">
      <c r="A1075" s="43">
        <v>7355250325</v>
      </c>
      <c r="B1075" s="43" t="s">
        <v>490</v>
      </c>
      <c r="C1075" s="49">
        <f>Datos!$M$95*D1075</f>
        <v>0</v>
      </c>
      <c r="D1075" s="50">
        <f>Datos!$M$260*Datos!$M$208</f>
        <v>0</v>
      </c>
      <c r="E1075" s="43"/>
      <c r="F1075" s="43"/>
      <c r="G1075" s="43"/>
      <c r="H1075" s="43"/>
      <c r="I1075" s="43" t="s">
        <v>560</v>
      </c>
      <c r="J1075" s="40" t="s">
        <v>788</v>
      </c>
      <c r="K1075" s="43">
        <v>700001</v>
      </c>
      <c r="L1075" s="43">
        <v>6</v>
      </c>
      <c r="M1075" s="43" t="s">
        <v>62</v>
      </c>
      <c r="N1075" s="53"/>
      <c r="O1075" s="53"/>
      <c r="P1075" s="43" t="str">
        <f>VLOOKUP(K1075,Maestro!J:K,2,0)</f>
        <v>CLINKER</v>
      </c>
      <c r="Q1075" s="43" t="str">
        <f>VLOOKUP(P1075,Maestro!E:F,2,0)</f>
        <v>Clinkerización</v>
      </c>
      <c r="R1075" s="43">
        <f>VLOOKUP(P1075,ORD!$A:$C,3,0)</f>
        <v>5</v>
      </c>
      <c r="S1075" t="str">
        <f t="shared" si="18"/>
        <v>7355250325CARGUE CK TOLVAClinkerización</v>
      </c>
      <c r="T1075" t="str">
        <f>IFERROR(VLOOKUP(S1075,Maestro!$A:$H,8,0),"Producción")</f>
        <v>Cargue Ck Tolva</v>
      </c>
      <c r="U1075" s="43" t="s">
        <v>182</v>
      </c>
    </row>
    <row r="1076" spans="1:21" x14ac:dyDescent="0.3">
      <c r="A1076" s="43">
        <v>7355250325</v>
      </c>
      <c r="B1076" s="43" t="s">
        <v>490</v>
      </c>
      <c r="C1076" s="49">
        <f>Datos!$N$95*D1076</f>
        <v>0</v>
      </c>
      <c r="D1076" s="50">
        <f>Datos!$N$260*Datos!$N$208</f>
        <v>0</v>
      </c>
      <c r="E1076" s="43"/>
      <c r="F1076" s="43"/>
      <c r="G1076" s="43"/>
      <c r="H1076" s="43"/>
      <c r="I1076" s="43" t="s">
        <v>560</v>
      </c>
      <c r="J1076" s="40" t="s">
        <v>788</v>
      </c>
      <c r="K1076" s="43">
        <v>700001</v>
      </c>
      <c r="L1076" s="43">
        <v>7</v>
      </c>
      <c r="M1076" s="43" t="s">
        <v>62</v>
      </c>
      <c r="N1076" s="53"/>
      <c r="O1076" s="53"/>
      <c r="P1076" s="43" t="str">
        <f>VLOOKUP(K1076,Maestro!J:K,2,0)</f>
        <v>CLINKER</v>
      </c>
      <c r="Q1076" s="43" t="str">
        <f>VLOOKUP(P1076,Maestro!E:F,2,0)</f>
        <v>Clinkerización</v>
      </c>
      <c r="R1076" s="43">
        <f>VLOOKUP(P1076,ORD!$A:$C,3,0)</f>
        <v>5</v>
      </c>
      <c r="S1076" t="str">
        <f t="shared" si="18"/>
        <v>7355250325CARGUE CK TOLVAClinkerización</v>
      </c>
      <c r="T1076" t="str">
        <f>IFERROR(VLOOKUP(S1076,Maestro!$A:$H,8,0),"Producción")</f>
        <v>Cargue Ck Tolva</v>
      </c>
      <c r="U1076" s="43" t="s">
        <v>182</v>
      </c>
    </row>
    <row r="1077" spans="1:21" x14ac:dyDescent="0.3">
      <c r="A1077" s="43">
        <v>7355250325</v>
      </c>
      <c r="B1077" s="43" t="s">
        <v>490</v>
      </c>
      <c r="C1077" s="49">
        <f>Datos!$O$95*D1077</f>
        <v>0</v>
      </c>
      <c r="D1077" s="50">
        <f>Datos!$O$260*Datos!$O$208</f>
        <v>0</v>
      </c>
      <c r="E1077" s="43"/>
      <c r="F1077" s="43"/>
      <c r="G1077" s="43"/>
      <c r="H1077" s="43"/>
      <c r="I1077" s="43" t="s">
        <v>560</v>
      </c>
      <c r="J1077" s="40" t="s">
        <v>788</v>
      </c>
      <c r="K1077" s="43">
        <v>700001</v>
      </c>
      <c r="L1077" s="43">
        <v>8</v>
      </c>
      <c r="M1077" s="43" t="s">
        <v>62</v>
      </c>
      <c r="N1077" s="53"/>
      <c r="O1077" s="53"/>
      <c r="P1077" s="43" t="str">
        <f>VLOOKUP(K1077,Maestro!J:K,2,0)</f>
        <v>CLINKER</v>
      </c>
      <c r="Q1077" s="43" t="str">
        <f>VLOOKUP(P1077,Maestro!E:F,2,0)</f>
        <v>Clinkerización</v>
      </c>
      <c r="R1077" s="43">
        <f>VLOOKUP(P1077,ORD!$A:$C,3,0)</f>
        <v>5</v>
      </c>
      <c r="S1077" t="str">
        <f t="shared" si="18"/>
        <v>7355250325CARGUE CK TOLVAClinkerización</v>
      </c>
      <c r="T1077" t="str">
        <f>IFERROR(VLOOKUP(S1077,Maestro!$A:$H,8,0),"Producción")</f>
        <v>Cargue Ck Tolva</v>
      </c>
      <c r="U1077" s="43" t="s">
        <v>182</v>
      </c>
    </row>
    <row r="1078" spans="1:21" x14ac:dyDescent="0.3">
      <c r="A1078" s="43">
        <v>7355250325</v>
      </c>
      <c r="B1078" s="43" t="s">
        <v>490</v>
      </c>
      <c r="C1078" s="49">
        <f>Datos!$P$95*D1078</f>
        <v>0</v>
      </c>
      <c r="D1078" s="50">
        <f>Datos!$P$260*Datos!$P$208</f>
        <v>0</v>
      </c>
      <c r="E1078" s="43"/>
      <c r="F1078" s="43"/>
      <c r="G1078" s="43"/>
      <c r="H1078" s="43"/>
      <c r="I1078" s="43" t="s">
        <v>560</v>
      </c>
      <c r="J1078" s="40" t="s">
        <v>788</v>
      </c>
      <c r="K1078" s="43">
        <v>700001</v>
      </c>
      <c r="L1078" s="43">
        <v>9</v>
      </c>
      <c r="M1078" s="43" t="s">
        <v>62</v>
      </c>
      <c r="N1078" s="53"/>
      <c r="O1078" s="53"/>
      <c r="P1078" s="43" t="str">
        <f>VLOOKUP(K1078,Maestro!J:K,2,0)</f>
        <v>CLINKER</v>
      </c>
      <c r="Q1078" s="43" t="str">
        <f>VLOOKUP(P1078,Maestro!E:F,2,0)</f>
        <v>Clinkerización</v>
      </c>
      <c r="R1078" s="43">
        <f>VLOOKUP(P1078,ORD!$A:$C,3,0)</f>
        <v>5</v>
      </c>
      <c r="S1078" t="str">
        <f t="shared" si="18"/>
        <v>7355250325CARGUE CK TOLVAClinkerización</v>
      </c>
      <c r="T1078" t="str">
        <f>IFERROR(VLOOKUP(S1078,Maestro!$A:$H,8,0),"Producción")</f>
        <v>Cargue Ck Tolva</v>
      </c>
      <c r="U1078" s="43" t="s">
        <v>182</v>
      </c>
    </row>
    <row r="1079" spans="1:21" x14ac:dyDescent="0.3">
      <c r="A1079" s="43">
        <v>7355250325</v>
      </c>
      <c r="B1079" s="43" t="s">
        <v>490</v>
      </c>
      <c r="C1079" s="49">
        <f>Datos!$Q$95*D1079</f>
        <v>0</v>
      </c>
      <c r="D1079" s="50">
        <f>Datos!$Q$260*Datos!$Q$208</f>
        <v>0</v>
      </c>
      <c r="E1079" s="43"/>
      <c r="F1079" s="43"/>
      <c r="G1079" s="43"/>
      <c r="H1079" s="43"/>
      <c r="I1079" s="43" t="s">
        <v>560</v>
      </c>
      <c r="J1079" s="40" t="s">
        <v>788</v>
      </c>
      <c r="K1079" s="43">
        <v>700001</v>
      </c>
      <c r="L1079" s="43">
        <v>10</v>
      </c>
      <c r="M1079" s="43" t="s">
        <v>62</v>
      </c>
      <c r="N1079" s="53"/>
      <c r="O1079" s="53"/>
      <c r="P1079" s="43" t="str">
        <f>VLOOKUP(K1079,Maestro!J:K,2,0)</f>
        <v>CLINKER</v>
      </c>
      <c r="Q1079" s="43" t="str">
        <f>VLOOKUP(P1079,Maestro!E:F,2,0)</f>
        <v>Clinkerización</v>
      </c>
      <c r="R1079" s="43">
        <f>VLOOKUP(P1079,ORD!$A:$C,3,0)</f>
        <v>5</v>
      </c>
      <c r="S1079" t="str">
        <f t="shared" si="18"/>
        <v>7355250325CARGUE CK TOLVAClinkerización</v>
      </c>
      <c r="T1079" t="str">
        <f>IFERROR(VLOOKUP(S1079,Maestro!$A:$H,8,0),"Producción")</f>
        <v>Cargue Ck Tolva</v>
      </c>
      <c r="U1079" s="43" t="s">
        <v>182</v>
      </c>
    </row>
    <row r="1080" spans="1:21" x14ac:dyDescent="0.3">
      <c r="A1080" s="43">
        <v>7355250325</v>
      </c>
      <c r="B1080" s="43" t="s">
        <v>490</v>
      </c>
      <c r="C1080" s="49">
        <f>Datos!$R$95*D1080</f>
        <v>0</v>
      </c>
      <c r="D1080" s="50">
        <f>Datos!$R$260*Datos!$R$208</f>
        <v>0</v>
      </c>
      <c r="E1080" s="43"/>
      <c r="F1080" s="43"/>
      <c r="G1080" s="43"/>
      <c r="H1080" s="43"/>
      <c r="I1080" s="43" t="s">
        <v>560</v>
      </c>
      <c r="J1080" s="40" t="s">
        <v>788</v>
      </c>
      <c r="K1080" s="43">
        <v>700001</v>
      </c>
      <c r="L1080" s="43">
        <v>11</v>
      </c>
      <c r="M1080" s="43" t="s">
        <v>62</v>
      </c>
      <c r="N1080" s="53"/>
      <c r="O1080" s="53"/>
      <c r="P1080" s="43" t="str">
        <f>VLOOKUP(K1080,Maestro!J:K,2,0)</f>
        <v>CLINKER</v>
      </c>
      <c r="Q1080" s="43" t="str">
        <f>VLOOKUP(P1080,Maestro!E:F,2,0)</f>
        <v>Clinkerización</v>
      </c>
      <c r="R1080" s="43">
        <f>VLOOKUP(P1080,ORD!$A:$C,3,0)</f>
        <v>5</v>
      </c>
      <c r="S1080" t="str">
        <f t="shared" si="18"/>
        <v>7355250325CARGUE CK TOLVAClinkerización</v>
      </c>
      <c r="T1080" t="str">
        <f>IFERROR(VLOOKUP(S1080,Maestro!$A:$H,8,0),"Producción")</f>
        <v>Cargue Ck Tolva</v>
      </c>
      <c r="U1080" s="43" t="s">
        <v>182</v>
      </c>
    </row>
    <row r="1081" spans="1:21" x14ac:dyDescent="0.3">
      <c r="A1081" s="43">
        <v>7355250325</v>
      </c>
      <c r="B1081" s="43" t="s">
        <v>490</v>
      </c>
      <c r="C1081" s="49">
        <f>Datos!$S$95*D1081</f>
        <v>0</v>
      </c>
      <c r="D1081" s="50">
        <f>Datos!$S$260*Datos!$S$208</f>
        <v>0</v>
      </c>
      <c r="E1081" s="43"/>
      <c r="F1081" s="43"/>
      <c r="G1081" s="43"/>
      <c r="H1081" s="43"/>
      <c r="I1081" s="43" t="s">
        <v>560</v>
      </c>
      <c r="J1081" s="40" t="s">
        <v>788</v>
      </c>
      <c r="K1081" s="43">
        <v>700001</v>
      </c>
      <c r="L1081" s="43">
        <v>12</v>
      </c>
      <c r="M1081" s="43" t="s">
        <v>62</v>
      </c>
      <c r="N1081" s="53"/>
      <c r="O1081" s="53"/>
      <c r="P1081" s="43" t="str">
        <f>VLOOKUP(K1081,Maestro!J:K,2,0)</f>
        <v>CLINKER</v>
      </c>
      <c r="Q1081" s="43" t="str">
        <f>VLOOKUP(P1081,Maestro!E:F,2,0)</f>
        <v>Clinkerización</v>
      </c>
      <c r="R1081" s="43">
        <f>VLOOKUP(P1081,ORD!$A:$C,3,0)</f>
        <v>5</v>
      </c>
      <c r="S1081" t="str">
        <f t="shared" si="18"/>
        <v>7355250325CARGUE CK TOLVAClinkerización</v>
      </c>
      <c r="T1081" t="str">
        <f>IFERROR(VLOOKUP(S1081,Maestro!$A:$H,8,0),"Producción")</f>
        <v>Cargue Ck Tolva</v>
      </c>
      <c r="U1081" s="43" t="s">
        <v>182</v>
      </c>
    </row>
    <row r="1082" spans="1:21" x14ac:dyDescent="0.3">
      <c r="A1082" s="43">
        <v>7105240101</v>
      </c>
      <c r="B1082" s="43" t="s">
        <v>527</v>
      </c>
      <c r="C1082" s="52">
        <f>Datos!$H$28*D1082</f>
        <v>0</v>
      </c>
      <c r="D1082" s="52">
        <f>Datos!$H$423*(1+Datos!$H$227)</f>
        <v>0</v>
      </c>
      <c r="E1082" s="43" t="s">
        <v>556</v>
      </c>
      <c r="F1082" s="43" t="s">
        <v>557</v>
      </c>
      <c r="G1082" s="43" t="s">
        <v>603</v>
      </c>
      <c r="H1082" s="43" t="s">
        <v>604</v>
      </c>
      <c r="I1082" s="43" t="s">
        <v>560</v>
      </c>
      <c r="J1082" s="43" t="s">
        <v>528</v>
      </c>
      <c r="K1082" s="43">
        <v>700120</v>
      </c>
      <c r="L1082" s="43">
        <v>1</v>
      </c>
      <c r="M1082" s="43" t="s">
        <v>605</v>
      </c>
      <c r="N1082" s="51"/>
      <c r="O1082" s="51"/>
      <c r="P1082" s="43" t="str">
        <f>VLOOKUP(K1082,Maestro!J:K,2,0)</f>
        <v>COMBUSTIBLES ALTERNOS</v>
      </c>
      <c r="Q1082" s="43" t="str">
        <f>VLOOKUP(P1082,Maestro!E:F,2,0)</f>
        <v>COMBUSTIBLES ALTERNOS</v>
      </c>
      <c r="R1082" s="43">
        <f>VLOOKUP(P1082,ORD!$A:$C,3,0)</f>
        <v>20</v>
      </c>
      <c r="S1082" t="str">
        <f t="shared" si="18"/>
        <v>7105240101BIOBRIQPAPCOMBUSTIBLES ALTERNOS</v>
      </c>
      <c r="T1082" t="str">
        <f>IFERROR(VLOOKUP(S1082,Maestro!$A:$H,8,0),"Producción")</f>
        <v>Briquetas</v>
      </c>
      <c r="U1082" s="43" t="s">
        <v>182</v>
      </c>
    </row>
    <row r="1083" spans="1:21" x14ac:dyDescent="0.3">
      <c r="A1083" s="43">
        <v>7105240101</v>
      </c>
      <c r="B1083" s="43" t="s">
        <v>527</v>
      </c>
      <c r="C1083" s="52">
        <f>Datos!$H$29*D1083</f>
        <v>0</v>
      </c>
      <c r="D1083" s="52">
        <f>Datos!$H$424*(1+Datos!$H$228)</f>
        <v>0</v>
      </c>
      <c r="E1083" s="43" t="s">
        <v>556</v>
      </c>
      <c r="F1083" s="43" t="s">
        <v>557</v>
      </c>
      <c r="G1083" s="43" t="s">
        <v>603</v>
      </c>
      <c r="H1083" s="43" t="s">
        <v>604</v>
      </c>
      <c r="I1083" s="43" t="s">
        <v>560</v>
      </c>
      <c r="J1083" s="43" t="s">
        <v>529</v>
      </c>
      <c r="K1083" s="43">
        <v>700120</v>
      </c>
      <c r="L1083" s="43">
        <v>1</v>
      </c>
      <c r="M1083" s="43" t="s">
        <v>605</v>
      </c>
      <c r="N1083" s="51"/>
      <c r="O1083" s="51"/>
      <c r="P1083" s="43" t="str">
        <f>VLOOKUP(K1083,Maestro!J:K,2,0)</f>
        <v>COMBUSTIBLES ALTERNOS</v>
      </c>
      <c r="Q1083" s="43" t="str">
        <f>VLOOKUP(P1083,Maestro!E:F,2,0)</f>
        <v>COMBUSTIBLES ALTERNOS</v>
      </c>
      <c r="R1083" s="43">
        <f>VLOOKUP(P1083,ORD!$A:$C,3,0)</f>
        <v>20</v>
      </c>
      <c r="S1083" t="str">
        <f t="shared" si="18"/>
        <v>7105240101BIOCHIPMADCOMBUSTIBLES ALTERNOS</v>
      </c>
      <c r="T1083" t="str">
        <f>IFERROR(VLOOKUP(S1083,Maestro!$A:$H,8,0),"Producción")</f>
        <v>Chip de Madera</v>
      </c>
      <c r="U1083" s="43" t="s">
        <v>182</v>
      </c>
    </row>
    <row r="1084" spans="1:21" x14ac:dyDescent="0.3">
      <c r="A1084" s="43">
        <v>7355050101</v>
      </c>
      <c r="B1084" s="43" t="s">
        <v>531</v>
      </c>
      <c r="C1084" s="52">
        <f>Datos!$H$26*D1084</f>
        <v>409202092.42749763</v>
      </c>
      <c r="D1084" s="52">
        <f>Datos!$H$421*(1+Datos!$H$225)</f>
        <v>1285.8700408163234</v>
      </c>
      <c r="E1084" s="43" t="s">
        <v>556</v>
      </c>
      <c r="F1084" s="43" t="s">
        <v>557</v>
      </c>
      <c r="G1084" s="43" t="s">
        <v>606</v>
      </c>
      <c r="H1084" s="43" t="s">
        <v>607</v>
      </c>
      <c r="I1084" s="43" t="s">
        <v>560</v>
      </c>
      <c r="J1084" s="43" t="s">
        <v>532</v>
      </c>
      <c r="K1084" s="43">
        <v>700120</v>
      </c>
      <c r="L1084" s="43">
        <v>1</v>
      </c>
      <c r="M1084" s="43" t="s">
        <v>608</v>
      </c>
      <c r="N1084" s="51"/>
      <c r="O1084" s="51"/>
      <c r="P1084" s="43" t="str">
        <f>VLOOKUP(K1084,Maestro!J:K,2,0)</f>
        <v>COMBUSTIBLES ALTERNOS</v>
      </c>
      <c r="Q1084" s="43" t="str">
        <f>VLOOKUP(P1084,Maestro!E:F,2,0)</f>
        <v>COMBUSTIBLES ALTERNOS</v>
      </c>
      <c r="R1084" s="43">
        <f>VLOOKUP(P1084,ORD!$A:$C,3,0)</f>
        <v>20</v>
      </c>
      <c r="S1084" t="str">
        <f t="shared" si="18"/>
        <v>7355050101COMBURESIDCOMBUSTIBLES ALTERNOS</v>
      </c>
      <c r="T1084" t="str">
        <f>IFERROR(VLOOKUP(S1084,Maestro!$A:$H,8,0),"Producción")</f>
        <v>CDR</v>
      </c>
      <c r="U1084" s="43" t="s">
        <v>182</v>
      </c>
    </row>
    <row r="1085" spans="1:21" x14ac:dyDescent="0.3">
      <c r="A1085" s="43">
        <v>7355050101</v>
      </c>
      <c r="B1085" s="43" t="s">
        <v>531</v>
      </c>
      <c r="C1085" s="52">
        <f>Datos!$H$27*D1085</f>
        <v>93299173.145321995</v>
      </c>
      <c r="D1085" s="52">
        <f>Datos!$H$422*(1+Datos!$H$226)</f>
        <v>293.00424107142777</v>
      </c>
      <c r="E1085" s="43" t="s">
        <v>556</v>
      </c>
      <c r="F1085" s="43" t="s">
        <v>557</v>
      </c>
      <c r="G1085" s="43" t="s">
        <v>606</v>
      </c>
      <c r="H1085" s="43" t="s">
        <v>607</v>
      </c>
      <c r="I1085" s="43" t="s">
        <v>560</v>
      </c>
      <c r="J1085" s="43" t="s">
        <v>533</v>
      </c>
      <c r="K1085" s="43">
        <v>700120</v>
      </c>
      <c r="L1085" s="43">
        <v>1</v>
      </c>
      <c r="M1085" s="43" t="s">
        <v>609</v>
      </c>
      <c r="N1085" s="51"/>
      <c r="O1085" s="51"/>
      <c r="P1085" s="43" t="str">
        <f>VLOOKUP(K1085,Maestro!J:K,2,0)</f>
        <v>COMBUSTIBLES ALTERNOS</v>
      </c>
      <c r="Q1085" s="43" t="str">
        <f>VLOOKUP(P1085,Maestro!E:F,2,0)</f>
        <v>COMBUSTIBLES ALTERNOS</v>
      </c>
      <c r="R1085" s="43">
        <f>VLOOKUP(P1085,ORD!$A:$C,3,0)</f>
        <v>20</v>
      </c>
      <c r="S1085" t="str">
        <f t="shared" si="18"/>
        <v>7355050101LLANTAPICACOMBUSTIBLES ALTERNOS</v>
      </c>
      <c r="T1085" t="str">
        <f>IFERROR(VLOOKUP(S1085,Maestro!$A:$H,8,0),"Producción")</f>
        <v>Llanta Picada</v>
      </c>
      <c r="U1085" s="43" t="s">
        <v>182</v>
      </c>
    </row>
    <row r="1086" spans="1:21" x14ac:dyDescent="0.3">
      <c r="A1086" s="43">
        <v>7999999995</v>
      </c>
      <c r="B1086" s="43" t="s">
        <v>566</v>
      </c>
      <c r="C1086" s="52"/>
      <c r="D1086" s="166">
        <f>-Datos!$H$275</f>
        <v>-1578.8742818877511</v>
      </c>
      <c r="E1086" s="43" t="s">
        <v>556</v>
      </c>
      <c r="F1086" s="43" t="s">
        <v>557</v>
      </c>
      <c r="G1086" s="43" t="s">
        <v>567</v>
      </c>
      <c r="H1086" s="43" t="s">
        <v>568</v>
      </c>
      <c r="I1086" s="43" t="s">
        <v>560</v>
      </c>
      <c r="J1086" s="43" t="s">
        <v>610</v>
      </c>
      <c r="K1086" s="43">
        <v>700120</v>
      </c>
      <c r="L1086" s="43">
        <v>1</v>
      </c>
      <c r="M1086" s="43" t="s">
        <v>526</v>
      </c>
      <c r="N1086" s="51"/>
      <c r="O1086" s="51"/>
      <c r="P1086" s="43" t="str">
        <f>VLOOKUP(K1086,Maestro!J:K,2,0)</f>
        <v>COMBUSTIBLES ALTERNOS</v>
      </c>
      <c r="Q1086" s="43" t="str">
        <f>VLOOKUP(P1086,Maestro!E:F,2,0)</f>
        <v>COMBUSTIBLES ALTERNOS</v>
      </c>
      <c r="R1086" s="43">
        <f>VLOOKUP(P1086,ORD!$A:$C,3,0)</f>
        <v>20</v>
      </c>
      <c r="S1086" t="str">
        <f t="shared" si="18"/>
        <v>7999999995COMBALTERCOMBUSTIBLES ALTERNOS</v>
      </c>
      <c r="T1086" t="str">
        <f>IFERROR(VLOOKUP(S1086,Maestro!$A:$H,8,0),"Producción")</f>
        <v>Producción</v>
      </c>
      <c r="U1086" s="43" t="s">
        <v>182</v>
      </c>
    </row>
    <row r="1087" spans="1:21" x14ac:dyDescent="0.3">
      <c r="A1087" s="43">
        <v>7105240101</v>
      </c>
      <c r="B1087" s="43" t="s">
        <v>527</v>
      </c>
      <c r="C1087" s="52">
        <f>Datos!$I$28*D1087</f>
        <v>0</v>
      </c>
      <c r="D1087" s="52">
        <f>Datos!$I$423*(1+Datos!$I$227)</f>
        <v>0</v>
      </c>
      <c r="E1087" s="43" t="s">
        <v>556</v>
      </c>
      <c r="F1087" s="43" t="s">
        <v>557</v>
      </c>
      <c r="G1087" s="43" t="s">
        <v>603</v>
      </c>
      <c r="H1087" s="43" t="s">
        <v>604</v>
      </c>
      <c r="I1087" s="43" t="s">
        <v>560</v>
      </c>
      <c r="J1087" s="43" t="s">
        <v>528</v>
      </c>
      <c r="K1087" s="43">
        <v>700120</v>
      </c>
      <c r="L1087" s="43">
        <v>2</v>
      </c>
      <c r="M1087" s="43" t="s">
        <v>605</v>
      </c>
      <c r="N1087" s="51"/>
      <c r="O1087" s="51"/>
      <c r="P1087" s="43" t="str">
        <f>VLOOKUP(K1087,Maestro!J:K,2,0)</f>
        <v>COMBUSTIBLES ALTERNOS</v>
      </c>
      <c r="Q1087" s="43" t="str">
        <f>VLOOKUP(P1087,Maestro!E:F,2,0)</f>
        <v>COMBUSTIBLES ALTERNOS</v>
      </c>
      <c r="R1087" s="43">
        <f>VLOOKUP(P1087,ORD!$A:$C,3,0)</f>
        <v>20</v>
      </c>
      <c r="S1087" t="str">
        <f t="shared" si="18"/>
        <v>7105240101BIOBRIQPAPCOMBUSTIBLES ALTERNOS</v>
      </c>
      <c r="T1087" t="str">
        <f>IFERROR(VLOOKUP(S1087,Maestro!$A:$H,8,0),"Producción")</f>
        <v>Briquetas</v>
      </c>
      <c r="U1087" s="43" t="s">
        <v>182</v>
      </c>
    </row>
    <row r="1088" spans="1:21" x14ac:dyDescent="0.3">
      <c r="A1088" s="43">
        <v>7105240101</v>
      </c>
      <c r="B1088" s="43" t="s">
        <v>527</v>
      </c>
      <c r="C1088" s="52">
        <f>Datos!$I$29*D1088</f>
        <v>0</v>
      </c>
      <c r="D1088" s="52">
        <f>Datos!$I$424*(1+Datos!$I$228)</f>
        <v>0</v>
      </c>
      <c r="E1088" s="43" t="s">
        <v>556</v>
      </c>
      <c r="F1088" s="43" t="s">
        <v>557</v>
      </c>
      <c r="G1088" s="43" t="s">
        <v>603</v>
      </c>
      <c r="H1088" s="43" t="s">
        <v>604</v>
      </c>
      <c r="I1088" s="43" t="s">
        <v>560</v>
      </c>
      <c r="J1088" s="43" t="s">
        <v>529</v>
      </c>
      <c r="K1088" s="43">
        <v>700120</v>
      </c>
      <c r="L1088" s="43">
        <v>2</v>
      </c>
      <c r="M1088" s="43" t="s">
        <v>605</v>
      </c>
      <c r="N1088" s="51"/>
      <c r="O1088" s="51"/>
      <c r="P1088" s="43" t="str">
        <f>VLOOKUP(K1088,Maestro!J:K,2,0)</f>
        <v>COMBUSTIBLES ALTERNOS</v>
      </c>
      <c r="Q1088" s="43" t="str">
        <f>VLOOKUP(P1088,Maestro!E:F,2,0)</f>
        <v>COMBUSTIBLES ALTERNOS</v>
      </c>
      <c r="R1088" s="43">
        <f>VLOOKUP(P1088,ORD!$A:$C,3,0)</f>
        <v>20</v>
      </c>
      <c r="S1088" t="str">
        <f t="shared" si="18"/>
        <v>7105240101BIOCHIPMADCOMBUSTIBLES ALTERNOS</v>
      </c>
      <c r="T1088" t="str">
        <f>IFERROR(VLOOKUP(S1088,Maestro!$A:$H,8,0),"Producción")</f>
        <v>Chip de Madera</v>
      </c>
      <c r="U1088" s="43" t="s">
        <v>182</v>
      </c>
    </row>
    <row r="1089" spans="1:21" x14ac:dyDescent="0.3">
      <c r="A1089" s="43">
        <v>7355050101</v>
      </c>
      <c r="B1089" s="43" t="s">
        <v>531</v>
      </c>
      <c r="C1089" s="52">
        <f>Datos!$I$26*D1089</f>
        <v>414253970.11178774</v>
      </c>
      <c r="D1089" s="52">
        <f>Datos!$I$421*(1+Datos!$I$225)</f>
        <v>1301.7449795918335</v>
      </c>
      <c r="E1089" s="43" t="s">
        <v>556</v>
      </c>
      <c r="F1089" s="43" t="s">
        <v>557</v>
      </c>
      <c r="G1089" s="43" t="s">
        <v>606</v>
      </c>
      <c r="H1089" s="43" t="s">
        <v>607</v>
      </c>
      <c r="I1089" s="43" t="s">
        <v>560</v>
      </c>
      <c r="J1089" s="43" t="s">
        <v>532</v>
      </c>
      <c r="K1089" s="43">
        <v>700120</v>
      </c>
      <c r="L1089" s="43">
        <v>2</v>
      </c>
      <c r="M1089" s="43" t="s">
        <v>608</v>
      </c>
      <c r="N1089" s="51"/>
      <c r="O1089" s="51"/>
      <c r="P1089" s="43" t="str">
        <f>VLOOKUP(K1089,Maestro!J:K,2,0)</f>
        <v>COMBUSTIBLES ALTERNOS</v>
      </c>
      <c r="Q1089" s="43" t="str">
        <f>VLOOKUP(P1089,Maestro!E:F,2,0)</f>
        <v>COMBUSTIBLES ALTERNOS</v>
      </c>
      <c r="R1089" s="43">
        <f>VLOOKUP(P1089,ORD!$A:$C,3,0)</f>
        <v>20</v>
      </c>
      <c r="S1089" t="str">
        <f t="shared" si="18"/>
        <v>7355050101COMBURESIDCOMBUSTIBLES ALTERNOS</v>
      </c>
      <c r="T1089" t="str">
        <f>IFERROR(VLOOKUP(S1089,Maestro!$A:$H,8,0),"Producción")</f>
        <v>CDR</v>
      </c>
      <c r="U1089" s="43" t="s">
        <v>182</v>
      </c>
    </row>
    <row r="1090" spans="1:21" x14ac:dyDescent="0.3">
      <c r="A1090" s="43">
        <v>7355050101</v>
      </c>
      <c r="B1090" s="43" t="s">
        <v>531</v>
      </c>
      <c r="C1090" s="52">
        <f>Datos!$I$27*D1090</f>
        <v>94451014.789091408</v>
      </c>
      <c r="D1090" s="52">
        <f>Datos!$I$422*(1+Datos!$I$226)</f>
        <v>296.62157738095158</v>
      </c>
      <c r="E1090" s="43" t="s">
        <v>556</v>
      </c>
      <c r="F1090" s="43" t="s">
        <v>557</v>
      </c>
      <c r="G1090" s="43" t="s">
        <v>606</v>
      </c>
      <c r="H1090" s="43" t="s">
        <v>607</v>
      </c>
      <c r="I1090" s="43" t="s">
        <v>560</v>
      </c>
      <c r="J1090" s="43" t="s">
        <v>533</v>
      </c>
      <c r="K1090" s="43">
        <v>700120</v>
      </c>
      <c r="L1090" s="43">
        <v>2</v>
      </c>
      <c r="M1090" s="43" t="s">
        <v>609</v>
      </c>
      <c r="N1090" s="51"/>
      <c r="O1090" s="51"/>
      <c r="P1090" s="43" t="str">
        <f>VLOOKUP(K1090,Maestro!J:K,2,0)</f>
        <v>COMBUSTIBLES ALTERNOS</v>
      </c>
      <c r="Q1090" s="43" t="str">
        <f>VLOOKUP(P1090,Maestro!E:F,2,0)</f>
        <v>COMBUSTIBLES ALTERNOS</v>
      </c>
      <c r="R1090" s="43">
        <f>VLOOKUP(P1090,ORD!$A:$C,3,0)</f>
        <v>20</v>
      </c>
      <c r="S1090" t="str">
        <f t="shared" si="18"/>
        <v>7355050101LLANTAPICACOMBUSTIBLES ALTERNOS</v>
      </c>
      <c r="T1090" t="str">
        <f>IFERROR(VLOOKUP(S1090,Maestro!$A:$H,8,0),"Producción")</f>
        <v>Llanta Picada</v>
      </c>
      <c r="U1090" s="43" t="s">
        <v>182</v>
      </c>
    </row>
    <row r="1091" spans="1:21" x14ac:dyDescent="0.3">
      <c r="A1091" s="43">
        <v>7999999995</v>
      </c>
      <c r="B1091" s="43" t="s">
        <v>566</v>
      </c>
      <c r="C1091" s="52"/>
      <c r="D1091" s="166">
        <f>-Datos!$I$275</f>
        <v>-1598.366556972785</v>
      </c>
      <c r="E1091" s="43" t="s">
        <v>556</v>
      </c>
      <c r="F1091" s="43" t="s">
        <v>557</v>
      </c>
      <c r="G1091" s="43" t="s">
        <v>567</v>
      </c>
      <c r="H1091" s="43" t="s">
        <v>568</v>
      </c>
      <c r="I1091" s="43" t="s">
        <v>560</v>
      </c>
      <c r="J1091" s="43" t="s">
        <v>610</v>
      </c>
      <c r="K1091" s="43">
        <v>700120</v>
      </c>
      <c r="L1091" s="43">
        <v>2</v>
      </c>
      <c r="M1091" s="43" t="s">
        <v>526</v>
      </c>
      <c r="N1091" s="51"/>
      <c r="O1091" s="51"/>
      <c r="P1091" s="43" t="str">
        <f>VLOOKUP(K1091,Maestro!J:K,2,0)</f>
        <v>COMBUSTIBLES ALTERNOS</v>
      </c>
      <c r="Q1091" s="43" t="str">
        <f>VLOOKUP(P1091,Maestro!E:F,2,0)</f>
        <v>COMBUSTIBLES ALTERNOS</v>
      </c>
      <c r="R1091" s="43">
        <f>VLOOKUP(P1091,ORD!$A:$C,3,0)</f>
        <v>20</v>
      </c>
      <c r="S1091" t="str">
        <f t="shared" si="18"/>
        <v>7999999995COMBALTERCOMBUSTIBLES ALTERNOS</v>
      </c>
      <c r="T1091" t="str">
        <f>IFERROR(VLOOKUP(S1091,Maestro!$A:$H,8,0),"Producción")</f>
        <v>Producción</v>
      </c>
      <c r="U1091" s="43" t="s">
        <v>182</v>
      </c>
    </row>
    <row r="1092" spans="1:21" x14ac:dyDescent="0.3">
      <c r="A1092" s="43">
        <v>7105240101</v>
      </c>
      <c r="B1092" s="43" t="s">
        <v>527</v>
      </c>
      <c r="C1092" s="52">
        <f>Datos!$J$28*D1092</f>
        <v>0</v>
      </c>
      <c r="D1092" s="52">
        <f>Datos!$J$423*(1+Datos!$J$227)</f>
        <v>0</v>
      </c>
      <c r="E1092" s="43" t="s">
        <v>556</v>
      </c>
      <c r="F1092" s="43" t="s">
        <v>557</v>
      </c>
      <c r="G1092" s="43" t="s">
        <v>603</v>
      </c>
      <c r="H1092" s="43" t="s">
        <v>604</v>
      </c>
      <c r="I1092" s="43" t="s">
        <v>560</v>
      </c>
      <c r="J1092" s="43" t="s">
        <v>528</v>
      </c>
      <c r="K1092" s="43">
        <v>700120</v>
      </c>
      <c r="L1092" s="43">
        <v>3</v>
      </c>
      <c r="M1092" s="43" t="s">
        <v>605</v>
      </c>
      <c r="N1092" s="51"/>
      <c r="O1092" s="51"/>
      <c r="P1092" s="43" t="str">
        <f>VLOOKUP(K1092,Maestro!J:K,2,0)</f>
        <v>COMBUSTIBLES ALTERNOS</v>
      </c>
      <c r="Q1092" s="43" t="str">
        <f>VLOOKUP(P1092,Maestro!E:F,2,0)</f>
        <v>COMBUSTIBLES ALTERNOS</v>
      </c>
      <c r="R1092" s="43">
        <f>VLOOKUP(P1092,ORD!$A:$C,3,0)</f>
        <v>20</v>
      </c>
      <c r="S1092" t="str">
        <f t="shared" si="18"/>
        <v>7105240101BIOBRIQPAPCOMBUSTIBLES ALTERNOS</v>
      </c>
      <c r="T1092" t="str">
        <f>IFERROR(VLOOKUP(S1092,Maestro!$A:$H,8,0),"Producción")</f>
        <v>Briquetas</v>
      </c>
      <c r="U1092" s="43" t="s">
        <v>182</v>
      </c>
    </row>
    <row r="1093" spans="1:21" x14ac:dyDescent="0.3">
      <c r="A1093" s="43">
        <v>7105240101</v>
      </c>
      <c r="B1093" s="43" t="s">
        <v>527</v>
      </c>
      <c r="C1093" s="52">
        <f>Datos!$J$29*D1093</f>
        <v>0</v>
      </c>
      <c r="D1093" s="52">
        <f>Datos!$J$424*(1+Datos!$J$228)</f>
        <v>0</v>
      </c>
      <c r="E1093" s="43" t="s">
        <v>556</v>
      </c>
      <c r="F1093" s="43" t="s">
        <v>557</v>
      </c>
      <c r="G1093" s="43" t="s">
        <v>603</v>
      </c>
      <c r="H1093" s="43" t="s">
        <v>604</v>
      </c>
      <c r="I1093" s="43" t="s">
        <v>560</v>
      </c>
      <c r="J1093" s="43" t="s">
        <v>529</v>
      </c>
      <c r="K1093" s="43">
        <v>700120</v>
      </c>
      <c r="L1093" s="43">
        <v>3</v>
      </c>
      <c r="M1093" s="43" t="s">
        <v>605</v>
      </c>
      <c r="N1093" s="51"/>
      <c r="O1093" s="51"/>
      <c r="P1093" s="43" t="str">
        <f>VLOOKUP(K1093,Maestro!J:K,2,0)</f>
        <v>COMBUSTIBLES ALTERNOS</v>
      </c>
      <c r="Q1093" s="43" t="str">
        <f>VLOOKUP(P1093,Maestro!E:F,2,0)</f>
        <v>COMBUSTIBLES ALTERNOS</v>
      </c>
      <c r="R1093" s="43">
        <f>VLOOKUP(P1093,ORD!$A:$C,3,0)</f>
        <v>20</v>
      </c>
      <c r="S1093" t="str">
        <f t="shared" si="18"/>
        <v>7105240101BIOCHIPMADCOMBUSTIBLES ALTERNOS</v>
      </c>
      <c r="T1093" t="str">
        <f>IFERROR(VLOOKUP(S1093,Maestro!$A:$H,8,0),"Producción")</f>
        <v>Chip de Madera</v>
      </c>
      <c r="U1093" s="43" t="s">
        <v>182</v>
      </c>
    </row>
    <row r="1094" spans="1:21" x14ac:dyDescent="0.3">
      <c r="A1094" s="43">
        <v>7355050101</v>
      </c>
      <c r="B1094" s="43" t="s">
        <v>531</v>
      </c>
      <c r="C1094" s="52">
        <f>Datos!$J$26*D1094</f>
        <v>287957028.00453538</v>
      </c>
      <c r="D1094" s="52">
        <f>Datos!$J$421*(1+Datos!$J$225)</f>
        <v>904.87151020407941</v>
      </c>
      <c r="E1094" s="43" t="s">
        <v>556</v>
      </c>
      <c r="F1094" s="43" t="s">
        <v>557</v>
      </c>
      <c r="G1094" s="43" t="s">
        <v>606</v>
      </c>
      <c r="H1094" s="43" t="s">
        <v>607</v>
      </c>
      <c r="I1094" s="43" t="s">
        <v>560</v>
      </c>
      <c r="J1094" s="43" t="s">
        <v>532</v>
      </c>
      <c r="K1094" s="43">
        <v>700120</v>
      </c>
      <c r="L1094" s="43">
        <v>3</v>
      </c>
      <c r="M1094" s="43" t="s">
        <v>608</v>
      </c>
      <c r="N1094" s="51"/>
      <c r="O1094" s="51"/>
      <c r="P1094" s="43" t="str">
        <f>VLOOKUP(K1094,Maestro!J:K,2,0)</f>
        <v>COMBUSTIBLES ALTERNOS</v>
      </c>
      <c r="Q1094" s="43" t="str">
        <f>VLOOKUP(P1094,Maestro!E:F,2,0)</f>
        <v>COMBUSTIBLES ALTERNOS</v>
      </c>
      <c r="R1094" s="43">
        <f>VLOOKUP(P1094,ORD!$A:$C,3,0)</f>
        <v>20</v>
      </c>
      <c r="S1094" t="str">
        <f t="shared" si="18"/>
        <v>7355050101COMBURESIDCOMBUSTIBLES ALTERNOS</v>
      </c>
      <c r="T1094" t="str">
        <f>IFERROR(VLOOKUP(S1094,Maestro!$A:$H,8,0),"Producción")</f>
        <v>CDR</v>
      </c>
      <c r="U1094" s="43" t="s">
        <v>182</v>
      </c>
    </row>
    <row r="1095" spans="1:21" x14ac:dyDescent="0.3">
      <c r="A1095" s="43">
        <v>7355050101</v>
      </c>
      <c r="B1095" s="43" t="s">
        <v>531</v>
      </c>
      <c r="C1095" s="52">
        <f>Datos!$J$27*D1095</f>
        <v>65654973.694856219</v>
      </c>
      <c r="D1095" s="52">
        <f>Datos!$J$422*(1+Datos!$J$226)</f>
        <v>206.18816964285656</v>
      </c>
      <c r="E1095" s="43" t="s">
        <v>556</v>
      </c>
      <c r="F1095" s="43" t="s">
        <v>557</v>
      </c>
      <c r="G1095" s="43" t="s">
        <v>606</v>
      </c>
      <c r="H1095" s="43" t="s">
        <v>607</v>
      </c>
      <c r="I1095" s="43" t="s">
        <v>560</v>
      </c>
      <c r="J1095" s="43" t="s">
        <v>533</v>
      </c>
      <c r="K1095" s="43">
        <v>700120</v>
      </c>
      <c r="L1095" s="43">
        <v>3</v>
      </c>
      <c r="M1095" s="43" t="s">
        <v>609</v>
      </c>
      <c r="N1095" s="51"/>
      <c r="O1095" s="51"/>
      <c r="P1095" s="43" t="str">
        <f>VLOOKUP(K1095,Maestro!J:K,2,0)</f>
        <v>COMBUSTIBLES ALTERNOS</v>
      </c>
      <c r="Q1095" s="43" t="str">
        <f>VLOOKUP(P1095,Maestro!E:F,2,0)</f>
        <v>COMBUSTIBLES ALTERNOS</v>
      </c>
      <c r="R1095" s="43">
        <f>VLOOKUP(P1095,ORD!$A:$C,3,0)</f>
        <v>20</v>
      </c>
      <c r="S1095" t="str">
        <f t="shared" si="18"/>
        <v>7355050101LLANTAPICACOMBUSTIBLES ALTERNOS</v>
      </c>
      <c r="T1095" t="str">
        <f>IFERROR(VLOOKUP(S1095,Maestro!$A:$H,8,0),"Producción")</f>
        <v>Llanta Picada</v>
      </c>
      <c r="U1095" s="43" t="s">
        <v>182</v>
      </c>
    </row>
    <row r="1096" spans="1:21" x14ac:dyDescent="0.3">
      <c r="A1096" s="43">
        <v>7999999995</v>
      </c>
      <c r="B1096" s="43" t="s">
        <v>566</v>
      </c>
      <c r="C1096" s="52"/>
      <c r="D1096" s="166">
        <f>-Datos!$J$275</f>
        <v>-1111.059679846936</v>
      </c>
      <c r="E1096" s="43" t="s">
        <v>556</v>
      </c>
      <c r="F1096" s="43" t="s">
        <v>557</v>
      </c>
      <c r="G1096" s="43" t="s">
        <v>567</v>
      </c>
      <c r="H1096" s="43" t="s">
        <v>568</v>
      </c>
      <c r="I1096" s="43" t="s">
        <v>560</v>
      </c>
      <c r="J1096" s="43" t="s">
        <v>610</v>
      </c>
      <c r="K1096" s="43">
        <v>700120</v>
      </c>
      <c r="L1096" s="43">
        <v>3</v>
      </c>
      <c r="M1096" s="43" t="s">
        <v>526</v>
      </c>
      <c r="N1096" s="51"/>
      <c r="O1096" s="51"/>
      <c r="P1096" s="43" t="str">
        <f>VLOOKUP(K1096,Maestro!J:K,2,0)</f>
        <v>COMBUSTIBLES ALTERNOS</v>
      </c>
      <c r="Q1096" s="43" t="str">
        <f>VLOOKUP(P1096,Maestro!E:F,2,0)</f>
        <v>COMBUSTIBLES ALTERNOS</v>
      </c>
      <c r="R1096" s="43">
        <f>VLOOKUP(P1096,ORD!$A:$C,3,0)</f>
        <v>20</v>
      </c>
      <c r="S1096" t="str">
        <f t="shared" si="18"/>
        <v>7999999995COMBALTERCOMBUSTIBLES ALTERNOS</v>
      </c>
      <c r="T1096" t="str">
        <f>IFERROR(VLOOKUP(S1096,Maestro!$A:$H,8,0),"Producción")</f>
        <v>Producción</v>
      </c>
      <c r="U1096" s="43" t="s">
        <v>182</v>
      </c>
    </row>
    <row r="1097" spans="1:21" x14ac:dyDescent="0.3">
      <c r="A1097" s="43">
        <v>7105240101</v>
      </c>
      <c r="B1097" s="43" t="s">
        <v>527</v>
      </c>
      <c r="C1097" s="52">
        <f>Datos!$K$28*D1097</f>
        <v>0</v>
      </c>
      <c r="D1097" s="52">
        <f>Datos!$K$423*(1+Datos!$K$227)</f>
        <v>0</v>
      </c>
      <c r="E1097" s="43" t="s">
        <v>556</v>
      </c>
      <c r="F1097" s="43" t="s">
        <v>557</v>
      </c>
      <c r="G1097" s="43" t="s">
        <v>603</v>
      </c>
      <c r="H1097" s="43" t="s">
        <v>604</v>
      </c>
      <c r="I1097" s="43" t="s">
        <v>560</v>
      </c>
      <c r="J1097" s="43" t="s">
        <v>528</v>
      </c>
      <c r="K1097" s="43">
        <v>700120</v>
      </c>
      <c r="L1097" s="43">
        <v>4</v>
      </c>
      <c r="M1097" s="43" t="s">
        <v>605</v>
      </c>
      <c r="N1097" s="51"/>
      <c r="O1097" s="51"/>
      <c r="P1097" s="43" t="str">
        <f>VLOOKUP(K1097,Maestro!J:K,2,0)</f>
        <v>COMBUSTIBLES ALTERNOS</v>
      </c>
      <c r="Q1097" s="43" t="str">
        <f>VLOOKUP(P1097,Maestro!E:F,2,0)</f>
        <v>COMBUSTIBLES ALTERNOS</v>
      </c>
      <c r="R1097" s="43">
        <f>VLOOKUP(P1097,ORD!$A:$C,3,0)</f>
        <v>20</v>
      </c>
      <c r="S1097" t="str">
        <f t="shared" si="18"/>
        <v>7105240101BIOBRIQPAPCOMBUSTIBLES ALTERNOS</v>
      </c>
      <c r="T1097" t="str">
        <f>IFERROR(VLOOKUP(S1097,Maestro!$A:$H,8,0),"Producción")</f>
        <v>Briquetas</v>
      </c>
      <c r="U1097" s="43" t="s">
        <v>182</v>
      </c>
    </row>
    <row r="1098" spans="1:21" x14ac:dyDescent="0.3">
      <c r="A1098" s="43">
        <v>7105240101</v>
      </c>
      <c r="B1098" s="43" t="s">
        <v>527</v>
      </c>
      <c r="C1098" s="52">
        <f>Datos!$K$29*D1098</f>
        <v>0</v>
      </c>
      <c r="D1098" s="52">
        <f>Datos!$K$424*(1+Datos!$K$228)</f>
        <v>0</v>
      </c>
      <c r="E1098" s="43" t="s">
        <v>556</v>
      </c>
      <c r="F1098" s="43" t="s">
        <v>557</v>
      </c>
      <c r="G1098" s="43" t="s">
        <v>603</v>
      </c>
      <c r="H1098" s="43" t="s">
        <v>604</v>
      </c>
      <c r="I1098" s="43" t="s">
        <v>560</v>
      </c>
      <c r="J1098" s="43" t="s">
        <v>529</v>
      </c>
      <c r="K1098" s="43">
        <v>700120</v>
      </c>
      <c r="L1098" s="43">
        <v>4</v>
      </c>
      <c r="M1098" s="43" t="s">
        <v>605</v>
      </c>
      <c r="N1098" s="51"/>
      <c r="O1098" s="51"/>
      <c r="P1098" s="43" t="str">
        <f>VLOOKUP(K1098,Maestro!J:K,2,0)</f>
        <v>COMBUSTIBLES ALTERNOS</v>
      </c>
      <c r="Q1098" s="43" t="str">
        <f>VLOOKUP(P1098,Maestro!E:F,2,0)</f>
        <v>COMBUSTIBLES ALTERNOS</v>
      </c>
      <c r="R1098" s="43">
        <f>VLOOKUP(P1098,ORD!$A:$C,3,0)</f>
        <v>20</v>
      </c>
      <c r="S1098" t="str">
        <f t="shared" si="18"/>
        <v>7105240101BIOCHIPMADCOMBUSTIBLES ALTERNOS</v>
      </c>
      <c r="T1098" t="str">
        <f>IFERROR(VLOOKUP(S1098,Maestro!$A:$H,8,0),"Producción")</f>
        <v>Chip de Madera</v>
      </c>
      <c r="U1098" s="43" t="s">
        <v>182</v>
      </c>
    </row>
    <row r="1099" spans="1:21" x14ac:dyDescent="0.3">
      <c r="A1099" s="43">
        <v>7355050101</v>
      </c>
      <c r="B1099" s="43" t="s">
        <v>531</v>
      </c>
      <c r="C1099" s="52">
        <f>Datos!$K$26*D1099</f>
        <v>303112661.05740565</v>
      </c>
      <c r="D1099" s="52">
        <f>Datos!$K$421*(1+Datos!$K$225)</f>
        <v>952.49632653060996</v>
      </c>
      <c r="E1099" s="43" t="s">
        <v>556</v>
      </c>
      <c r="F1099" s="43" t="s">
        <v>557</v>
      </c>
      <c r="G1099" s="43" t="s">
        <v>606</v>
      </c>
      <c r="H1099" s="43" t="s">
        <v>607</v>
      </c>
      <c r="I1099" s="43" t="s">
        <v>560</v>
      </c>
      <c r="J1099" s="43" t="s">
        <v>532</v>
      </c>
      <c r="K1099" s="43">
        <v>700120</v>
      </c>
      <c r="L1099" s="43">
        <v>4</v>
      </c>
      <c r="M1099" s="43" t="s">
        <v>608</v>
      </c>
      <c r="N1099" s="51"/>
      <c r="O1099" s="51"/>
      <c r="P1099" s="43" t="str">
        <f>VLOOKUP(K1099,Maestro!J:K,2,0)</f>
        <v>COMBUSTIBLES ALTERNOS</v>
      </c>
      <c r="Q1099" s="43" t="str">
        <f>VLOOKUP(P1099,Maestro!E:F,2,0)</f>
        <v>COMBUSTIBLES ALTERNOS</v>
      </c>
      <c r="R1099" s="43">
        <f>VLOOKUP(P1099,ORD!$A:$C,3,0)</f>
        <v>20</v>
      </c>
      <c r="S1099" t="str">
        <f t="shared" si="18"/>
        <v>7355050101COMBURESIDCOMBUSTIBLES ALTERNOS</v>
      </c>
      <c r="T1099" t="str">
        <f>IFERROR(VLOOKUP(S1099,Maestro!$A:$H,8,0),"Producción")</f>
        <v>CDR</v>
      </c>
      <c r="U1099" s="43" t="s">
        <v>182</v>
      </c>
    </row>
    <row r="1100" spans="1:21" x14ac:dyDescent="0.3">
      <c r="A1100" s="43">
        <v>7355050101</v>
      </c>
      <c r="B1100" s="43" t="s">
        <v>531</v>
      </c>
      <c r="C1100" s="52">
        <f>Datos!$K$27*D1100</f>
        <v>69110498.626164436</v>
      </c>
      <c r="D1100" s="52">
        <f>Datos!$K$422*(1+Datos!$K$226)</f>
        <v>217.04017857142796</v>
      </c>
      <c r="E1100" s="43" t="s">
        <v>556</v>
      </c>
      <c r="F1100" s="43" t="s">
        <v>557</v>
      </c>
      <c r="G1100" s="43" t="s">
        <v>606</v>
      </c>
      <c r="H1100" s="43" t="s">
        <v>607</v>
      </c>
      <c r="I1100" s="43" t="s">
        <v>560</v>
      </c>
      <c r="J1100" s="43" t="s">
        <v>533</v>
      </c>
      <c r="K1100" s="43">
        <v>700120</v>
      </c>
      <c r="L1100" s="43">
        <v>4</v>
      </c>
      <c r="M1100" s="43" t="s">
        <v>609</v>
      </c>
      <c r="N1100" s="51"/>
      <c r="O1100" s="51"/>
      <c r="P1100" s="43" t="str">
        <f>VLOOKUP(K1100,Maestro!J:K,2,0)</f>
        <v>COMBUSTIBLES ALTERNOS</v>
      </c>
      <c r="Q1100" s="43" t="str">
        <f>VLOOKUP(P1100,Maestro!E:F,2,0)</f>
        <v>COMBUSTIBLES ALTERNOS</v>
      </c>
      <c r="R1100" s="43">
        <f>VLOOKUP(P1100,ORD!$A:$C,3,0)</f>
        <v>20</v>
      </c>
      <c r="S1100" t="str">
        <f t="shared" si="18"/>
        <v>7355050101LLANTAPICACOMBUSTIBLES ALTERNOS</v>
      </c>
      <c r="T1100" t="str">
        <f>IFERROR(VLOOKUP(S1100,Maestro!$A:$H,8,0),"Producción")</f>
        <v>Llanta Picada</v>
      </c>
      <c r="U1100" s="43" t="s">
        <v>182</v>
      </c>
    </row>
    <row r="1101" spans="1:21" x14ac:dyDescent="0.3">
      <c r="A1101" s="43">
        <v>7999999995</v>
      </c>
      <c r="B1101" s="43" t="s">
        <v>566</v>
      </c>
      <c r="C1101" s="52"/>
      <c r="D1101" s="166">
        <f>-Datos!$K$275</f>
        <v>-1169.5365051020378</v>
      </c>
      <c r="E1101" s="43" t="s">
        <v>556</v>
      </c>
      <c r="F1101" s="43" t="s">
        <v>557</v>
      </c>
      <c r="G1101" s="43" t="s">
        <v>567</v>
      </c>
      <c r="H1101" s="43" t="s">
        <v>568</v>
      </c>
      <c r="I1101" s="43" t="s">
        <v>560</v>
      </c>
      <c r="J1101" s="43" t="s">
        <v>610</v>
      </c>
      <c r="K1101" s="43">
        <v>700120</v>
      </c>
      <c r="L1101" s="43">
        <v>4</v>
      </c>
      <c r="M1101" s="43" t="s">
        <v>526</v>
      </c>
      <c r="N1101" s="51"/>
      <c r="O1101" s="51"/>
      <c r="P1101" s="43" t="str">
        <f>VLOOKUP(K1101,Maestro!J:K,2,0)</f>
        <v>COMBUSTIBLES ALTERNOS</v>
      </c>
      <c r="Q1101" s="43" t="str">
        <f>VLOOKUP(P1101,Maestro!E:F,2,0)</f>
        <v>COMBUSTIBLES ALTERNOS</v>
      </c>
      <c r="R1101" s="43">
        <f>VLOOKUP(P1101,ORD!$A:$C,3,0)</f>
        <v>20</v>
      </c>
      <c r="S1101" t="str">
        <f t="shared" si="18"/>
        <v>7999999995COMBALTERCOMBUSTIBLES ALTERNOS</v>
      </c>
      <c r="T1101" t="str">
        <f>IFERROR(VLOOKUP(S1101,Maestro!$A:$H,8,0),"Producción")</f>
        <v>Producción</v>
      </c>
      <c r="U1101" s="43" t="s">
        <v>182</v>
      </c>
    </row>
    <row r="1102" spans="1:21" x14ac:dyDescent="0.3">
      <c r="A1102" s="43">
        <v>7105240101</v>
      </c>
      <c r="B1102" s="43" t="s">
        <v>527</v>
      </c>
      <c r="C1102" s="52">
        <f>Datos!$L$28*D1102</f>
        <v>0</v>
      </c>
      <c r="D1102" s="52">
        <f>Datos!$L$423*(1+Datos!$L$227)</f>
        <v>0</v>
      </c>
      <c r="E1102" s="43" t="s">
        <v>556</v>
      </c>
      <c r="F1102" s="43" t="s">
        <v>557</v>
      </c>
      <c r="G1102" s="43" t="s">
        <v>603</v>
      </c>
      <c r="H1102" s="43" t="s">
        <v>604</v>
      </c>
      <c r="I1102" s="43" t="s">
        <v>560</v>
      </c>
      <c r="J1102" s="43" t="s">
        <v>528</v>
      </c>
      <c r="K1102" s="43">
        <v>700120</v>
      </c>
      <c r="L1102" s="43">
        <v>5</v>
      </c>
      <c r="M1102" s="43" t="s">
        <v>605</v>
      </c>
      <c r="N1102" s="51"/>
      <c r="O1102" s="51"/>
      <c r="P1102" s="43" t="str">
        <f>VLOOKUP(K1102,Maestro!J:K,2,0)</f>
        <v>COMBUSTIBLES ALTERNOS</v>
      </c>
      <c r="Q1102" s="43" t="str">
        <f>VLOOKUP(P1102,Maestro!E:F,2,0)</f>
        <v>COMBUSTIBLES ALTERNOS</v>
      </c>
      <c r="R1102" s="43">
        <f>VLOOKUP(P1102,ORD!$A:$C,3,0)</f>
        <v>20</v>
      </c>
      <c r="S1102" t="str">
        <f t="shared" si="18"/>
        <v>7105240101BIOBRIQPAPCOMBUSTIBLES ALTERNOS</v>
      </c>
      <c r="T1102" t="str">
        <f>IFERROR(VLOOKUP(S1102,Maestro!$A:$H,8,0),"Producción")</f>
        <v>Briquetas</v>
      </c>
      <c r="U1102" s="43" t="s">
        <v>182</v>
      </c>
    </row>
    <row r="1103" spans="1:21" x14ac:dyDescent="0.3">
      <c r="A1103" s="43">
        <v>7105240101</v>
      </c>
      <c r="B1103" s="43" t="s">
        <v>527</v>
      </c>
      <c r="C1103" s="52">
        <f>Datos!$L$29*D1103</f>
        <v>0</v>
      </c>
      <c r="D1103" s="52">
        <f>Datos!$L$424*(1+Datos!$L$228)</f>
        <v>0</v>
      </c>
      <c r="E1103" s="43" t="s">
        <v>556</v>
      </c>
      <c r="F1103" s="43" t="s">
        <v>557</v>
      </c>
      <c r="G1103" s="43" t="s">
        <v>603</v>
      </c>
      <c r="H1103" s="43" t="s">
        <v>604</v>
      </c>
      <c r="I1103" s="43" t="s">
        <v>560</v>
      </c>
      <c r="J1103" s="43" t="s">
        <v>529</v>
      </c>
      <c r="K1103" s="43">
        <v>700120</v>
      </c>
      <c r="L1103" s="43">
        <v>5</v>
      </c>
      <c r="M1103" s="43" t="s">
        <v>605</v>
      </c>
      <c r="N1103" s="51"/>
      <c r="O1103" s="51"/>
      <c r="P1103" s="43" t="str">
        <f>VLOOKUP(K1103,Maestro!J:K,2,0)</f>
        <v>COMBUSTIBLES ALTERNOS</v>
      </c>
      <c r="Q1103" s="43" t="str">
        <f>VLOOKUP(P1103,Maestro!E:F,2,0)</f>
        <v>COMBUSTIBLES ALTERNOS</v>
      </c>
      <c r="R1103" s="43">
        <f>VLOOKUP(P1103,ORD!$A:$C,3,0)</f>
        <v>20</v>
      </c>
      <c r="S1103" t="str">
        <f t="shared" si="18"/>
        <v>7105240101BIOCHIPMADCOMBUSTIBLES ALTERNOS</v>
      </c>
      <c r="T1103" t="str">
        <f>IFERROR(VLOOKUP(S1103,Maestro!$A:$H,8,0),"Producción")</f>
        <v>Chip de Madera</v>
      </c>
      <c r="U1103" s="43" t="s">
        <v>182</v>
      </c>
    </row>
    <row r="1104" spans="1:21" x14ac:dyDescent="0.3">
      <c r="A1104" s="43">
        <v>7355050101</v>
      </c>
      <c r="B1104" s="43" t="s">
        <v>531</v>
      </c>
      <c r="C1104" s="52">
        <f>Datos!$L$26*D1104</f>
        <v>459720869.2703985</v>
      </c>
      <c r="D1104" s="52">
        <f>Datos!$L$421*(1+Datos!$L$225)</f>
        <v>1444.6194285714248</v>
      </c>
      <c r="E1104" s="43" t="s">
        <v>556</v>
      </c>
      <c r="F1104" s="43" t="s">
        <v>557</v>
      </c>
      <c r="G1104" s="43" t="s">
        <v>606</v>
      </c>
      <c r="H1104" s="43" t="s">
        <v>607</v>
      </c>
      <c r="I1104" s="43" t="s">
        <v>560</v>
      </c>
      <c r="J1104" s="43" t="s">
        <v>532</v>
      </c>
      <c r="K1104" s="43">
        <v>700120</v>
      </c>
      <c r="L1104" s="43">
        <v>5</v>
      </c>
      <c r="M1104" s="43" t="s">
        <v>608</v>
      </c>
      <c r="N1104" s="51"/>
      <c r="O1104" s="51"/>
      <c r="P1104" s="43" t="str">
        <f>VLOOKUP(K1104,Maestro!J:K,2,0)</f>
        <v>COMBUSTIBLES ALTERNOS</v>
      </c>
      <c r="Q1104" s="43" t="str">
        <f>VLOOKUP(P1104,Maestro!E:F,2,0)</f>
        <v>COMBUSTIBLES ALTERNOS</v>
      </c>
      <c r="R1104" s="43">
        <f>VLOOKUP(P1104,ORD!$A:$C,3,0)</f>
        <v>20</v>
      </c>
      <c r="S1104" t="str">
        <f t="shared" si="18"/>
        <v>7355050101COMBURESIDCOMBUSTIBLES ALTERNOS</v>
      </c>
      <c r="T1104" t="str">
        <f>IFERROR(VLOOKUP(S1104,Maestro!$A:$H,8,0),"Producción")</f>
        <v>CDR</v>
      </c>
      <c r="U1104" s="43" t="s">
        <v>182</v>
      </c>
    </row>
    <row r="1105" spans="1:21" x14ac:dyDescent="0.3">
      <c r="A1105" s="43">
        <v>7355050101</v>
      </c>
      <c r="B1105" s="43" t="s">
        <v>531</v>
      </c>
      <c r="C1105" s="52">
        <f>Datos!$L$27*D1105</f>
        <v>104817589.58301604</v>
      </c>
      <c r="D1105" s="52">
        <f>Datos!$L$422*(1+Datos!$L$226)</f>
        <v>329.17760416666567</v>
      </c>
      <c r="E1105" s="43" t="s">
        <v>556</v>
      </c>
      <c r="F1105" s="43" t="s">
        <v>557</v>
      </c>
      <c r="G1105" s="43" t="s">
        <v>606</v>
      </c>
      <c r="H1105" s="43" t="s">
        <v>607</v>
      </c>
      <c r="I1105" s="43" t="s">
        <v>560</v>
      </c>
      <c r="J1105" s="43" t="s">
        <v>533</v>
      </c>
      <c r="K1105" s="43">
        <v>700120</v>
      </c>
      <c r="L1105" s="43">
        <v>5</v>
      </c>
      <c r="M1105" s="43" t="s">
        <v>609</v>
      </c>
      <c r="N1105" s="51"/>
      <c r="O1105" s="51"/>
      <c r="P1105" s="43" t="str">
        <f>VLOOKUP(K1105,Maestro!J:K,2,0)</f>
        <v>COMBUSTIBLES ALTERNOS</v>
      </c>
      <c r="Q1105" s="43" t="str">
        <f>VLOOKUP(P1105,Maestro!E:F,2,0)</f>
        <v>COMBUSTIBLES ALTERNOS</v>
      </c>
      <c r="R1105" s="43">
        <f>VLOOKUP(P1105,ORD!$A:$C,3,0)</f>
        <v>20</v>
      </c>
      <c r="S1105" t="str">
        <f t="shared" si="18"/>
        <v>7355050101LLANTAPICACOMBUSTIBLES ALTERNOS</v>
      </c>
      <c r="T1105" t="str">
        <f>IFERROR(VLOOKUP(S1105,Maestro!$A:$H,8,0),"Producción")</f>
        <v>Llanta Picada</v>
      </c>
      <c r="U1105" s="43" t="s">
        <v>182</v>
      </c>
    </row>
    <row r="1106" spans="1:21" x14ac:dyDescent="0.3">
      <c r="A1106" s="43">
        <v>7999999995</v>
      </c>
      <c r="B1106" s="43" t="s">
        <v>566</v>
      </c>
      <c r="C1106" s="52"/>
      <c r="D1106" s="166">
        <f>-Datos!$L$275</f>
        <v>-1773.7970327380904</v>
      </c>
      <c r="E1106" s="43" t="s">
        <v>556</v>
      </c>
      <c r="F1106" s="43" t="s">
        <v>557</v>
      </c>
      <c r="G1106" s="43" t="s">
        <v>567</v>
      </c>
      <c r="H1106" s="43" t="s">
        <v>568</v>
      </c>
      <c r="I1106" s="43" t="s">
        <v>560</v>
      </c>
      <c r="J1106" s="43" t="s">
        <v>610</v>
      </c>
      <c r="K1106" s="43">
        <v>700120</v>
      </c>
      <c r="L1106" s="43">
        <v>5</v>
      </c>
      <c r="M1106" s="43" t="s">
        <v>526</v>
      </c>
      <c r="N1106" s="51"/>
      <c r="O1106" s="51"/>
      <c r="P1106" s="43" t="str">
        <f>VLOOKUP(K1106,Maestro!J:K,2,0)</f>
        <v>COMBUSTIBLES ALTERNOS</v>
      </c>
      <c r="Q1106" s="43" t="str">
        <f>VLOOKUP(P1106,Maestro!E:F,2,0)</f>
        <v>COMBUSTIBLES ALTERNOS</v>
      </c>
      <c r="R1106" s="43">
        <f>VLOOKUP(P1106,ORD!$A:$C,3,0)</f>
        <v>20</v>
      </c>
      <c r="S1106" t="str">
        <f t="shared" si="18"/>
        <v>7999999995COMBALTERCOMBUSTIBLES ALTERNOS</v>
      </c>
      <c r="T1106" t="str">
        <f>IFERROR(VLOOKUP(S1106,Maestro!$A:$H,8,0),"Producción")</f>
        <v>Producción</v>
      </c>
      <c r="U1106" s="43" t="s">
        <v>182</v>
      </c>
    </row>
    <row r="1107" spans="1:21" x14ac:dyDescent="0.3">
      <c r="A1107" s="43">
        <v>7105240101</v>
      </c>
      <c r="B1107" s="43" t="s">
        <v>527</v>
      </c>
      <c r="C1107" s="52">
        <f>Datos!$M$28*D1107</f>
        <v>0</v>
      </c>
      <c r="D1107" s="52">
        <f>Datos!$M$423*(1+Datos!$M$227)</f>
        <v>0</v>
      </c>
      <c r="E1107" s="43" t="s">
        <v>556</v>
      </c>
      <c r="F1107" s="43" t="s">
        <v>557</v>
      </c>
      <c r="G1107" s="43" t="s">
        <v>603</v>
      </c>
      <c r="H1107" s="43" t="s">
        <v>604</v>
      </c>
      <c r="I1107" s="43" t="s">
        <v>560</v>
      </c>
      <c r="J1107" s="43" t="s">
        <v>528</v>
      </c>
      <c r="K1107" s="43">
        <v>700120</v>
      </c>
      <c r="L1107" s="43">
        <v>6</v>
      </c>
      <c r="M1107" s="43" t="s">
        <v>605</v>
      </c>
      <c r="N1107" s="51"/>
      <c r="O1107" s="51"/>
      <c r="P1107" s="43" t="str">
        <f>VLOOKUP(K1107,Maestro!J:K,2,0)</f>
        <v>COMBUSTIBLES ALTERNOS</v>
      </c>
      <c r="Q1107" s="43" t="str">
        <f>VLOOKUP(P1107,Maestro!E:F,2,0)</f>
        <v>COMBUSTIBLES ALTERNOS</v>
      </c>
      <c r="R1107" s="43">
        <f>VLOOKUP(P1107,ORD!$A:$C,3,0)</f>
        <v>20</v>
      </c>
      <c r="S1107" t="str">
        <f t="shared" si="18"/>
        <v>7105240101BIOBRIQPAPCOMBUSTIBLES ALTERNOS</v>
      </c>
      <c r="T1107" t="str">
        <f>IFERROR(VLOOKUP(S1107,Maestro!$A:$H,8,0),"Producción")</f>
        <v>Briquetas</v>
      </c>
      <c r="U1107" s="43" t="s">
        <v>182</v>
      </c>
    </row>
    <row r="1108" spans="1:21" x14ac:dyDescent="0.3">
      <c r="A1108" s="43">
        <v>7105240101</v>
      </c>
      <c r="B1108" s="43" t="s">
        <v>527</v>
      </c>
      <c r="C1108" s="52">
        <f>Datos!$M$29*D1108</f>
        <v>0</v>
      </c>
      <c r="D1108" s="52">
        <f>Datos!$M$424*(1+Datos!$M$228)</f>
        <v>0</v>
      </c>
      <c r="E1108" s="43" t="s">
        <v>556</v>
      </c>
      <c r="F1108" s="43" t="s">
        <v>557</v>
      </c>
      <c r="G1108" s="43" t="s">
        <v>603</v>
      </c>
      <c r="H1108" s="43" t="s">
        <v>604</v>
      </c>
      <c r="I1108" s="43" t="s">
        <v>560</v>
      </c>
      <c r="J1108" s="43" t="s">
        <v>529</v>
      </c>
      <c r="K1108" s="43">
        <v>700120</v>
      </c>
      <c r="L1108" s="43">
        <v>6</v>
      </c>
      <c r="M1108" s="43" t="s">
        <v>605</v>
      </c>
      <c r="N1108" s="51"/>
      <c r="O1108" s="51"/>
      <c r="P1108" s="43" t="str">
        <f>VLOOKUP(K1108,Maestro!J:K,2,0)</f>
        <v>COMBUSTIBLES ALTERNOS</v>
      </c>
      <c r="Q1108" s="43" t="str">
        <f>VLOOKUP(P1108,Maestro!E:F,2,0)</f>
        <v>COMBUSTIBLES ALTERNOS</v>
      </c>
      <c r="R1108" s="43">
        <f>VLOOKUP(P1108,ORD!$A:$C,3,0)</f>
        <v>20</v>
      </c>
      <c r="S1108" t="str">
        <f t="shared" si="18"/>
        <v>7105240101BIOCHIPMADCOMBUSTIBLES ALTERNOS</v>
      </c>
      <c r="T1108" t="str">
        <f>IFERROR(VLOOKUP(S1108,Maestro!$A:$H,8,0),"Producción")</f>
        <v>Chip de Madera</v>
      </c>
      <c r="U1108" s="43" t="s">
        <v>182</v>
      </c>
    </row>
    <row r="1109" spans="1:21" x14ac:dyDescent="0.3">
      <c r="A1109" s="43">
        <v>7355050101</v>
      </c>
      <c r="B1109" s="43" t="s">
        <v>531</v>
      </c>
      <c r="C1109" s="52">
        <f>Datos!$M$26*D1109</f>
        <v>197023229.68731368</v>
      </c>
      <c r="D1109" s="52">
        <f>Datos!$M$421*(1+Datos!$M$225)</f>
        <v>619.12261224489646</v>
      </c>
      <c r="E1109" s="43" t="s">
        <v>556</v>
      </c>
      <c r="F1109" s="43" t="s">
        <v>557</v>
      </c>
      <c r="G1109" s="43" t="s">
        <v>606</v>
      </c>
      <c r="H1109" s="43" t="s">
        <v>607</v>
      </c>
      <c r="I1109" s="43" t="s">
        <v>560</v>
      </c>
      <c r="J1109" s="43" t="s">
        <v>532</v>
      </c>
      <c r="K1109" s="43">
        <v>700120</v>
      </c>
      <c r="L1109" s="43">
        <v>6</v>
      </c>
      <c r="M1109" s="43" t="s">
        <v>608</v>
      </c>
      <c r="N1109" s="51"/>
      <c r="O1109" s="51"/>
      <c r="P1109" s="43" t="str">
        <f>VLOOKUP(K1109,Maestro!J:K,2,0)</f>
        <v>COMBUSTIBLES ALTERNOS</v>
      </c>
      <c r="Q1109" s="43" t="str">
        <f>VLOOKUP(P1109,Maestro!E:F,2,0)</f>
        <v>COMBUSTIBLES ALTERNOS</v>
      </c>
      <c r="R1109" s="43">
        <f>VLOOKUP(P1109,ORD!$A:$C,3,0)</f>
        <v>20</v>
      </c>
      <c r="S1109" t="str">
        <f t="shared" si="18"/>
        <v>7355050101COMBURESIDCOMBUSTIBLES ALTERNOS</v>
      </c>
      <c r="T1109" t="str">
        <f>IFERROR(VLOOKUP(S1109,Maestro!$A:$H,8,0),"Producción")</f>
        <v>CDR</v>
      </c>
      <c r="U1109" s="43" t="s">
        <v>182</v>
      </c>
    </row>
    <row r="1110" spans="1:21" x14ac:dyDescent="0.3">
      <c r="A1110" s="43">
        <v>7355050101</v>
      </c>
      <c r="B1110" s="43" t="s">
        <v>531</v>
      </c>
      <c r="C1110" s="52">
        <f>Datos!$M$27*D1110</f>
        <v>44921824.107006885</v>
      </c>
      <c r="D1110" s="52">
        <f>Datos!$M$422*(1+Datos!$M$226)</f>
        <v>141.07611607142817</v>
      </c>
      <c r="E1110" s="43" t="s">
        <v>556</v>
      </c>
      <c r="F1110" s="43" t="s">
        <v>557</v>
      </c>
      <c r="G1110" s="43" t="s">
        <v>606</v>
      </c>
      <c r="H1110" s="43" t="s">
        <v>607</v>
      </c>
      <c r="I1110" s="43" t="s">
        <v>560</v>
      </c>
      <c r="J1110" s="43" t="s">
        <v>533</v>
      </c>
      <c r="K1110" s="43">
        <v>700120</v>
      </c>
      <c r="L1110" s="43">
        <v>6</v>
      </c>
      <c r="M1110" s="43" t="s">
        <v>609</v>
      </c>
      <c r="N1110" s="51"/>
      <c r="O1110" s="51"/>
      <c r="P1110" s="43" t="str">
        <f>VLOOKUP(K1110,Maestro!J:K,2,0)</f>
        <v>COMBUSTIBLES ALTERNOS</v>
      </c>
      <c r="Q1110" s="43" t="str">
        <f>VLOOKUP(P1110,Maestro!E:F,2,0)</f>
        <v>COMBUSTIBLES ALTERNOS</v>
      </c>
      <c r="R1110" s="43">
        <f>VLOOKUP(P1110,ORD!$A:$C,3,0)</f>
        <v>20</v>
      </c>
      <c r="S1110" t="str">
        <f t="shared" si="18"/>
        <v>7355050101LLANTAPICACOMBUSTIBLES ALTERNOS</v>
      </c>
      <c r="T1110" t="str">
        <f>IFERROR(VLOOKUP(S1110,Maestro!$A:$H,8,0),"Producción")</f>
        <v>Llanta Picada</v>
      </c>
      <c r="U1110" s="43" t="s">
        <v>182</v>
      </c>
    </row>
    <row r="1111" spans="1:21" x14ac:dyDescent="0.3">
      <c r="A1111" s="43">
        <v>7999999995</v>
      </c>
      <c r="B1111" s="43" t="s">
        <v>566</v>
      </c>
      <c r="C1111" s="52"/>
      <c r="D1111" s="166">
        <f>-Datos!$M$275</f>
        <v>-760.1987283163246</v>
      </c>
      <c r="E1111" s="43" t="s">
        <v>556</v>
      </c>
      <c r="F1111" s="43" t="s">
        <v>557</v>
      </c>
      <c r="G1111" s="43" t="s">
        <v>567</v>
      </c>
      <c r="H1111" s="43" t="s">
        <v>568</v>
      </c>
      <c r="I1111" s="43" t="s">
        <v>560</v>
      </c>
      <c r="J1111" s="43" t="s">
        <v>610</v>
      </c>
      <c r="K1111" s="43">
        <v>700120</v>
      </c>
      <c r="L1111" s="43">
        <v>6</v>
      </c>
      <c r="M1111" s="43" t="s">
        <v>526</v>
      </c>
      <c r="N1111" s="51"/>
      <c r="O1111" s="51"/>
      <c r="P1111" s="43" t="str">
        <f>VLOOKUP(K1111,Maestro!J:K,2,0)</f>
        <v>COMBUSTIBLES ALTERNOS</v>
      </c>
      <c r="Q1111" s="43" t="str">
        <f>VLOOKUP(P1111,Maestro!E:F,2,0)</f>
        <v>COMBUSTIBLES ALTERNOS</v>
      </c>
      <c r="R1111" s="43">
        <f>VLOOKUP(P1111,ORD!$A:$C,3,0)</f>
        <v>20</v>
      </c>
      <c r="S1111" t="str">
        <f t="shared" si="18"/>
        <v>7999999995COMBALTERCOMBUSTIBLES ALTERNOS</v>
      </c>
      <c r="T1111" t="str">
        <f>IFERROR(VLOOKUP(S1111,Maestro!$A:$H,8,0),"Producción")</f>
        <v>Producción</v>
      </c>
      <c r="U1111" s="43" t="s">
        <v>182</v>
      </c>
    </row>
    <row r="1112" spans="1:21" x14ac:dyDescent="0.3">
      <c r="A1112" s="43">
        <v>7105240101</v>
      </c>
      <c r="B1112" s="43" t="s">
        <v>527</v>
      </c>
      <c r="C1112" s="52">
        <f>Datos!$N$28*D1112</f>
        <v>0</v>
      </c>
      <c r="D1112" s="52">
        <f>Datos!$N$423*(1+Datos!$N$227)</f>
        <v>0</v>
      </c>
      <c r="E1112" s="43" t="s">
        <v>556</v>
      </c>
      <c r="F1112" s="43" t="s">
        <v>557</v>
      </c>
      <c r="G1112" s="43" t="s">
        <v>603</v>
      </c>
      <c r="H1112" s="43" t="s">
        <v>604</v>
      </c>
      <c r="I1112" s="43" t="s">
        <v>560</v>
      </c>
      <c r="J1112" s="43" t="s">
        <v>528</v>
      </c>
      <c r="K1112" s="43">
        <v>700120</v>
      </c>
      <c r="L1112" s="43">
        <v>7</v>
      </c>
      <c r="M1112" s="43" t="s">
        <v>605</v>
      </c>
      <c r="N1112" s="51"/>
      <c r="O1112" s="51"/>
      <c r="P1112" s="43" t="str">
        <f>VLOOKUP(K1112,Maestro!J:K,2,0)</f>
        <v>COMBUSTIBLES ALTERNOS</v>
      </c>
      <c r="Q1112" s="43" t="str">
        <f>VLOOKUP(P1112,Maestro!E:F,2,0)</f>
        <v>COMBUSTIBLES ALTERNOS</v>
      </c>
      <c r="R1112" s="43">
        <f>VLOOKUP(P1112,ORD!$A:$C,3,0)</f>
        <v>20</v>
      </c>
      <c r="S1112" t="str">
        <f t="shared" si="18"/>
        <v>7105240101BIOBRIQPAPCOMBUSTIBLES ALTERNOS</v>
      </c>
      <c r="T1112" t="str">
        <f>IFERROR(VLOOKUP(S1112,Maestro!$A:$H,8,0),"Producción")</f>
        <v>Briquetas</v>
      </c>
      <c r="U1112" s="43" t="s">
        <v>182</v>
      </c>
    </row>
    <row r="1113" spans="1:21" x14ac:dyDescent="0.3">
      <c r="A1113" s="43">
        <v>7105240101</v>
      </c>
      <c r="B1113" s="43" t="s">
        <v>527</v>
      </c>
      <c r="C1113" s="52">
        <f>Datos!$N$29*D1113</f>
        <v>0</v>
      </c>
      <c r="D1113" s="52">
        <f>Datos!$N$424*(1+Datos!$N$228)</f>
        <v>0</v>
      </c>
      <c r="E1113" s="43" t="s">
        <v>556</v>
      </c>
      <c r="F1113" s="43" t="s">
        <v>557</v>
      </c>
      <c r="G1113" s="43" t="s">
        <v>603</v>
      </c>
      <c r="H1113" s="43" t="s">
        <v>604</v>
      </c>
      <c r="I1113" s="43" t="s">
        <v>560</v>
      </c>
      <c r="J1113" s="43" t="s">
        <v>529</v>
      </c>
      <c r="K1113" s="43">
        <v>700120</v>
      </c>
      <c r="L1113" s="43">
        <v>7</v>
      </c>
      <c r="M1113" s="43" t="s">
        <v>605</v>
      </c>
      <c r="N1113" s="51"/>
      <c r="O1113" s="51"/>
      <c r="P1113" s="43" t="str">
        <f>VLOOKUP(K1113,Maestro!J:K,2,0)</f>
        <v>COMBUSTIBLES ALTERNOS</v>
      </c>
      <c r="Q1113" s="43" t="str">
        <f>VLOOKUP(P1113,Maestro!E:F,2,0)</f>
        <v>COMBUSTIBLES ALTERNOS</v>
      </c>
      <c r="R1113" s="43">
        <f>VLOOKUP(P1113,ORD!$A:$C,3,0)</f>
        <v>20</v>
      </c>
      <c r="S1113" t="str">
        <f t="shared" si="18"/>
        <v>7105240101BIOCHIPMADCOMBUSTIBLES ALTERNOS</v>
      </c>
      <c r="T1113" t="str">
        <f>IFERROR(VLOOKUP(S1113,Maestro!$A:$H,8,0),"Producción")</f>
        <v>Chip de Madera</v>
      </c>
      <c r="U1113" s="43" t="s">
        <v>182</v>
      </c>
    </row>
    <row r="1114" spans="1:21" x14ac:dyDescent="0.3">
      <c r="A1114" s="43">
        <v>7355050101</v>
      </c>
      <c r="B1114" s="43" t="s">
        <v>531</v>
      </c>
      <c r="C1114" s="52">
        <f>Datos!$N$26*D1114</f>
        <v>378890826.32175702</v>
      </c>
      <c r="D1114" s="52">
        <f>Datos!$N$421*(1+Datos!$N$225)</f>
        <v>1190.6204081632623</v>
      </c>
      <c r="E1114" s="43" t="s">
        <v>556</v>
      </c>
      <c r="F1114" s="43" t="s">
        <v>557</v>
      </c>
      <c r="G1114" s="43" t="s">
        <v>606</v>
      </c>
      <c r="H1114" s="43" t="s">
        <v>607</v>
      </c>
      <c r="I1114" s="43" t="s">
        <v>560</v>
      </c>
      <c r="J1114" s="43" t="s">
        <v>532</v>
      </c>
      <c r="K1114" s="43">
        <v>700120</v>
      </c>
      <c r="L1114" s="43">
        <v>7</v>
      </c>
      <c r="M1114" s="43" t="s">
        <v>608</v>
      </c>
      <c r="N1114" s="51"/>
      <c r="O1114" s="51"/>
      <c r="P1114" s="43" t="str">
        <f>VLOOKUP(K1114,Maestro!J:K,2,0)</f>
        <v>COMBUSTIBLES ALTERNOS</v>
      </c>
      <c r="Q1114" s="43" t="str">
        <f>VLOOKUP(P1114,Maestro!E:F,2,0)</f>
        <v>COMBUSTIBLES ALTERNOS</v>
      </c>
      <c r="R1114" s="43">
        <f>VLOOKUP(P1114,ORD!$A:$C,3,0)</f>
        <v>20</v>
      </c>
      <c r="S1114" t="str">
        <f t="shared" si="18"/>
        <v>7355050101COMBURESIDCOMBUSTIBLES ALTERNOS</v>
      </c>
      <c r="T1114" t="str">
        <f>IFERROR(VLOOKUP(S1114,Maestro!$A:$H,8,0),"Producción")</f>
        <v>CDR</v>
      </c>
      <c r="U1114" s="43" t="s">
        <v>182</v>
      </c>
    </row>
    <row r="1115" spans="1:21" x14ac:dyDescent="0.3">
      <c r="A1115" s="43">
        <v>7355050101</v>
      </c>
      <c r="B1115" s="43" t="s">
        <v>531</v>
      </c>
      <c r="C1115" s="52">
        <f>Datos!$N$27*D1115</f>
        <v>86388123.282705516</v>
      </c>
      <c r="D1115" s="52">
        <f>Datos!$N$422*(1+Datos!$N$226)</f>
        <v>271.30022321428487</v>
      </c>
      <c r="E1115" s="43" t="s">
        <v>556</v>
      </c>
      <c r="F1115" s="43" t="s">
        <v>557</v>
      </c>
      <c r="G1115" s="43" t="s">
        <v>606</v>
      </c>
      <c r="H1115" s="43" t="s">
        <v>607</v>
      </c>
      <c r="I1115" s="43" t="s">
        <v>560</v>
      </c>
      <c r="J1115" s="43" t="s">
        <v>533</v>
      </c>
      <c r="K1115" s="43">
        <v>700120</v>
      </c>
      <c r="L1115" s="43">
        <v>7</v>
      </c>
      <c r="M1115" s="43" t="s">
        <v>609</v>
      </c>
      <c r="N1115" s="51"/>
      <c r="O1115" s="51"/>
      <c r="P1115" s="43" t="str">
        <f>VLOOKUP(K1115,Maestro!J:K,2,0)</f>
        <v>COMBUSTIBLES ALTERNOS</v>
      </c>
      <c r="Q1115" s="43" t="str">
        <f>VLOOKUP(P1115,Maestro!E:F,2,0)</f>
        <v>COMBUSTIBLES ALTERNOS</v>
      </c>
      <c r="R1115" s="43">
        <f>VLOOKUP(P1115,ORD!$A:$C,3,0)</f>
        <v>20</v>
      </c>
      <c r="S1115" t="str">
        <f t="shared" si="18"/>
        <v>7355050101LLANTAPICACOMBUSTIBLES ALTERNOS</v>
      </c>
      <c r="T1115" t="str">
        <f>IFERROR(VLOOKUP(S1115,Maestro!$A:$H,8,0),"Producción")</f>
        <v>Llanta Picada</v>
      </c>
      <c r="U1115" s="43" t="s">
        <v>182</v>
      </c>
    </row>
    <row r="1116" spans="1:21" x14ac:dyDescent="0.3">
      <c r="A1116" s="43">
        <v>7999999995</v>
      </c>
      <c r="B1116" s="43" t="s">
        <v>566</v>
      </c>
      <c r="C1116" s="52"/>
      <c r="D1116" s="166">
        <f>-Datos!$N$275</f>
        <v>-1461.9206313775471</v>
      </c>
      <c r="E1116" s="43" t="s">
        <v>556</v>
      </c>
      <c r="F1116" s="43" t="s">
        <v>557</v>
      </c>
      <c r="G1116" s="43" t="s">
        <v>567</v>
      </c>
      <c r="H1116" s="43" t="s">
        <v>568</v>
      </c>
      <c r="I1116" s="43" t="s">
        <v>560</v>
      </c>
      <c r="J1116" s="43" t="s">
        <v>610</v>
      </c>
      <c r="K1116" s="43">
        <v>700120</v>
      </c>
      <c r="L1116" s="43">
        <v>7</v>
      </c>
      <c r="M1116" s="43" t="s">
        <v>526</v>
      </c>
      <c r="N1116" s="51"/>
      <c r="O1116" s="51"/>
      <c r="P1116" s="43" t="str">
        <f>VLOOKUP(K1116,Maestro!J:K,2,0)</f>
        <v>COMBUSTIBLES ALTERNOS</v>
      </c>
      <c r="Q1116" s="43" t="str">
        <f>VLOOKUP(P1116,Maestro!E:F,2,0)</f>
        <v>COMBUSTIBLES ALTERNOS</v>
      </c>
      <c r="R1116" s="43">
        <f>VLOOKUP(P1116,ORD!$A:$C,3,0)</f>
        <v>20</v>
      </c>
      <c r="S1116" t="str">
        <f t="shared" si="18"/>
        <v>7999999995COMBALTERCOMBUSTIBLES ALTERNOS</v>
      </c>
      <c r="T1116" t="str">
        <f>IFERROR(VLOOKUP(S1116,Maestro!$A:$H,8,0),"Producción")</f>
        <v>Producción</v>
      </c>
      <c r="U1116" s="43" t="s">
        <v>182</v>
      </c>
    </row>
    <row r="1117" spans="1:21" x14ac:dyDescent="0.3">
      <c r="A1117" s="43">
        <v>7105240101</v>
      </c>
      <c r="B1117" s="43" t="s">
        <v>527</v>
      </c>
      <c r="C1117" s="52">
        <f>Datos!$O$28*D1117</f>
        <v>0</v>
      </c>
      <c r="D1117" s="52">
        <f>Datos!$O$423*(1+Datos!$O$227)</f>
        <v>0</v>
      </c>
      <c r="E1117" s="43" t="s">
        <v>556</v>
      </c>
      <c r="F1117" s="43" t="s">
        <v>557</v>
      </c>
      <c r="G1117" s="43" t="s">
        <v>603</v>
      </c>
      <c r="H1117" s="43" t="s">
        <v>604</v>
      </c>
      <c r="I1117" s="43" t="s">
        <v>560</v>
      </c>
      <c r="J1117" s="43" t="s">
        <v>528</v>
      </c>
      <c r="K1117" s="43">
        <v>700120</v>
      </c>
      <c r="L1117" s="43">
        <v>8</v>
      </c>
      <c r="M1117" s="43" t="s">
        <v>605</v>
      </c>
      <c r="N1117" s="51"/>
      <c r="O1117" s="51"/>
      <c r="P1117" s="43" t="str">
        <f>VLOOKUP(K1117,Maestro!J:K,2,0)</f>
        <v>COMBUSTIBLES ALTERNOS</v>
      </c>
      <c r="Q1117" s="43" t="str">
        <f>VLOOKUP(P1117,Maestro!E:F,2,0)</f>
        <v>COMBUSTIBLES ALTERNOS</v>
      </c>
      <c r="R1117" s="43">
        <f>VLOOKUP(P1117,ORD!$A:$C,3,0)</f>
        <v>20</v>
      </c>
      <c r="S1117" t="str">
        <f t="shared" si="18"/>
        <v>7105240101BIOBRIQPAPCOMBUSTIBLES ALTERNOS</v>
      </c>
      <c r="T1117" t="str">
        <f>IFERROR(VLOOKUP(S1117,Maestro!$A:$H,8,0),"Producción")</f>
        <v>Briquetas</v>
      </c>
      <c r="U1117" s="43" t="s">
        <v>182</v>
      </c>
    </row>
    <row r="1118" spans="1:21" x14ac:dyDescent="0.3">
      <c r="A1118" s="43">
        <v>7105240101</v>
      </c>
      <c r="B1118" s="43" t="s">
        <v>527</v>
      </c>
      <c r="C1118" s="52">
        <f>Datos!$O$29*D1118</f>
        <v>0</v>
      </c>
      <c r="D1118" s="52">
        <f>Datos!$O$424*(1+Datos!$O$228)</f>
        <v>0</v>
      </c>
      <c r="E1118" s="43" t="s">
        <v>556</v>
      </c>
      <c r="F1118" s="43" t="s">
        <v>557</v>
      </c>
      <c r="G1118" s="43" t="s">
        <v>603</v>
      </c>
      <c r="H1118" s="43" t="s">
        <v>604</v>
      </c>
      <c r="I1118" s="43" t="s">
        <v>560</v>
      </c>
      <c r="J1118" s="43" t="s">
        <v>529</v>
      </c>
      <c r="K1118" s="43">
        <v>700120</v>
      </c>
      <c r="L1118" s="43">
        <v>8</v>
      </c>
      <c r="M1118" s="43" t="s">
        <v>605</v>
      </c>
      <c r="N1118" s="51"/>
      <c r="O1118" s="51"/>
      <c r="P1118" s="43" t="str">
        <f>VLOOKUP(K1118,Maestro!J:K,2,0)</f>
        <v>COMBUSTIBLES ALTERNOS</v>
      </c>
      <c r="Q1118" s="43" t="str">
        <f>VLOOKUP(P1118,Maestro!E:F,2,0)</f>
        <v>COMBUSTIBLES ALTERNOS</v>
      </c>
      <c r="R1118" s="43">
        <f>VLOOKUP(P1118,ORD!$A:$C,3,0)</f>
        <v>20</v>
      </c>
      <c r="S1118" t="str">
        <f t="shared" si="18"/>
        <v>7105240101BIOCHIPMADCOMBUSTIBLES ALTERNOS</v>
      </c>
      <c r="T1118" t="str">
        <f>IFERROR(VLOOKUP(S1118,Maestro!$A:$H,8,0),"Producción")</f>
        <v>Chip de Madera</v>
      </c>
      <c r="U1118" s="43" t="s">
        <v>182</v>
      </c>
    </row>
    <row r="1119" spans="1:21" x14ac:dyDescent="0.3">
      <c r="A1119" s="43">
        <v>7355050101</v>
      </c>
      <c r="B1119" s="43" t="s">
        <v>531</v>
      </c>
      <c r="C1119" s="52">
        <f>Datos!$O$26*D1119</f>
        <v>459720869.2703985</v>
      </c>
      <c r="D1119" s="52">
        <f>Datos!$O$421*(1+Datos!$O$225)</f>
        <v>1444.6194285714248</v>
      </c>
      <c r="E1119" s="43" t="s">
        <v>556</v>
      </c>
      <c r="F1119" s="43" t="s">
        <v>557</v>
      </c>
      <c r="G1119" s="43" t="s">
        <v>606</v>
      </c>
      <c r="H1119" s="43" t="s">
        <v>607</v>
      </c>
      <c r="I1119" s="43" t="s">
        <v>560</v>
      </c>
      <c r="J1119" s="43" t="s">
        <v>532</v>
      </c>
      <c r="K1119" s="43">
        <v>700120</v>
      </c>
      <c r="L1119" s="43">
        <v>8</v>
      </c>
      <c r="M1119" s="43" t="s">
        <v>608</v>
      </c>
      <c r="N1119" s="51"/>
      <c r="O1119" s="51"/>
      <c r="P1119" s="43" t="str">
        <f>VLOOKUP(K1119,Maestro!J:K,2,0)</f>
        <v>COMBUSTIBLES ALTERNOS</v>
      </c>
      <c r="Q1119" s="43" t="str">
        <f>VLOOKUP(P1119,Maestro!E:F,2,0)</f>
        <v>COMBUSTIBLES ALTERNOS</v>
      </c>
      <c r="R1119" s="43">
        <f>VLOOKUP(P1119,ORD!$A:$C,3,0)</f>
        <v>20</v>
      </c>
      <c r="S1119" t="str">
        <f t="shared" si="18"/>
        <v>7355050101COMBURESIDCOMBUSTIBLES ALTERNOS</v>
      </c>
      <c r="T1119" t="str">
        <f>IFERROR(VLOOKUP(S1119,Maestro!$A:$H,8,0),"Producción")</f>
        <v>CDR</v>
      </c>
      <c r="U1119" s="43" t="s">
        <v>182</v>
      </c>
    </row>
    <row r="1120" spans="1:21" x14ac:dyDescent="0.3">
      <c r="A1120" s="43">
        <v>7355050101</v>
      </c>
      <c r="B1120" s="43" t="s">
        <v>531</v>
      </c>
      <c r="C1120" s="52">
        <f>Datos!$O$27*D1120</f>
        <v>104817589.58301604</v>
      </c>
      <c r="D1120" s="52">
        <f>Datos!$O$422*(1+Datos!$O$226)</f>
        <v>329.17760416666567</v>
      </c>
      <c r="E1120" s="43" t="s">
        <v>556</v>
      </c>
      <c r="F1120" s="43" t="s">
        <v>557</v>
      </c>
      <c r="G1120" s="43" t="s">
        <v>606</v>
      </c>
      <c r="H1120" s="43" t="s">
        <v>607</v>
      </c>
      <c r="I1120" s="43" t="s">
        <v>560</v>
      </c>
      <c r="J1120" s="43" t="s">
        <v>533</v>
      </c>
      <c r="K1120" s="43">
        <v>700120</v>
      </c>
      <c r="L1120" s="43">
        <v>8</v>
      </c>
      <c r="M1120" s="43" t="s">
        <v>609</v>
      </c>
      <c r="N1120" s="51"/>
      <c r="O1120" s="51"/>
      <c r="P1120" s="43" t="str">
        <f>VLOOKUP(K1120,Maestro!J:K,2,0)</f>
        <v>COMBUSTIBLES ALTERNOS</v>
      </c>
      <c r="Q1120" s="43" t="str">
        <f>VLOOKUP(P1120,Maestro!E:F,2,0)</f>
        <v>COMBUSTIBLES ALTERNOS</v>
      </c>
      <c r="R1120" s="43">
        <f>VLOOKUP(P1120,ORD!$A:$C,3,0)</f>
        <v>20</v>
      </c>
      <c r="S1120" t="str">
        <f t="shared" si="18"/>
        <v>7355050101LLANTAPICACOMBUSTIBLES ALTERNOS</v>
      </c>
      <c r="T1120" t="str">
        <f>IFERROR(VLOOKUP(S1120,Maestro!$A:$H,8,0),"Producción")</f>
        <v>Llanta Picada</v>
      </c>
      <c r="U1120" s="43" t="s">
        <v>182</v>
      </c>
    </row>
    <row r="1121" spans="1:21" x14ac:dyDescent="0.3">
      <c r="A1121" s="43">
        <v>7999999995</v>
      </c>
      <c r="B1121" s="43" t="s">
        <v>566</v>
      </c>
      <c r="C1121" s="52"/>
      <c r="D1121" s="166">
        <f>-Datos!$O$275</f>
        <v>-1773.7970327380904</v>
      </c>
      <c r="E1121" s="43" t="s">
        <v>556</v>
      </c>
      <c r="F1121" s="43" t="s">
        <v>557</v>
      </c>
      <c r="G1121" s="43" t="s">
        <v>567</v>
      </c>
      <c r="H1121" s="43" t="s">
        <v>568</v>
      </c>
      <c r="I1121" s="43" t="s">
        <v>560</v>
      </c>
      <c r="J1121" s="43" t="s">
        <v>610</v>
      </c>
      <c r="K1121" s="43">
        <v>700120</v>
      </c>
      <c r="L1121" s="43">
        <v>8</v>
      </c>
      <c r="M1121" s="43" t="s">
        <v>526</v>
      </c>
      <c r="N1121" s="51"/>
      <c r="O1121" s="51"/>
      <c r="P1121" s="43" t="str">
        <f>VLOOKUP(K1121,Maestro!J:K,2,0)</f>
        <v>COMBUSTIBLES ALTERNOS</v>
      </c>
      <c r="Q1121" s="43" t="str">
        <f>VLOOKUP(P1121,Maestro!E:F,2,0)</f>
        <v>COMBUSTIBLES ALTERNOS</v>
      </c>
      <c r="R1121" s="43">
        <f>VLOOKUP(P1121,ORD!$A:$C,3,0)</f>
        <v>20</v>
      </c>
      <c r="S1121" t="str">
        <f t="shared" si="18"/>
        <v>7999999995COMBALTERCOMBUSTIBLES ALTERNOS</v>
      </c>
      <c r="T1121" t="str">
        <f>IFERROR(VLOOKUP(S1121,Maestro!$A:$H,8,0),"Producción")</f>
        <v>Producción</v>
      </c>
      <c r="U1121" s="43" t="s">
        <v>182</v>
      </c>
    </row>
    <row r="1122" spans="1:21" x14ac:dyDescent="0.3">
      <c r="A1122" s="43">
        <v>7105240101</v>
      </c>
      <c r="B1122" s="43" t="s">
        <v>527</v>
      </c>
      <c r="C1122" s="52">
        <f>Datos!$P$28*D1122</f>
        <v>0</v>
      </c>
      <c r="D1122" s="52">
        <f>Datos!$P$423*(1+Datos!$P$227)</f>
        <v>0</v>
      </c>
      <c r="E1122" s="43" t="s">
        <v>556</v>
      </c>
      <c r="F1122" s="43" t="s">
        <v>557</v>
      </c>
      <c r="G1122" s="43" t="s">
        <v>603</v>
      </c>
      <c r="H1122" s="43" t="s">
        <v>604</v>
      </c>
      <c r="I1122" s="43" t="s">
        <v>560</v>
      </c>
      <c r="J1122" s="43" t="s">
        <v>528</v>
      </c>
      <c r="K1122" s="43">
        <v>700120</v>
      </c>
      <c r="L1122" s="43">
        <v>9</v>
      </c>
      <c r="M1122" s="43" t="s">
        <v>605</v>
      </c>
      <c r="N1122" s="51"/>
      <c r="O1122" s="51"/>
      <c r="P1122" s="43" t="str">
        <f>VLOOKUP(K1122,Maestro!J:K,2,0)</f>
        <v>COMBUSTIBLES ALTERNOS</v>
      </c>
      <c r="Q1122" s="43" t="str">
        <f>VLOOKUP(P1122,Maestro!E:F,2,0)</f>
        <v>COMBUSTIBLES ALTERNOS</v>
      </c>
      <c r="R1122" s="43">
        <f>VLOOKUP(P1122,ORD!$A:$C,3,0)</f>
        <v>20</v>
      </c>
      <c r="S1122" t="str">
        <f t="shared" si="18"/>
        <v>7105240101BIOBRIQPAPCOMBUSTIBLES ALTERNOS</v>
      </c>
      <c r="T1122" t="str">
        <f>IFERROR(VLOOKUP(S1122,Maestro!$A:$H,8,0),"Producción")</f>
        <v>Briquetas</v>
      </c>
      <c r="U1122" s="43" t="s">
        <v>182</v>
      </c>
    </row>
    <row r="1123" spans="1:21" x14ac:dyDescent="0.3">
      <c r="A1123" s="43">
        <v>7105240101</v>
      </c>
      <c r="B1123" s="43" t="s">
        <v>527</v>
      </c>
      <c r="C1123" s="52">
        <f>Datos!$P$29*D1123</f>
        <v>0</v>
      </c>
      <c r="D1123" s="52">
        <f>Datos!$P$424*(1+Datos!$P$228)</f>
        <v>0</v>
      </c>
      <c r="E1123" s="43" t="s">
        <v>556</v>
      </c>
      <c r="F1123" s="43" t="s">
        <v>557</v>
      </c>
      <c r="G1123" s="43" t="s">
        <v>603</v>
      </c>
      <c r="H1123" s="43" t="s">
        <v>604</v>
      </c>
      <c r="I1123" s="43" t="s">
        <v>560</v>
      </c>
      <c r="J1123" s="43" t="s">
        <v>529</v>
      </c>
      <c r="K1123" s="43">
        <v>700120</v>
      </c>
      <c r="L1123" s="43">
        <v>9</v>
      </c>
      <c r="M1123" s="43" t="s">
        <v>605</v>
      </c>
      <c r="N1123" s="51"/>
      <c r="O1123" s="51"/>
      <c r="P1123" s="43" t="str">
        <f>VLOOKUP(K1123,Maestro!J:K,2,0)</f>
        <v>COMBUSTIBLES ALTERNOS</v>
      </c>
      <c r="Q1123" s="43" t="str">
        <f>VLOOKUP(P1123,Maestro!E:F,2,0)</f>
        <v>COMBUSTIBLES ALTERNOS</v>
      </c>
      <c r="R1123" s="43">
        <f>VLOOKUP(P1123,ORD!$A:$C,3,0)</f>
        <v>20</v>
      </c>
      <c r="S1123" t="str">
        <f t="shared" si="18"/>
        <v>7105240101BIOCHIPMADCOMBUSTIBLES ALTERNOS</v>
      </c>
      <c r="T1123" t="str">
        <f>IFERROR(VLOOKUP(S1123,Maestro!$A:$H,8,0),"Producción")</f>
        <v>Chip de Madera</v>
      </c>
      <c r="U1123" s="43" t="s">
        <v>182</v>
      </c>
    </row>
    <row r="1124" spans="1:21" x14ac:dyDescent="0.3">
      <c r="A1124" s="43">
        <v>7355050101</v>
      </c>
      <c r="B1124" s="43" t="s">
        <v>531</v>
      </c>
      <c r="C1124" s="52">
        <f>Datos!$P$26*D1124</f>
        <v>348579560.21601653</v>
      </c>
      <c r="D1124" s="52">
        <f>Datos!$P$421*(1+Datos!$P$225)</f>
        <v>1095.3707755102014</v>
      </c>
      <c r="E1124" s="43" t="s">
        <v>556</v>
      </c>
      <c r="F1124" s="43" t="s">
        <v>557</v>
      </c>
      <c r="G1124" s="43" t="s">
        <v>606</v>
      </c>
      <c r="H1124" s="43" t="s">
        <v>607</v>
      </c>
      <c r="I1124" s="43" t="s">
        <v>560</v>
      </c>
      <c r="J1124" s="43" t="s">
        <v>532</v>
      </c>
      <c r="K1124" s="43">
        <v>700120</v>
      </c>
      <c r="L1124" s="43">
        <v>9</v>
      </c>
      <c r="M1124" s="43" t="s">
        <v>608</v>
      </c>
      <c r="N1124" s="51"/>
      <c r="O1124" s="51"/>
      <c r="P1124" s="43" t="str">
        <f>VLOOKUP(K1124,Maestro!J:K,2,0)</f>
        <v>COMBUSTIBLES ALTERNOS</v>
      </c>
      <c r="Q1124" s="43" t="str">
        <f>VLOOKUP(P1124,Maestro!E:F,2,0)</f>
        <v>COMBUSTIBLES ALTERNOS</v>
      </c>
      <c r="R1124" s="43">
        <f>VLOOKUP(P1124,ORD!$A:$C,3,0)</f>
        <v>20</v>
      </c>
      <c r="S1124" t="str">
        <f t="shared" si="18"/>
        <v>7355050101COMBURESIDCOMBUSTIBLES ALTERNOS</v>
      </c>
      <c r="T1124" t="str">
        <f>IFERROR(VLOOKUP(S1124,Maestro!$A:$H,8,0),"Producción")</f>
        <v>CDR</v>
      </c>
      <c r="U1124" s="43" t="s">
        <v>182</v>
      </c>
    </row>
    <row r="1125" spans="1:21" x14ac:dyDescent="0.3">
      <c r="A1125" s="43">
        <v>7355050101</v>
      </c>
      <c r="B1125" s="43" t="s">
        <v>531</v>
      </c>
      <c r="C1125" s="52">
        <f>Datos!$P$27*D1125</f>
        <v>79477073.420089111</v>
      </c>
      <c r="D1125" s="52">
        <f>Datos!$P$422*(1+Datos!$P$226)</f>
        <v>249.59620535714217</v>
      </c>
      <c r="E1125" s="43" t="s">
        <v>556</v>
      </c>
      <c r="F1125" s="43" t="s">
        <v>557</v>
      </c>
      <c r="G1125" s="43" t="s">
        <v>606</v>
      </c>
      <c r="H1125" s="43" t="s">
        <v>607</v>
      </c>
      <c r="I1125" s="43" t="s">
        <v>560</v>
      </c>
      <c r="J1125" s="43" t="s">
        <v>533</v>
      </c>
      <c r="K1125" s="43">
        <v>700120</v>
      </c>
      <c r="L1125" s="43">
        <v>9</v>
      </c>
      <c r="M1125" s="43" t="s">
        <v>609</v>
      </c>
      <c r="N1125" s="51"/>
      <c r="O1125" s="51"/>
      <c r="P1125" s="43" t="str">
        <f>VLOOKUP(K1125,Maestro!J:K,2,0)</f>
        <v>COMBUSTIBLES ALTERNOS</v>
      </c>
      <c r="Q1125" s="43" t="str">
        <f>VLOOKUP(P1125,Maestro!E:F,2,0)</f>
        <v>COMBUSTIBLES ALTERNOS</v>
      </c>
      <c r="R1125" s="43">
        <f>VLOOKUP(P1125,ORD!$A:$C,3,0)</f>
        <v>20</v>
      </c>
      <c r="S1125" t="str">
        <f t="shared" si="18"/>
        <v>7355050101LLANTAPICACOMBUSTIBLES ALTERNOS</v>
      </c>
      <c r="T1125" t="str">
        <f>IFERROR(VLOOKUP(S1125,Maestro!$A:$H,8,0),"Producción")</f>
        <v>Llanta Picada</v>
      </c>
      <c r="U1125" s="43" t="s">
        <v>182</v>
      </c>
    </row>
    <row r="1126" spans="1:21" x14ac:dyDescent="0.3">
      <c r="A1126" s="43">
        <v>7999999995</v>
      </c>
      <c r="B1126" s="43" t="s">
        <v>566</v>
      </c>
      <c r="C1126" s="52"/>
      <c r="D1126" s="166">
        <f>-Datos!$P$275</f>
        <v>-1344.9669808673436</v>
      </c>
      <c r="E1126" s="43" t="s">
        <v>556</v>
      </c>
      <c r="F1126" s="43" t="s">
        <v>557</v>
      </c>
      <c r="G1126" s="43" t="s">
        <v>567</v>
      </c>
      <c r="H1126" s="43" t="s">
        <v>568</v>
      </c>
      <c r="I1126" s="43" t="s">
        <v>560</v>
      </c>
      <c r="J1126" s="43" t="s">
        <v>610</v>
      </c>
      <c r="K1126" s="43">
        <v>700120</v>
      </c>
      <c r="L1126" s="43">
        <v>9</v>
      </c>
      <c r="M1126" s="43" t="s">
        <v>526</v>
      </c>
      <c r="N1126" s="51"/>
      <c r="O1126" s="51"/>
      <c r="P1126" s="43" t="str">
        <f>VLOOKUP(K1126,Maestro!J:K,2,0)</f>
        <v>COMBUSTIBLES ALTERNOS</v>
      </c>
      <c r="Q1126" s="43" t="str">
        <f>VLOOKUP(P1126,Maestro!E:F,2,0)</f>
        <v>COMBUSTIBLES ALTERNOS</v>
      </c>
      <c r="R1126" s="43">
        <f>VLOOKUP(P1126,ORD!$A:$C,3,0)</f>
        <v>20</v>
      </c>
      <c r="S1126" t="str">
        <f t="shared" si="18"/>
        <v>7999999995COMBALTERCOMBUSTIBLES ALTERNOS</v>
      </c>
      <c r="T1126" t="str">
        <f>IFERROR(VLOOKUP(S1126,Maestro!$A:$H,8,0),"Producción")</f>
        <v>Producción</v>
      </c>
      <c r="U1126" s="43" t="s">
        <v>182</v>
      </c>
    </row>
    <row r="1127" spans="1:21" x14ac:dyDescent="0.3">
      <c r="A1127" s="43">
        <v>7105240101</v>
      </c>
      <c r="B1127" s="43" t="s">
        <v>527</v>
      </c>
      <c r="C1127" s="52">
        <f>Datos!$Q$28*D1127</f>
        <v>0</v>
      </c>
      <c r="D1127" s="52">
        <f>Datos!$Q$423*(1+Datos!$Q$227)</f>
        <v>0</v>
      </c>
      <c r="E1127" s="43" t="s">
        <v>556</v>
      </c>
      <c r="F1127" s="43" t="s">
        <v>557</v>
      </c>
      <c r="G1127" s="43" t="s">
        <v>603</v>
      </c>
      <c r="H1127" s="43" t="s">
        <v>604</v>
      </c>
      <c r="I1127" s="43" t="s">
        <v>560</v>
      </c>
      <c r="J1127" s="43" t="s">
        <v>528</v>
      </c>
      <c r="K1127" s="43">
        <v>700120</v>
      </c>
      <c r="L1127" s="43">
        <v>10</v>
      </c>
      <c r="M1127" s="43" t="s">
        <v>605</v>
      </c>
      <c r="N1127" s="51"/>
      <c r="O1127" s="51"/>
      <c r="P1127" s="43" t="str">
        <f>VLOOKUP(K1127,Maestro!J:K,2,0)</f>
        <v>COMBUSTIBLES ALTERNOS</v>
      </c>
      <c r="Q1127" s="43" t="str">
        <f>VLOOKUP(P1127,Maestro!E:F,2,0)</f>
        <v>COMBUSTIBLES ALTERNOS</v>
      </c>
      <c r="R1127" s="43">
        <f>VLOOKUP(P1127,ORD!$A:$C,3,0)</f>
        <v>20</v>
      </c>
      <c r="S1127" t="str">
        <f t="shared" si="18"/>
        <v>7105240101BIOBRIQPAPCOMBUSTIBLES ALTERNOS</v>
      </c>
      <c r="T1127" t="str">
        <f>IFERROR(VLOOKUP(S1127,Maestro!$A:$H,8,0),"Producción")</f>
        <v>Briquetas</v>
      </c>
      <c r="U1127" s="43" t="s">
        <v>182</v>
      </c>
    </row>
    <row r="1128" spans="1:21" x14ac:dyDescent="0.3">
      <c r="A1128" s="43">
        <v>7105240101</v>
      </c>
      <c r="B1128" s="43" t="s">
        <v>527</v>
      </c>
      <c r="C1128" s="52">
        <f>Datos!$Q$29*D1128</f>
        <v>0</v>
      </c>
      <c r="D1128" s="52">
        <f>Datos!$Q$424*(1+Datos!$Q$228)</f>
        <v>0</v>
      </c>
      <c r="E1128" s="43" t="s">
        <v>556</v>
      </c>
      <c r="F1128" s="43" t="s">
        <v>557</v>
      </c>
      <c r="G1128" s="43" t="s">
        <v>603</v>
      </c>
      <c r="H1128" s="43" t="s">
        <v>604</v>
      </c>
      <c r="I1128" s="43" t="s">
        <v>560</v>
      </c>
      <c r="J1128" s="43" t="s">
        <v>529</v>
      </c>
      <c r="K1128" s="43">
        <v>700120</v>
      </c>
      <c r="L1128" s="43">
        <v>10</v>
      </c>
      <c r="M1128" s="43" t="s">
        <v>605</v>
      </c>
      <c r="N1128" s="51"/>
      <c r="O1128" s="51"/>
      <c r="P1128" s="43" t="str">
        <f>VLOOKUP(K1128,Maestro!J:K,2,0)</f>
        <v>COMBUSTIBLES ALTERNOS</v>
      </c>
      <c r="Q1128" s="43" t="str">
        <f>VLOOKUP(P1128,Maestro!E:F,2,0)</f>
        <v>COMBUSTIBLES ALTERNOS</v>
      </c>
      <c r="R1128" s="43">
        <f>VLOOKUP(P1128,ORD!$A:$C,3,0)</f>
        <v>20</v>
      </c>
      <c r="S1128" t="str">
        <f t="shared" si="18"/>
        <v>7105240101BIOCHIPMADCOMBUSTIBLES ALTERNOS</v>
      </c>
      <c r="T1128" t="str">
        <f>IFERROR(VLOOKUP(S1128,Maestro!$A:$H,8,0),"Producción")</f>
        <v>Chip de Madera</v>
      </c>
      <c r="U1128" s="43" t="s">
        <v>182</v>
      </c>
    </row>
    <row r="1129" spans="1:21" x14ac:dyDescent="0.3">
      <c r="A1129" s="43">
        <v>7355050101</v>
      </c>
      <c r="B1129" s="43" t="s">
        <v>531</v>
      </c>
      <c r="C1129" s="52">
        <f>Datos!$Q$26*D1129</f>
        <v>272801394.9516651</v>
      </c>
      <c r="D1129" s="52">
        <f>Datos!$Q$421*(1+Datos!$Q$225)</f>
        <v>857.24669387754886</v>
      </c>
      <c r="E1129" s="43" t="s">
        <v>556</v>
      </c>
      <c r="F1129" s="43" t="s">
        <v>557</v>
      </c>
      <c r="G1129" s="43" t="s">
        <v>606</v>
      </c>
      <c r="H1129" s="43" t="s">
        <v>607</v>
      </c>
      <c r="I1129" s="43" t="s">
        <v>560</v>
      </c>
      <c r="J1129" s="43" t="s">
        <v>532</v>
      </c>
      <c r="K1129" s="43">
        <v>700120</v>
      </c>
      <c r="L1129" s="43">
        <v>10</v>
      </c>
      <c r="M1129" s="43" t="s">
        <v>608</v>
      </c>
      <c r="N1129" s="51"/>
      <c r="O1129" s="51"/>
      <c r="P1129" s="43" t="str">
        <f>VLOOKUP(K1129,Maestro!J:K,2,0)</f>
        <v>COMBUSTIBLES ALTERNOS</v>
      </c>
      <c r="Q1129" s="43" t="str">
        <f>VLOOKUP(P1129,Maestro!E:F,2,0)</f>
        <v>COMBUSTIBLES ALTERNOS</v>
      </c>
      <c r="R1129" s="43">
        <f>VLOOKUP(P1129,ORD!$A:$C,3,0)</f>
        <v>20</v>
      </c>
      <c r="S1129" t="str">
        <f t="shared" si="18"/>
        <v>7355050101COMBURESIDCOMBUSTIBLES ALTERNOS</v>
      </c>
      <c r="T1129" t="str">
        <f>IFERROR(VLOOKUP(S1129,Maestro!$A:$H,8,0),"Producción")</f>
        <v>CDR</v>
      </c>
      <c r="U1129" s="43" t="s">
        <v>182</v>
      </c>
    </row>
    <row r="1130" spans="1:21" x14ac:dyDescent="0.3">
      <c r="A1130" s="43">
        <v>7355050101</v>
      </c>
      <c r="B1130" s="43" t="s">
        <v>531</v>
      </c>
      <c r="C1130" s="52">
        <f>Datos!$Q$27*D1130</f>
        <v>62199448.763547979</v>
      </c>
      <c r="D1130" s="52">
        <f>Datos!$Q$422*(1+Datos!$Q$226)</f>
        <v>195.33616071428511</v>
      </c>
      <c r="E1130" s="43" t="s">
        <v>556</v>
      </c>
      <c r="F1130" s="43" t="s">
        <v>557</v>
      </c>
      <c r="G1130" s="43" t="s">
        <v>606</v>
      </c>
      <c r="H1130" s="43" t="s">
        <v>607</v>
      </c>
      <c r="I1130" s="43" t="s">
        <v>560</v>
      </c>
      <c r="J1130" s="43" t="s">
        <v>533</v>
      </c>
      <c r="K1130" s="43">
        <v>700120</v>
      </c>
      <c r="L1130" s="43">
        <v>10</v>
      </c>
      <c r="M1130" s="43" t="s">
        <v>609</v>
      </c>
      <c r="N1130" s="51"/>
      <c r="O1130" s="51"/>
      <c r="P1130" s="43" t="str">
        <f>VLOOKUP(K1130,Maestro!J:K,2,0)</f>
        <v>COMBUSTIBLES ALTERNOS</v>
      </c>
      <c r="Q1130" s="43" t="str">
        <f>VLOOKUP(P1130,Maestro!E:F,2,0)</f>
        <v>COMBUSTIBLES ALTERNOS</v>
      </c>
      <c r="R1130" s="43">
        <f>VLOOKUP(P1130,ORD!$A:$C,3,0)</f>
        <v>20</v>
      </c>
      <c r="S1130" t="str">
        <f t="shared" si="18"/>
        <v>7355050101LLANTAPICACOMBUSTIBLES ALTERNOS</v>
      </c>
      <c r="T1130" t="str">
        <f>IFERROR(VLOOKUP(S1130,Maestro!$A:$H,8,0),"Producción")</f>
        <v>Llanta Picada</v>
      </c>
      <c r="U1130" s="43" t="s">
        <v>182</v>
      </c>
    </row>
    <row r="1131" spans="1:21" x14ac:dyDescent="0.3">
      <c r="A1131" s="43">
        <v>7999999995</v>
      </c>
      <c r="B1131" s="43" t="s">
        <v>566</v>
      </c>
      <c r="C1131" s="52"/>
      <c r="D1131" s="166">
        <f>-Datos!$Q$275</f>
        <v>-1052.5828545918339</v>
      </c>
      <c r="E1131" s="43" t="s">
        <v>556</v>
      </c>
      <c r="F1131" s="43" t="s">
        <v>557</v>
      </c>
      <c r="G1131" s="43" t="s">
        <v>567</v>
      </c>
      <c r="H1131" s="43" t="s">
        <v>568</v>
      </c>
      <c r="I1131" s="43" t="s">
        <v>560</v>
      </c>
      <c r="J1131" s="43" t="s">
        <v>610</v>
      </c>
      <c r="K1131" s="43">
        <v>700120</v>
      </c>
      <c r="L1131" s="43">
        <v>10</v>
      </c>
      <c r="M1131" s="43" t="s">
        <v>526</v>
      </c>
      <c r="N1131" s="51"/>
      <c r="O1131" s="51"/>
      <c r="P1131" s="43" t="str">
        <f>VLOOKUP(K1131,Maestro!J:K,2,0)</f>
        <v>COMBUSTIBLES ALTERNOS</v>
      </c>
      <c r="Q1131" s="43" t="str">
        <f>VLOOKUP(P1131,Maestro!E:F,2,0)</f>
        <v>COMBUSTIBLES ALTERNOS</v>
      </c>
      <c r="R1131" s="43">
        <f>VLOOKUP(P1131,ORD!$A:$C,3,0)</f>
        <v>20</v>
      </c>
      <c r="S1131" t="str">
        <f t="shared" ref="S1131:S1177" si="19">A1131&amp;J1131&amp;Q1131</f>
        <v>7999999995COMBALTERCOMBUSTIBLES ALTERNOS</v>
      </c>
      <c r="T1131" t="str">
        <f>IFERROR(VLOOKUP(S1131,Maestro!$A:$H,8,0),"Producción")</f>
        <v>Producción</v>
      </c>
      <c r="U1131" s="43" t="s">
        <v>182</v>
      </c>
    </row>
    <row r="1132" spans="1:21" x14ac:dyDescent="0.3">
      <c r="A1132" s="43">
        <v>7105240101</v>
      </c>
      <c r="B1132" s="43" t="s">
        <v>527</v>
      </c>
      <c r="C1132" s="52">
        <f>Datos!$R$28*D1132</f>
        <v>0</v>
      </c>
      <c r="D1132" s="52">
        <f>Datos!$R$423*(1+Datos!$R$227)</f>
        <v>0</v>
      </c>
      <c r="E1132" s="43" t="s">
        <v>556</v>
      </c>
      <c r="F1132" s="43" t="s">
        <v>557</v>
      </c>
      <c r="G1132" s="43" t="s">
        <v>603</v>
      </c>
      <c r="H1132" s="43" t="s">
        <v>604</v>
      </c>
      <c r="I1132" s="43" t="s">
        <v>560</v>
      </c>
      <c r="J1132" s="43" t="s">
        <v>528</v>
      </c>
      <c r="K1132" s="43">
        <v>700120</v>
      </c>
      <c r="L1132" s="43">
        <v>11</v>
      </c>
      <c r="M1132" s="43" t="s">
        <v>605</v>
      </c>
      <c r="N1132" s="51"/>
      <c r="O1132" s="51"/>
      <c r="P1132" s="43" t="str">
        <f>VLOOKUP(K1132,Maestro!J:K,2,0)</f>
        <v>COMBUSTIBLES ALTERNOS</v>
      </c>
      <c r="Q1132" s="43" t="str">
        <f>VLOOKUP(P1132,Maestro!E:F,2,0)</f>
        <v>COMBUSTIBLES ALTERNOS</v>
      </c>
      <c r="R1132" s="43">
        <f>VLOOKUP(P1132,ORD!$A:$C,3,0)</f>
        <v>20</v>
      </c>
      <c r="S1132" t="str">
        <f t="shared" si="19"/>
        <v>7105240101BIOBRIQPAPCOMBUSTIBLES ALTERNOS</v>
      </c>
      <c r="T1132" t="str">
        <f>IFERROR(VLOOKUP(S1132,Maestro!$A:$H,8,0),"Producción")</f>
        <v>Briquetas</v>
      </c>
      <c r="U1132" s="43" t="s">
        <v>182</v>
      </c>
    </row>
    <row r="1133" spans="1:21" x14ac:dyDescent="0.3">
      <c r="A1133" s="43">
        <v>7105240101</v>
      </c>
      <c r="B1133" s="43" t="s">
        <v>527</v>
      </c>
      <c r="C1133" s="52">
        <f>Datos!$R$29*D1133</f>
        <v>0</v>
      </c>
      <c r="D1133" s="52">
        <f>Datos!$R$424*(1+Datos!$R$228)</f>
        <v>0</v>
      </c>
      <c r="E1133" s="43" t="s">
        <v>556</v>
      </c>
      <c r="F1133" s="43" t="s">
        <v>557</v>
      </c>
      <c r="G1133" s="43" t="s">
        <v>603</v>
      </c>
      <c r="H1133" s="43" t="s">
        <v>604</v>
      </c>
      <c r="I1133" s="43" t="s">
        <v>560</v>
      </c>
      <c r="J1133" s="43" t="s">
        <v>529</v>
      </c>
      <c r="K1133" s="43">
        <v>700120</v>
      </c>
      <c r="L1133" s="43">
        <v>11</v>
      </c>
      <c r="M1133" s="43" t="s">
        <v>605</v>
      </c>
      <c r="N1133" s="51"/>
      <c r="O1133" s="51"/>
      <c r="P1133" s="43" t="str">
        <f>VLOOKUP(K1133,Maestro!J:K,2,0)</f>
        <v>COMBUSTIBLES ALTERNOS</v>
      </c>
      <c r="Q1133" s="43" t="str">
        <f>VLOOKUP(P1133,Maestro!E:F,2,0)</f>
        <v>COMBUSTIBLES ALTERNOS</v>
      </c>
      <c r="R1133" s="43">
        <f>VLOOKUP(P1133,ORD!$A:$C,3,0)</f>
        <v>20</v>
      </c>
      <c r="S1133" t="str">
        <f t="shared" si="19"/>
        <v>7105240101BIOCHIPMADCOMBUSTIBLES ALTERNOS</v>
      </c>
      <c r="T1133" t="str">
        <f>IFERROR(VLOOKUP(S1133,Maestro!$A:$H,8,0),"Producción")</f>
        <v>Chip de Madera</v>
      </c>
      <c r="U1133" s="43" t="s">
        <v>182</v>
      </c>
    </row>
    <row r="1134" spans="1:21" x14ac:dyDescent="0.3">
      <c r="A1134" s="43">
        <v>7355050101</v>
      </c>
      <c r="B1134" s="43" t="s">
        <v>531</v>
      </c>
      <c r="C1134" s="52">
        <f>Datos!$R$26*D1134</f>
        <v>444565236.21752834</v>
      </c>
      <c r="D1134" s="52">
        <f>Datos!$R$421*(1+Datos!$R$225)</f>
        <v>1396.9946122448946</v>
      </c>
      <c r="E1134" s="43" t="s">
        <v>556</v>
      </c>
      <c r="F1134" s="43" t="s">
        <v>557</v>
      </c>
      <c r="G1134" s="43" t="s">
        <v>606</v>
      </c>
      <c r="H1134" s="43" t="s">
        <v>607</v>
      </c>
      <c r="I1134" s="43" t="s">
        <v>560</v>
      </c>
      <c r="J1134" s="43" t="s">
        <v>532</v>
      </c>
      <c r="K1134" s="43">
        <v>700120</v>
      </c>
      <c r="L1134" s="43">
        <v>11</v>
      </c>
      <c r="M1134" s="43" t="s">
        <v>608</v>
      </c>
      <c r="N1134" s="51"/>
      <c r="O1134" s="51"/>
      <c r="P1134" s="43" t="str">
        <f>VLOOKUP(K1134,Maestro!J:K,2,0)</f>
        <v>COMBUSTIBLES ALTERNOS</v>
      </c>
      <c r="Q1134" s="43" t="str">
        <f>VLOOKUP(P1134,Maestro!E:F,2,0)</f>
        <v>COMBUSTIBLES ALTERNOS</v>
      </c>
      <c r="R1134" s="43">
        <f>VLOOKUP(P1134,ORD!$A:$C,3,0)</f>
        <v>20</v>
      </c>
      <c r="S1134" t="str">
        <f t="shared" si="19"/>
        <v>7355050101COMBURESIDCOMBUSTIBLES ALTERNOS</v>
      </c>
      <c r="T1134" t="str">
        <f>IFERROR(VLOOKUP(S1134,Maestro!$A:$H,8,0),"Producción")</f>
        <v>CDR</v>
      </c>
      <c r="U1134" s="43" t="s">
        <v>182</v>
      </c>
    </row>
    <row r="1135" spans="1:21" x14ac:dyDescent="0.3">
      <c r="A1135" s="43">
        <v>7355050101</v>
      </c>
      <c r="B1135" s="43" t="s">
        <v>531</v>
      </c>
      <c r="C1135" s="52">
        <f>Datos!$R$27*D1135</f>
        <v>101362064.65170784</v>
      </c>
      <c r="D1135" s="52">
        <f>Datos!$R$422*(1+Datos!$R$226)</f>
        <v>318.32559523809437</v>
      </c>
      <c r="E1135" s="43" t="s">
        <v>556</v>
      </c>
      <c r="F1135" s="43" t="s">
        <v>557</v>
      </c>
      <c r="G1135" s="43" t="s">
        <v>606</v>
      </c>
      <c r="H1135" s="43" t="s">
        <v>607</v>
      </c>
      <c r="I1135" s="43" t="s">
        <v>560</v>
      </c>
      <c r="J1135" s="43" t="s">
        <v>533</v>
      </c>
      <c r="K1135" s="43">
        <v>700120</v>
      </c>
      <c r="L1135" s="43">
        <v>11</v>
      </c>
      <c r="M1135" s="43" t="s">
        <v>609</v>
      </c>
      <c r="N1135" s="51"/>
      <c r="O1135" s="51"/>
      <c r="P1135" s="43" t="str">
        <f>VLOOKUP(K1135,Maestro!J:K,2,0)</f>
        <v>COMBUSTIBLES ALTERNOS</v>
      </c>
      <c r="Q1135" s="43" t="str">
        <f>VLOOKUP(P1135,Maestro!E:F,2,0)</f>
        <v>COMBUSTIBLES ALTERNOS</v>
      </c>
      <c r="R1135" s="43">
        <f>VLOOKUP(P1135,ORD!$A:$C,3,0)</f>
        <v>20</v>
      </c>
      <c r="S1135" t="str">
        <f t="shared" si="19"/>
        <v>7355050101LLANTAPICACOMBUSTIBLES ALTERNOS</v>
      </c>
      <c r="T1135" t="str">
        <f>IFERROR(VLOOKUP(S1135,Maestro!$A:$H,8,0),"Producción")</f>
        <v>Llanta Picada</v>
      </c>
      <c r="U1135" s="43" t="s">
        <v>182</v>
      </c>
    </row>
    <row r="1136" spans="1:21" x14ac:dyDescent="0.3">
      <c r="A1136" s="43">
        <v>7999999995</v>
      </c>
      <c r="B1136" s="43" t="s">
        <v>566</v>
      </c>
      <c r="C1136" s="52"/>
      <c r="D1136" s="166">
        <f>-Datos!$R$275</f>
        <v>-1715.320207482989</v>
      </c>
      <c r="E1136" s="43" t="s">
        <v>556</v>
      </c>
      <c r="F1136" s="43" t="s">
        <v>557</v>
      </c>
      <c r="G1136" s="43" t="s">
        <v>567</v>
      </c>
      <c r="H1136" s="43" t="s">
        <v>568</v>
      </c>
      <c r="I1136" s="43" t="s">
        <v>560</v>
      </c>
      <c r="J1136" s="43" t="s">
        <v>610</v>
      </c>
      <c r="K1136" s="43">
        <v>700120</v>
      </c>
      <c r="L1136" s="43">
        <v>11</v>
      </c>
      <c r="M1136" s="43" t="s">
        <v>526</v>
      </c>
      <c r="N1136" s="51"/>
      <c r="O1136" s="51"/>
      <c r="P1136" s="43" t="str">
        <f>VLOOKUP(K1136,Maestro!J:K,2,0)</f>
        <v>COMBUSTIBLES ALTERNOS</v>
      </c>
      <c r="Q1136" s="43" t="str">
        <f>VLOOKUP(P1136,Maestro!E:F,2,0)</f>
        <v>COMBUSTIBLES ALTERNOS</v>
      </c>
      <c r="R1136" s="43">
        <f>VLOOKUP(P1136,ORD!$A:$C,3,0)</f>
        <v>20</v>
      </c>
      <c r="S1136" t="str">
        <f t="shared" si="19"/>
        <v>7999999995COMBALTERCOMBUSTIBLES ALTERNOS</v>
      </c>
      <c r="T1136" t="str">
        <f>IFERROR(VLOOKUP(S1136,Maestro!$A:$H,8,0),"Producción")</f>
        <v>Producción</v>
      </c>
      <c r="U1136" s="43" t="s">
        <v>182</v>
      </c>
    </row>
    <row r="1137" spans="1:21" x14ac:dyDescent="0.3">
      <c r="A1137" s="43">
        <v>7105240101</v>
      </c>
      <c r="B1137" s="43" t="s">
        <v>527</v>
      </c>
      <c r="C1137" s="52">
        <f>Datos!$S$28*D1137</f>
        <v>0</v>
      </c>
      <c r="D1137" s="52">
        <f>Datos!$S$423*(1+Datos!$S$227)</f>
        <v>0</v>
      </c>
      <c r="E1137" s="43" t="s">
        <v>556</v>
      </c>
      <c r="F1137" s="43" t="s">
        <v>557</v>
      </c>
      <c r="G1137" s="43" t="s">
        <v>603</v>
      </c>
      <c r="H1137" s="43" t="s">
        <v>604</v>
      </c>
      <c r="I1137" s="43" t="s">
        <v>560</v>
      </c>
      <c r="J1137" s="43" t="s">
        <v>528</v>
      </c>
      <c r="K1137" s="43">
        <v>700120</v>
      </c>
      <c r="L1137" s="43">
        <v>12</v>
      </c>
      <c r="M1137" s="43" t="s">
        <v>605</v>
      </c>
      <c r="N1137" s="51"/>
      <c r="O1137" s="51"/>
      <c r="P1137" s="43" t="str">
        <f>VLOOKUP(K1137,Maestro!J:K,2,0)</f>
        <v>COMBUSTIBLES ALTERNOS</v>
      </c>
      <c r="Q1137" s="43" t="str">
        <f>VLOOKUP(P1137,Maestro!E:F,2,0)</f>
        <v>COMBUSTIBLES ALTERNOS</v>
      </c>
      <c r="R1137" s="43">
        <f>VLOOKUP(P1137,ORD!$A:$C,3,0)</f>
        <v>20</v>
      </c>
      <c r="S1137" t="str">
        <f t="shared" si="19"/>
        <v>7105240101BIOBRIQPAPCOMBUSTIBLES ALTERNOS</v>
      </c>
      <c r="T1137" t="str">
        <f>IFERROR(VLOOKUP(S1137,Maestro!$A:$H,8,0),"Producción")</f>
        <v>Briquetas</v>
      </c>
      <c r="U1137" s="43" t="s">
        <v>182</v>
      </c>
    </row>
    <row r="1138" spans="1:21" x14ac:dyDescent="0.3">
      <c r="A1138" s="43">
        <v>7105240101</v>
      </c>
      <c r="B1138" s="43" t="s">
        <v>527</v>
      </c>
      <c r="C1138" s="52">
        <f>Datos!$S$29*D1138</f>
        <v>0</v>
      </c>
      <c r="D1138" s="52">
        <f>Datos!$S$424*(1+Datos!$S$228)</f>
        <v>0</v>
      </c>
      <c r="E1138" s="43" t="s">
        <v>556</v>
      </c>
      <c r="F1138" s="43" t="s">
        <v>557</v>
      </c>
      <c r="G1138" s="43" t="s">
        <v>603</v>
      </c>
      <c r="H1138" s="43" t="s">
        <v>604</v>
      </c>
      <c r="I1138" s="43" t="s">
        <v>560</v>
      </c>
      <c r="J1138" s="43" t="s">
        <v>529</v>
      </c>
      <c r="K1138" s="43">
        <v>700120</v>
      </c>
      <c r="L1138" s="43">
        <v>12</v>
      </c>
      <c r="M1138" s="43" t="s">
        <v>605</v>
      </c>
      <c r="N1138" s="51"/>
      <c r="O1138" s="51"/>
      <c r="P1138" s="43" t="str">
        <f>VLOOKUP(K1138,Maestro!J:K,2,0)</f>
        <v>COMBUSTIBLES ALTERNOS</v>
      </c>
      <c r="Q1138" s="43" t="str">
        <f>VLOOKUP(P1138,Maestro!E:F,2,0)</f>
        <v>COMBUSTIBLES ALTERNOS</v>
      </c>
      <c r="R1138" s="43">
        <f>VLOOKUP(P1138,ORD!$A:$C,3,0)</f>
        <v>20</v>
      </c>
      <c r="S1138" t="str">
        <f t="shared" si="19"/>
        <v>7105240101BIOCHIPMADCOMBUSTIBLES ALTERNOS</v>
      </c>
      <c r="T1138" t="str">
        <f>IFERROR(VLOOKUP(S1138,Maestro!$A:$H,8,0),"Producción")</f>
        <v>Chip de Madera</v>
      </c>
      <c r="U1138" s="43" t="s">
        <v>182</v>
      </c>
    </row>
    <row r="1139" spans="1:21" x14ac:dyDescent="0.3">
      <c r="A1139" s="43">
        <v>7355050101</v>
      </c>
      <c r="B1139" s="43" t="s">
        <v>531</v>
      </c>
      <c r="C1139" s="52">
        <f>Datos!$S$26*D1139</f>
        <v>280465769.52031618</v>
      </c>
      <c r="D1139" s="52">
        <f>Datos!$S$421*(1+Datos!$S$225)</f>
        <v>881.33110063353126</v>
      </c>
      <c r="E1139" s="43" t="s">
        <v>556</v>
      </c>
      <c r="F1139" s="43" t="s">
        <v>557</v>
      </c>
      <c r="G1139" s="43" t="s">
        <v>606</v>
      </c>
      <c r="H1139" s="43" t="s">
        <v>607</v>
      </c>
      <c r="I1139" s="43" t="s">
        <v>560</v>
      </c>
      <c r="J1139" s="43" t="s">
        <v>532</v>
      </c>
      <c r="K1139" s="43">
        <v>700120</v>
      </c>
      <c r="L1139" s="43">
        <v>12</v>
      </c>
      <c r="M1139" s="43" t="s">
        <v>608</v>
      </c>
      <c r="N1139" s="51"/>
      <c r="O1139" s="51"/>
      <c r="P1139" s="43" t="str">
        <f>VLOOKUP(K1139,Maestro!J:K,2,0)</f>
        <v>COMBUSTIBLES ALTERNOS</v>
      </c>
      <c r="Q1139" s="43" t="str">
        <f>VLOOKUP(P1139,Maestro!E:F,2,0)</f>
        <v>COMBUSTIBLES ALTERNOS</v>
      </c>
      <c r="R1139" s="43">
        <f>VLOOKUP(P1139,ORD!$A:$C,3,0)</f>
        <v>20</v>
      </c>
      <c r="S1139" t="str">
        <f t="shared" si="19"/>
        <v>7355050101COMBURESIDCOMBUSTIBLES ALTERNOS</v>
      </c>
      <c r="T1139" t="str">
        <f>IFERROR(VLOOKUP(S1139,Maestro!$A:$H,8,0),"Producción")</f>
        <v>CDR</v>
      </c>
      <c r="U1139" s="43" t="s">
        <v>182</v>
      </c>
    </row>
    <row r="1140" spans="1:21" x14ac:dyDescent="0.3">
      <c r="A1140" s="43">
        <v>7355050101</v>
      </c>
      <c r="B1140" s="43" t="s">
        <v>531</v>
      </c>
      <c r="C1140" s="52">
        <f>Datos!$S$27*D1140</f>
        <v>63946946.69467815</v>
      </c>
      <c r="D1140" s="52">
        <f>Datos!$S$422*(1+Datos!$S$226)</f>
        <v>200.82414402456763</v>
      </c>
      <c r="E1140" s="43" t="s">
        <v>556</v>
      </c>
      <c r="F1140" s="43" t="s">
        <v>557</v>
      </c>
      <c r="G1140" s="43" t="s">
        <v>606</v>
      </c>
      <c r="H1140" s="43" t="s">
        <v>607</v>
      </c>
      <c r="I1140" s="43" t="s">
        <v>560</v>
      </c>
      <c r="J1140" s="43" t="s">
        <v>533</v>
      </c>
      <c r="K1140" s="43">
        <v>700120</v>
      </c>
      <c r="L1140" s="43">
        <v>12</v>
      </c>
      <c r="M1140" s="43" t="s">
        <v>609</v>
      </c>
      <c r="N1140" s="51"/>
      <c r="O1140" s="51"/>
      <c r="P1140" s="43" t="str">
        <f>VLOOKUP(K1140,Maestro!J:K,2,0)</f>
        <v>COMBUSTIBLES ALTERNOS</v>
      </c>
      <c r="Q1140" s="43" t="str">
        <f>VLOOKUP(P1140,Maestro!E:F,2,0)</f>
        <v>COMBUSTIBLES ALTERNOS</v>
      </c>
      <c r="R1140" s="43">
        <f>VLOOKUP(P1140,ORD!$A:$C,3,0)</f>
        <v>20</v>
      </c>
      <c r="S1140" t="str">
        <f t="shared" si="19"/>
        <v>7355050101LLANTAPICACOMBUSTIBLES ALTERNOS</v>
      </c>
      <c r="T1140" t="str">
        <f>IFERROR(VLOOKUP(S1140,Maestro!$A:$H,8,0),"Producción")</f>
        <v>Llanta Picada</v>
      </c>
      <c r="U1140" s="43" t="s">
        <v>182</v>
      </c>
    </row>
    <row r="1141" spans="1:21" x14ac:dyDescent="0.3">
      <c r="A1141" s="43">
        <v>7999999995</v>
      </c>
      <c r="B1141" s="43" t="s">
        <v>566</v>
      </c>
      <c r="C1141" s="52"/>
      <c r="D1141" s="166">
        <f>-Datos!$S$275</f>
        <v>-1082.1552446580988</v>
      </c>
      <c r="E1141" s="43" t="s">
        <v>556</v>
      </c>
      <c r="F1141" s="43" t="s">
        <v>557</v>
      </c>
      <c r="G1141" s="43" t="s">
        <v>567</v>
      </c>
      <c r="H1141" s="43" t="s">
        <v>568</v>
      </c>
      <c r="I1141" s="43" t="s">
        <v>560</v>
      </c>
      <c r="J1141" s="43" t="s">
        <v>610</v>
      </c>
      <c r="K1141" s="43">
        <v>700120</v>
      </c>
      <c r="L1141" s="43">
        <v>12</v>
      </c>
      <c r="M1141" s="43" t="s">
        <v>526</v>
      </c>
      <c r="N1141" s="51"/>
      <c r="O1141" s="51"/>
      <c r="P1141" s="43" t="str">
        <f>VLOOKUP(K1141,Maestro!J:K,2,0)</f>
        <v>COMBUSTIBLES ALTERNOS</v>
      </c>
      <c r="Q1141" s="43" t="str">
        <f>VLOOKUP(P1141,Maestro!E:F,2,0)</f>
        <v>COMBUSTIBLES ALTERNOS</v>
      </c>
      <c r="R1141" s="43">
        <f>VLOOKUP(P1141,ORD!$A:$C,3,0)</f>
        <v>20</v>
      </c>
      <c r="S1141" t="str">
        <f t="shared" si="19"/>
        <v>7999999995COMBALTERCOMBUSTIBLES ALTERNOS</v>
      </c>
      <c r="T1141" t="str">
        <f>IFERROR(VLOOKUP(S1141,Maestro!$A:$H,8,0),"Producción")</f>
        <v>Producción</v>
      </c>
      <c r="U1141" s="43" t="s">
        <v>182</v>
      </c>
    </row>
    <row r="1142" spans="1:21" x14ac:dyDescent="0.3">
      <c r="A1142" s="40">
        <v>7355250321</v>
      </c>
      <c r="B1142" s="40" t="s">
        <v>490</v>
      </c>
      <c r="C1142" s="52">
        <f>Datos!$H$126*D1142</f>
        <v>40201909.660598077</v>
      </c>
      <c r="D1142" s="49">
        <f>Datos!H266</f>
        <v>108900</v>
      </c>
      <c r="E1142" s="58"/>
      <c r="F1142" s="43"/>
      <c r="G1142" s="43"/>
      <c r="H1142" s="43"/>
      <c r="I1142" s="43" t="s">
        <v>587</v>
      </c>
      <c r="J1142" s="40" t="s">
        <v>800</v>
      </c>
      <c r="K1142" s="43">
        <v>700007</v>
      </c>
      <c r="L1142" s="43">
        <v>1</v>
      </c>
      <c r="M1142" s="43" t="s">
        <v>440</v>
      </c>
      <c r="N1142" s="51"/>
      <c r="O1142" s="51"/>
      <c r="P1142" s="43" t="str">
        <f>VLOOKUP(K1142,Maestro!J:K,2,0)</f>
        <v>MEZCLA PREHOMO</v>
      </c>
      <c r="Q1142" s="43" t="str">
        <f>VLOOKUP(P1142,Maestro!E:F,2,0)</f>
        <v>Trituración</v>
      </c>
      <c r="R1142" s="43">
        <f>VLOOKUP(P1142,ORD!$A:$C,3,0)</f>
        <v>1</v>
      </c>
      <c r="S1142" t="str">
        <f t="shared" si="19"/>
        <v>7355250321MATERIAL DIQUETrituración</v>
      </c>
      <c r="T1142" t="str">
        <f>IFERROR(VLOOKUP(S1142,Maestro!$A:$H,8,0),"Producción")</f>
        <v>Material Dique</v>
      </c>
      <c r="U1142" s="43" t="s">
        <v>182</v>
      </c>
    </row>
    <row r="1143" spans="1:21" x14ac:dyDescent="0.3">
      <c r="A1143" s="40">
        <v>7355250321</v>
      </c>
      <c r="B1143" s="40" t="s">
        <v>490</v>
      </c>
      <c r="C1143" s="52">
        <f>Datos!$I$126*D1143</f>
        <v>40811029.503940478</v>
      </c>
      <c r="D1143" s="49">
        <f>Datos!I266</f>
        <v>110550</v>
      </c>
      <c r="E1143" s="43"/>
      <c r="F1143" s="43"/>
      <c r="G1143" s="43"/>
      <c r="H1143" s="43"/>
      <c r="I1143" s="43" t="s">
        <v>587</v>
      </c>
      <c r="J1143" s="40" t="s">
        <v>800</v>
      </c>
      <c r="K1143" s="43">
        <v>700007</v>
      </c>
      <c r="L1143" s="43">
        <v>2</v>
      </c>
      <c r="M1143" s="43" t="s">
        <v>440</v>
      </c>
      <c r="N1143" s="51"/>
      <c r="O1143" s="51"/>
      <c r="P1143" s="43" t="str">
        <f>VLOOKUP(K1143,Maestro!J:K,2,0)</f>
        <v>MEZCLA PREHOMO</v>
      </c>
      <c r="Q1143" s="43" t="str">
        <f>VLOOKUP(P1143,Maestro!E:F,2,0)</f>
        <v>Trituración</v>
      </c>
      <c r="R1143" s="43">
        <f>VLOOKUP(P1143,ORD!$A:$C,3,0)</f>
        <v>1</v>
      </c>
      <c r="S1143" t="str">
        <f t="shared" si="19"/>
        <v>7355250321MATERIAL DIQUETrituración</v>
      </c>
      <c r="T1143" t="str">
        <f>IFERROR(VLOOKUP(S1143,Maestro!$A:$H,8,0),"Producción")</f>
        <v>Material Dique</v>
      </c>
      <c r="U1143" s="43" t="s">
        <v>182</v>
      </c>
    </row>
    <row r="1144" spans="1:21" x14ac:dyDescent="0.3">
      <c r="A1144" s="40">
        <v>7355250321</v>
      </c>
      <c r="B1144" s="40" t="s">
        <v>490</v>
      </c>
      <c r="C1144" s="52">
        <f>Datos!$J$126*D1144</f>
        <v>30455992.167119756</v>
      </c>
      <c r="D1144" s="49">
        <f>Datos!J266</f>
        <v>82500</v>
      </c>
      <c r="E1144" s="43"/>
      <c r="F1144" s="43"/>
      <c r="G1144" s="43"/>
      <c r="H1144" s="43"/>
      <c r="I1144" s="43" t="s">
        <v>587</v>
      </c>
      <c r="J1144" s="40" t="s">
        <v>800</v>
      </c>
      <c r="K1144" s="43">
        <v>700007</v>
      </c>
      <c r="L1144" s="43">
        <v>3</v>
      </c>
      <c r="M1144" s="43" t="s">
        <v>440</v>
      </c>
      <c r="N1144" s="51"/>
      <c r="O1144" s="51"/>
      <c r="P1144" s="43" t="str">
        <f>VLOOKUP(K1144,Maestro!J:K,2,0)</f>
        <v>MEZCLA PREHOMO</v>
      </c>
      <c r="Q1144" s="43" t="str">
        <f>VLOOKUP(P1144,Maestro!E:F,2,0)</f>
        <v>Trituración</v>
      </c>
      <c r="R1144" s="43">
        <f>VLOOKUP(P1144,ORD!$A:$C,3,0)</f>
        <v>1</v>
      </c>
      <c r="S1144" t="str">
        <f t="shared" si="19"/>
        <v>7355250321MATERIAL DIQUETrituración</v>
      </c>
      <c r="T1144" t="str">
        <f>IFERROR(VLOOKUP(S1144,Maestro!$A:$H,8,0),"Producción")</f>
        <v>Material Dique</v>
      </c>
      <c r="U1144" s="43" t="s">
        <v>182</v>
      </c>
    </row>
    <row r="1145" spans="1:21" x14ac:dyDescent="0.3">
      <c r="A1145" s="40">
        <v>7355250321</v>
      </c>
      <c r="B1145" s="40" t="s">
        <v>490</v>
      </c>
      <c r="C1145" s="52">
        <f>Datos!$K$126*D1145</f>
        <v>29846872.323777363</v>
      </c>
      <c r="D1145" s="49">
        <f>Datos!K266</f>
        <v>80850</v>
      </c>
      <c r="E1145" s="43"/>
      <c r="F1145" s="43"/>
      <c r="G1145" s="43"/>
      <c r="H1145" s="43"/>
      <c r="I1145" s="43" t="s">
        <v>587</v>
      </c>
      <c r="J1145" s="40" t="s">
        <v>800</v>
      </c>
      <c r="K1145" s="43">
        <v>700007</v>
      </c>
      <c r="L1145" s="43">
        <v>4</v>
      </c>
      <c r="M1145" s="43" t="s">
        <v>440</v>
      </c>
      <c r="N1145" s="51"/>
      <c r="O1145" s="51"/>
      <c r="P1145" s="43" t="str">
        <f>VLOOKUP(K1145,Maestro!J:K,2,0)</f>
        <v>MEZCLA PREHOMO</v>
      </c>
      <c r="Q1145" s="43" t="str">
        <f>VLOOKUP(P1145,Maestro!E:F,2,0)</f>
        <v>Trituración</v>
      </c>
      <c r="R1145" s="43">
        <f>VLOOKUP(P1145,ORD!$A:$C,3,0)</f>
        <v>1</v>
      </c>
      <c r="S1145" t="str">
        <f t="shared" si="19"/>
        <v>7355250321MATERIAL DIQUETrituración</v>
      </c>
      <c r="T1145" t="str">
        <f>IFERROR(VLOOKUP(S1145,Maestro!$A:$H,8,0),"Producción")</f>
        <v>Material Dique</v>
      </c>
      <c r="U1145" s="43" t="s">
        <v>182</v>
      </c>
    </row>
    <row r="1146" spans="1:21" x14ac:dyDescent="0.3">
      <c r="A1146" s="40">
        <v>7355250321</v>
      </c>
      <c r="B1146" s="40" t="s">
        <v>490</v>
      </c>
      <c r="C1146" s="52">
        <f>Datos!$L$126*D1146</f>
        <v>45074868.407337241</v>
      </c>
      <c r="D1146" s="49">
        <f>Datos!L266</f>
        <v>122100</v>
      </c>
      <c r="E1146" s="43"/>
      <c r="F1146" s="43"/>
      <c r="G1146" s="43"/>
      <c r="H1146" s="43"/>
      <c r="I1146" s="43" t="s">
        <v>587</v>
      </c>
      <c r="J1146" s="40" t="s">
        <v>800</v>
      </c>
      <c r="K1146" s="43">
        <v>700007</v>
      </c>
      <c r="L1146" s="43">
        <v>5</v>
      </c>
      <c r="M1146" s="43" t="s">
        <v>440</v>
      </c>
      <c r="N1146" s="51"/>
      <c r="O1146" s="51"/>
      <c r="P1146" s="43" t="str">
        <f>VLOOKUP(K1146,Maestro!J:K,2,0)</f>
        <v>MEZCLA PREHOMO</v>
      </c>
      <c r="Q1146" s="43" t="str">
        <f>VLOOKUP(P1146,Maestro!E:F,2,0)</f>
        <v>Trituración</v>
      </c>
      <c r="R1146" s="43">
        <f>VLOOKUP(P1146,ORD!$A:$C,3,0)</f>
        <v>1</v>
      </c>
      <c r="S1146" t="str">
        <f t="shared" si="19"/>
        <v>7355250321MATERIAL DIQUETrituración</v>
      </c>
      <c r="T1146" t="str">
        <f>IFERROR(VLOOKUP(S1146,Maestro!$A:$H,8,0),"Producción")</f>
        <v>Material Dique</v>
      </c>
      <c r="U1146" s="43" t="s">
        <v>182</v>
      </c>
    </row>
    <row r="1147" spans="1:21" x14ac:dyDescent="0.3">
      <c r="A1147" s="40">
        <v>7355250321</v>
      </c>
      <c r="B1147" s="40" t="s">
        <v>490</v>
      </c>
      <c r="C1147" s="52">
        <f>Datos!$M$126*D1147</f>
        <v>19796394.908627842</v>
      </c>
      <c r="D1147" s="49">
        <f>Datos!M266</f>
        <v>53625</v>
      </c>
      <c r="E1147" s="43"/>
      <c r="F1147" s="43"/>
      <c r="G1147" s="43"/>
      <c r="H1147" s="43"/>
      <c r="I1147" s="43" t="s">
        <v>587</v>
      </c>
      <c r="J1147" s="40" t="s">
        <v>800</v>
      </c>
      <c r="K1147" s="43">
        <v>700007</v>
      </c>
      <c r="L1147" s="43">
        <v>6</v>
      </c>
      <c r="M1147" s="43" t="s">
        <v>440</v>
      </c>
      <c r="N1147" s="51"/>
      <c r="O1147" s="51"/>
      <c r="P1147" s="43" t="str">
        <f>VLOOKUP(K1147,Maestro!J:K,2,0)</f>
        <v>MEZCLA PREHOMO</v>
      </c>
      <c r="Q1147" s="43" t="str">
        <f>VLOOKUP(P1147,Maestro!E:F,2,0)</f>
        <v>Trituración</v>
      </c>
      <c r="R1147" s="43">
        <f>VLOOKUP(P1147,ORD!$A:$C,3,0)</f>
        <v>1</v>
      </c>
      <c r="S1147" t="str">
        <f t="shared" si="19"/>
        <v>7355250321MATERIAL DIQUETrituración</v>
      </c>
      <c r="T1147" t="str">
        <f>IFERROR(VLOOKUP(S1147,Maestro!$A:$H,8,0),"Producción")</f>
        <v>Material Dique</v>
      </c>
      <c r="U1147" s="43" t="s">
        <v>182</v>
      </c>
    </row>
    <row r="1148" spans="1:21" x14ac:dyDescent="0.3">
      <c r="A1148" s="40">
        <v>7355250321</v>
      </c>
      <c r="B1148" s="40" t="s">
        <v>490</v>
      </c>
      <c r="C1148" s="52">
        <f>Datos!$N$126*D1148</f>
        <v>37156310.443886101</v>
      </c>
      <c r="D1148" s="49">
        <f>Datos!N266</f>
        <v>100650</v>
      </c>
      <c r="E1148" s="43"/>
      <c r="F1148" s="43"/>
      <c r="G1148" s="43"/>
      <c r="H1148" s="43"/>
      <c r="I1148" s="43" t="s">
        <v>587</v>
      </c>
      <c r="J1148" s="40" t="s">
        <v>800</v>
      </c>
      <c r="K1148" s="43">
        <v>700007</v>
      </c>
      <c r="L1148" s="43">
        <v>7</v>
      </c>
      <c r="M1148" s="43" t="s">
        <v>440</v>
      </c>
      <c r="N1148" s="51"/>
      <c r="O1148" s="51"/>
      <c r="P1148" s="43" t="str">
        <f>VLOOKUP(K1148,Maestro!J:K,2,0)</f>
        <v>MEZCLA PREHOMO</v>
      </c>
      <c r="Q1148" s="43" t="str">
        <f>VLOOKUP(P1148,Maestro!E:F,2,0)</f>
        <v>Trituración</v>
      </c>
      <c r="R1148" s="43">
        <f>VLOOKUP(P1148,ORD!$A:$C,3,0)</f>
        <v>1</v>
      </c>
      <c r="S1148" t="str">
        <f t="shared" si="19"/>
        <v>7355250321MATERIAL DIQUETrituración</v>
      </c>
      <c r="T1148" t="str">
        <f>IFERROR(VLOOKUP(S1148,Maestro!$A:$H,8,0),"Producción")</f>
        <v>Material Dique</v>
      </c>
      <c r="U1148" s="43" t="s">
        <v>182</v>
      </c>
    </row>
    <row r="1149" spans="1:21" x14ac:dyDescent="0.3">
      <c r="A1149" s="40">
        <v>7355250321</v>
      </c>
      <c r="B1149" s="40" t="s">
        <v>490</v>
      </c>
      <c r="C1149" s="52">
        <f>Datos!$O$126*D1149</f>
        <v>45683988.250679635</v>
      </c>
      <c r="D1149" s="49">
        <f>Datos!O266</f>
        <v>123750</v>
      </c>
      <c r="E1149" s="43"/>
      <c r="F1149" s="43"/>
      <c r="G1149" s="43"/>
      <c r="H1149" s="43"/>
      <c r="I1149" s="43" t="s">
        <v>587</v>
      </c>
      <c r="J1149" s="40" t="s">
        <v>800</v>
      </c>
      <c r="K1149" s="43">
        <v>700007</v>
      </c>
      <c r="L1149" s="43">
        <v>8</v>
      </c>
      <c r="M1149" s="43" t="s">
        <v>440</v>
      </c>
      <c r="N1149" s="51"/>
      <c r="O1149" s="51"/>
      <c r="P1149" s="43" t="str">
        <f>VLOOKUP(K1149,Maestro!J:K,2,0)</f>
        <v>MEZCLA PREHOMO</v>
      </c>
      <c r="Q1149" s="43" t="str">
        <f>VLOOKUP(P1149,Maestro!E:F,2,0)</f>
        <v>Trituración</v>
      </c>
      <c r="R1149" s="43">
        <f>VLOOKUP(P1149,ORD!$A:$C,3,0)</f>
        <v>1</v>
      </c>
      <c r="S1149" t="str">
        <f t="shared" si="19"/>
        <v>7355250321MATERIAL DIQUETrituración</v>
      </c>
      <c r="T1149" t="str">
        <f>IFERROR(VLOOKUP(S1149,Maestro!$A:$H,8,0),"Producción")</f>
        <v>Material Dique</v>
      </c>
      <c r="U1149" s="43" t="s">
        <v>182</v>
      </c>
    </row>
    <row r="1150" spans="1:21" x14ac:dyDescent="0.3">
      <c r="A1150" s="40">
        <v>7355250321</v>
      </c>
      <c r="B1150" s="40" t="s">
        <v>490</v>
      </c>
      <c r="C1150" s="52">
        <f>Datos!$P$126*D1150</f>
        <v>35024390.992187724</v>
      </c>
      <c r="D1150" s="49">
        <f>Datos!P266</f>
        <v>94875</v>
      </c>
      <c r="E1150" s="43"/>
      <c r="F1150" s="43"/>
      <c r="G1150" s="43"/>
      <c r="H1150" s="43"/>
      <c r="I1150" s="43" t="s">
        <v>587</v>
      </c>
      <c r="J1150" s="40" t="s">
        <v>800</v>
      </c>
      <c r="K1150" s="43">
        <v>700007</v>
      </c>
      <c r="L1150" s="43">
        <v>9</v>
      </c>
      <c r="M1150" s="43" t="s">
        <v>440</v>
      </c>
      <c r="N1150" s="51"/>
      <c r="O1150" s="51"/>
      <c r="P1150" s="43" t="str">
        <f>VLOOKUP(K1150,Maestro!J:K,2,0)</f>
        <v>MEZCLA PREHOMO</v>
      </c>
      <c r="Q1150" s="43" t="str">
        <f>VLOOKUP(P1150,Maestro!E:F,2,0)</f>
        <v>Trituración</v>
      </c>
      <c r="R1150" s="43">
        <f>VLOOKUP(P1150,ORD!$A:$C,3,0)</f>
        <v>1</v>
      </c>
      <c r="S1150" t="str">
        <f t="shared" si="19"/>
        <v>7355250321MATERIAL DIQUETrituración</v>
      </c>
      <c r="T1150" t="str">
        <f>IFERROR(VLOOKUP(S1150,Maestro!$A:$H,8,0),"Producción")</f>
        <v>Material Dique</v>
      </c>
      <c r="U1150" s="43" t="s">
        <v>182</v>
      </c>
    </row>
    <row r="1151" spans="1:21" x14ac:dyDescent="0.3">
      <c r="A1151" s="40">
        <v>7355250321</v>
      </c>
      <c r="B1151" s="40" t="s">
        <v>490</v>
      </c>
      <c r="C1151" s="52">
        <f>Datos!$Q$126*D1151</f>
        <v>27410392.950407781</v>
      </c>
      <c r="D1151" s="49">
        <f>Datos!Q266</f>
        <v>74250</v>
      </c>
      <c r="E1151" s="43"/>
      <c r="F1151" s="43"/>
      <c r="G1151" s="43"/>
      <c r="H1151" s="43"/>
      <c r="I1151" s="43" t="s">
        <v>587</v>
      </c>
      <c r="J1151" s="40" t="s">
        <v>800</v>
      </c>
      <c r="K1151" s="43">
        <v>700007</v>
      </c>
      <c r="L1151" s="43">
        <v>10</v>
      </c>
      <c r="M1151" s="43" t="s">
        <v>440</v>
      </c>
      <c r="N1151" s="51"/>
      <c r="O1151" s="51"/>
      <c r="P1151" s="43" t="str">
        <f>VLOOKUP(K1151,Maestro!J:K,2,0)</f>
        <v>MEZCLA PREHOMO</v>
      </c>
      <c r="Q1151" s="43" t="str">
        <f>VLOOKUP(P1151,Maestro!E:F,2,0)</f>
        <v>Trituración</v>
      </c>
      <c r="R1151" s="43">
        <f>VLOOKUP(P1151,ORD!$A:$C,3,0)</f>
        <v>1</v>
      </c>
      <c r="S1151" t="str">
        <f t="shared" si="19"/>
        <v>7355250321MATERIAL DIQUETrituración</v>
      </c>
      <c r="T1151" t="str">
        <f>IFERROR(VLOOKUP(S1151,Maestro!$A:$H,8,0),"Producción")</f>
        <v>Material Dique</v>
      </c>
      <c r="U1151" s="43" t="s">
        <v>182</v>
      </c>
    </row>
    <row r="1152" spans="1:21" x14ac:dyDescent="0.3">
      <c r="A1152" s="40">
        <v>7355250321</v>
      </c>
      <c r="B1152" s="40" t="s">
        <v>490</v>
      </c>
      <c r="C1152" s="52">
        <f>Datos!$R$126*D1152</f>
        <v>43856628.720652454</v>
      </c>
      <c r="D1152" s="49">
        <f>Datos!R266</f>
        <v>118800</v>
      </c>
      <c r="E1152" s="43"/>
      <c r="F1152" s="43"/>
      <c r="G1152" s="43"/>
      <c r="H1152" s="43"/>
      <c r="I1152" s="43" t="s">
        <v>587</v>
      </c>
      <c r="J1152" s="40" t="s">
        <v>800</v>
      </c>
      <c r="K1152" s="43">
        <v>700007</v>
      </c>
      <c r="L1152" s="43">
        <v>11</v>
      </c>
      <c r="M1152" s="43" t="s">
        <v>440</v>
      </c>
      <c r="N1152" s="51"/>
      <c r="O1152" s="51"/>
      <c r="P1152" s="43" t="str">
        <f>VLOOKUP(K1152,Maestro!J:K,2,0)</f>
        <v>MEZCLA PREHOMO</v>
      </c>
      <c r="Q1152" s="43" t="str">
        <f>VLOOKUP(P1152,Maestro!E:F,2,0)</f>
        <v>Trituración</v>
      </c>
      <c r="R1152" s="43">
        <f>VLOOKUP(P1152,ORD!$A:$C,3,0)</f>
        <v>1</v>
      </c>
      <c r="S1152" t="str">
        <f t="shared" si="19"/>
        <v>7355250321MATERIAL DIQUETrituración</v>
      </c>
      <c r="T1152" t="str">
        <f>IFERROR(VLOOKUP(S1152,Maestro!$A:$H,8,0),"Producción")</f>
        <v>Material Dique</v>
      </c>
      <c r="U1152" s="43" t="s">
        <v>182</v>
      </c>
    </row>
    <row r="1153" spans="1:21" x14ac:dyDescent="0.3">
      <c r="A1153" s="40">
        <v>7355250321</v>
      </c>
      <c r="B1153" s="40" t="s">
        <v>490</v>
      </c>
      <c r="C1153" s="52">
        <f>Datos!$S$126*D1153</f>
        <v>27962171.716042437</v>
      </c>
      <c r="D1153" s="49">
        <f>Datos!S266</f>
        <v>75744.672966655286</v>
      </c>
      <c r="E1153" s="43"/>
      <c r="F1153" s="43"/>
      <c r="G1153" s="43"/>
      <c r="H1153" s="43"/>
      <c r="I1153" s="43" t="s">
        <v>587</v>
      </c>
      <c r="J1153" s="40" t="s">
        <v>800</v>
      </c>
      <c r="K1153" s="43">
        <v>700007</v>
      </c>
      <c r="L1153" s="43">
        <v>12</v>
      </c>
      <c r="M1153" s="43" t="s">
        <v>440</v>
      </c>
      <c r="N1153" s="51"/>
      <c r="O1153" s="51"/>
      <c r="P1153" s="43" t="str">
        <f>VLOOKUP(K1153,Maestro!J:K,2,0)</f>
        <v>MEZCLA PREHOMO</v>
      </c>
      <c r="Q1153" s="43" t="str">
        <f>VLOOKUP(P1153,Maestro!E:F,2,0)</f>
        <v>Trituración</v>
      </c>
      <c r="R1153" s="43">
        <f>VLOOKUP(P1153,ORD!$A:$C,3,0)</f>
        <v>1</v>
      </c>
      <c r="S1153" t="str">
        <f t="shared" si="19"/>
        <v>7355250321MATERIAL DIQUETrituración</v>
      </c>
      <c r="T1153" t="str">
        <f>IFERROR(VLOOKUP(S1153,Maestro!$A:$H,8,0),"Producción")</f>
        <v>Material Dique</v>
      </c>
      <c r="U1153" s="43" t="s">
        <v>182</v>
      </c>
    </row>
    <row r="1154" spans="1:21" x14ac:dyDescent="0.3">
      <c r="A1154" s="40">
        <v>7355250321</v>
      </c>
      <c r="B1154" s="40" t="s">
        <v>490</v>
      </c>
      <c r="C1154" s="52">
        <f>Datos!$H$126*D1154</f>
        <v>18547726.64291019</v>
      </c>
      <c r="D1154" s="49">
        <f>Datos!$H$269</f>
        <v>50242.574257425731</v>
      </c>
      <c r="E1154" s="43"/>
      <c r="F1154" s="43"/>
      <c r="G1154" s="43"/>
      <c r="H1154" s="43"/>
      <c r="I1154" s="43" t="s">
        <v>587</v>
      </c>
      <c r="J1154" s="40" t="s">
        <v>800</v>
      </c>
      <c r="K1154" s="43">
        <v>700005</v>
      </c>
      <c r="L1154" s="43">
        <v>1</v>
      </c>
      <c r="M1154" s="43" t="s">
        <v>565</v>
      </c>
      <c r="N1154" s="51"/>
      <c r="O1154" s="51"/>
      <c r="P1154" s="43" t="str">
        <f>VLOOKUP(K1154,Maestro!J:K,2,0)</f>
        <v>CALIZA PARA ADICIONES</v>
      </c>
      <c r="Q1154" s="43" t="str">
        <f>VLOOKUP(P1154,Maestro!E:F,2,0)</f>
        <v>Adiciones</v>
      </c>
      <c r="R1154" s="43">
        <f>VLOOKUP(P1154,ORD!$A:$C,3,0)</f>
        <v>2</v>
      </c>
      <c r="S1154" t="str">
        <f t="shared" si="19"/>
        <v>7355250321MATERIAL DIQUEAdiciones</v>
      </c>
      <c r="T1154" t="str">
        <f>IFERROR(VLOOKUP(S1154,Maestro!$A:$H,8,0),"Producción")</f>
        <v>Material Dique</v>
      </c>
      <c r="U1154" s="43" t="s">
        <v>182</v>
      </c>
    </row>
    <row r="1155" spans="1:21" x14ac:dyDescent="0.3">
      <c r="A1155" s="40">
        <v>7355250321</v>
      </c>
      <c r="B1155" s="40" t="s">
        <v>490</v>
      </c>
      <c r="C1155" s="52">
        <f>Datos!$I$126*D1155</f>
        <v>19357327.874835428</v>
      </c>
      <c r="D1155" s="49">
        <f>Datos!$I$269</f>
        <v>52435.643564356425</v>
      </c>
      <c r="E1155" s="43"/>
      <c r="F1155" s="43"/>
      <c r="G1155" s="43"/>
      <c r="H1155" s="43"/>
      <c r="I1155" s="43" t="s">
        <v>587</v>
      </c>
      <c r="J1155" s="40" t="s">
        <v>800</v>
      </c>
      <c r="K1155" s="43">
        <v>700005</v>
      </c>
      <c r="L1155" s="43">
        <v>2</v>
      </c>
      <c r="M1155" s="43" t="s">
        <v>565</v>
      </c>
      <c r="N1155" s="51"/>
      <c r="O1155" s="51"/>
      <c r="P1155" s="43" t="str">
        <f>VLOOKUP(K1155,Maestro!J:K,2,0)</f>
        <v>CALIZA PARA ADICIONES</v>
      </c>
      <c r="Q1155" s="43" t="str">
        <f>VLOOKUP(P1155,Maestro!E:F,2,0)</f>
        <v>Adiciones</v>
      </c>
      <c r="R1155" s="43">
        <f>VLOOKUP(P1155,ORD!$A:$C,3,0)</f>
        <v>2</v>
      </c>
      <c r="S1155" t="str">
        <f t="shared" si="19"/>
        <v>7355250321MATERIAL DIQUEAdiciones</v>
      </c>
      <c r="T1155" t="str">
        <f>IFERROR(VLOOKUP(S1155,Maestro!$A:$H,8,0),"Producción")</f>
        <v>Material Dique</v>
      </c>
      <c r="U1155" s="43" t="s">
        <v>182</v>
      </c>
    </row>
    <row r="1156" spans="1:21" x14ac:dyDescent="0.3">
      <c r="A1156" s="40">
        <v>7355250321</v>
      </c>
      <c r="B1156" s="40" t="s">
        <v>490</v>
      </c>
      <c r="C1156" s="52">
        <f>Datos!$J$126*D1156</f>
        <v>17739587.444812365</v>
      </c>
      <c r="D1156" s="49">
        <f>Datos!$J$269</f>
        <v>48053.465346534649</v>
      </c>
      <c r="E1156" s="43"/>
      <c r="F1156" s="43"/>
      <c r="G1156" s="43"/>
      <c r="H1156" s="43"/>
      <c r="I1156" s="43" t="s">
        <v>587</v>
      </c>
      <c r="J1156" s="40" t="s">
        <v>800</v>
      </c>
      <c r="K1156" s="43">
        <v>700005</v>
      </c>
      <c r="L1156" s="43">
        <v>3</v>
      </c>
      <c r="M1156" s="43" t="s">
        <v>565</v>
      </c>
      <c r="N1156" s="51"/>
      <c r="O1156" s="51"/>
      <c r="P1156" s="43" t="str">
        <f>VLOOKUP(K1156,Maestro!J:K,2,0)</f>
        <v>CALIZA PARA ADICIONES</v>
      </c>
      <c r="Q1156" s="43" t="str">
        <f>VLOOKUP(P1156,Maestro!E:F,2,0)</f>
        <v>Adiciones</v>
      </c>
      <c r="R1156" s="43">
        <f>VLOOKUP(P1156,ORD!$A:$C,3,0)</f>
        <v>2</v>
      </c>
      <c r="S1156" t="str">
        <f t="shared" si="19"/>
        <v>7355250321MATERIAL DIQUEAdiciones</v>
      </c>
      <c r="T1156" t="str">
        <f>IFERROR(VLOOKUP(S1156,Maestro!$A:$H,8,0),"Producción")</f>
        <v>Material Dique</v>
      </c>
      <c r="U1156" s="43" t="s">
        <v>182</v>
      </c>
    </row>
    <row r="1157" spans="1:21" x14ac:dyDescent="0.3">
      <c r="A1157" s="40">
        <v>7355250321</v>
      </c>
      <c r="B1157" s="40" t="s">
        <v>490</v>
      </c>
      <c r="C1157" s="52">
        <f>Datos!$K$126*D1157</f>
        <v>16413157.254899643</v>
      </c>
      <c r="D1157" s="49">
        <f>Datos!$K$269</f>
        <v>44460.396039603962</v>
      </c>
      <c r="E1157" s="43"/>
      <c r="F1157" s="43"/>
      <c r="G1157" s="43"/>
      <c r="H1157" s="43"/>
      <c r="I1157" s="43" t="s">
        <v>587</v>
      </c>
      <c r="J1157" s="40" t="s">
        <v>800</v>
      </c>
      <c r="K1157" s="43">
        <v>700005</v>
      </c>
      <c r="L1157" s="43">
        <v>4</v>
      </c>
      <c r="M1157" s="43" t="s">
        <v>565</v>
      </c>
      <c r="N1157" s="51"/>
      <c r="O1157" s="51"/>
      <c r="P1157" s="43" t="str">
        <f>VLOOKUP(K1157,Maestro!J:K,2,0)</f>
        <v>CALIZA PARA ADICIONES</v>
      </c>
      <c r="Q1157" s="43" t="str">
        <f>VLOOKUP(P1157,Maestro!E:F,2,0)</f>
        <v>Adiciones</v>
      </c>
      <c r="R1157" s="43">
        <f>VLOOKUP(P1157,ORD!$A:$C,3,0)</f>
        <v>2</v>
      </c>
      <c r="S1157" t="str">
        <f t="shared" si="19"/>
        <v>7355250321MATERIAL DIQUEAdiciones</v>
      </c>
      <c r="T1157" t="str">
        <f>IFERROR(VLOOKUP(S1157,Maestro!$A:$H,8,0),"Producción")</f>
        <v>Material Dique</v>
      </c>
      <c r="U1157" s="43" t="s">
        <v>182</v>
      </c>
    </row>
    <row r="1158" spans="1:21" x14ac:dyDescent="0.3">
      <c r="A1158" s="40">
        <v>7355250321</v>
      </c>
      <c r="B1158" s="40" t="s">
        <v>490</v>
      </c>
      <c r="C1158" s="52">
        <f>Datos!$L$126*D1158</f>
        <v>20373075.8764247</v>
      </c>
      <c r="D1158" s="49">
        <f>Datos!$L$269</f>
        <v>55187.128712871287</v>
      </c>
      <c r="E1158" s="43"/>
      <c r="F1158" s="43"/>
      <c r="G1158" s="43"/>
      <c r="H1158" s="43"/>
      <c r="I1158" s="43" t="s">
        <v>587</v>
      </c>
      <c r="J1158" s="40" t="s">
        <v>800</v>
      </c>
      <c r="K1158" s="43">
        <v>700005</v>
      </c>
      <c r="L1158" s="43">
        <v>5</v>
      </c>
      <c r="M1158" s="43" t="s">
        <v>565</v>
      </c>
      <c r="N1158" s="51"/>
      <c r="O1158" s="51"/>
      <c r="P1158" s="43" t="str">
        <f>VLOOKUP(K1158,Maestro!J:K,2,0)</f>
        <v>CALIZA PARA ADICIONES</v>
      </c>
      <c r="Q1158" s="43" t="str">
        <f>VLOOKUP(P1158,Maestro!E:F,2,0)</f>
        <v>Adiciones</v>
      </c>
      <c r="R1158" s="43">
        <f>VLOOKUP(P1158,ORD!$A:$C,3,0)</f>
        <v>2</v>
      </c>
      <c r="S1158" t="str">
        <f t="shared" si="19"/>
        <v>7355250321MATERIAL DIQUEAdiciones</v>
      </c>
      <c r="T1158" t="str">
        <f>IFERROR(VLOOKUP(S1158,Maestro!$A:$H,8,0),"Producción")</f>
        <v>Material Dique</v>
      </c>
      <c r="U1158" s="43" t="s">
        <v>182</v>
      </c>
    </row>
    <row r="1159" spans="1:21" x14ac:dyDescent="0.3">
      <c r="A1159" s="40">
        <v>7355250321</v>
      </c>
      <c r="B1159" s="40" t="s">
        <v>490</v>
      </c>
      <c r="C1159" s="52">
        <f>Datos!$M$126*D1159</f>
        <v>15071010.20134232</v>
      </c>
      <c r="D1159" s="49">
        <f>Datos!$M$269</f>
        <v>40824.752475247522</v>
      </c>
      <c r="E1159" s="43"/>
      <c r="F1159" s="43"/>
      <c r="G1159" s="43"/>
      <c r="H1159" s="43"/>
      <c r="I1159" s="43" t="s">
        <v>587</v>
      </c>
      <c r="J1159" s="40" t="s">
        <v>800</v>
      </c>
      <c r="K1159" s="43">
        <v>700005</v>
      </c>
      <c r="L1159" s="43">
        <v>6</v>
      </c>
      <c r="M1159" s="43" t="s">
        <v>565</v>
      </c>
      <c r="N1159" s="51"/>
      <c r="O1159" s="51"/>
      <c r="P1159" s="43" t="str">
        <f>VLOOKUP(K1159,Maestro!J:K,2,0)</f>
        <v>CALIZA PARA ADICIONES</v>
      </c>
      <c r="Q1159" s="43" t="str">
        <f>VLOOKUP(P1159,Maestro!E:F,2,0)</f>
        <v>Adiciones</v>
      </c>
      <c r="R1159" s="43">
        <f>VLOOKUP(P1159,ORD!$A:$C,3,0)</f>
        <v>2</v>
      </c>
      <c r="S1159" t="str">
        <f t="shared" si="19"/>
        <v>7355250321MATERIAL DIQUEAdiciones</v>
      </c>
      <c r="T1159" t="str">
        <f>IFERROR(VLOOKUP(S1159,Maestro!$A:$H,8,0),"Producción")</f>
        <v>Material Dique</v>
      </c>
      <c r="U1159" s="43" t="s">
        <v>182</v>
      </c>
    </row>
    <row r="1160" spans="1:21" x14ac:dyDescent="0.3">
      <c r="A1160" s="40">
        <v>7355250321</v>
      </c>
      <c r="B1160" s="40" t="s">
        <v>490</v>
      </c>
      <c r="C1160" s="52">
        <f>Datos!$N$126*D1160</f>
        <v>19151181.105171401</v>
      </c>
      <c r="D1160" s="49">
        <f>Datos!$N$269</f>
        <v>51877.227722772281</v>
      </c>
      <c r="E1160" s="43"/>
      <c r="F1160" s="43"/>
      <c r="G1160" s="43"/>
      <c r="H1160" s="43"/>
      <c r="I1160" s="43" t="s">
        <v>587</v>
      </c>
      <c r="J1160" s="40" t="s">
        <v>800</v>
      </c>
      <c r="K1160" s="43">
        <v>700005</v>
      </c>
      <c r="L1160" s="43">
        <v>7</v>
      </c>
      <c r="M1160" s="43" t="s">
        <v>565</v>
      </c>
      <c r="N1160" s="51"/>
      <c r="O1160" s="51"/>
      <c r="P1160" s="43" t="str">
        <f>VLOOKUP(K1160,Maestro!J:K,2,0)</f>
        <v>CALIZA PARA ADICIONES</v>
      </c>
      <c r="Q1160" s="43" t="str">
        <f>VLOOKUP(P1160,Maestro!E:F,2,0)</f>
        <v>Adiciones</v>
      </c>
      <c r="R1160" s="43">
        <f>VLOOKUP(P1160,ORD!$A:$C,3,0)</f>
        <v>2</v>
      </c>
      <c r="S1160" t="str">
        <f t="shared" si="19"/>
        <v>7355250321MATERIAL DIQUEAdiciones</v>
      </c>
      <c r="T1160" t="str">
        <f>IFERROR(VLOOKUP(S1160,Maestro!$A:$H,8,0),"Producción")</f>
        <v>Material Dique</v>
      </c>
      <c r="U1160" s="43" t="s">
        <v>182</v>
      </c>
    </row>
    <row r="1161" spans="1:21" x14ac:dyDescent="0.3">
      <c r="A1161" s="40">
        <v>7355250321</v>
      </c>
      <c r="B1161" s="40" t="s">
        <v>490</v>
      </c>
      <c r="C1161" s="52">
        <f>Datos!$O$126*D1161</f>
        <v>20665848.150362447</v>
      </c>
      <c r="D1161" s="49">
        <f>Datos!$O$269</f>
        <v>55980.198019801974</v>
      </c>
      <c r="E1161" s="43"/>
      <c r="F1161" s="43"/>
      <c r="G1161" s="43"/>
      <c r="H1161" s="43"/>
      <c r="I1161" s="43" t="s">
        <v>587</v>
      </c>
      <c r="J1161" s="40" t="s">
        <v>800</v>
      </c>
      <c r="K1161" s="43">
        <v>700005</v>
      </c>
      <c r="L1161" s="43">
        <v>8</v>
      </c>
      <c r="M1161" s="43" t="s">
        <v>565</v>
      </c>
      <c r="N1161" s="51"/>
      <c r="O1161" s="51"/>
      <c r="P1161" s="43" t="str">
        <f>VLOOKUP(K1161,Maestro!J:K,2,0)</f>
        <v>CALIZA PARA ADICIONES</v>
      </c>
      <c r="Q1161" s="43" t="str">
        <f>VLOOKUP(P1161,Maestro!E:F,2,0)</f>
        <v>Adiciones</v>
      </c>
      <c r="R1161" s="43">
        <f>VLOOKUP(P1161,ORD!$A:$C,3,0)</f>
        <v>2</v>
      </c>
      <c r="S1161" t="str">
        <f t="shared" si="19"/>
        <v>7355250321MATERIAL DIQUEAdiciones</v>
      </c>
      <c r="T1161" t="str">
        <f>IFERROR(VLOOKUP(S1161,Maestro!$A:$H,8,0),"Producción")</f>
        <v>Material Dique</v>
      </c>
      <c r="U1161" s="43" t="s">
        <v>182</v>
      </c>
    </row>
    <row r="1162" spans="1:21" x14ac:dyDescent="0.3">
      <c r="A1162" s="40">
        <v>7355250321</v>
      </c>
      <c r="B1162" s="40" t="s">
        <v>490</v>
      </c>
      <c r="C1162" s="52">
        <f>Datos!$P$126*D1162</f>
        <v>18772514.343873639</v>
      </c>
      <c r="D1162" s="49">
        <f>Datos!$P$269</f>
        <v>50851.485148514854</v>
      </c>
      <c r="E1162" s="43"/>
      <c r="F1162" s="43"/>
      <c r="G1162" s="43"/>
      <c r="H1162" s="43"/>
      <c r="I1162" s="43" t="s">
        <v>587</v>
      </c>
      <c r="J1162" s="40" t="s">
        <v>800</v>
      </c>
      <c r="K1162" s="43">
        <v>700005</v>
      </c>
      <c r="L1162" s="43">
        <v>9</v>
      </c>
      <c r="M1162" s="43" t="s">
        <v>565</v>
      </c>
      <c r="N1162" s="51"/>
      <c r="O1162" s="51"/>
      <c r="P1162" s="43" t="str">
        <f>VLOOKUP(K1162,Maestro!J:K,2,0)</f>
        <v>CALIZA PARA ADICIONES</v>
      </c>
      <c r="Q1162" s="43" t="str">
        <f>VLOOKUP(P1162,Maestro!E:F,2,0)</f>
        <v>Adiciones</v>
      </c>
      <c r="R1162" s="43">
        <f>VLOOKUP(P1162,ORD!$A:$C,3,0)</f>
        <v>2</v>
      </c>
      <c r="S1162" t="str">
        <f t="shared" si="19"/>
        <v>7355250321MATERIAL DIQUEAdiciones</v>
      </c>
      <c r="T1162" t="str">
        <f>IFERROR(VLOOKUP(S1162,Maestro!$A:$H,8,0),"Producción")</f>
        <v>Material Dique</v>
      </c>
      <c r="U1162" s="43" t="s">
        <v>182</v>
      </c>
    </row>
    <row r="1163" spans="1:21" x14ac:dyDescent="0.3">
      <c r="A1163" s="40">
        <v>7355250321</v>
      </c>
      <c r="B1163" s="40" t="s">
        <v>490</v>
      </c>
      <c r="C1163" s="52">
        <f>Datos!$Q$126*D1163</f>
        <v>17826212.949086078</v>
      </c>
      <c r="D1163" s="49">
        <f>Datos!$Q$269</f>
        <v>48288.118811881184</v>
      </c>
      <c r="E1163" s="43"/>
      <c r="F1163" s="43"/>
      <c r="G1163" s="43"/>
      <c r="H1163" s="43"/>
      <c r="I1163" s="43" t="s">
        <v>587</v>
      </c>
      <c r="J1163" s="40" t="s">
        <v>800</v>
      </c>
      <c r="K1163" s="43">
        <v>700005</v>
      </c>
      <c r="L1163" s="43">
        <v>10</v>
      </c>
      <c r="M1163" s="43" t="s">
        <v>565</v>
      </c>
      <c r="N1163" s="51"/>
      <c r="O1163" s="51"/>
      <c r="P1163" s="43" t="str">
        <f>VLOOKUP(K1163,Maestro!J:K,2,0)</f>
        <v>CALIZA PARA ADICIONES</v>
      </c>
      <c r="Q1163" s="43" t="str">
        <f>VLOOKUP(P1163,Maestro!E:F,2,0)</f>
        <v>Adiciones</v>
      </c>
      <c r="R1163" s="43">
        <f>VLOOKUP(P1163,ORD!$A:$C,3,0)</f>
        <v>2</v>
      </c>
      <c r="S1163" t="str">
        <f t="shared" si="19"/>
        <v>7355250321MATERIAL DIQUEAdiciones</v>
      </c>
      <c r="T1163" t="str">
        <f>IFERROR(VLOOKUP(S1163,Maestro!$A:$H,8,0),"Producción")</f>
        <v>Material Dique</v>
      </c>
      <c r="U1163" s="43" t="s">
        <v>182</v>
      </c>
    </row>
    <row r="1164" spans="1:21" x14ac:dyDescent="0.3">
      <c r="A1164" s="40">
        <v>7355250321</v>
      </c>
      <c r="B1164" s="40" t="s">
        <v>490</v>
      </c>
      <c r="C1164" s="52">
        <f>Datos!$R$126*D1164</f>
        <v>20821189.244524173</v>
      </c>
      <c r="D1164" s="49">
        <f>Datos!$R$269</f>
        <v>56400.990099009898</v>
      </c>
      <c r="E1164" s="43"/>
      <c r="F1164" s="43"/>
      <c r="G1164" s="43"/>
      <c r="H1164" s="43"/>
      <c r="I1164" s="43" t="s">
        <v>587</v>
      </c>
      <c r="J1164" s="40" t="s">
        <v>800</v>
      </c>
      <c r="K1164" s="43">
        <v>700005</v>
      </c>
      <c r="L1164" s="43">
        <v>11</v>
      </c>
      <c r="M1164" s="43" t="s">
        <v>565</v>
      </c>
      <c r="N1164" s="51"/>
      <c r="O1164" s="51"/>
      <c r="P1164" s="43" t="str">
        <f>VLOOKUP(K1164,Maestro!J:K,2,0)</f>
        <v>CALIZA PARA ADICIONES</v>
      </c>
      <c r="Q1164" s="43" t="str">
        <f>VLOOKUP(P1164,Maestro!E:F,2,0)</f>
        <v>Adiciones</v>
      </c>
      <c r="R1164" s="43">
        <f>VLOOKUP(P1164,ORD!$A:$C,3,0)</f>
        <v>2</v>
      </c>
      <c r="S1164" t="str">
        <f t="shared" si="19"/>
        <v>7355250321MATERIAL DIQUEAdiciones</v>
      </c>
      <c r="T1164" t="str">
        <f>IFERROR(VLOOKUP(S1164,Maestro!$A:$H,8,0),"Producción")</f>
        <v>Material Dique</v>
      </c>
      <c r="U1164" s="43" t="s">
        <v>182</v>
      </c>
    </row>
    <row r="1165" spans="1:21" x14ac:dyDescent="0.3">
      <c r="A1165" s="40">
        <v>7355250321</v>
      </c>
      <c r="B1165" s="40" t="s">
        <v>490</v>
      </c>
      <c r="C1165" s="52">
        <f>Datos!$S$126*D1165</f>
        <v>17548218.86650072</v>
      </c>
      <c r="D1165" s="49">
        <f>Datos!$S$269</f>
        <v>47535.08106195517</v>
      </c>
      <c r="E1165" s="43"/>
      <c r="F1165" s="43"/>
      <c r="G1165" s="43"/>
      <c r="H1165" s="43"/>
      <c r="I1165" s="43" t="s">
        <v>587</v>
      </c>
      <c r="J1165" s="40" t="s">
        <v>800</v>
      </c>
      <c r="K1165" s="43">
        <v>700005</v>
      </c>
      <c r="L1165" s="43">
        <v>12</v>
      </c>
      <c r="M1165" s="43" t="s">
        <v>565</v>
      </c>
      <c r="N1165" s="51"/>
      <c r="O1165" s="51"/>
      <c r="P1165" s="43" t="str">
        <f>VLOOKUP(K1165,Maestro!J:K,2,0)</f>
        <v>CALIZA PARA ADICIONES</v>
      </c>
      <c r="Q1165" s="43" t="str">
        <f>VLOOKUP(P1165,Maestro!E:F,2,0)</f>
        <v>Adiciones</v>
      </c>
      <c r="R1165" s="43">
        <f>VLOOKUP(P1165,ORD!$A:$C,3,0)</f>
        <v>2</v>
      </c>
      <c r="S1165" t="str">
        <f t="shared" si="19"/>
        <v>7355250321MATERIAL DIQUEAdiciones</v>
      </c>
      <c r="T1165" t="str">
        <f>IFERROR(VLOOKUP(S1165,Maestro!$A:$H,8,0),"Producción")</f>
        <v>Material Dique</v>
      </c>
      <c r="U1165" s="43" t="s">
        <v>182</v>
      </c>
    </row>
    <row r="1166" spans="1:21" x14ac:dyDescent="0.3">
      <c r="A1166" s="43">
        <v>7355250322</v>
      </c>
      <c r="B1166" s="43" t="s">
        <v>490</v>
      </c>
      <c r="C1166" s="49">
        <f>Datos!$H$88*D1166</f>
        <v>35498552.100000001</v>
      </c>
      <c r="D1166" s="166">
        <f>Datos!$H$272</f>
        <v>9193.1270585948077</v>
      </c>
      <c r="E1166" s="43"/>
      <c r="F1166" s="43"/>
      <c r="G1166" s="43"/>
      <c r="H1166" s="43"/>
      <c r="I1166" s="43" t="s">
        <v>560</v>
      </c>
      <c r="J1166" s="43" t="s">
        <v>792</v>
      </c>
      <c r="K1166" s="43">
        <v>700002</v>
      </c>
      <c r="L1166" s="43">
        <v>1</v>
      </c>
      <c r="M1166" s="43" t="s">
        <v>541</v>
      </c>
      <c r="N1166" s="53"/>
      <c r="O1166" s="53"/>
      <c r="P1166" s="43" t="str">
        <f>VLOOKUP(K1166,Maestro!J:K,2,0)</f>
        <v>CARBON MOLIDO</v>
      </c>
      <c r="Q1166" s="43" t="str">
        <f>VLOOKUP(P1166,Maestro!E:F,2,0)</f>
        <v>Molienda de Carbón</v>
      </c>
      <c r="R1166" s="43">
        <f>VLOOKUP(P1166,ORD!$A:$C,3,0)</f>
        <v>4</v>
      </c>
      <c r="S1166" t="str">
        <f t="shared" si="19"/>
        <v>7355250322DESATASQUE DE CARBONMolienda de Carbón</v>
      </c>
      <c r="T1166" t="str">
        <f>IFERROR(VLOOKUP(S1166,Maestro!$A:$H,8,0),"Producción")</f>
        <v>Desatasque De Carbón</v>
      </c>
      <c r="U1166" s="43" t="s">
        <v>182</v>
      </c>
    </row>
    <row r="1167" spans="1:21" x14ac:dyDescent="0.3">
      <c r="A1167" s="43">
        <v>7355250322</v>
      </c>
      <c r="B1167" s="43" t="s">
        <v>490</v>
      </c>
      <c r="C1167" s="49">
        <f>Datos!$I$88*D1167</f>
        <v>35498552.100000001</v>
      </c>
      <c r="D1167" s="166">
        <f>Datos!$I$272</f>
        <v>9306.729420387499</v>
      </c>
      <c r="E1167" s="43"/>
      <c r="F1167" s="43"/>
      <c r="G1167" s="43"/>
      <c r="H1167" s="43"/>
      <c r="I1167" s="43" t="s">
        <v>560</v>
      </c>
      <c r="J1167" s="43" t="s">
        <v>792</v>
      </c>
      <c r="K1167" s="43">
        <v>700002</v>
      </c>
      <c r="L1167" s="43">
        <v>2</v>
      </c>
      <c r="M1167" s="43" t="s">
        <v>541</v>
      </c>
      <c r="N1167" s="53"/>
      <c r="O1167" s="53"/>
      <c r="P1167" s="43" t="str">
        <f>VLOOKUP(K1167,Maestro!J:K,2,0)</f>
        <v>CARBON MOLIDO</v>
      </c>
      <c r="Q1167" s="43" t="str">
        <f>VLOOKUP(P1167,Maestro!E:F,2,0)</f>
        <v>Molienda de Carbón</v>
      </c>
      <c r="R1167" s="43">
        <f>VLOOKUP(P1167,ORD!$A:$C,3,0)</f>
        <v>4</v>
      </c>
      <c r="S1167" t="str">
        <f t="shared" si="19"/>
        <v>7355250322DESATASQUE DE CARBONMolienda de Carbón</v>
      </c>
      <c r="T1167" t="str">
        <f>IFERROR(VLOOKUP(S1167,Maestro!$A:$H,8,0),"Producción")</f>
        <v>Desatasque De Carbón</v>
      </c>
      <c r="U1167" s="43" t="s">
        <v>182</v>
      </c>
    </row>
    <row r="1168" spans="1:21" x14ac:dyDescent="0.3">
      <c r="A1168" s="43">
        <v>7355250322</v>
      </c>
      <c r="B1168" s="43" t="s">
        <v>490</v>
      </c>
      <c r="C1168" s="49">
        <f>Datos!$J$88*D1168</f>
        <v>35498552.100000001</v>
      </c>
      <c r="D1168" s="166">
        <f>Datos!$J$272</f>
        <v>6466.6703755702074</v>
      </c>
      <c r="E1168" s="43"/>
      <c r="F1168" s="43"/>
      <c r="G1168" s="43"/>
      <c r="H1168" s="43"/>
      <c r="I1168" s="43" t="s">
        <v>560</v>
      </c>
      <c r="J1168" s="43" t="s">
        <v>792</v>
      </c>
      <c r="K1168" s="43">
        <v>700002</v>
      </c>
      <c r="L1168" s="43">
        <v>3</v>
      </c>
      <c r="M1168" s="43" t="s">
        <v>541</v>
      </c>
      <c r="N1168" s="53"/>
      <c r="O1168" s="53"/>
      <c r="P1168" s="43" t="str">
        <f>VLOOKUP(K1168,Maestro!J:K,2,0)</f>
        <v>CARBON MOLIDO</v>
      </c>
      <c r="Q1168" s="43" t="str">
        <f>VLOOKUP(P1168,Maestro!E:F,2,0)</f>
        <v>Molienda de Carbón</v>
      </c>
      <c r="R1168" s="43">
        <f>VLOOKUP(P1168,ORD!$A:$C,3,0)</f>
        <v>4</v>
      </c>
      <c r="S1168" t="str">
        <f t="shared" si="19"/>
        <v>7355250322DESATASQUE DE CARBONMolienda de Carbón</v>
      </c>
      <c r="T1168" t="str">
        <f>IFERROR(VLOOKUP(S1168,Maestro!$A:$H,8,0),"Producción")</f>
        <v>Desatasque De Carbón</v>
      </c>
      <c r="U1168" s="43" t="s">
        <v>182</v>
      </c>
    </row>
    <row r="1169" spans="1:21" x14ac:dyDescent="0.3">
      <c r="A1169" s="43">
        <v>7355250322</v>
      </c>
      <c r="B1169" s="43" t="s">
        <v>490</v>
      </c>
      <c r="C1169" s="49">
        <f>Datos!$K$88*D1169</f>
        <v>35498552.100000001</v>
      </c>
      <c r="D1169" s="166">
        <f>Datos!$K$272</f>
        <v>6764.1562278822057</v>
      </c>
      <c r="E1169" s="43"/>
      <c r="F1169" s="43"/>
      <c r="G1169" s="43"/>
      <c r="H1169" s="43"/>
      <c r="I1169" s="43" t="s">
        <v>560</v>
      </c>
      <c r="J1169" s="43" t="s">
        <v>792</v>
      </c>
      <c r="K1169" s="43">
        <v>700002</v>
      </c>
      <c r="L1169" s="43">
        <v>4</v>
      </c>
      <c r="M1169" s="43" t="s">
        <v>541</v>
      </c>
      <c r="N1169" s="53"/>
      <c r="O1169" s="53"/>
      <c r="P1169" s="43" t="str">
        <f>VLOOKUP(K1169,Maestro!J:K,2,0)</f>
        <v>CARBON MOLIDO</v>
      </c>
      <c r="Q1169" s="43" t="str">
        <f>VLOOKUP(P1169,Maestro!E:F,2,0)</f>
        <v>Molienda de Carbón</v>
      </c>
      <c r="R1169" s="43">
        <f>VLOOKUP(P1169,ORD!$A:$C,3,0)</f>
        <v>4</v>
      </c>
      <c r="S1169" t="str">
        <f t="shared" si="19"/>
        <v>7355250322DESATASQUE DE CARBONMolienda de Carbón</v>
      </c>
      <c r="T1169" t="str">
        <f>IFERROR(VLOOKUP(S1169,Maestro!$A:$H,8,0),"Producción")</f>
        <v>Desatasque De Carbón</v>
      </c>
      <c r="U1169" s="43" t="s">
        <v>182</v>
      </c>
    </row>
    <row r="1170" spans="1:21" x14ac:dyDescent="0.3">
      <c r="A1170" s="43">
        <v>7355250322</v>
      </c>
      <c r="B1170" s="43" t="s">
        <v>490</v>
      </c>
      <c r="C1170" s="49">
        <f>Datos!$L$88*D1170</f>
        <v>35498552.100000001</v>
      </c>
      <c r="D1170" s="166">
        <f>Datos!$L$272</f>
        <v>10329.150676521722</v>
      </c>
      <c r="E1170" s="43"/>
      <c r="F1170" s="43"/>
      <c r="G1170" s="43"/>
      <c r="H1170" s="43"/>
      <c r="I1170" s="43" t="s">
        <v>560</v>
      </c>
      <c r="J1170" s="43" t="s">
        <v>792</v>
      </c>
      <c r="K1170" s="43">
        <v>700002</v>
      </c>
      <c r="L1170" s="43">
        <v>5</v>
      </c>
      <c r="M1170" s="43" t="s">
        <v>541</v>
      </c>
      <c r="N1170" s="53"/>
      <c r="O1170" s="53"/>
      <c r="P1170" s="43" t="str">
        <f>VLOOKUP(K1170,Maestro!J:K,2,0)</f>
        <v>CARBON MOLIDO</v>
      </c>
      <c r="Q1170" s="43" t="str">
        <f>VLOOKUP(P1170,Maestro!E:F,2,0)</f>
        <v>Molienda de Carbón</v>
      </c>
      <c r="R1170" s="43">
        <f>VLOOKUP(P1170,ORD!$A:$C,3,0)</f>
        <v>4</v>
      </c>
      <c r="S1170" t="str">
        <f t="shared" si="19"/>
        <v>7355250322DESATASQUE DE CARBONMolienda de Carbón</v>
      </c>
      <c r="T1170" t="str">
        <f>IFERROR(VLOOKUP(S1170,Maestro!$A:$H,8,0),"Producción")</f>
        <v>Desatasque De Carbón</v>
      </c>
      <c r="U1170" s="43" t="s">
        <v>182</v>
      </c>
    </row>
    <row r="1171" spans="1:21" x14ac:dyDescent="0.3">
      <c r="A1171" s="43">
        <v>7355250322</v>
      </c>
      <c r="B1171" s="43" t="s">
        <v>490</v>
      </c>
      <c r="C1171" s="49">
        <f>Datos!$M$88*D1171</f>
        <v>35498552.100000001</v>
      </c>
      <c r="D1171" s="166">
        <f>Datos!$M$272</f>
        <v>4421.827863301759</v>
      </c>
      <c r="E1171" s="43"/>
      <c r="F1171" s="43"/>
      <c r="G1171" s="43"/>
      <c r="H1171" s="43"/>
      <c r="I1171" s="43" t="s">
        <v>560</v>
      </c>
      <c r="J1171" s="43" t="s">
        <v>792</v>
      </c>
      <c r="K1171" s="43">
        <v>700002</v>
      </c>
      <c r="L1171" s="43">
        <v>6</v>
      </c>
      <c r="M1171" s="43" t="s">
        <v>541</v>
      </c>
      <c r="N1171" s="53"/>
      <c r="O1171" s="53"/>
      <c r="P1171" s="43" t="str">
        <f>VLOOKUP(K1171,Maestro!J:K,2,0)</f>
        <v>CARBON MOLIDO</v>
      </c>
      <c r="Q1171" s="43" t="str">
        <f>VLOOKUP(P1171,Maestro!E:F,2,0)</f>
        <v>Molienda de Carbón</v>
      </c>
      <c r="R1171" s="43">
        <f>VLOOKUP(P1171,ORD!$A:$C,3,0)</f>
        <v>4</v>
      </c>
      <c r="S1171" t="str">
        <f t="shared" si="19"/>
        <v>7355250322DESATASQUE DE CARBONMolienda de Carbón</v>
      </c>
      <c r="T1171" t="str">
        <f>IFERROR(VLOOKUP(S1171,Maestro!$A:$H,8,0),"Producción")</f>
        <v>Desatasque De Carbón</v>
      </c>
      <c r="U1171" s="43" t="s">
        <v>182</v>
      </c>
    </row>
    <row r="1172" spans="1:21" x14ac:dyDescent="0.3">
      <c r="A1172" s="43">
        <v>7355250322</v>
      </c>
      <c r="B1172" s="43" t="s">
        <v>490</v>
      </c>
      <c r="C1172" s="49">
        <f>Datos!$N$88*D1172</f>
        <v>35498552.100000001</v>
      </c>
      <c r="D1172" s="166">
        <f>Datos!$N$272</f>
        <v>8468.1916547725796</v>
      </c>
      <c r="E1172" s="43"/>
      <c r="F1172" s="43"/>
      <c r="G1172" s="43"/>
      <c r="H1172" s="43"/>
      <c r="I1172" s="43" t="s">
        <v>560</v>
      </c>
      <c r="J1172" s="43" t="s">
        <v>792</v>
      </c>
      <c r="K1172" s="43">
        <v>700002</v>
      </c>
      <c r="L1172" s="43">
        <v>7</v>
      </c>
      <c r="M1172" s="43" t="s">
        <v>541</v>
      </c>
      <c r="N1172" s="53"/>
      <c r="O1172" s="53"/>
      <c r="P1172" s="43" t="str">
        <f>VLOOKUP(K1172,Maestro!J:K,2,0)</f>
        <v>CARBON MOLIDO</v>
      </c>
      <c r="Q1172" s="43" t="str">
        <f>VLOOKUP(P1172,Maestro!E:F,2,0)</f>
        <v>Molienda de Carbón</v>
      </c>
      <c r="R1172" s="43">
        <f>VLOOKUP(P1172,ORD!$A:$C,3,0)</f>
        <v>4</v>
      </c>
      <c r="S1172" t="str">
        <f t="shared" si="19"/>
        <v>7355250322DESATASQUE DE CARBONMolienda de Carbón</v>
      </c>
      <c r="T1172" t="str">
        <f>IFERROR(VLOOKUP(S1172,Maestro!$A:$H,8,0),"Producción")</f>
        <v>Desatasque De Carbón</v>
      </c>
      <c r="U1172" s="43" t="s">
        <v>182</v>
      </c>
    </row>
    <row r="1173" spans="1:21" x14ac:dyDescent="0.3">
      <c r="A1173" s="43">
        <v>7355250322</v>
      </c>
      <c r="B1173" s="43" t="s">
        <v>490</v>
      </c>
      <c r="C1173" s="49">
        <f>Datos!$O$88*D1173</f>
        <v>35498552.100000001</v>
      </c>
      <c r="D1173" s="166">
        <f>Datos!$O$272</f>
        <v>10329.150676521722</v>
      </c>
      <c r="E1173" s="43"/>
      <c r="F1173" s="43"/>
      <c r="G1173" s="43"/>
      <c r="H1173" s="43"/>
      <c r="I1173" s="43" t="s">
        <v>560</v>
      </c>
      <c r="J1173" s="43" t="s">
        <v>792</v>
      </c>
      <c r="K1173" s="43">
        <v>700002</v>
      </c>
      <c r="L1173" s="43">
        <v>8</v>
      </c>
      <c r="M1173" s="43" t="s">
        <v>541</v>
      </c>
      <c r="N1173" s="53"/>
      <c r="O1173" s="53"/>
      <c r="P1173" s="43" t="str">
        <f>VLOOKUP(K1173,Maestro!J:K,2,0)</f>
        <v>CARBON MOLIDO</v>
      </c>
      <c r="Q1173" s="43" t="str">
        <f>VLOOKUP(P1173,Maestro!E:F,2,0)</f>
        <v>Molienda de Carbón</v>
      </c>
      <c r="R1173" s="43">
        <f>VLOOKUP(P1173,ORD!$A:$C,3,0)</f>
        <v>4</v>
      </c>
      <c r="S1173" t="str">
        <f t="shared" si="19"/>
        <v>7355250322DESATASQUE DE CARBONMolienda de Carbón</v>
      </c>
      <c r="T1173" t="str">
        <f>IFERROR(VLOOKUP(S1173,Maestro!$A:$H,8,0),"Producción")</f>
        <v>Desatasque De Carbón</v>
      </c>
      <c r="U1173" s="43" t="s">
        <v>182</v>
      </c>
    </row>
    <row r="1174" spans="1:21" x14ac:dyDescent="0.3">
      <c r="A1174" s="43">
        <v>7355250322</v>
      </c>
      <c r="B1174" s="43" t="s">
        <v>490</v>
      </c>
      <c r="C1174" s="49">
        <f>Datos!$P$88*D1174</f>
        <v>35498552.100000001</v>
      </c>
      <c r="D1174" s="166">
        <f>Datos!$P$272</f>
        <v>7829.8987170825058</v>
      </c>
      <c r="E1174" s="43"/>
      <c r="F1174" s="43"/>
      <c r="G1174" s="43"/>
      <c r="H1174" s="43"/>
      <c r="I1174" s="43" t="s">
        <v>560</v>
      </c>
      <c r="J1174" s="43" t="s">
        <v>792</v>
      </c>
      <c r="K1174" s="43">
        <v>700002</v>
      </c>
      <c r="L1174" s="43">
        <v>9</v>
      </c>
      <c r="M1174" s="43" t="s">
        <v>541</v>
      </c>
      <c r="N1174" s="53"/>
      <c r="O1174" s="53"/>
      <c r="P1174" s="43" t="str">
        <f>VLOOKUP(K1174,Maestro!J:K,2,0)</f>
        <v>CARBON MOLIDO</v>
      </c>
      <c r="Q1174" s="43" t="str">
        <f>VLOOKUP(P1174,Maestro!E:F,2,0)</f>
        <v>Molienda de Carbón</v>
      </c>
      <c r="R1174" s="43">
        <f>VLOOKUP(P1174,ORD!$A:$C,3,0)</f>
        <v>4</v>
      </c>
      <c r="S1174" t="str">
        <f t="shared" si="19"/>
        <v>7355250322DESATASQUE DE CARBONMolienda de Carbón</v>
      </c>
      <c r="T1174" t="str">
        <f>IFERROR(VLOOKUP(S1174,Maestro!$A:$H,8,0),"Producción")</f>
        <v>Desatasque De Carbón</v>
      </c>
      <c r="U1174" s="43" t="s">
        <v>182</v>
      </c>
    </row>
    <row r="1175" spans="1:21" x14ac:dyDescent="0.3">
      <c r="A1175" s="43">
        <v>7355250322</v>
      </c>
      <c r="B1175" s="43" t="s">
        <v>490</v>
      </c>
      <c r="C1175" s="49">
        <f>Datos!$Q$88*D1175</f>
        <v>35498552.100000001</v>
      </c>
      <c r="D1175" s="166">
        <f>Datos!$Q$272</f>
        <v>6082.5420571260565</v>
      </c>
      <c r="E1175" s="43"/>
      <c r="F1175" s="43"/>
      <c r="G1175" s="43"/>
      <c r="H1175" s="43"/>
      <c r="I1175" s="43" t="s">
        <v>560</v>
      </c>
      <c r="J1175" s="43" t="s">
        <v>792</v>
      </c>
      <c r="K1175" s="43">
        <v>700002</v>
      </c>
      <c r="L1175" s="43">
        <v>10</v>
      </c>
      <c r="M1175" s="43" t="s">
        <v>541</v>
      </c>
      <c r="N1175" s="53"/>
      <c r="O1175" s="53"/>
      <c r="P1175" s="43" t="str">
        <f>VLOOKUP(K1175,Maestro!J:K,2,0)</f>
        <v>CARBON MOLIDO</v>
      </c>
      <c r="Q1175" s="43" t="str">
        <f>VLOOKUP(P1175,Maestro!E:F,2,0)</f>
        <v>Molienda de Carbón</v>
      </c>
      <c r="R1175" s="43">
        <f>VLOOKUP(P1175,ORD!$A:$C,3,0)</f>
        <v>4</v>
      </c>
      <c r="S1175" t="str">
        <f t="shared" si="19"/>
        <v>7355250322DESATASQUE DE CARBONMolienda de Carbón</v>
      </c>
      <c r="T1175" t="str">
        <f>IFERROR(VLOOKUP(S1175,Maestro!$A:$H,8,0),"Producción")</f>
        <v>Desatasque De Carbón</v>
      </c>
      <c r="U1175" s="43" t="s">
        <v>182</v>
      </c>
    </row>
    <row r="1176" spans="1:21" x14ac:dyDescent="0.3">
      <c r="A1176" s="43">
        <v>7355250322</v>
      </c>
      <c r="B1176" s="43" t="s">
        <v>490</v>
      </c>
      <c r="C1176" s="49">
        <f>Datos!$R$88*D1176</f>
        <v>35498552.100000001</v>
      </c>
      <c r="D1176" s="166">
        <f>Datos!$R$272</f>
        <v>9988.3435911436482</v>
      </c>
      <c r="E1176" s="43"/>
      <c r="F1176" s="43"/>
      <c r="G1176" s="43"/>
      <c r="H1176" s="43"/>
      <c r="I1176" s="43" t="s">
        <v>560</v>
      </c>
      <c r="J1176" s="43" t="s">
        <v>792</v>
      </c>
      <c r="K1176" s="43">
        <v>700002</v>
      </c>
      <c r="L1176" s="43">
        <v>11</v>
      </c>
      <c r="M1176" s="43" t="s">
        <v>541</v>
      </c>
      <c r="N1176" s="53"/>
      <c r="O1176" s="53"/>
      <c r="P1176" s="43" t="str">
        <f>VLOOKUP(K1176,Maestro!J:K,2,0)</f>
        <v>CARBON MOLIDO</v>
      </c>
      <c r="Q1176" s="43" t="str">
        <f>VLOOKUP(P1176,Maestro!E:F,2,0)</f>
        <v>Molienda de Carbón</v>
      </c>
      <c r="R1176" s="43">
        <f>VLOOKUP(P1176,ORD!$A:$C,3,0)</f>
        <v>4</v>
      </c>
      <c r="S1176" t="str">
        <f t="shared" si="19"/>
        <v>7355250322DESATASQUE DE CARBONMolienda de Carbón</v>
      </c>
      <c r="T1176" t="str">
        <f>IFERROR(VLOOKUP(S1176,Maestro!$A:$H,8,0),"Producción")</f>
        <v>Desatasque De Carbón</v>
      </c>
      <c r="U1176" s="43" t="s">
        <v>182</v>
      </c>
    </row>
    <row r="1177" spans="1:21" x14ac:dyDescent="0.3">
      <c r="A1177" s="43">
        <v>7355250322</v>
      </c>
      <c r="B1177" s="43" t="s">
        <v>490</v>
      </c>
      <c r="C1177" s="49">
        <f>Datos!$S$88*D1177</f>
        <v>35498552.100000001</v>
      </c>
      <c r="D1177" s="166">
        <f>Datos!$S$272</f>
        <v>6254.8920440171096</v>
      </c>
      <c r="E1177" s="43"/>
      <c r="F1177" s="43"/>
      <c r="G1177" s="43"/>
      <c r="H1177" s="43"/>
      <c r="I1177" s="43" t="s">
        <v>560</v>
      </c>
      <c r="J1177" s="43" t="s">
        <v>792</v>
      </c>
      <c r="K1177" s="43">
        <v>700002</v>
      </c>
      <c r="L1177" s="43">
        <v>12</v>
      </c>
      <c r="M1177" s="43" t="s">
        <v>541</v>
      </c>
      <c r="N1177" s="53"/>
      <c r="O1177" s="53"/>
      <c r="P1177" s="43" t="str">
        <f>VLOOKUP(K1177,Maestro!J:K,2,0)</f>
        <v>CARBON MOLIDO</v>
      </c>
      <c r="Q1177" s="43" t="str">
        <f>VLOOKUP(P1177,Maestro!E:F,2,0)</f>
        <v>Molienda de Carbón</v>
      </c>
      <c r="R1177" s="43">
        <f>VLOOKUP(P1177,ORD!$A:$C,3,0)</f>
        <v>4</v>
      </c>
      <c r="S1177" t="str">
        <f t="shared" si="19"/>
        <v>7355250322DESATASQUE DE CARBONMolienda de Carbón</v>
      </c>
      <c r="T1177" t="str">
        <f>IFERROR(VLOOKUP(S1177,Maestro!$A:$H,8,0),"Producción")</f>
        <v>Desatasque De Carbón</v>
      </c>
      <c r="U1177" s="43" t="s">
        <v>182</v>
      </c>
    </row>
    <row r="1178" spans="1:21" x14ac:dyDescent="0.3">
      <c r="A1178" s="43">
        <v>7355050103</v>
      </c>
      <c r="B1178" s="43" t="s">
        <v>450</v>
      </c>
      <c r="C1178" s="50">
        <f>Datos!$H$8*D1178+Datos!$H$90*D1178</f>
        <v>0</v>
      </c>
      <c r="D1178" s="50">
        <f>Datos!$H$462</f>
        <v>0</v>
      </c>
      <c r="E1178" s="43" t="s">
        <v>556</v>
      </c>
      <c r="F1178" s="43" t="s">
        <v>557</v>
      </c>
      <c r="G1178" s="43" t="s">
        <v>572</v>
      </c>
      <c r="H1178" s="43" t="s">
        <v>573</v>
      </c>
      <c r="I1178" s="43" t="s">
        <v>560</v>
      </c>
      <c r="J1178" s="43" t="s">
        <v>524</v>
      </c>
      <c r="K1178" s="43">
        <v>700002</v>
      </c>
      <c r="L1178" s="43">
        <v>1</v>
      </c>
      <c r="M1178" s="43" t="s">
        <v>682</v>
      </c>
      <c r="N1178" s="51"/>
      <c r="O1178" s="51"/>
      <c r="P1178" s="43" t="str">
        <f>VLOOKUP(K1178,Maestro!J:K,2,0)</f>
        <v>CARBON MOLIDO</v>
      </c>
      <c r="Q1178" s="43" t="str">
        <f>VLOOKUP(P1178,Maestro!E:F,2,0)</f>
        <v>Molienda de Carbón</v>
      </c>
      <c r="R1178" s="43">
        <f>VLOOKUP(P1178,ORD!$A:$C,3,0)</f>
        <v>4</v>
      </c>
      <c r="S1178" t="str">
        <f t="shared" ref="S1178" si="20">A1178&amp;J1178&amp;Q1178</f>
        <v>7355050103FINOSCARBMolienda de Carbón</v>
      </c>
      <c r="T1178" t="str">
        <f>IFERROR(VLOOKUP(S1178,Maestro!$A:$H,8,0),"Producción")</f>
        <v>Carbón</v>
      </c>
      <c r="U1178" s="43" t="s">
        <v>182</v>
      </c>
    </row>
    <row r="1179" spans="1:21" x14ac:dyDescent="0.3">
      <c r="A1179" s="43">
        <v>7355050103</v>
      </c>
      <c r="B1179" s="43" t="s">
        <v>450</v>
      </c>
      <c r="C1179" s="50">
        <f>Datos!$I$8*D1179+Datos!$I$90*D1179</f>
        <v>0</v>
      </c>
      <c r="D1179" s="50">
        <f>Datos!$I$462</f>
        <v>0</v>
      </c>
      <c r="E1179" s="43" t="s">
        <v>556</v>
      </c>
      <c r="F1179" s="43" t="s">
        <v>557</v>
      </c>
      <c r="G1179" s="43" t="s">
        <v>572</v>
      </c>
      <c r="H1179" s="43" t="s">
        <v>573</v>
      </c>
      <c r="I1179" s="43" t="s">
        <v>560</v>
      </c>
      <c r="J1179" s="43" t="s">
        <v>524</v>
      </c>
      <c r="K1179" s="43">
        <v>700002</v>
      </c>
      <c r="L1179" s="43">
        <v>2</v>
      </c>
      <c r="M1179" s="43" t="s">
        <v>682</v>
      </c>
      <c r="N1179" s="51"/>
      <c r="O1179" s="51"/>
      <c r="P1179" s="43" t="str">
        <f>VLOOKUP(K1179,Maestro!J:K,2,0)</f>
        <v>CARBON MOLIDO</v>
      </c>
      <c r="Q1179" s="43" t="str">
        <f>VLOOKUP(P1179,Maestro!E:F,2,0)</f>
        <v>Molienda de Carbón</v>
      </c>
      <c r="R1179" s="43">
        <f>VLOOKUP(P1179,ORD!$A:$C,3,0)</f>
        <v>4</v>
      </c>
      <c r="S1179" t="str">
        <f t="shared" ref="S1179:S1190" si="21">A1179&amp;J1179&amp;Q1179</f>
        <v>7355050103FINOSCARBMolienda de Carbón</v>
      </c>
      <c r="T1179" t="str">
        <f>IFERROR(VLOOKUP(S1179,Maestro!$A:$H,8,0),"Producción")</f>
        <v>Carbón</v>
      </c>
      <c r="U1179" s="43" t="s">
        <v>182</v>
      </c>
    </row>
    <row r="1180" spans="1:21" x14ac:dyDescent="0.3">
      <c r="A1180" s="43">
        <v>7355050103</v>
      </c>
      <c r="B1180" s="43" t="s">
        <v>450</v>
      </c>
      <c r="C1180" s="50">
        <f>Datos!$J$8*D1180+Datos!$J$90*D1180</f>
        <v>0</v>
      </c>
      <c r="D1180" s="50">
        <f>Datos!$J$462</f>
        <v>0</v>
      </c>
      <c r="E1180" s="43" t="s">
        <v>556</v>
      </c>
      <c r="F1180" s="43" t="s">
        <v>557</v>
      </c>
      <c r="G1180" s="43" t="s">
        <v>572</v>
      </c>
      <c r="H1180" s="43" t="s">
        <v>573</v>
      </c>
      <c r="I1180" s="43" t="s">
        <v>560</v>
      </c>
      <c r="J1180" s="43" t="s">
        <v>524</v>
      </c>
      <c r="K1180" s="43">
        <v>700002</v>
      </c>
      <c r="L1180" s="43">
        <v>3</v>
      </c>
      <c r="M1180" s="43" t="s">
        <v>682</v>
      </c>
      <c r="N1180" s="51"/>
      <c r="O1180" s="51"/>
      <c r="P1180" s="43" t="str">
        <f>VLOOKUP(K1180,Maestro!J:K,2,0)</f>
        <v>CARBON MOLIDO</v>
      </c>
      <c r="Q1180" s="43" t="str">
        <f>VLOOKUP(P1180,Maestro!E:F,2,0)</f>
        <v>Molienda de Carbón</v>
      </c>
      <c r="R1180" s="43">
        <f>VLOOKUP(P1180,ORD!$A:$C,3,0)</f>
        <v>4</v>
      </c>
      <c r="S1180" t="str">
        <f t="shared" si="21"/>
        <v>7355050103FINOSCARBMolienda de Carbón</v>
      </c>
      <c r="T1180" t="str">
        <f>IFERROR(VLOOKUP(S1180,Maestro!$A:$H,8,0),"Producción")</f>
        <v>Carbón</v>
      </c>
      <c r="U1180" s="43" t="s">
        <v>182</v>
      </c>
    </row>
    <row r="1181" spans="1:21" x14ac:dyDescent="0.3">
      <c r="A1181" s="43">
        <v>7355050103</v>
      </c>
      <c r="B1181" s="43" t="s">
        <v>450</v>
      </c>
      <c r="C1181" s="50">
        <f>Datos!$K$8*D1181+Datos!$K$90*D1181</f>
        <v>0</v>
      </c>
      <c r="D1181" s="50">
        <f>Datos!$K$462</f>
        <v>0</v>
      </c>
      <c r="E1181" s="43" t="s">
        <v>556</v>
      </c>
      <c r="F1181" s="43" t="s">
        <v>557</v>
      </c>
      <c r="G1181" s="43" t="s">
        <v>572</v>
      </c>
      <c r="H1181" s="43" t="s">
        <v>573</v>
      </c>
      <c r="I1181" s="43" t="s">
        <v>560</v>
      </c>
      <c r="J1181" s="43" t="s">
        <v>524</v>
      </c>
      <c r="K1181" s="43">
        <v>700002</v>
      </c>
      <c r="L1181" s="43">
        <v>4</v>
      </c>
      <c r="M1181" s="43" t="s">
        <v>682</v>
      </c>
      <c r="N1181" s="51"/>
      <c r="O1181" s="51"/>
      <c r="P1181" s="43" t="str">
        <f>VLOOKUP(K1181,Maestro!J:K,2,0)</f>
        <v>CARBON MOLIDO</v>
      </c>
      <c r="Q1181" s="43" t="str">
        <f>VLOOKUP(P1181,Maestro!E:F,2,0)</f>
        <v>Molienda de Carbón</v>
      </c>
      <c r="R1181" s="43">
        <f>VLOOKUP(P1181,ORD!$A:$C,3,0)</f>
        <v>4</v>
      </c>
      <c r="S1181" t="str">
        <f t="shared" si="21"/>
        <v>7355050103FINOSCARBMolienda de Carbón</v>
      </c>
      <c r="T1181" t="str">
        <f>IFERROR(VLOOKUP(S1181,Maestro!$A:$H,8,0),"Producción")</f>
        <v>Carbón</v>
      </c>
      <c r="U1181" s="43" t="s">
        <v>182</v>
      </c>
    </row>
    <row r="1182" spans="1:21" x14ac:dyDescent="0.3">
      <c r="A1182" s="43">
        <v>7355050103</v>
      </c>
      <c r="B1182" s="43" t="s">
        <v>450</v>
      </c>
      <c r="C1182" s="50">
        <f>Datos!$L$8*D1182+Datos!$L$90*D1182</f>
        <v>0</v>
      </c>
      <c r="D1182" s="50">
        <f>Datos!$L$462</f>
        <v>0</v>
      </c>
      <c r="E1182" s="43" t="s">
        <v>556</v>
      </c>
      <c r="F1182" s="43" t="s">
        <v>557</v>
      </c>
      <c r="G1182" s="43" t="s">
        <v>572</v>
      </c>
      <c r="H1182" s="43" t="s">
        <v>573</v>
      </c>
      <c r="I1182" s="43" t="s">
        <v>560</v>
      </c>
      <c r="J1182" s="43" t="s">
        <v>524</v>
      </c>
      <c r="K1182" s="43">
        <v>700002</v>
      </c>
      <c r="L1182" s="43">
        <v>5</v>
      </c>
      <c r="M1182" s="43" t="s">
        <v>682</v>
      </c>
      <c r="N1182" s="51"/>
      <c r="O1182" s="51"/>
      <c r="P1182" s="43" t="str">
        <f>VLOOKUP(K1182,Maestro!J:K,2,0)</f>
        <v>CARBON MOLIDO</v>
      </c>
      <c r="Q1182" s="43" t="str">
        <f>VLOOKUP(P1182,Maestro!E:F,2,0)</f>
        <v>Molienda de Carbón</v>
      </c>
      <c r="R1182" s="43">
        <f>VLOOKUP(P1182,ORD!$A:$C,3,0)</f>
        <v>4</v>
      </c>
      <c r="S1182" t="str">
        <f t="shared" si="21"/>
        <v>7355050103FINOSCARBMolienda de Carbón</v>
      </c>
      <c r="T1182" t="str">
        <f>IFERROR(VLOOKUP(S1182,Maestro!$A:$H,8,0),"Producción")</f>
        <v>Carbón</v>
      </c>
      <c r="U1182" s="43" t="s">
        <v>182</v>
      </c>
    </row>
    <row r="1183" spans="1:21" x14ac:dyDescent="0.3">
      <c r="A1183" s="43">
        <v>7355050103</v>
      </c>
      <c r="B1183" s="43" t="s">
        <v>450</v>
      </c>
      <c r="C1183" s="50">
        <f>Datos!$M$8*D1183+Datos!$M$90*D1183</f>
        <v>0</v>
      </c>
      <c r="D1183" s="50">
        <f>Datos!$M$462</f>
        <v>0</v>
      </c>
      <c r="E1183" s="43" t="s">
        <v>556</v>
      </c>
      <c r="F1183" s="43" t="s">
        <v>557</v>
      </c>
      <c r="G1183" s="43" t="s">
        <v>572</v>
      </c>
      <c r="H1183" s="43" t="s">
        <v>573</v>
      </c>
      <c r="I1183" s="43" t="s">
        <v>560</v>
      </c>
      <c r="J1183" s="43" t="s">
        <v>524</v>
      </c>
      <c r="K1183" s="43">
        <v>700002</v>
      </c>
      <c r="L1183" s="43">
        <v>6</v>
      </c>
      <c r="M1183" s="43" t="s">
        <v>682</v>
      </c>
      <c r="N1183" s="51"/>
      <c r="O1183" s="51"/>
      <c r="P1183" s="43" t="str">
        <f>VLOOKUP(K1183,Maestro!J:K,2,0)</f>
        <v>CARBON MOLIDO</v>
      </c>
      <c r="Q1183" s="43" t="str">
        <f>VLOOKUP(P1183,Maestro!E:F,2,0)</f>
        <v>Molienda de Carbón</v>
      </c>
      <c r="R1183" s="43">
        <f>VLOOKUP(P1183,ORD!$A:$C,3,0)</f>
        <v>4</v>
      </c>
      <c r="S1183" t="str">
        <f t="shared" si="21"/>
        <v>7355050103FINOSCARBMolienda de Carbón</v>
      </c>
      <c r="T1183" t="str">
        <f>IFERROR(VLOOKUP(S1183,Maestro!$A:$H,8,0),"Producción")</f>
        <v>Carbón</v>
      </c>
      <c r="U1183" s="43" t="s">
        <v>182</v>
      </c>
    </row>
    <row r="1184" spans="1:21" x14ac:dyDescent="0.3">
      <c r="A1184" s="43">
        <v>7355050103</v>
      </c>
      <c r="B1184" s="43" t="s">
        <v>450</v>
      </c>
      <c r="C1184" s="50">
        <f>Datos!$N$8*D1184+Datos!$N$90*D1184</f>
        <v>0</v>
      </c>
      <c r="D1184" s="50">
        <f>Datos!$N$462</f>
        <v>0</v>
      </c>
      <c r="E1184" s="43" t="s">
        <v>556</v>
      </c>
      <c r="F1184" s="43" t="s">
        <v>557</v>
      </c>
      <c r="G1184" s="43" t="s">
        <v>572</v>
      </c>
      <c r="H1184" s="43" t="s">
        <v>573</v>
      </c>
      <c r="I1184" s="43" t="s">
        <v>560</v>
      </c>
      <c r="J1184" s="43" t="s">
        <v>524</v>
      </c>
      <c r="K1184" s="43">
        <v>700002</v>
      </c>
      <c r="L1184" s="43">
        <v>7</v>
      </c>
      <c r="M1184" s="43" t="s">
        <v>682</v>
      </c>
      <c r="N1184" s="51"/>
      <c r="O1184" s="51"/>
      <c r="P1184" s="43" t="str">
        <f>VLOOKUP(K1184,Maestro!J:K,2,0)</f>
        <v>CARBON MOLIDO</v>
      </c>
      <c r="Q1184" s="43" t="str">
        <f>VLOOKUP(P1184,Maestro!E:F,2,0)</f>
        <v>Molienda de Carbón</v>
      </c>
      <c r="R1184" s="43">
        <f>VLOOKUP(P1184,ORD!$A:$C,3,0)</f>
        <v>4</v>
      </c>
      <c r="S1184" t="str">
        <f t="shared" si="21"/>
        <v>7355050103FINOSCARBMolienda de Carbón</v>
      </c>
      <c r="T1184" t="str">
        <f>IFERROR(VLOOKUP(S1184,Maestro!$A:$H,8,0),"Producción")</f>
        <v>Carbón</v>
      </c>
      <c r="U1184" s="43" t="s">
        <v>182</v>
      </c>
    </row>
    <row r="1185" spans="1:21" x14ac:dyDescent="0.3">
      <c r="A1185" s="43">
        <v>7355050103</v>
      </c>
      <c r="B1185" s="43" t="s">
        <v>450</v>
      </c>
      <c r="C1185" s="50">
        <f>Datos!$O$8*D1185+Datos!$O$90*D1185</f>
        <v>0</v>
      </c>
      <c r="D1185" s="50">
        <f>Datos!$O$462</f>
        <v>0</v>
      </c>
      <c r="E1185" s="43" t="s">
        <v>556</v>
      </c>
      <c r="F1185" s="43" t="s">
        <v>557</v>
      </c>
      <c r="G1185" s="43" t="s">
        <v>572</v>
      </c>
      <c r="H1185" s="43" t="s">
        <v>573</v>
      </c>
      <c r="I1185" s="43" t="s">
        <v>560</v>
      </c>
      <c r="J1185" s="43" t="s">
        <v>524</v>
      </c>
      <c r="K1185" s="43">
        <v>700002</v>
      </c>
      <c r="L1185" s="43">
        <v>8</v>
      </c>
      <c r="M1185" s="43" t="s">
        <v>682</v>
      </c>
      <c r="N1185" s="51"/>
      <c r="O1185" s="51"/>
      <c r="P1185" s="43" t="str">
        <f>VLOOKUP(K1185,Maestro!J:K,2,0)</f>
        <v>CARBON MOLIDO</v>
      </c>
      <c r="Q1185" s="43" t="str">
        <f>VLOOKUP(P1185,Maestro!E:F,2,0)</f>
        <v>Molienda de Carbón</v>
      </c>
      <c r="R1185" s="43">
        <f>VLOOKUP(P1185,ORD!$A:$C,3,0)</f>
        <v>4</v>
      </c>
      <c r="S1185" t="str">
        <f t="shared" si="21"/>
        <v>7355050103FINOSCARBMolienda de Carbón</v>
      </c>
      <c r="T1185" t="str">
        <f>IFERROR(VLOOKUP(S1185,Maestro!$A:$H,8,0),"Producción")</f>
        <v>Carbón</v>
      </c>
      <c r="U1185" s="43" t="s">
        <v>182</v>
      </c>
    </row>
    <row r="1186" spans="1:21" x14ac:dyDescent="0.3">
      <c r="A1186" s="43">
        <v>7355050103</v>
      </c>
      <c r="B1186" s="43" t="s">
        <v>450</v>
      </c>
      <c r="C1186" s="50">
        <f>Datos!$P$8*D1186+Datos!$P$90*D1186</f>
        <v>0</v>
      </c>
      <c r="D1186" s="50">
        <f>Datos!$P$462</f>
        <v>0</v>
      </c>
      <c r="E1186" s="43" t="s">
        <v>556</v>
      </c>
      <c r="F1186" s="43" t="s">
        <v>557</v>
      </c>
      <c r="G1186" s="43" t="s">
        <v>572</v>
      </c>
      <c r="H1186" s="43" t="s">
        <v>573</v>
      </c>
      <c r="I1186" s="43" t="s">
        <v>560</v>
      </c>
      <c r="J1186" s="43" t="s">
        <v>524</v>
      </c>
      <c r="K1186" s="43">
        <v>700002</v>
      </c>
      <c r="L1186" s="43">
        <v>9</v>
      </c>
      <c r="M1186" s="43" t="s">
        <v>682</v>
      </c>
      <c r="N1186" s="51"/>
      <c r="O1186" s="51"/>
      <c r="P1186" s="43" t="str">
        <f>VLOOKUP(K1186,Maestro!J:K,2,0)</f>
        <v>CARBON MOLIDO</v>
      </c>
      <c r="Q1186" s="43" t="str">
        <f>VLOOKUP(P1186,Maestro!E:F,2,0)</f>
        <v>Molienda de Carbón</v>
      </c>
      <c r="R1186" s="43">
        <f>VLOOKUP(P1186,ORD!$A:$C,3,0)</f>
        <v>4</v>
      </c>
      <c r="S1186" t="str">
        <f t="shared" si="21"/>
        <v>7355050103FINOSCARBMolienda de Carbón</v>
      </c>
      <c r="T1186" t="str">
        <f>IFERROR(VLOOKUP(S1186,Maestro!$A:$H,8,0),"Producción")</f>
        <v>Carbón</v>
      </c>
      <c r="U1186" s="43" t="s">
        <v>182</v>
      </c>
    </row>
    <row r="1187" spans="1:21" x14ac:dyDescent="0.3">
      <c r="A1187" s="43">
        <v>7355050103</v>
      </c>
      <c r="B1187" s="43" t="s">
        <v>450</v>
      </c>
      <c r="C1187" s="50">
        <f>Datos!$Q$8*D1187+Datos!$Q$90*D1187</f>
        <v>0</v>
      </c>
      <c r="D1187" s="50">
        <f>Datos!$Q$462</f>
        <v>0</v>
      </c>
      <c r="E1187" s="43" t="s">
        <v>556</v>
      </c>
      <c r="F1187" s="43" t="s">
        <v>557</v>
      </c>
      <c r="G1187" s="43" t="s">
        <v>572</v>
      </c>
      <c r="H1187" s="43" t="s">
        <v>573</v>
      </c>
      <c r="I1187" s="43" t="s">
        <v>560</v>
      </c>
      <c r="J1187" s="43" t="s">
        <v>524</v>
      </c>
      <c r="K1187" s="43">
        <v>700002</v>
      </c>
      <c r="L1187" s="43">
        <v>10</v>
      </c>
      <c r="M1187" s="43" t="s">
        <v>682</v>
      </c>
      <c r="N1187" s="51"/>
      <c r="O1187" s="51"/>
      <c r="P1187" s="43" t="str">
        <f>VLOOKUP(K1187,Maestro!J:K,2,0)</f>
        <v>CARBON MOLIDO</v>
      </c>
      <c r="Q1187" s="43" t="str">
        <f>VLOOKUP(P1187,Maestro!E:F,2,0)</f>
        <v>Molienda de Carbón</v>
      </c>
      <c r="R1187" s="43">
        <f>VLOOKUP(P1187,ORD!$A:$C,3,0)</f>
        <v>4</v>
      </c>
      <c r="S1187" t="str">
        <f t="shared" si="21"/>
        <v>7355050103FINOSCARBMolienda de Carbón</v>
      </c>
      <c r="T1187" t="str">
        <f>IFERROR(VLOOKUP(S1187,Maestro!$A:$H,8,0),"Producción")</f>
        <v>Carbón</v>
      </c>
      <c r="U1187" s="43" t="s">
        <v>182</v>
      </c>
    </row>
    <row r="1188" spans="1:21" x14ac:dyDescent="0.3">
      <c r="A1188" s="43">
        <v>7355050103</v>
      </c>
      <c r="B1188" s="43" t="s">
        <v>450</v>
      </c>
      <c r="C1188" s="50">
        <f>Datos!$R$8*D1188+Datos!$R$90*D1188</f>
        <v>0</v>
      </c>
      <c r="D1188" s="50">
        <f>Datos!$R$462</f>
        <v>0</v>
      </c>
      <c r="E1188" s="43" t="s">
        <v>556</v>
      </c>
      <c r="F1188" s="43" t="s">
        <v>557</v>
      </c>
      <c r="G1188" s="43" t="s">
        <v>572</v>
      </c>
      <c r="H1188" s="43" t="s">
        <v>573</v>
      </c>
      <c r="I1188" s="43" t="s">
        <v>560</v>
      </c>
      <c r="J1188" s="43" t="s">
        <v>524</v>
      </c>
      <c r="K1188" s="43">
        <v>700002</v>
      </c>
      <c r="L1188" s="43">
        <v>11</v>
      </c>
      <c r="M1188" s="43" t="s">
        <v>682</v>
      </c>
      <c r="N1188" s="51"/>
      <c r="O1188" s="51"/>
      <c r="P1188" s="43" t="str">
        <f>VLOOKUP(K1188,Maestro!J:K,2,0)</f>
        <v>CARBON MOLIDO</v>
      </c>
      <c r="Q1188" s="43" t="str">
        <f>VLOOKUP(P1188,Maestro!E:F,2,0)</f>
        <v>Molienda de Carbón</v>
      </c>
      <c r="R1188" s="43">
        <f>VLOOKUP(P1188,ORD!$A:$C,3,0)</f>
        <v>4</v>
      </c>
      <c r="S1188" t="str">
        <f t="shared" si="21"/>
        <v>7355050103FINOSCARBMolienda de Carbón</v>
      </c>
      <c r="T1188" t="str">
        <f>IFERROR(VLOOKUP(S1188,Maestro!$A:$H,8,0),"Producción")</f>
        <v>Carbón</v>
      </c>
      <c r="U1188" s="43" t="s">
        <v>182</v>
      </c>
    </row>
    <row r="1189" spans="1:21" x14ac:dyDescent="0.3">
      <c r="A1189" s="43">
        <v>7355050103</v>
      </c>
      <c r="B1189" s="43" t="s">
        <v>450</v>
      </c>
      <c r="C1189" s="50">
        <f>Datos!$S$8*D1189+Datos!$S$90*D1189</f>
        <v>0</v>
      </c>
      <c r="D1189" s="50">
        <f>Datos!$S$462</f>
        <v>0</v>
      </c>
      <c r="E1189" s="43" t="s">
        <v>556</v>
      </c>
      <c r="F1189" s="43" t="s">
        <v>557</v>
      </c>
      <c r="G1189" s="43" t="s">
        <v>572</v>
      </c>
      <c r="H1189" s="43" t="s">
        <v>573</v>
      </c>
      <c r="I1189" s="43" t="s">
        <v>560</v>
      </c>
      <c r="J1189" s="43" t="s">
        <v>524</v>
      </c>
      <c r="K1189" s="43">
        <v>700002</v>
      </c>
      <c r="L1189" s="43">
        <v>12</v>
      </c>
      <c r="M1189" s="43" t="s">
        <v>682</v>
      </c>
      <c r="N1189" s="51"/>
      <c r="O1189" s="51"/>
      <c r="P1189" s="43" t="str">
        <f>VLOOKUP(K1189,Maestro!J:K,2,0)</f>
        <v>CARBON MOLIDO</v>
      </c>
      <c r="Q1189" s="43" t="str">
        <f>VLOOKUP(P1189,Maestro!E:F,2,0)</f>
        <v>Molienda de Carbón</v>
      </c>
      <c r="R1189" s="43">
        <f>VLOOKUP(P1189,ORD!$A:$C,3,0)</f>
        <v>4</v>
      </c>
      <c r="S1189" t="str">
        <f t="shared" si="21"/>
        <v>7355050103FINOSCARBMolienda de Carbón</v>
      </c>
      <c r="T1189" t="str">
        <f>IFERROR(VLOOKUP(S1189,Maestro!$A:$H,8,0),"Producción")</f>
        <v>Carbón</v>
      </c>
      <c r="U1189" s="43" t="s">
        <v>182</v>
      </c>
    </row>
    <row r="1190" spans="1:21" x14ac:dyDescent="0.3">
      <c r="A1190" s="43">
        <v>7105330101</v>
      </c>
      <c r="B1190" s="43" t="s">
        <v>443</v>
      </c>
      <c r="C1190" s="52">
        <f>Datos!$H$77*D1190</f>
        <v>0</v>
      </c>
      <c r="D1190" s="56">
        <f>Datos!$H$254*Datos!$H$198*(1+Datos!$H$222)</f>
        <v>0</v>
      </c>
      <c r="E1190" s="43" t="s">
        <v>556</v>
      </c>
      <c r="F1190" s="43" t="s">
        <v>557</v>
      </c>
      <c r="G1190" s="43" t="s">
        <v>563</v>
      </c>
      <c r="H1190" s="43" t="s">
        <v>564</v>
      </c>
      <c r="I1190" s="43" t="s">
        <v>560</v>
      </c>
      <c r="J1190" s="43" t="s">
        <v>519</v>
      </c>
      <c r="K1190" s="43">
        <v>700064</v>
      </c>
      <c r="L1190" s="43">
        <v>1</v>
      </c>
      <c r="M1190" s="43" t="s">
        <v>576</v>
      </c>
      <c r="N1190" s="51"/>
      <c r="O1190" s="51"/>
      <c r="P1190" s="43" t="str">
        <f>VLOOKUP(K1190,Maestro!J:K,2,0)</f>
        <v>FIBROCEMENTO</v>
      </c>
      <c r="Q1190" s="43" t="str">
        <f>VLOOKUP(P1190,Maestro!E:F,2,0)</f>
        <v>Fibrocemento</v>
      </c>
      <c r="R1190" s="43">
        <f>VLOOKUP(P1190,ORD!$A:$C,3,0)</f>
        <v>16</v>
      </c>
      <c r="S1190" t="str">
        <f t="shared" si="21"/>
        <v>7105330101SALMARFibrocemento</v>
      </c>
      <c r="T1190" t="str">
        <f>IFERROR(VLOOKUP(S1190,Maestro!$A:$H,8,0),"Producción")</f>
        <v>Sal Marina</v>
      </c>
      <c r="U1190" s="43" t="s">
        <v>182</v>
      </c>
    </row>
    <row r="1191" spans="1:21" x14ac:dyDescent="0.3">
      <c r="A1191" s="43">
        <v>7105400101</v>
      </c>
      <c r="B1191" s="43" t="s">
        <v>535</v>
      </c>
      <c r="C1191" s="50">
        <f>Datos!$H$76*D1191</f>
        <v>0</v>
      </c>
      <c r="D1191" s="56">
        <f>Datos!$H$254*Datos!$H$202*(1+Datos!$H$229)</f>
        <v>0</v>
      </c>
      <c r="E1191" s="43" t="s">
        <v>556</v>
      </c>
      <c r="F1191" s="43" t="s">
        <v>557</v>
      </c>
      <c r="G1191" s="43" t="s">
        <v>563</v>
      </c>
      <c r="H1191" s="43" t="s">
        <v>564</v>
      </c>
      <c r="I1191" s="43" t="s">
        <v>560</v>
      </c>
      <c r="J1191" s="43" t="s">
        <v>536</v>
      </c>
      <c r="K1191" s="43">
        <v>700064</v>
      </c>
      <c r="L1191" s="43">
        <v>1</v>
      </c>
      <c r="M1191" s="43" t="s">
        <v>580</v>
      </c>
      <c r="N1191" s="51"/>
      <c r="O1191" s="51"/>
      <c r="P1191" s="43" t="str">
        <f>VLOOKUP(K1191,Maestro!J:K,2,0)</f>
        <v>FIBROCEMENTO</v>
      </c>
      <c r="Q1191" s="43" t="str">
        <f>VLOOKUP(P1191,Maestro!E:F,2,0)</f>
        <v>Fibrocemento</v>
      </c>
      <c r="R1191" s="43">
        <f>VLOOKUP(P1191,ORD!$A:$C,3,0)</f>
        <v>16</v>
      </c>
      <c r="S1191" t="str">
        <f t="shared" ref="S1191:S1250" si="22">A1191&amp;J1191&amp;Q1191</f>
        <v>7105400101ADIMOLIENFibrocemento</v>
      </c>
      <c r="T1191" t="str">
        <f>IFERROR(VLOOKUP(S1191,Maestro!$A:$H,8,0),"Producción")</f>
        <v>Aditivo Molienda</v>
      </c>
      <c r="U1191" s="43" t="s">
        <v>182</v>
      </c>
    </row>
    <row r="1192" spans="1:21" x14ac:dyDescent="0.3">
      <c r="A1192" s="43">
        <v>7105400101</v>
      </c>
      <c r="B1192" s="43" t="s">
        <v>535</v>
      </c>
      <c r="C1192" s="50">
        <f>Datos!$H$93*D1192+Datos!$H$90*D1192</f>
        <v>0</v>
      </c>
      <c r="D1192" s="56">
        <f>Datos!$I$254*Datos!$I$200*(1+Datos!$I$223)</f>
        <v>0</v>
      </c>
      <c r="E1192" s="43" t="s">
        <v>556</v>
      </c>
      <c r="F1192" s="43" t="s">
        <v>557</v>
      </c>
      <c r="G1192" s="43" t="s">
        <v>563</v>
      </c>
      <c r="H1192" s="43" t="s">
        <v>564</v>
      </c>
      <c r="I1192" s="43" t="s">
        <v>560</v>
      </c>
      <c r="J1192" s="43" t="s">
        <v>538</v>
      </c>
      <c r="K1192" s="43">
        <v>700064</v>
      </c>
      <c r="L1192" s="43">
        <v>1</v>
      </c>
      <c r="M1192" s="43" t="s">
        <v>538</v>
      </c>
      <c r="N1192" s="51"/>
      <c r="O1192" s="51"/>
      <c r="P1192" s="43" t="str">
        <f>VLOOKUP(K1192,Maestro!J:K,2,0)</f>
        <v>FIBROCEMENTO</v>
      </c>
      <c r="Q1192" s="43" t="str">
        <f>VLOOKUP(P1192,Maestro!E:F,2,0)</f>
        <v>Fibrocemento</v>
      </c>
      <c r="R1192" s="43">
        <f>VLOOKUP(P1192,ORD!$A:$C,3,0)</f>
        <v>16</v>
      </c>
      <c r="S1192" t="str">
        <f t="shared" si="22"/>
        <v>7105400101PUZOLANAFibrocemento</v>
      </c>
      <c r="T1192" t="str">
        <f>IFERROR(VLOOKUP(S1192,Maestro!$A:$H,8,0),"Producción")</f>
        <v>Puzolana</v>
      </c>
      <c r="U1192" s="43" t="s">
        <v>182</v>
      </c>
    </row>
    <row r="1193" spans="1:21" x14ac:dyDescent="0.3">
      <c r="A1193" s="43">
        <v>7105400101</v>
      </c>
      <c r="B1193" s="43" t="s">
        <v>535</v>
      </c>
      <c r="C1193" s="50"/>
      <c r="D1193" s="56">
        <f>Datos!$H$254*Datos!$H$199*(1+Datos!$H$218)</f>
        <v>0</v>
      </c>
      <c r="E1193" s="43" t="s">
        <v>556</v>
      </c>
      <c r="F1193" s="43" t="s">
        <v>557</v>
      </c>
      <c r="G1193" s="43" t="s">
        <v>563</v>
      </c>
      <c r="H1193" s="43" t="s">
        <v>564</v>
      </c>
      <c r="I1193" s="43" t="s">
        <v>560</v>
      </c>
      <c r="J1193" s="43" t="s">
        <v>539</v>
      </c>
      <c r="K1193" s="43">
        <v>700064</v>
      </c>
      <c r="L1193" s="43">
        <v>1</v>
      </c>
      <c r="M1193" s="43" t="s">
        <v>445</v>
      </c>
      <c r="N1193" s="51"/>
      <c r="O1193" s="51"/>
      <c r="P1193" s="43" t="str">
        <f>VLOOKUP(K1193,Maestro!J:K,2,0)</f>
        <v>FIBROCEMENTO</v>
      </c>
      <c r="Q1193" s="43" t="str">
        <f>VLOOKUP(P1193,Maestro!E:F,2,0)</f>
        <v>Fibrocemento</v>
      </c>
      <c r="R1193" s="43">
        <f>VLOOKUP(P1193,ORD!$A:$C,3,0)</f>
        <v>16</v>
      </c>
      <c r="S1193" t="str">
        <f t="shared" si="22"/>
        <v>7105400101CRUDOFibrocemento</v>
      </c>
      <c r="T1193" t="str">
        <f>IFERROR(VLOOKUP(S1193,Maestro!$A:$H,8,0),"Producción")</f>
        <v>Finos Filtro</v>
      </c>
      <c r="U1193" s="43" t="s">
        <v>182</v>
      </c>
    </row>
    <row r="1194" spans="1:21" x14ac:dyDescent="0.3">
      <c r="A1194" s="43">
        <v>7105330101</v>
      </c>
      <c r="B1194" s="43" t="s">
        <v>443</v>
      </c>
      <c r="C1194" s="52">
        <f>Datos!$I$77*D1194</f>
        <v>0</v>
      </c>
      <c r="D1194" s="56">
        <f>Datos!$I$254*Datos!$I$198*(1+Datos!$I$222)</f>
        <v>0</v>
      </c>
      <c r="E1194" s="43" t="s">
        <v>556</v>
      </c>
      <c r="F1194" s="43" t="s">
        <v>557</v>
      </c>
      <c r="G1194" s="43" t="s">
        <v>563</v>
      </c>
      <c r="H1194" s="43" t="s">
        <v>564</v>
      </c>
      <c r="I1194" s="43" t="s">
        <v>560</v>
      </c>
      <c r="J1194" s="43" t="s">
        <v>519</v>
      </c>
      <c r="K1194" s="43">
        <v>700064</v>
      </c>
      <c r="L1194" s="43">
        <v>2</v>
      </c>
      <c r="M1194" s="43" t="s">
        <v>576</v>
      </c>
      <c r="N1194" s="51"/>
      <c r="O1194" s="51"/>
      <c r="P1194" s="43" t="str">
        <f>VLOOKUP(K1194,Maestro!J:K,2,0)</f>
        <v>FIBROCEMENTO</v>
      </c>
      <c r="Q1194" s="43" t="str">
        <f>VLOOKUP(P1194,Maestro!E:F,2,0)</f>
        <v>Fibrocemento</v>
      </c>
      <c r="R1194" s="43">
        <f>VLOOKUP(P1194,ORD!$A:$C,3,0)</f>
        <v>16</v>
      </c>
      <c r="S1194" t="str">
        <f t="shared" si="22"/>
        <v>7105330101SALMARFibrocemento</v>
      </c>
      <c r="T1194" t="str">
        <f>IFERROR(VLOOKUP(S1194,Maestro!$A:$H,8,0),"Producción")</f>
        <v>Sal Marina</v>
      </c>
      <c r="U1194" s="43" t="s">
        <v>182</v>
      </c>
    </row>
    <row r="1195" spans="1:21" x14ac:dyDescent="0.3">
      <c r="A1195" s="43">
        <v>7105400101</v>
      </c>
      <c r="B1195" s="43" t="s">
        <v>535</v>
      </c>
      <c r="C1195" s="50">
        <f>Datos!$I$76*D1195</f>
        <v>0</v>
      </c>
      <c r="D1195" s="56">
        <f>Datos!$I$254*Datos!$I$202*(1+Datos!$I$229)</f>
        <v>0</v>
      </c>
      <c r="E1195" s="43" t="s">
        <v>556</v>
      </c>
      <c r="F1195" s="43" t="s">
        <v>557</v>
      </c>
      <c r="G1195" s="43" t="s">
        <v>563</v>
      </c>
      <c r="H1195" s="43" t="s">
        <v>564</v>
      </c>
      <c r="I1195" s="43" t="s">
        <v>560</v>
      </c>
      <c r="J1195" s="43" t="s">
        <v>536</v>
      </c>
      <c r="K1195" s="43">
        <v>700064</v>
      </c>
      <c r="L1195" s="43">
        <v>2</v>
      </c>
      <c r="M1195" s="43" t="s">
        <v>580</v>
      </c>
      <c r="N1195" s="51"/>
      <c r="O1195" s="51"/>
      <c r="P1195" s="43" t="str">
        <f>VLOOKUP(K1195,Maestro!J:K,2,0)</f>
        <v>FIBROCEMENTO</v>
      </c>
      <c r="Q1195" s="43" t="str">
        <f>VLOOKUP(P1195,Maestro!E:F,2,0)</f>
        <v>Fibrocemento</v>
      </c>
      <c r="R1195" s="43">
        <f>VLOOKUP(P1195,ORD!$A:$C,3,0)</f>
        <v>16</v>
      </c>
      <c r="S1195" t="str">
        <f t="shared" si="22"/>
        <v>7105400101ADIMOLIENFibrocemento</v>
      </c>
      <c r="T1195" t="str">
        <f>IFERROR(VLOOKUP(S1195,Maestro!$A:$H,8,0),"Producción")</f>
        <v>Aditivo Molienda</v>
      </c>
      <c r="U1195" s="43" t="s">
        <v>182</v>
      </c>
    </row>
    <row r="1196" spans="1:21" x14ac:dyDescent="0.3">
      <c r="A1196" s="43">
        <v>7105400101</v>
      </c>
      <c r="B1196" s="43" t="s">
        <v>535</v>
      </c>
      <c r="C1196" s="50">
        <f>Datos!$I$93*D1196+Datos!$I$90*D1196</f>
        <v>0</v>
      </c>
      <c r="D1196" s="56">
        <f>Datos!$I$254*Datos!$I$200*(1+Datos!$I$223)</f>
        <v>0</v>
      </c>
      <c r="E1196" s="43" t="s">
        <v>556</v>
      </c>
      <c r="F1196" s="43" t="s">
        <v>557</v>
      </c>
      <c r="G1196" s="43" t="s">
        <v>563</v>
      </c>
      <c r="H1196" s="43" t="s">
        <v>564</v>
      </c>
      <c r="I1196" s="43" t="s">
        <v>560</v>
      </c>
      <c r="J1196" s="43" t="s">
        <v>538</v>
      </c>
      <c r="K1196" s="43">
        <v>700064</v>
      </c>
      <c r="L1196" s="43">
        <v>2</v>
      </c>
      <c r="M1196" s="43" t="s">
        <v>538</v>
      </c>
      <c r="N1196" s="51"/>
      <c r="O1196" s="51"/>
      <c r="P1196" s="43" t="str">
        <f>VLOOKUP(K1196,Maestro!J:K,2,0)</f>
        <v>FIBROCEMENTO</v>
      </c>
      <c r="Q1196" s="43" t="str">
        <f>VLOOKUP(P1196,Maestro!E:F,2,0)</f>
        <v>Fibrocemento</v>
      </c>
      <c r="R1196" s="43">
        <f>VLOOKUP(P1196,ORD!$A:$C,3,0)</f>
        <v>16</v>
      </c>
      <c r="S1196" t="str">
        <f t="shared" si="22"/>
        <v>7105400101PUZOLANAFibrocemento</v>
      </c>
      <c r="T1196" t="str">
        <f>IFERROR(VLOOKUP(S1196,Maestro!$A:$H,8,0),"Producción")</f>
        <v>Puzolana</v>
      </c>
      <c r="U1196" s="43" t="s">
        <v>182</v>
      </c>
    </row>
    <row r="1197" spans="1:21" x14ac:dyDescent="0.3">
      <c r="A1197" s="43">
        <v>7105400101</v>
      </c>
      <c r="B1197" s="43" t="s">
        <v>535</v>
      </c>
      <c r="C1197" s="50"/>
      <c r="D1197" s="56">
        <f>Datos!$I$254*Datos!$I$199*(1+Datos!$I$218)</f>
        <v>0</v>
      </c>
      <c r="E1197" s="43" t="s">
        <v>556</v>
      </c>
      <c r="F1197" s="43" t="s">
        <v>557</v>
      </c>
      <c r="G1197" s="43" t="s">
        <v>563</v>
      </c>
      <c r="H1197" s="43" t="s">
        <v>564</v>
      </c>
      <c r="I1197" s="43" t="s">
        <v>560</v>
      </c>
      <c r="J1197" s="43" t="s">
        <v>539</v>
      </c>
      <c r="K1197" s="43">
        <v>700064</v>
      </c>
      <c r="L1197" s="43">
        <v>2</v>
      </c>
      <c r="M1197" s="43" t="s">
        <v>445</v>
      </c>
      <c r="N1197" s="51"/>
      <c r="O1197" s="51"/>
      <c r="P1197" s="43" t="str">
        <f>VLOOKUP(K1197,Maestro!J:K,2,0)</f>
        <v>FIBROCEMENTO</v>
      </c>
      <c r="Q1197" s="43" t="str">
        <f>VLOOKUP(P1197,Maestro!E:F,2,0)</f>
        <v>Fibrocemento</v>
      </c>
      <c r="R1197" s="43">
        <f>VLOOKUP(P1197,ORD!$A:$C,3,0)</f>
        <v>16</v>
      </c>
      <c r="S1197" t="str">
        <f t="shared" si="22"/>
        <v>7105400101CRUDOFibrocemento</v>
      </c>
      <c r="T1197" t="str">
        <f>IFERROR(VLOOKUP(S1197,Maestro!$A:$H,8,0),"Producción")</f>
        <v>Finos Filtro</v>
      </c>
      <c r="U1197" s="43" t="s">
        <v>182</v>
      </c>
    </row>
    <row r="1198" spans="1:21" x14ac:dyDescent="0.3">
      <c r="A1198" s="43">
        <v>7105330101</v>
      </c>
      <c r="B1198" s="43" t="s">
        <v>443</v>
      </c>
      <c r="C1198" s="52">
        <f>Datos!$J$77*D1198</f>
        <v>0</v>
      </c>
      <c r="D1198" s="56">
        <f>Datos!$J$254*Datos!$J$198*(1+Datos!$J$222)</f>
        <v>0</v>
      </c>
      <c r="E1198" s="43" t="s">
        <v>556</v>
      </c>
      <c r="F1198" s="43" t="s">
        <v>557</v>
      </c>
      <c r="G1198" s="43" t="s">
        <v>563</v>
      </c>
      <c r="H1198" s="43" t="s">
        <v>564</v>
      </c>
      <c r="I1198" s="43" t="s">
        <v>560</v>
      </c>
      <c r="J1198" s="43" t="s">
        <v>519</v>
      </c>
      <c r="K1198" s="43">
        <v>700064</v>
      </c>
      <c r="L1198" s="43">
        <v>3</v>
      </c>
      <c r="M1198" s="43" t="s">
        <v>576</v>
      </c>
      <c r="N1198" s="51"/>
      <c r="O1198" s="51"/>
      <c r="P1198" s="43" t="str">
        <f>VLOOKUP(K1198,Maestro!J:K,2,0)</f>
        <v>FIBROCEMENTO</v>
      </c>
      <c r="Q1198" s="43" t="str">
        <f>VLOOKUP(P1198,Maestro!E:F,2,0)</f>
        <v>Fibrocemento</v>
      </c>
      <c r="R1198" s="43">
        <f>VLOOKUP(P1198,ORD!$A:$C,3,0)</f>
        <v>16</v>
      </c>
      <c r="S1198" t="str">
        <f t="shared" si="22"/>
        <v>7105330101SALMARFibrocemento</v>
      </c>
      <c r="T1198" t="str">
        <f>IFERROR(VLOOKUP(S1198,Maestro!$A:$H,8,0),"Producción")</f>
        <v>Sal Marina</v>
      </c>
      <c r="U1198" s="43" t="s">
        <v>182</v>
      </c>
    </row>
    <row r="1199" spans="1:21" x14ac:dyDescent="0.3">
      <c r="A1199" s="43">
        <v>7105400101</v>
      </c>
      <c r="B1199" s="43" t="s">
        <v>535</v>
      </c>
      <c r="C1199" s="50">
        <f>Datos!$J$76*D1199</f>
        <v>0</v>
      </c>
      <c r="D1199" s="56">
        <f>Datos!$J$254*Datos!$J$202*(1+Datos!$J$229)</f>
        <v>0</v>
      </c>
      <c r="E1199" s="43" t="s">
        <v>556</v>
      </c>
      <c r="F1199" s="43" t="s">
        <v>557</v>
      </c>
      <c r="G1199" s="43" t="s">
        <v>563</v>
      </c>
      <c r="H1199" s="43" t="s">
        <v>564</v>
      </c>
      <c r="I1199" s="43" t="s">
        <v>560</v>
      </c>
      <c r="J1199" s="43" t="s">
        <v>536</v>
      </c>
      <c r="K1199" s="43">
        <v>700064</v>
      </c>
      <c r="L1199" s="43">
        <v>3</v>
      </c>
      <c r="M1199" s="43" t="s">
        <v>580</v>
      </c>
      <c r="N1199" s="51"/>
      <c r="O1199" s="51"/>
      <c r="P1199" s="43" t="str">
        <f>VLOOKUP(K1199,Maestro!J:K,2,0)</f>
        <v>FIBROCEMENTO</v>
      </c>
      <c r="Q1199" s="43" t="str">
        <f>VLOOKUP(P1199,Maestro!E:F,2,0)</f>
        <v>Fibrocemento</v>
      </c>
      <c r="R1199" s="43">
        <f>VLOOKUP(P1199,ORD!$A:$C,3,0)</f>
        <v>16</v>
      </c>
      <c r="S1199" t="str">
        <f t="shared" si="22"/>
        <v>7105400101ADIMOLIENFibrocemento</v>
      </c>
      <c r="T1199" t="str">
        <f>IFERROR(VLOOKUP(S1199,Maestro!$A:$H,8,0),"Producción")</f>
        <v>Aditivo Molienda</v>
      </c>
      <c r="U1199" s="43" t="s">
        <v>182</v>
      </c>
    </row>
    <row r="1200" spans="1:21" x14ac:dyDescent="0.3">
      <c r="A1200" s="43">
        <v>7105400101</v>
      </c>
      <c r="B1200" s="43" t="s">
        <v>535</v>
      </c>
      <c r="C1200" s="50">
        <f>Datos!$J$93*D1200+Datos!$J$90*D1200</f>
        <v>0</v>
      </c>
      <c r="D1200" s="56">
        <f>Datos!$J$254*Datos!$J$200*(1+Datos!$J$223)</f>
        <v>0</v>
      </c>
      <c r="E1200" s="43" t="s">
        <v>556</v>
      </c>
      <c r="F1200" s="43" t="s">
        <v>557</v>
      </c>
      <c r="G1200" s="43" t="s">
        <v>563</v>
      </c>
      <c r="H1200" s="43" t="s">
        <v>564</v>
      </c>
      <c r="I1200" s="43" t="s">
        <v>560</v>
      </c>
      <c r="J1200" s="43" t="s">
        <v>538</v>
      </c>
      <c r="K1200" s="43">
        <v>700064</v>
      </c>
      <c r="L1200" s="43">
        <v>3</v>
      </c>
      <c r="M1200" s="43" t="s">
        <v>538</v>
      </c>
      <c r="N1200" s="51"/>
      <c r="O1200" s="51"/>
      <c r="P1200" s="43" t="str">
        <f>VLOOKUP(K1200,Maestro!J:K,2,0)</f>
        <v>FIBROCEMENTO</v>
      </c>
      <c r="Q1200" s="43" t="str">
        <f>VLOOKUP(P1200,Maestro!E:F,2,0)</f>
        <v>Fibrocemento</v>
      </c>
      <c r="R1200" s="43">
        <f>VLOOKUP(P1200,ORD!$A:$C,3,0)</f>
        <v>16</v>
      </c>
      <c r="S1200" t="str">
        <f t="shared" si="22"/>
        <v>7105400101PUZOLANAFibrocemento</v>
      </c>
      <c r="T1200" t="str">
        <f>IFERROR(VLOOKUP(S1200,Maestro!$A:$H,8,0),"Producción")</f>
        <v>Puzolana</v>
      </c>
      <c r="U1200" s="43" t="s">
        <v>182</v>
      </c>
    </row>
    <row r="1201" spans="1:21" x14ac:dyDescent="0.3">
      <c r="A1201" s="43">
        <v>7105400101</v>
      </c>
      <c r="B1201" s="43" t="s">
        <v>535</v>
      </c>
      <c r="C1201" s="50"/>
      <c r="D1201" s="56">
        <f>Datos!$J$254*Datos!$J$199*(1+Datos!$J$218)</f>
        <v>0</v>
      </c>
      <c r="E1201" s="43" t="s">
        <v>556</v>
      </c>
      <c r="F1201" s="43" t="s">
        <v>557</v>
      </c>
      <c r="G1201" s="43" t="s">
        <v>563</v>
      </c>
      <c r="H1201" s="43" t="s">
        <v>564</v>
      </c>
      <c r="I1201" s="43" t="s">
        <v>560</v>
      </c>
      <c r="J1201" s="43" t="s">
        <v>539</v>
      </c>
      <c r="K1201" s="43">
        <v>700064</v>
      </c>
      <c r="L1201" s="43">
        <v>3</v>
      </c>
      <c r="M1201" s="43" t="s">
        <v>445</v>
      </c>
      <c r="N1201" s="51"/>
      <c r="O1201" s="51"/>
      <c r="P1201" s="43" t="str">
        <f>VLOOKUP(K1201,Maestro!J:K,2,0)</f>
        <v>FIBROCEMENTO</v>
      </c>
      <c r="Q1201" s="43" t="str">
        <f>VLOOKUP(P1201,Maestro!E:F,2,0)</f>
        <v>Fibrocemento</v>
      </c>
      <c r="R1201" s="43">
        <f>VLOOKUP(P1201,ORD!$A:$C,3,0)</f>
        <v>16</v>
      </c>
      <c r="S1201" t="str">
        <f t="shared" si="22"/>
        <v>7105400101CRUDOFibrocemento</v>
      </c>
      <c r="T1201" t="str">
        <f>IFERROR(VLOOKUP(S1201,Maestro!$A:$H,8,0),"Producción")</f>
        <v>Finos Filtro</v>
      </c>
      <c r="U1201" s="43" t="s">
        <v>182</v>
      </c>
    </row>
    <row r="1202" spans="1:21" x14ac:dyDescent="0.3">
      <c r="A1202" s="43">
        <v>7105330101</v>
      </c>
      <c r="B1202" s="43" t="s">
        <v>443</v>
      </c>
      <c r="C1202" s="52">
        <f>Datos!$K$77*D1202</f>
        <v>0</v>
      </c>
      <c r="D1202" s="56">
        <f>Datos!$K$254*Datos!$K$198*(1+Datos!$K$222)</f>
        <v>0</v>
      </c>
      <c r="E1202" s="43" t="s">
        <v>556</v>
      </c>
      <c r="F1202" s="43" t="s">
        <v>557</v>
      </c>
      <c r="G1202" s="43" t="s">
        <v>563</v>
      </c>
      <c r="H1202" s="43" t="s">
        <v>564</v>
      </c>
      <c r="I1202" s="43" t="s">
        <v>560</v>
      </c>
      <c r="J1202" s="43" t="s">
        <v>519</v>
      </c>
      <c r="K1202" s="43">
        <v>700064</v>
      </c>
      <c r="L1202" s="43">
        <v>4</v>
      </c>
      <c r="M1202" s="43" t="s">
        <v>576</v>
      </c>
      <c r="N1202" s="51"/>
      <c r="O1202" s="51"/>
      <c r="P1202" s="43" t="str">
        <f>VLOOKUP(K1202,Maestro!J:K,2,0)</f>
        <v>FIBROCEMENTO</v>
      </c>
      <c r="Q1202" s="43" t="str">
        <f>VLOOKUP(P1202,Maestro!E:F,2,0)</f>
        <v>Fibrocemento</v>
      </c>
      <c r="R1202" s="43">
        <f>VLOOKUP(P1202,ORD!$A:$C,3,0)</f>
        <v>16</v>
      </c>
      <c r="S1202" t="str">
        <f t="shared" si="22"/>
        <v>7105330101SALMARFibrocemento</v>
      </c>
      <c r="T1202" t="str">
        <f>IFERROR(VLOOKUP(S1202,Maestro!$A:$H,8,0),"Producción")</f>
        <v>Sal Marina</v>
      </c>
      <c r="U1202" s="43" t="s">
        <v>182</v>
      </c>
    </row>
    <row r="1203" spans="1:21" x14ac:dyDescent="0.3">
      <c r="A1203" s="43">
        <v>7105400101</v>
      </c>
      <c r="B1203" s="43" t="s">
        <v>535</v>
      </c>
      <c r="C1203" s="50">
        <f>Datos!$K$76*D1203</f>
        <v>0</v>
      </c>
      <c r="D1203" s="56">
        <f>Datos!$K$254*Datos!$K$202*(1+Datos!$K$229)</f>
        <v>0</v>
      </c>
      <c r="E1203" s="43" t="s">
        <v>556</v>
      </c>
      <c r="F1203" s="43" t="s">
        <v>557</v>
      </c>
      <c r="G1203" s="43" t="s">
        <v>563</v>
      </c>
      <c r="H1203" s="43" t="s">
        <v>564</v>
      </c>
      <c r="I1203" s="43" t="s">
        <v>560</v>
      </c>
      <c r="J1203" s="43" t="s">
        <v>536</v>
      </c>
      <c r="K1203" s="43">
        <v>700064</v>
      </c>
      <c r="L1203" s="43">
        <v>4</v>
      </c>
      <c r="M1203" s="43" t="s">
        <v>580</v>
      </c>
      <c r="N1203" s="51"/>
      <c r="O1203" s="51"/>
      <c r="P1203" s="43" t="str">
        <f>VLOOKUP(K1203,Maestro!J:K,2,0)</f>
        <v>FIBROCEMENTO</v>
      </c>
      <c r="Q1203" s="43" t="str">
        <f>VLOOKUP(P1203,Maestro!E:F,2,0)</f>
        <v>Fibrocemento</v>
      </c>
      <c r="R1203" s="43">
        <f>VLOOKUP(P1203,ORD!$A:$C,3,0)</f>
        <v>16</v>
      </c>
      <c r="S1203" t="str">
        <f t="shared" si="22"/>
        <v>7105400101ADIMOLIENFibrocemento</v>
      </c>
      <c r="T1203" t="str">
        <f>IFERROR(VLOOKUP(S1203,Maestro!$A:$H,8,0),"Producción")</f>
        <v>Aditivo Molienda</v>
      </c>
      <c r="U1203" s="43" t="s">
        <v>182</v>
      </c>
    </row>
    <row r="1204" spans="1:21" x14ac:dyDescent="0.3">
      <c r="A1204" s="43">
        <v>7105400101</v>
      </c>
      <c r="B1204" s="43" t="s">
        <v>535</v>
      </c>
      <c r="C1204" s="50">
        <f>Datos!$K$93*D1204+Datos!$K$90*D1204</f>
        <v>0</v>
      </c>
      <c r="D1204" s="56">
        <f>Datos!$K$254*Datos!$K$200*(1+Datos!$K$223)</f>
        <v>0</v>
      </c>
      <c r="E1204" s="43" t="s">
        <v>556</v>
      </c>
      <c r="F1204" s="43" t="s">
        <v>557</v>
      </c>
      <c r="G1204" s="43" t="s">
        <v>563</v>
      </c>
      <c r="H1204" s="43" t="s">
        <v>564</v>
      </c>
      <c r="I1204" s="43" t="s">
        <v>560</v>
      </c>
      <c r="J1204" s="43" t="s">
        <v>538</v>
      </c>
      <c r="K1204" s="43">
        <v>700064</v>
      </c>
      <c r="L1204" s="43">
        <v>4</v>
      </c>
      <c r="M1204" s="43" t="s">
        <v>538</v>
      </c>
      <c r="N1204" s="51"/>
      <c r="O1204" s="51"/>
      <c r="P1204" s="43" t="str">
        <f>VLOOKUP(K1204,Maestro!J:K,2,0)</f>
        <v>FIBROCEMENTO</v>
      </c>
      <c r="Q1204" s="43" t="str">
        <f>VLOOKUP(P1204,Maestro!E:F,2,0)</f>
        <v>Fibrocemento</v>
      </c>
      <c r="R1204" s="43">
        <f>VLOOKUP(P1204,ORD!$A:$C,3,0)</f>
        <v>16</v>
      </c>
      <c r="S1204" t="str">
        <f t="shared" si="22"/>
        <v>7105400101PUZOLANAFibrocemento</v>
      </c>
      <c r="T1204" t="str">
        <f>IFERROR(VLOOKUP(S1204,Maestro!$A:$H,8,0),"Producción")</f>
        <v>Puzolana</v>
      </c>
      <c r="U1204" s="43" t="s">
        <v>182</v>
      </c>
    </row>
    <row r="1205" spans="1:21" x14ac:dyDescent="0.3">
      <c r="A1205" s="43">
        <v>7105400101</v>
      </c>
      <c r="B1205" s="43" t="s">
        <v>535</v>
      </c>
      <c r="C1205" s="50"/>
      <c r="D1205" s="56">
        <f>Datos!$K$254*Datos!$K$199*(1+Datos!$K$218)</f>
        <v>0</v>
      </c>
      <c r="E1205" s="43" t="s">
        <v>556</v>
      </c>
      <c r="F1205" s="43" t="s">
        <v>557</v>
      </c>
      <c r="G1205" s="43" t="s">
        <v>563</v>
      </c>
      <c r="H1205" s="43" t="s">
        <v>564</v>
      </c>
      <c r="I1205" s="43" t="s">
        <v>560</v>
      </c>
      <c r="J1205" s="43" t="s">
        <v>539</v>
      </c>
      <c r="K1205" s="43">
        <v>700064</v>
      </c>
      <c r="L1205" s="43">
        <v>4</v>
      </c>
      <c r="M1205" s="43" t="s">
        <v>445</v>
      </c>
      <c r="N1205" s="51"/>
      <c r="O1205" s="51"/>
      <c r="P1205" s="43" t="str">
        <f>VLOOKUP(K1205,Maestro!J:K,2,0)</f>
        <v>FIBROCEMENTO</v>
      </c>
      <c r="Q1205" s="43" t="str">
        <f>VLOOKUP(P1205,Maestro!E:F,2,0)</f>
        <v>Fibrocemento</v>
      </c>
      <c r="R1205" s="43">
        <f>VLOOKUP(P1205,ORD!$A:$C,3,0)</f>
        <v>16</v>
      </c>
      <c r="S1205" t="str">
        <f t="shared" si="22"/>
        <v>7105400101CRUDOFibrocemento</v>
      </c>
      <c r="T1205" t="str">
        <f>IFERROR(VLOOKUP(S1205,Maestro!$A:$H,8,0),"Producción")</f>
        <v>Finos Filtro</v>
      </c>
      <c r="U1205" s="43" t="s">
        <v>182</v>
      </c>
    </row>
    <row r="1206" spans="1:21" x14ac:dyDescent="0.3">
      <c r="A1206" s="43">
        <v>7105330101</v>
      </c>
      <c r="B1206" s="43" t="s">
        <v>443</v>
      </c>
      <c r="C1206" s="52">
        <f>Datos!$L$77*D1206</f>
        <v>0</v>
      </c>
      <c r="D1206" s="56">
        <f>Datos!$L$254*Datos!$L$198*(1+Datos!$L$222)</f>
        <v>0</v>
      </c>
      <c r="E1206" s="43" t="s">
        <v>556</v>
      </c>
      <c r="F1206" s="43" t="s">
        <v>557</v>
      </c>
      <c r="G1206" s="43" t="s">
        <v>563</v>
      </c>
      <c r="H1206" s="43" t="s">
        <v>564</v>
      </c>
      <c r="I1206" s="43" t="s">
        <v>560</v>
      </c>
      <c r="J1206" s="43" t="s">
        <v>519</v>
      </c>
      <c r="K1206" s="43">
        <v>700064</v>
      </c>
      <c r="L1206" s="43">
        <v>5</v>
      </c>
      <c r="M1206" s="43" t="s">
        <v>576</v>
      </c>
      <c r="N1206" s="51"/>
      <c r="O1206" s="51"/>
      <c r="P1206" s="43" t="str">
        <f>VLOOKUP(K1206,Maestro!J:K,2,0)</f>
        <v>FIBROCEMENTO</v>
      </c>
      <c r="Q1206" s="43" t="str">
        <f>VLOOKUP(P1206,Maestro!E:F,2,0)</f>
        <v>Fibrocemento</v>
      </c>
      <c r="R1206" s="43">
        <f>VLOOKUP(P1206,ORD!$A:$C,3,0)</f>
        <v>16</v>
      </c>
      <c r="S1206" t="str">
        <f t="shared" si="22"/>
        <v>7105330101SALMARFibrocemento</v>
      </c>
      <c r="T1206" t="str">
        <f>IFERROR(VLOOKUP(S1206,Maestro!$A:$H,8,0),"Producción")</f>
        <v>Sal Marina</v>
      </c>
      <c r="U1206" s="43" t="s">
        <v>182</v>
      </c>
    </row>
    <row r="1207" spans="1:21" x14ac:dyDescent="0.3">
      <c r="A1207" s="43">
        <v>7105400101</v>
      </c>
      <c r="B1207" s="43" t="s">
        <v>535</v>
      </c>
      <c r="C1207" s="50">
        <f>Datos!$L$76*D1207</f>
        <v>0</v>
      </c>
      <c r="D1207" s="56">
        <f>Datos!$L$254*Datos!$L$202*(1+Datos!$L$229)</f>
        <v>0</v>
      </c>
      <c r="E1207" s="43" t="s">
        <v>556</v>
      </c>
      <c r="F1207" s="43" t="s">
        <v>557</v>
      </c>
      <c r="G1207" s="43" t="s">
        <v>563</v>
      </c>
      <c r="H1207" s="43" t="s">
        <v>564</v>
      </c>
      <c r="I1207" s="43" t="s">
        <v>560</v>
      </c>
      <c r="J1207" s="43" t="s">
        <v>536</v>
      </c>
      <c r="K1207" s="43">
        <v>700064</v>
      </c>
      <c r="L1207" s="43">
        <v>5</v>
      </c>
      <c r="M1207" s="43" t="s">
        <v>580</v>
      </c>
      <c r="N1207" s="51"/>
      <c r="O1207" s="51"/>
      <c r="P1207" s="43" t="str">
        <f>VLOOKUP(K1207,Maestro!J:K,2,0)</f>
        <v>FIBROCEMENTO</v>
      </c>
      <c r="Q1207" s="43" t="str">
        <f>VLOOKUP(P1207,Maestro!E:F,2,0)</f>
        <v>Fibrocemento</v>
      </c>
      <c r="R1207" s="43">
        <f>VLOOKUP(P1207,ORD!$A:$C,3,0)</f>
        <v>16</v>
      </c>
      <c r="S1207" t="str">
        <f t="shared" si="22"/>
        <v>7105400101ADIMOLIENFibrocemento</v>
      </c>
      <c r="T1207" t="str">
        <f>IFERROR(VLOOKUP(S1207,Maestro!$A:$H,8,0),"Producción")</f>
        <v>Aditivo Molienda</v>
      </c>
      <c r="U1207" s="43" t="s">
        <v>182</v>
      </c>
    </row>
    <row r="1208" spans="1:21" x14ac:dyDescent="0.3">
      <c r="A1208" s="43">
        <v>7105400101</v>
      </c>
      <c r="B1208" s="43" t="s">
        <v>535</v>
      </c>
      <c r="C1208" s="50">
        <f>Datos!$L$93*D1208+Datos!$L$90*D1208</f>
        <v>0</v>
      </c>
      <c r="D1208" s="56">
        <f>Datos!$L$254*Datos!$L$200*(1+Datos!$L$223)</f>
        <v>0</v>
      </c>
      <c r="E1208" s="43" t="s">
        <v>556</v>
      </c>
      <c r="F1208" s="43" t="s">
        <v>557</v>
      </c>
      <c r="G1208" s="43" t="s">
        <v>563</v>
      </c>
      <c r="H1208" s="43" t="s">
        <v>564</v>
      </c>
      <c r="I1208" s="43" t="s">
        <v>560</v>
      </c>
      <c r="J1208" s="43" t="s">
        <v>538</v>
      </c>
      <c r="K1208" s="43">
        <v>700064</v>
      </c>
      <c r="L1208" s="43">
        <v>5</v>
      </c>
      <c r="M1208" s="43" t="s">
        <v>538</v>
      </c>
      <c r="N1208" s="51"/>
      <c r="O1208" s="51"/>
      <c r="P1208" s="43" t="str">
        <f>VLOOKUP(K1208,Maestro!J:K,2,0)</f>
        <v>FIBROCEMENTO</v>
      </c>
      <c r="Q1208" s="43" t="str">
        <f>VLOOKUP(P1208,Maestro!E:F,2,0)</f>
        <v>Fibrocemento</v>
      </c>
      <c r="R1208" s="43">
        <f>VLOOKUP(P1208,ORD!$A:$C,3,0)</f>
        <v>16</v>
      </c>
      <c r="S1208" t="str">
        <f t="shared" si="22"/>
        <v>7105400101PUZOLANAFibrocemento</v>
      </c>
      <c r="T1208" t="str">
        <f>IFERROR(VLOOKUP(S1208,Maestro!$A:$H,8,0),"Producción")</f>
        <v>Puzolana</v>
      </c>
      <c r="U1208" s="43" t="s">
        <v>182</v>
      </c>
    </row>
    <row r="1209" spans="1:21" x14ac:dyDescent="0.3">
      <c r="A1209" s="43">
        <v>7105400101</v>
      </c>
      <c r="B1209" s="43" t="s">
        <v>535</v>
      </c>
      <c r="C1209" s="50"/>
      <c r="D1209" s="56">
        <f>Datos!$L$254*Datos!$L$199*(1+Datos!$L$218)</f>
        <v>0</v>
      </c>
      <c r="E1209" s="43" t="s">
        <v>556</v>
      </c>
      <c r="F1209" s="43" t="s">
        <v>557</v>
      </c>
      <c r="G1209" s="43" t="s">
        <v>563</v>
      </c>
      <c r="H1209" s="43" t="s">
        <v>564</v>
      </c>
      <c r="I1209" s="43" t="s">
        <v>560</v>
      </c>
      <c r="J1209" s="43" t="s">
        <v>539</v>
      </c>
      <c r="K1209" s="43">
        <v>700064</v>
      </c>
      <c r="L1209" s="43">
        <v>5</v>
      </c>
      <c r="M1209" s="43" t="s">
        <v>445</v>
      </c>
      <c r="N1209" s="51"/>
      <c r="O1209" s="51"/>
      <c r="P1209" s="43" t="str">
        <f>VLOOKUP(K1209,Maestro!J:K,2,0)</f>
        <v>FIBROCEMENTO</v>
      </c>
      <c r="Q1209" s="43" t="str">
        <f>VLOOKUP(P1209,Maestro!E:F,2,0)</f>
        <v>Fibrocemento</v>
      </c>
      <c r="R1209" s="43">
        <f>VLOOKUP(P1209,ORD!$A:$C,3,0)</f>
        <v>16</v>
      </c>
      <c r="S1209" t="str">
        <f t="shared" si="22"/>
        <v>7105400101CRUDOFibrocemento</v>
      </c>
      <c r="T1209" t="str">
        <f>IFERROR(VLOOKUP(S1209,Maestro!$A:$H,8,0),"Producción")</f>
        <v>Finos Filtro</v>
      </c>
      <c r="U1209" s="43" t="s">
        <v>182</v>
      </c>
    </row>
    <row r="1210" spans="1:21" x14ac:dyDescent="0.3">
      <c r="A1210" s="43">
        <v>7105330101</v>
      </c>
      <c r="B1210" s="43" t="s">
        <v>443</v>
      </c>
      <c r="C1210" s="52">
        <f>Datos!$M$77*D1210</f>
        <v>0</v>
      </c>
      <c r="D1210" s="56">
        <f>Datos!$M$254*Datos!$M$198*(1+Datos!$M$222)</f>
        <v>0</v>
      </c>
      <c r="E1210" s="43" t="s">
        <v>556</v>
      </c>
      <c r="F1210" s="43" t="s">
        <v>557</v>
      </c>
      <c r="G1210" s="43" t="s">
        <v>563</v>
      </c>
      <c r="H1210" s="43" t="s">
        <v>564</v>
      </c>
      <c r="I1210" s="43" t="s">
        <v>560</v>
      </c>
      <c r="J1210" s="43" t="s">
        <v>519</v>
      </c>
      <c r="K1210" s="43">
        <v>700064</v>
      </c>
      <c r="L1210" s="43">
        <v>6</v>
      </c>
      <c r="M1210" s="43" t="s">
        <v>576</v>
      </c>
      <c r="N1210" s="51"/>
      <c r="O1210" s="51"/>
      <c r="P1210" s="43" t="str">
        <f>VLOOKUP(K1210,Maestro!J:K,2,0)</f>
        <v>FIBROCEMENTO</v>
      </c>
      <c r="Q1210" s="43" t="str">
        <f>VLOOKUP(P1210,Maestro!E:F,2,0)</f>
        <v>Fibrocemento</v>
      </c>
      <c r="R1210" s="43">
        <f>VLOOKUP(P1210,ORD!$A:$C,3,0)</f>
        <v>16</v>
      </c>
      <c r="S1210" t="str">
        <f t="shared" si="22"/>
        <v>7105330101SALMARFibrocemento</v>
      </c>
      <c r="T1210" t="str">
        <f>IFERROR(VLOOKUP(S1210,Maestro!$A:$H,8,0),"Producción")</f>
        <v>Sal Marina</v>
      </c>
      <c r="U1210" s="43" t="s">
        <v>182</v>
      </c>
    </row>
    <row r="1211" spans="1:21" x14ac:dyDescent="0.3">
      <c r="A1211" s="43">
        <v>7105400101</v>
      </c>
      <c r="B1211" s="43" t="s">
        <v>535</v>
      </c>
      <c r="C1211" s="50">
        <f>Datos!$M$76*D1211</f>
        <v>0</v>
      </c>
      <c r="D1211" s="56">
        <f>Datos!$M$254*Datos!$M$202*(1+Datos!$M$229)</f>
        <v>0</v>
      </c>
      <c r="E1211" s="43" t="s">
        <v>556</v>
      </c>
      <c r="F1211" s="43" t="s">
        <v>557</v>
      </c>
      <c r="G1211" s="43" t="s">
        <v>563</v>
      </c>
      <c r="H1211" s="43" t="s">
        <v>564</v>
      </c>
      <c r="I1211" s="43" t="s">
        <v>560</v>
      </c>
      <c r="J1211" s="43" t="s">
        <v>536</v>
      </c>
      <c r="K1211" s="43">
        <v>700064</v>
      </c>
      <c r="L1211" s="43">
        <v>6</v>
      </c>
      <c r="M1211" s="43" t="s">
        <v>580</v>
      </c>
      <c r="N1211" s="51"/>
      <c r="O1211" s="51"/>
      <c r="P1211" s="43" t="str">
        <f>VLOOKUP(K1211,Maestro!J:K,2,0)</f>
        <v>FIBROCEMENTO</v>
      </c>
      <c r="Q1211" s="43" t="str">
        <f>VLOOKUP(P1211,Maestro!E:F,2,0)</f>
        <v>Fibrocemento</v>
      </c>
      <c r="R1211" s="43">
        <f>VLOOKUP(P1211,ORD!$A:$C,3,0)</f>
        <v>16</v>
      </c>
      <c r="S1211" t="str">
        <f t="shared" si="22"/>
        <v>7105400101ADIMOLIENFibrocemento</v>
      </c>
      <c r="T1211" t="str">
        <f>IFERROR(VLOOKUP(S1211,Maestro!$A:$H,8,0),"Producción")</f>
        <v>Aditivo Molienda</v>
      </c>
      <c r="U1211" s="43" t="s">
        <v>182</v>
      </c>
    </row>
    <row r="1212" spans="1:21" x14ac:dyDescent="0.3">
      <c r="A1212" s="43">
        <v>7105400101</v>
      </c>
      <c r="B1212" s="43" t="s">
        <v>535</v>
      </c>
      <c r="C1212" s="50">
        <f>Datos!$M$93*D1212+Datos!$M$90*D1212</f>
        <v>0</v>
      </c>
      <c r="D1212" s="56">
        <f>Datos!$M$254*Datos!$M$200*(1+Datos!$M$223)</f>
        <v>0</v>
      </c>
      <c r="E1212" s="43" t="s">
        <v>556</v>
      </c>
      <c r="F1212" s="43" t="s">
        <v>557</v>
      </c>
      <c r="G1212" s="43" t="s">
        <v>563</v>
      </c>
      <c r="H1212" s="43" t="s">
        <v>564</v>
      </c>
      <c r="I1212" s="43" t="s">
        <v>560</v>
      </c>
      <c r="J1212" s="43" t="s">
        <v>538</v>
      </c>
      <c r="K1212" s="43">
        <v>700064</v>
      </c>
      <c r="L1212" s="43">
        <v>6</v>
      </c>
      <c r="M1212" s="43" t="s">
        <v>538</v>
      </c>
      <c r="N1212" s="51"/>
      <c r="O1212" s="51"/>
      <c r="P1212" s="43" t="str">
        <f>VLOOKUP(K1212,Maestro!J:K,2,0)</f>
        <v>FIBROCEMENTO</v>
      </c>
      <c r="Q1212" s="43" t="str">
        <f>VLOOKUP(P1212,Maestro!E:F,2,0)</f>
        <v>Fibrocemento</v>
      </c>
      <c r="R1212" s="43">
        <f>VLOOKUP(P1212,ORD!$A:$C,3,0)</f>
        <v>16</v>
      </c>
      <c r="S1212" t="str">
        <f t="shared" si="22"/>
        <v>7105400101PUZOLANAFibrocemento</v>
      </c>
      <c r="T1212" t="str">
        <f>IFERROR(VLOOKUP(S1212,Maestro!$A:$H,8,0),"Producción")</f>
        <v>Puzolana</v>
      </c>
      <c r="U1212" s="43" t="s">
        <v>182</v>
      </c>
    </row>
    <row r="1213" spans="1:21" x14ac:dyDescent="0.3">
      <c r="A1213" s="43">
        <v>7105400101</v>
      </c>
      <c r="B1213" s="43" t="s">
        <v>535</v>
      </c>
      <c r="C1213" s="50"/>
      <c r="D1213" s="56">
        <f>Datos!$M$254*Datos!$M$199*(1+Datos!$M$218)</f>
        <v>0</v>
      </c>
      <c r="E1213" s="43" t="s">
        <v>556</v>
      </c>
      <c r="F1213" s="43" t="s">
        <v>557</v>
      </c>
      <c r="G1213" s="43" t="s">
        <v>563</v>
      </c>
      <c r="H1213" s="43" t="s">
        <v>564</v>
      </c>
      <c r="I1213" s="43" t="s">
        <v>560</v>
      </c>
      <c r="J1213" s="43" t="s">
        <v>539</v>
      </c>
      <c r="K1213" s="43">
        <v>700064</v>
      </c>
      <c r="L1213" s="43">
        <v>6</v>
      </c>
      <c r="M1213" s="43" t="s">
        <v>445</v>
      </c>
      <c r="N1213" s="51"/>
      <c r="O1213" s="51"/>
      <c r="P1213" s="43" t="str">
        <f>VLOOKUP(K1213,Maestro!J:K,2,0)</f>
        <v>FIBROCEMENTO</v>
      </c>
      <c r="Q1213" s="43" t="str">
        <f>VLOOKUP(P1213,Maestro!E:F,2,0)</f>
        <v>Fibrocemento</v>
      </c>
      <c r="R1213" s="43">
        <f>VLOOKUP(P1213,ORD!$A:$C,3,0)</f>
        <v>16</v>
      </c>
      <c r="S1213" t="str">
        <f t="shared" si="22"/>
        <v>7105400101CRUDOFibrocemento</v>
      </c>
      <c r="T1213" t="str">
        <f>IFERROR(VLOOKUP(S1213,Maestro!$A:$H,8,0),"Producción")</f>
        <v>Finos Filtro</v>
      </c>
      <c r="U1213" s="43" t="s">
        <v>182</v>
      </c>
    </row>
    <row r="1214" spans="1:21" x14ac:dyDescent="0.3">
      <c r="A1214" s="43">
        <v>7105330101</v>
      </c>
      <c r="B1214" s="43" t="s">
        <v>443</v>
      </c>
      <c r="C1214" s="52">
        <f>Datos!$N$77*D1214</f>
        <v>0</v>
      </c>
      <c r="D1214" s="56">
        <f>Datos!$N$254*Datos!$N$198*(1+Datos!$N$222)</f>
        <v>0</v>
      </c>
      <c r="E1214" s="43" t="s">
        <v>556</v>
      </c>
      <c r="F1214" s="43" t="s">
        <v>557</v>
      </c>
      <c r="G1214" s="43" t="s">
        <v>563</v>
      </c>
      <c r="H1214" s="43" t="s">
        <v>564</v>
      </c>
      <c r="I1214" s="43" t="s">
        <v>560</v>
      </c>
      <c r="J1214" s="43" t="s">
        <v>519</v>
      </c>
      <c r="K1214" s="43">
        <v>700064</v>
      </c>
      <c r="L1214" s="43">
        <v>7</v>
      </c>
      <c r="M1214" s="43" t="s">
        <v>576</v>
      </c>
      <c r="N1214" s="51"/>
      <c r="O1214" s="51"/>
      <c r="P1214" s="43" t="str">
        <f>VLOOKUP(K1214,Maestro!J:K,2,0)</f>
        <v>FIBROCEMENTO</v>
      </c>
      <c r="Q1214" s="43" t="str">
        <f>VLOOKUP(P1214,Maestro!E:F,2,0)</f>
        <v>Fibrocemento</v>
      </c>
      <c r="R1214" s="43">
        <f>VLOOKUP(P1214,ORD!$A:$C,3,0)</f>
        <v>16</v>
      </c>
      <c r="S1214" t="str">
        <f t="shared" si="22"/>
        <v>7105330101SALMARFibrocemento</v>
      </c>
      <c r="T1214" t="str">
        <f>IFERROR(VLOOKUP(S1214,Maestro!$A:$H,8,0),"Producción")</f>
        <v>Sal Marina</v>
      </c>
      <c r="U1214" s="43" t="s">
        <v>182</v>
      </c>
    </row>
    <row r="1215" spans="1:21" x14ac:dyDescent="0.3">
      <c r="A1215" s="43">
        <v>7105400101</v>
      </c>
      <c r="B1215" s="43" t="s">
        <v>535</v>
      </c>
      <c r="C1215" s="50">
        <f>Datos!$N$76*D1215</f>
        <v>0</v>
      </c>
      <c r="D1215" s="56">
        <f>Datos!$N$254*Datos!$N$202*(1+Datos!$N$229)</f>
        <v>0</v>
      </c>
      <c r="E1215" s="43" t="s">
        <v>556</v>
      </c>
      <c r="F1215" s="43" t="s">
        <v>557</v>
      </c>
      <c r="G1215" s="43" t="s">
        <v>563</v>
      </c>
      <c r="H1215" s="43" t="s">
        <v>564</v>
      </c>
      <c r="I1215" s="43" t="s">
        <v>560</v>
      </c>
      <c r="J1215" s="43" t="s">
        <v>536</v>
      </c>
      <c r="K1215" s="43">
        <v>700064</v>
      </c>
      <c r="L1215" s="43">
        <v>7</v>
      </c>
      <c r="M1215" s="43" t="s">
        <v>580</v>
      </c>
      <c r="N1215" s="51"/>
      <c r="O1215" s="51"/>
      <c r="P1215" s="43" t="str">
        <f>VLOOKUP(K1215,Maestro!J:K,2,0)</f>
        <v>FIBROCEMENTO</v>
      </c>
      <c r="Q1215" s="43" t="str">
        <f>VLOOKUP(P1215,Maestro!E:F,2,0)</f>
        <v>Fibrocemento</v>
      </c>
      <c r="R1215" s="43">
        <f>VLOOKUP(P1215,ORD!$A:$C,3,0)</f>
        <v>16</v>
      </c>
      <c r="S1215" t="str">
        <f t="shared" si="22"/>
        <v>7105400101ADIMOLIENFibrocemento</v>
      </c>
      <c r="T1215" t="str">
        <f>IFERROR(VLOOKUP(S1215,Maestro!$A:$H,8,0),"Producción")</f>
        <v>Aditivo Molienda</v>
      </c>
      <c r="U1215" s="43" t="s">
        <v>182</v>
      </c>
    </row>
    <row r="1216" spans="1:21" x14ac:dyDescent="0.3">
      <c r="A1216" s="43">
        <v>7105400101</v>
      </c>
      <c r="B1216" s="43" t="s">
        <v>535</v>
      </c>
      <c r="C1216" s="50">
        <f>Datos!$N$93*D1216+Datos!$N$90*D1216</f>
        <v>0</v>
      </c>
      <c r="D1216" s="56">
        <f>Datos!$N$254*Datos!$N$200*(1+Datos!$N$223)</f>
        <v>0</v>
      </c>
      <c r="E1216" s="43" t="s">
        <v>556</v>
      </c>
      <c r="F1216" s="43" t="s">
        <v>557</v>
      </c>
      <c r="G1216" s="43" t="s">
        <v>563</v>
      </c>
      <c r="H1216" s="43" t="s">
        <v>564</v>
      </c>
      <c r="I1216" s="43" t="s">
        <v>560</v>
      </c>
      <c r="J1216" s="43" t="s">
        <v>538</v>
      </c>
      <c r="K1216" s="43">
        <v>700064</v>
      </c>
      <c r="L1216" s="43">
        <v>7</v>
      </c>
      <c r="M1216" s="43" t="s">
        <v>538</v>
      </c>
      <c r="N1216" s="51"/>
      <c r="O1216" s="51"/>
      <c r="P1216" s="43" t="str">
        <f>VLOOKUP(K1216,Maestro!J:K,2,0)</f>
        <v>FIBROCEMENTO</v>
      </c>
      <c r="Q1216" s="43" t="str">
        <f>VLOOKUP(P1216,Maestro!E:F,2,0)</f>
        <v>Fibrocemento</v>
      </c>
      <c r="R1216" s="43">
        <f>VLOOKUP(P1216,ORD!$A:$C,3,0)</f>
        <v>16</v>
      </c>
      <c r="S1216" t="str">
        <f t="shared" si="22"/>
        <v>7105400101PUZOLANAFibrocemento</v>
      </c>
      <c r="T1216" t="str">
        <f>IFERROR(VLOOKUP(S1216,Maestro!$A:$H,8,0),"Producción")</f>
        <v>Puzolana</v>
      </c>
      <c r="U1216" s="43" t="s">
        <v>182</v>
      </c>
    </row>
    <row r="1217" spans="1:21" x14ac:dyDescent="0.3">
      <c r="A1217" s="43">
        <v>7105400101</v>
      </c>
      <c r="B1217" s="43" t="s">
        <v>535</v>
      </c>
      <c r="C1217" s="50"/>
      <c r="D1217" s="56">
        <f>Datos!$N$254*Datos!$N$199*(1+Datos!$N$218)</f>
        <v>0</v>
      </c>
      <c r="E1217" s="43" t="s">
        <v>556</v>
      </c>
      <c r="F1217" s="43" t="s">
        <v>557</v>
      </c>
      <c r="G1217" s="43" t="s">
        <v>563</v>
      </c>
      <c r="H1217" s="43" t="s">
        <v>564</v>
      </c>
      <c r="I1217" s="43" t="s">
        <v>560</v>
      </c>
      <c r="J1217" s="43" t="s">
        <v>539</v>
      </c>
      <c r="K1217" s="43">
        <v>700064</v>
      </c>
      <c r="L1217" s="43">
        <v>7</v>
      </c>
      <c r="M1217" s="43" t="s">
        <v>445</v>
      </c>
      <c r="N1217" s="51"/>
      <c r="O1217" s="51"/>
      <c r="P1217" s="43" t="str">
        <f>VLOOKUP(K1217,Maestro!J:K,2,0)</f>
        <v>FIBROCEMENTO</v>
      </c>
      <c r="Q1217" s="43" t="str">
        <f>VLOOKUP(P1217,Maestro!E:F,2,0)</f>
        <v>Fibrocemento</v>
      </c>
      <c r="R1217" s="43">
        <f>VLOOKUP(P1217,ORD!$A:$C,3,0)</f>
        <v>16</v>
      </c>
      <c r="S1217" t="str">
        <f t="shared" si="22"/>
        <v>7105400101CRUDOFibrocemento</v>
      </c>
      <c r="T1217" t="str">
        <f>IFERROR(VLOOKUP(S1217,Maestro!$A:$H,8,0),"Producción")</f>
        <v>Finos Filtro</v>
      </c>
      <c r="U1217" s="43" t="s">
        <v>182</v>
      </c>
    </row>
    <row r="1218" spans="1:21" x14ac:dyDescent="0.3">
      <c r="A1218" s="43">
        <v>7105330101</v>
      </c>
      <c r="B1218" s="43" t="s">
        <v>443</v>
      </c>
      <c r="C1218" s="52">
        <f>Datos!$O$77*D1218</f>
        <v>0</v>
      </c>
      <c r="D1218" s="56">
        <f>Datos!$O$254*Datos!$O$198*(1+Datos!$O$222)</f>
        <v>0</v>
      </c>
      <c r="E1218" s="43" t="s">
        <v>556</v>
      </c>
      <c r="F1218" s="43" t="s">
        <v>557</v>
      </c>
      <c r="G1218" s="43" t="s">
        <v>563</v>
      </c>
      <c r="H1218" s="43" t="s">
        <v>564</v>
      </c>
      <c r="I1218" s="43" t="s">
        <v>560</v>
      </c>
      <c r="J1218" s="43" t="s">
        <v>519</v>
      </c>
      <c r="K1218" s="43">
        <v>700064</v>
      </c>
      <c r="L1218" s="43">
        <v>8</v>
      </c>
      <c r="M1218" s="43" t="s">
        <v>576</v>
      </c>
      <c r="N1218" s="51"/>
      <c r="O1218" s="51"/>
      <c r="P1218" s="43" t="str">
        <f>VLOOKUP(K1218,Maestro!J:K,2,0)</f>
        <v>FIBROCEMENTO</v>
      </c>
      <c r="Q1218" s="43" t="str">
        <f>VLOOKUP(P1218,Maestro!E:F,2,0)</f>
        <v>Fibrocemento</v>
      </c>
      <c r="R1218" s="43">
        <f>VLOOKUP(P1218,ORD!$A:$C,3,0)</f>
        <v>16</v>
      </c>
      <c r="S1218" t="str">
        <f t="shared" si="22"/>
        <v>7105330101SALMARFibrocemento</v>
      </c>
      <c r="T1218" t="str">
        <f>IFERROR(VLOOKUP(S1218,Maestro!$A:$H,8,0),"Producción")</f>
        <v>Sal Marina</v>
      </c>
      <c r="U1218" s="43" t="s">
        <v>182</v>
      </c>
    </row>
    <row r="1219" spans="1:21" x14ac:dyDescent="0.3">
      <c r="A1219" s="43">
        <v>7105400101</v>
      </c>
      <c r="B1219" s="43" t="s">
        <v>535</v>
      </c>
      <c r="C1219" s="50">
        <f>Datos!$O$76*D1219</f>
        <v>0</v>
      </c>
      <c r="D1219" s="56">
        <f>Datos!$O$254*Datos!$O$202*(1+Datos!$O$229)</f>
        <v>0</v>
      </c>
      <c r="E1219" s="43" t="s">
        <v>556</v>
      </c>
      <c r="F1219" s="43" t="s">
        <v>557</v>
      </c>
      <c r="G1219" s="43" t="s">
        <v>563</v>
      </c>
      <c r="H1219" s="43" t="s">
        <v>564</v>
      </c>
      <c r="I1219" s="43" t="s">
        <v>560</v>
      </c>
      <c r="J1219" s="43" t="s">
        <v>536</v>
      </c>
      <c r="K1219" s="43">
        <v>700064</v>
      </c>
      <c r="L1219" s="43">
        <v>8</v>
      </c>
      <c r="M1219" s="43" t="s">
        <v>580</v>
      </c>
      <c r="N1219" s="51"/>
      <c r="O1219" s="51"/>
      <c r="P1219" s="43" t="str">
        <f>VLOOKUP(K1219,Maestro!J:K,2,0)</f>
        <v>FIBROCEMENTO</v>
      </c>
      <c r="Q1219" s="43" t="str">
        <f>VLOOKUP(P1219,Maestro!E:F,2,0)</f>
        <v>Fibrocemento</v>
      </c>
      <c r="R1219" s="43">
        <f>VLOOKUP(P1219,ORD!$A:$C,3,0)</f>
        <v>16</v>
      </c>
      <c r="S1219" t="str">
        <f t="shared" si="22"/>
        <v>7105400101ADIMOLIENFibrocemento</v>
      </c>
      <c r="T1219" t="str">
        <f>IFERROR(VLOOKUP(S1219,Maestro!$A:$H,8,0),"Producción")</f>
        <v>Aditivo Molienda</v>
      </c>
      <c r="U1219" s="43" t="s">
        <v>182</v>
      </c>
    </row>
    <row r="1220" spans="1:21" x14ac:dyDescent="0.3">
      <c r="A1220" s="43">
        <v>7105400101</v>
      </c>
      <c r="B1220" s="43" t="s">
        <v>535</v>
      </c>
      <c r="C1220" s="50">
        <f>Datos!$O$93*D1220+Datos!$O$90*D1220</f>
        <v>0</v>
      </c>
      <c r="D1220" s="56">
        <f>Datos!$O$254*Datos!$O$200*(1+Datos!$O$223)</f>
        <v>0</v>
      </c>
      <c r="E1220" s="43" t="s">
        <v>556</v>
      </c>
      <c r="F1220" s="43" t="s">
        <v>557</v>
      </c>
      <c r="G1220" s="43" t="s">
        <v>563</v>
      </c>
      <c r="H1220" s="43" t="s">
        <v>564</v>
      </c>
      <c r="I1220" s="43" t="s">
        <v>560</v>
      </c>
      <c r="J1220" s="43" t="s">
        <v>538</v>
      </c>
      <c r="K1220" s="43">
        <v>700064</v>
      </c>
      <c r="L1220" s="43">
        <v>8</v>
      </c>
      <c r="M1220" s="43" t="s">
        <v>538</v>
      </c>
      <c r="N1220" s="51"/>
      <c r="O1220" s="51"/>
      <c r="P1220" s="43" t="str">
        <f>VLOOKUP(K1220,Maestro!J:K,2,0)</f>
        <v>FIBROCEMENTO</v>
      </c>
      <c r="Q1220" s="43" t="str">
        <f>VLOOKUP(P1220,Maestro!E:F,2,0)</f>
        <v>Fibrocemento</v>
      </c>
      <c r="R1220" s="43">
        <f>VLOOKUP(P1220,ORD!$A:$C,3,0)</f>
        <v>16</v>
      </c>
      <c r="S1220" t="str">
        <f t="shared" si="22"/>
        <v>7105400101PUZOLANAFibrocemento</v>
      </c>
      <c r="T1220" t="str">
        <f>IFERROR(VLOOKUP(S1220,Maestro!$A:$H,8,0),"Producción")</f>
        <v>Puzolana</v>
      </c>
      <c r="U1220" s="43" t="s">
        <v>182</v>
      </c>
    </row>
    <row r="1221" spans="1:21" x14ac:dyDescent="0.3">
      <c r="A1221" s="43">
        <v>7105400101</v>
      </c>
      <c r="B1221" s="43" t="s">
        <v>535</v>
      </c>
      <c r="C1221" s="50"/>
      <c r="D1221" s="56">
        <f>Datos!$O$254*Datos!$O$199*(1+Datos!$O$218)</f>
        <v>0</v>
      </c>
      <c r="E1221" s="43" t="s">
        <v>556</v>
      </c>
      <c r="F1221" s="43" t="s">
        <v>557</v>
      </c>
      <c r="G1221" s="43" t="s">
        <v>563</v>
      </c>
      <c r="H1221" s="43" t="s">
        <v>564</v>
      </c>
      <c r="I1221" s="43" t="s">
        <v>560</v>
      </c>
      <c r="J1221" s="43" t="s">
        <v>539</v>
      </c>
      <c r="K1221" s="43">
        <v>700064</v>
      </c>
      <c r="L1221" s="43">
        <v>8</v>
      </c>
      <c r="M1221" s="43" t="s">
        <v>445</v>
      </c>
      <c r="N1221" s="51"/>
      <c r="O1221" s="51"/>
      <c r="P1221" s="43" t="str">
        <f>VLOOKUP(K1221,Maestro!J:K,2,0)</f>
        <v>FIBROCEMENTO</v>
      </c>
      <c r="Q1221" s="43" t="str">
        <f>VLOOKUP(P1221,Maestro!E:F,2,0)</f>
        <v>Fibrocemento</v>
      </c>
      <c r="R1221" s="43">
        <f>VLOOKUP(P1221,ORD!$A:$C,3,0)</f>
        <v>16</v>
      </c>
      <c r="S1221" t="str">
        <f t="shared" si="22"/>
        <v>7105400101CRUDOFibrocemento</v>
      </c>
      <c r="T1221" t="str">
        <f>IFERROR(VLOOKUP(S1221,Maestro!$A:$H,8,0),"Producción")</f>
        <v>Finos Filtro</v>
      </c>
      <c r="U1221" s="43" t="s">
        <v>182</v>
      </c>
    </row>
    <row r="1222" spans="1:21" x14ac:dyDescent="0.3">
      <c r="A1222" s="43">
        <v>7105330101</v>
      </c>
      <c r="B1222" s="43" t="s">
        <v>443</v>
      </c>
      <c r="C1222" s="52">
        <f>Datos!$P$77*D1222</f>
        <v>0</v>
      </c>
      <c r="D1222" s="56">
        <f>Datos!$P$254*Datos!$P$198*(1+Datos!$P$222)</f>
        <v>0</v>
      </c>
      <c r="E1222" s="43" t="s">
        <v>556</v>
      </c>
      <c r="F1222" s="43" t="s">
        <v>557</v>
      </c>
      <c r="G1222" s="43" t="s">
        <v>563</v>
      </c>
      <c r="H1222" s="43" t="s">
        <v>564</v>
      </c>
      <c r="I1222" s="43" t="s">
        <v>560</v>
      </c>
      <c r="J1222" s="43" t="s">
        <v>519</v>
      </c>
      <c r="K1222" s="43">
        <v>700064</v>
      </c>
      <c r="L1222" s="43">
        <v>9</v>
      </c>
      <c r="M1222" s="43" t="s">
        <v>576</v>
      </c>
      <c r="N1222" s="51"/>
      <c r="O1222" s="51"/>
      <c r="P1222" s="43" t="str">
        <f>VLOOKUP(K1222,Maestro!J:K,2,0)</f>
        <v>FIBROCEMENTO</v>
      </c>
      <c r="Q1222" s="43" t="str">
        <f>VLOOKUP(P1222,Maestro!E:F,2,0)</f>
        <v>Fibrocemento</v>
      </c>
      <c r="R1222" s="43">
        <f>VLOOKUP(P1222,ORD!$A:$C,3,0)</f>
        <v>16</v>
      </c>
      <c r="S1222" t="str">
        <f t="shared" si="22"/>
        <v>7105330101SALMARFibrocemento</v>
      </c>
      <c r="T1222" t="str">
        <f>IFERROR(VLOOKUP(S1222,Maestro!$A:$H,8,0),"Producción")</f>
        <v>Sal Marina</v>
      </c>
      <c r="U1222" s="43" t="s">
        <v>182</v>
      </c>
    </row>
    <row r="1223" spans="1:21" x14ac:dyDescent="0.3">
      <c r="A1223" s="43">
        <v>7105400101</v>
      </c>
      <c r="B1223" s="43" t="s">
        <v>535</v>
      </c>
      <c r="C1223" s="50">
        <f>Datos!$P$76*D1223</f>
        <v>0</v>
      </c>
      <c r="D1223" s="56">
        <f>Datos!$P$254*Datos!$P$202*(1+Datos!$P$229)</f>
        <v>0</v>
      </c>
      <c r="E1223" s="43" t="s">
        <v>556</v>
      </c>
      <c r="F1223" s="43" t="s">
        <v>557</v>
      </c>
      <c r="G1223" s="43" t="s">
        <v>563</v>
      </c>
      <c r="H1223" s="43" t="s">
        <v>564</v>
      </c>
      <c r="I1223" s="43" t="s">
        <v>560</v>
      </c>
      <c r="J1223" s="43" t="s">
        <v>536</v>
      </c>
      <c r="K1223" s="43">
        <v>700064</v>
      </c>
      <c r="L1223" s="43">
        <v>9</v>
      </c>
      <c r="M1223" s="43" t="s">
        <v>580</v>
      </c>
      <c r="N1223" s="51"/>
      <c r="O1223" s="51"/>
      <c r="P1223" s="43" t="str">
        <f>VLOOKUP(K1223,Maestro!J:K,2,0)</f>
        <v>FIBROCEMENTO</v>
      </c>
      <c r="Q1223" s="43" t="str">
        <f>VLOOKUP(P1223,Maestro!E:F,2,0)</f>
        <v>Fibrocemento</v>
      </c>
      <c r="R1223" s="43">
        <f>VLOOKUP(P1223,ORD!$A:$C,3,0)</f>
        <v>16</v>
      </c>
      <c r="S1223" t="str">
        <f t="shared" si="22"/>
        <v>7105400101ADIMOLIENFibrocemento</v>
      </c>
      <c r="T1223" t="str">
        <f>IFERROR(VLOOKUP(S1223,Maestro!$A:$H,8,0),"Producción")</f>
        <v>Aditivo Molienda</v>
      </c>
      <c r="U1223" s="43" t="s">
        <v>182</v>
      </c>
    </row>
    <row r="1224" spans="1:21" x14ac:dyDescent="0.3">
      <c r="A1224" s="43">
        <v>7105400101</v>
      </c>
      <c r="B1224" s="43" t="s">
        <v>535</v>
      </c>
      <c r="C1224" s="50">
        <f>Datos!$P$93*D1224+Datos!$P$90*D1224</f>
        <v>0</v>
      </c>
      <c r="D1224" s="56">
        <f>Datos!$P$254*Datos!$P$200*(1+Datos!$P$223)</f>
        <v>0</v>
      </c>
      <c r="E1224" s="43" t="s">
        <v>556</v>
      </c>
      <c r="F1224" s="43" t="s">
        <v>557</v>
      </c>
      <c r="G1224" s="43" t="s">
        <v>563</v>
      </c>
      <c r="H1224" s="43" t="s">
        <v>564</v>
      </c>
      <c r="I1224" s="43" t="s">
        <v>560</v>
      </c>
      <c r="J1224" s="43" t="s">
        <v>538</v>
      </c>
      <c r="K1224" s="43">
        <v>700064</v>
      </c>
      <c r="L1224" s="43">
        <v>9</v>
      </c>
      <c r="M1224" s="43" t="s">
        <v>538</v>
      </c>
      <c r="N1224" s="51"/>
      <c r="O1224" s="51"/>
      <c r="P1224" s="43" t="str">
        <f>VLOOKUP(K1224,Maestro!J:K,2,0)</f>
        <v>FIBROCEMENTO</v>
      </c>
      <c r="Q1224" s="43" t="str">
        <f>VLOOKUP(P1224,Maestro!E:F,2,0)</f>
        <v>Fibrocemento</v>
      </c>
      <c r="R1224" s="43">
        <f>VLOOKUP(P1224,ORD!$A:$C,3,0)</f>
        <v>16</v>
      </c>
      <c r="S1224" t="str">
        <f t="shared" si="22"/>
        <v>7105400101PUZOLANAFibrocemento</v>
      </c>
      <c r="T1224" t="str">
        <f>IFERROR(VLOOKUP(S1224,Maestro!$A:$H,8,0),"Producción")</f>
        <v>Puzolana</v>
      </c>
      <c r="U1224" s="43" t="s">
        <v>182</v>
      </c>
    </row>
    <row r="1225" spans="1:21" x14ac:dyDescent="0.3">
      <c r="A1225" s="43">
        <v>7105400101</v>
      </c>
      <c r="B1225" s="43" t="s">
        <v>535</v>
      </c>
      <c r="C1225" s="50"/>
      <c r="D1225" s="56">
        <f>Datos!$P$254*Datos!$P$199*(1+Datos!$P$218)</f>
        <v>0</v>
      </c>
      <c r="E1225" s="43" t="s">
        <v>556</v>
      </c>
      <c r="F1225" s="43" t="s">
        <v>557</v>
      </c>
      <c r="G1225" s="43" t="s">
        <v>563</v>
      </c>
      <c r="H1225" s="43" t="s">
        <v>564</v>
      </c>
      <c r="I1225" s="43" t="s">
        <v>560</v>
      </c>
      <c r="J1225" s="43" t="s">
        <v>539</v>
      </c>
      <c r="K1225" s="43">
        <v>700064</v>
      </c>
      <c r="L1225" s="43">
        <v>9</v>
      </c>
      <c r="M1225" s="43" t="s">
        <v>445</v>
      </c>
      <c r="N1225" s="51"/>
      <c r="O1225" s="51"/>
      <c r="P1225" s="43" t="str">
        <f>VLOOKUP(K1225,Maestro!J:K,2,0)</f>
        <v>FIBROCEMENTO</v>
      </c>
      <c r="Q1225" s="43" t="str">
        <f>VLOOKUP(P1225,Maestro!E:F,2,0)</f>
        <v>Fibrocemento</v>
      </c>
      <c r="R1225" s="43">
        <f>VLOOKUP(P1225,ORD!$A:$C,3,0)</f>
        <v>16</v>
      </c>
      <c r="S1225" t="str">
        <f t="shared" si="22"/>
        <v>7105400101CRUDOFibrocemento</v>
      </c>
      <c r="T1225" t="str">
        <f>IFERROR(VLOOKUP(S1225,Maestro!$A:$H,8,0),"Producción")</f>
        <v>Finos Filtro</v>
      </c>
      <c r="U1225" s="43" t="s">
        <v>182</v>
      </c>
    </row>
    <row r="1226" spans="1:21" x14ac:dyDescent="0.3">
      <c r="A1226" s="43">
        <v>7105330101</v>
      </c>
      <c r="B1226" s="43" t="s">
        <v>443</v>
      </c>
      <c r="C1226" s="52">
        <f>Datos!$Q$77*D1226</f>
        <v>0</v>
      </c>
      <c r="D1226" s="56">
        <f>Datos!$Q$254*Datos!$Q$198*(1+Datos!$Q$222)</f>
        <v>0</v>
      </c>
      <c r="E1226" s="43" t="s">
        <v>556</v>
      </c>
      <c r="F1226" s="43" t="s">
        <v>557</v>
      </c>
      <c r="G1226" s="43" t="s">
        <v>563</v>
      </c>
      <c r="H1226" s="43" t="s">
        <v>564</v>
      </c>
      <c r="I1226" s="43" t="s">
        <v>560</v>
      </c>
      <c r="J1226" s="43" t="s">
        <v>519</v>
      </c>
      <c r="K1226" s="43">
        <v>700064</v>
      </c>
      <c r="L1226" s="43">
        <v>10</v>
      </c>
      <c r="M1226" s="43" t="s">
        <v>576</v>
      </c>
      <c r="N1226" s="51"/>
      <c r="O1226" s="51"/>
      <c r="P1226" s="43" t="str">
        <f>VLOOKUP(K1226,Maestro!J:K,2,0)</f>
        <v>FIBROCEMENTO</v>
      </c>
      <c r="Q1226" s="43" t="str">
        <f>VLOOKUP(P1226,Maestro!E:F,2,0)</f>
        <v>Fibrocemento</v>
      </c>
      <c r="R1226" s="43">
        <f>VLOOKUP(P1226,ORD!$A:$C,3,0)</f>
        <v>16</v>
      </c>
      <c r="S1226" t="str">
        <f t="shared" si="22"/>
        <v>7105330101SALMARFibrocemento</v>
      </c>
      <c r="T1226" t="str">
        <f>IFERROR(VLOOKUP(S1226,Maestro!$A:$H,8,0),"Producción")</f>
        <v>Sal Marina</v>
      </c>
      <c r="U1226" s="43" t="s">
        <v>182</v>
      </c>
    </row>
    <row r="1227" spans="1:21" x14ac:dyDescent="0.3">
      <c r="A1227" s="43">
        <v>7105400101</v>
      </c>
      <c r="B1227" s="43" t="s">
        <v>535</v>
      </c>
      <c r="C1227" s="50">
        <f>Datos!$Q$76*D1227</f>
        <v>0</v>
      </c>
      <c r="D1227" s="56">
        <f>Datos!$Q$254*Datos!$Q$202*(1+Datos!$Q$229)</f>
        <v>0</v>
      </c>
      <c r="E1227" s="43" t="s">
        <v>556</v>
      </c>
      <c r="F1227" s="43" t="s">
        <v>557</v>
      </c>
      <c r="G1227" s="43" t="s">
        <v>563</v>
      </c>
      <c r="H1227" s="43" t="s">
        <v>564</v>
      </c>
      <c r="I1227" s="43" t="s">
        <v>560</v>
      </c>
      <c r="J1227" s="43" t="s">
        <v>536</v>
      </c>
      <c r="K1227" s="43">
        <v>700064</v>
      </c>
      <c r="L1227" s="43">
        <v>10</v>
      </c>
      <c r="M1227" s="43" t="s">
        <v>580</v>
      </c>
      <c r="N1227" s="51"/>
      <c r="O1227" s="51"/>
      <c r="P1227" s="43" t="str">
        <f>VLOOKUP(K1227,Maestro!J:K,2,0)</f>
        <v>FIBROCEMENTO</v>
      </c>
      <c r="Q1227" s="43" t="str">
        <f>VLOOKUP(P1227,Maestro!E:F,2,0)</f>
        <v>Fibrocemento</v>
      </c>
      <c r="R1227" s="43">
        <f>VLOOKUP(P1227,ORD!$A:$C,3,0)</f>
        <v>16</v>
      </c>
      <c r="S1227" t="str">
        <f t="shared" si="22"/>
        <v>7105400101ADIMOLIENFibrocemento</v>
      </c>
      <c r="T1227" t="str">
        <f>IFERROR(VLOOKUP(S1227,Maestro!$A:$H,8,0),"Producción")</f>
        <v>Aditivo Molienda</v>
      </c>
      <c r="U1227" s="43" t="s">
        <v>182</v>
      </c>
    </row>
    <row r="1228" spans="1:21" x14ac:dyDescent="0.3">
      <c r="A1228" s="43">
        <v>7105400101</v>
      </c>
      <c r="B1228" s="43" t="s">
        <v>535</v>
      </c>
      <c r="C1228" s="50">
        <f>Datos!$Q$93*D1228+Datos!$Q$90*D1228</f>
        <v>0</v>
      </c>
      <c r="D1228" s="56">
        <f>Datos!$Q$254*Datos!$Q$200*(1+Datos!$Q$223)</f>
        <v>0</v>
      </c>
      <c r="E1228" s="43" t="s">
        <v>556</v>
      </c>
      <c r="F1228" s="43" t="s">
        <v>557</v>
      </c>
      <c r="G1228" s="43" t="s">
        <v>563</v>
      </c>
      <c r="H1228" s="43" t="s">
        <v>564</v>
      </c>
      <c r="I1228" s="43" t="s">
        <v>560</v>
      </c>
      <c r="J1228" s="43" t="s">
        <v>538</v>
      </c>
      <c r="K1228" s="43">
        <v>700064</v>
      </c>
      <c r="L1228" s="43">
        <v>10</v>
      </c>
      <c r="M1228" s="43" t="s">
        <v>538</v>
      </c>
      <c r="N1228" s="51"/>
      <c r="O1228" s="51"/>
      <c r="P1228" s="43" t="str">
        <f>VLOOKUP(K1228,Maestro!J:K,2,0)</f>
        <v>FIBROCEMENTO</v>
      </c>
      <c r="Q1228" s="43" t="str">
        <f>VLOOKUP(P1228,Maestro!E:F,2,0)</f>
        <v>Fibrocemento</v>
      </c>
      <c r="R1228" s="43">
        <f>VLOOKUP(P1228,ORD!$A:$C,3,0)</f>
        <v>16</v>
      </c>
      <c r="S1228" t="str">
        <f t="shared" si="22"/>
        <v>7105400101PUZOLANAFibrocemento</v>
      </c>
      <c r="T1228" t="str">
        <f>IFERROR(VLOOKUP(S1228,Maestro!$A:$H,8,0),"Producción")</f>
        <v>Puzolana</v>
      </c>
      <c r="U1228" s="43" t="s">
        <v>182</v>
      </c>
    </row>
    <row r="1229" spans="1:21" x14ac:dyDescent="0.3">
      <c r="A1229" s="43">
        <v>7105400101</v>
      </c>
      <c r="B1229" s="43" t="s">
        <v>535</v>
      </c>
      <c r="C1229" s="50"/>
      <c r="D1229" s="56">
        <f>Datos!$Q$254*Datos!$Q$199*(1+Datos!$Q$218)</f>
        <v>0</v>
      </c>
      <c r="E1229" s="43" t="s">
        <v>556</v>
      </c>
      <c r="F1229" s="43" t="s">
        <v>557</v>
      </c>
      <c r="G1229" s="43" t="s">
        <v>563</v>
      </c>
      <c r="H1229" s="43" t="s">
        <v>564</v>
      </c>
      <c r="I1229" s="43" t="s">
        <v>560</v>
      </c>
      <c r="J1229" s="43" t="s">
        <v>539</v>
      </c>
      <c r="K1229" s="43">
        <v>700064</v>
      </c>
      <c r="L1229" s="43">
        <v>10</v>
      </c>
      <c r="M1229" s="43" t="s">
        <v>445</v>
      </c>
      <c r="N1229" s="51"/>
      <c r="O1229" s="51"/>
      <c r="P1229" s="43" t="str">
        <f>VLOOKUP(K1229,Maestro!J:K,2,0)</f>
        <v>FIBROCEMENTO</v>
      </c>
      <c r="Q1229" s="43" t="str">
        <f>VLOOKUP(P1229,Maestro!E:F,2,0)</f>
        <v>Fibrocemento</v>
      </c>
      <c r="R1229" s="43">
        <f>VLOOKUP(P1229,ORD!$A:$C,3,0)</f>
        <v>16</v>
      </c>
      <c r="S1229" t="str">
        <f t="shared" si="22"/>
        <v>7105400101CRUDOFibrocemento</v>
      </c>
      <c r="T1229" t="str">
        <f>IFERROR(VLOOKUP(S1229,Maestro!$A:$H,8,0),"Producción")</f>
        <v>Finos Filtro</v>
      </c>
      <c r="U1229" s="43" t="s">
        <v>182</v>
      </c>
    </row>
    <row r="1230" spans="1:21" x14ac:dyDescent="0.3">
      <c r="A1230" s="43">
        <v>7105330101</v>
      </c>
      <c r="B1230" s="43" t="s">
        <v>443</v>
      </c>
      <c r="C1230" s="52">
        <f>Datos!$R$77*D1230</f>
        <v>0</v>
      </c>
      <c r="D1230" s="56">
        <f>Datos!$R$254*Datos!$R$198*(1+Datos!$R$222)</f>
        <v>0</v>
      </c>
      <c r="E1230" s="43" t="s">
        <v>556</v>
      </c>
      <c r="F1230" s="43" t="s">
        <v>557</v>
      </c>
      <c r="G1230" s="43" t="s">
        <v>563</v>
      </c>
      <c r="H1230" s="43" t="s">
        <v>564</v>
      </c>
      <c r="I1230" s="43" t="s">
        <v>560</v>
      </c>
      <c r="J1230" s="43" t="s">
        <v>519</v>
      </c>
      <c r="K1230" s="43">
        <v>700064</v>
      </c>
      <c r="L1230" s="43">
        <v>11</v>
      </c>
      <c r="M1230" s="43" t="s">
        <v>576</v>
      </c>
      <c r="N1230" s="51"/>
      <c r="O1230" s="51"/>
      <c r="P1230" s="43" t="str">
        <f>VLOOKUP(K1230,Maestro!J:K,2,0)</f>
        <v>FIBROCEMENTO</v>
      </c>
      <c r="Q1230" s="43" t="str">
        <f>VLOOKUP(P1230,Maestro!E:F,2,0)</f>
        <v>Fibrocemento</v>
      </c>
      <c r="R1230" s="43">
        <f>VLOOKUP(P1230,ORD!$A:$C,3,0)</f>
        <v>16</v>
      </c>
      <c r="S1230" t="str">
        <f t="shared" si="22"/>
        <v>7105330101SALMARFibrocemento</v>
      </c>
      <c r="T1230" t="str">
        <f>IFERROR(VLOOKUP(S1230,Maestro!$A:$H,8,0),"Producción")</f>
        <v>Sal Marina</v>
      </c>
      <c r="U1230" s="43" t="s">
        <v>182</v>
      </c>
    </row>
    <row r="1231" spans="1:21" x14ac:dyDescent="0.3">
      <c r="A1231" s="43">
        <v>7105400101</v>
      </c>
      <c r="B1231" s="43" t="s">
        <v>535</v>
      </c>
      <c r="C1231" s="50">
        <f>Datos!$R$76*D1231</f>
        <v>0</v>
      </c>
      <c r="D1231" s="56">
        <f>Datos!$R$254*Datos!$R$202*(1+Datos!$R$229)</f>
        <v>0</v>
      </c>
      <c r="E1231" s="43" t="s">
        <v>556</v>
      </c>
      <c r="F1231" s="43" t="s">
        <v>557</v>
      </c>
      <c r="G1231" s="43" t="s">
        <v>563</v>
      </c>
      <c r="H1231" s="43" t="s">
        <v>564</v>
      </c>
      <c r="I1231" s="43" t="s">
        <v>560</v>
      </c>
      <c r="J1231" s="43" t="s">
        <v>536</v>
      </c>
      <c r="K1231" s="43">
        <v>700064</v>
      </c>
      <c r="L1231" s="43">
        <v>11</v>
      </c>
      <c r="M1231" s="43" t="s">
        <v>580</v>
      </c>
      <c r="N1231" s="51"/>
      <c r="O1231" s="51"/>
      <c r="P1231" s="43" t="str">
        <f>VLOOKUP(K1231,Maestro!J:K,2,0)</f>
        <v>FIBROCEMENTO</v>
      </c>
      <c r="Q1231" s="43" t="str">
        <f>VLOOKUP(P1231,Maestro!E:F,2,0)</f>
        <v>Fibrocemento</v>
      </c>
      <c r="R1231" s="43">
        <f>VLOOKUP(P1231,ORD!$A:$C,3,0)</f>
        <v>16</v>
      </c>
      <c r="S1231" t="str">
        <f t="shared" si="22"/>
        <v>7105400101ADIMOLIENFibrocemento</v>
      </c>
      <c r="T1231" t="str">
        <f>IFERROR(VLOOKUP(S1231,Maestro!$A:$H,8,0),"Producción")</f>
        <v>Aditivo Molienda</v>
      </c>
      <c r="U1231" s="43" t="s">
        <v>182</v>
      </c>
    </row>
    <row r="1232" spans="1:21" x14ac:dyDescent="0.3">
      <c r="A1232" s="43">
        <v>7105400101</v>
      </c>
      <c r="B1232" s="43" t="s">
        <v>535</v>
      </c>
      <c r="C1232" s="50">
        <f>Datos!$R$93*D1232+Datos!$R$90*D1232</f>
        <v>0</v>
      </c>
      <c r="D1232" s="56">
        <f>Datos!$R$254*Datos!$R$200*(1+Datos!$R$223)</f>
        <v>0</v>
      </c>
      <c r="E1232" s="43" t="s">
        <v>556</v>
      </c>
      <c r="F1232" s="43" t="s">
        <v>557</v>
      </c>
      <c r="G1232" s="43" t="s">
        <v>563</v>
      </c>
      <c r="H1232" s="43" t="s">
        <v>564</v>
      </c>
      <c r="I1232" s="43" t="s">
        <v>560</v>
      </c>
      <c r="J1232" s="43" t="s">
        <v>538</v>
      </c>
      <c r="K1232" s="43">
        <v>700064</v>
      </c>
      <c r="L1232" s="43">
        <v>11</v>
      </c>
      <c r="M1232" s="43" t="s">
        <v>538</v>
      </c>
      <c r="N1232" s="51"/>
      <c r="O1232" s="51"/>
      <c r="P1232" s="43" t="str">
        <f>VLOOKUP(K1232,Maestro!J:K,2,0)</f>
        <v>FIBROCEMENTO</v>
      </c>
      <c r="Q1232" s="43" t="str">
        <f>VLOOKUP(P1232,Maestro!E:F,2,0)</f>
        <v>Fibrocemento</v>
      </c>
      <c r="R1232" s="43">
        <f>VLOOKUP(P1232,ORD!$A:$C,3,0)</f>
        <v>16</v>
      </c>
      <c r="S1232" t="str">
        <f t="shared" si="22"/>
        <v>7105400101PUZOLANAFibrocemento</v>
      </c>
      <c r="T1232" t="str">
        <f>IFERROR(VLOOKUP(S1232,Maestro!$A:$H,8,0),"Producción")</f>
        <v>Puzolana</v>
      </c>
      <c r="U1232" s="43" t="s">
        <v>182</v>
      </c>
    </row>
    <row r="1233" spans="1:21" x14ac:dyDescent="0.3">
      <c r="A1233" s="43">
        <v>7105400101</v>
      </c>
      <c r="B1233" s="43" t="s">
        <v>535</v>
      </c>
      <c r="C1233" s="50"/>
      <c r="D1233" s="56">
        <f>Datos!$R$254*Datos!$R$199*(1+Datos!$R$218)</f>
        <v>0</v>
      </c>
      <c r="E1233" s="43" t="s">
        <v>556</v>
      </c>
      <c r="F1233" s="43" t="s">
        <v>557</v>
      </c>
      <c r="G1233" s="43" t="s">
        <v>563</v>
      </c>
      <c r="H1233" s="43" t="s">
        <v>564</v>
      </c>
      <c r="I1233" s="43" t="s">
        <v>560</v>
      </c>
      <c r="J1233" s="43" t="s">
        <v>539</v>
      </c>
      <c r="K1233" s="43">
        <v>700064</v>
      </c>
      <c r="L1233" s="43">
        <v>11</v>
      </c>
      <c r="M1233" s="43" t="s">
        <v>445</v>
      </c>
      <c r="N1233" s="51"/>
      <c r="O1233" s="51"/>
      <c r="P1233" s="43" t="str">
        <f>VLOOKUP(K1233,Maestro!J:K,2,0)</f>
        <v>FIBROCEMENTO</v>
      </c>
      <c r="Q1233" s="43" t="str">
        <f>VLOOKUP(P1233,Maestro!E:F,2,0)</f>
        <v>Fibrocemento</v>
      </c>
      <c r="R1233" s="43">
        <f>VLOOKUP(P1233,ORD!$A:$C,3,0)</f>
        <v>16</v>
      </c>
      <c r="S1233" t="str">
        <f t="shared" si="22"/>
        <v>7105400101CRUDOFibrocemento</v>
      </c>
      <c r="T1233" t="str">
        <f>IFERROR(VLOOKUP(S1233,Maestro!$A:$H,8,0),"Producción")</f>
        <v>Finos Filtro</v>
      </c>
      <c r="U1233" s="43" t="s">
        <v>182</v>
      </c>
    </row>
    <row r="1234" spans="1:21" x14ac:dyDescent="0.3">
      <c r="A1234" s="43">
        <v>7105330101</v>
      </c>
      <c r="B1234" s="43" t="s">
        <v>443</v>
      </c>
      <c r="C1234" s="52">
        <f>Datos!$S$77*D1234</f>
        <v>0</v>
      </c>
      <c r="D1234" s="56">
        <f>Datos!$S$254*Datos!$S$198*(1+Datos!$S$222)</f>
        <v>0</v>
      </c>
      <c r="E1234" s="43" t="s">
        <v>556</v>
      </c>
      <c r="F1234" s="43" t="s">
        <v>557</v>
      </c>
      <c r="G1234" s="43" t="s">
        <v>563</v>
      </c>
      <c r="H1234" s="43" t="s">
        <v>564</v>
      </c>
      <c r="I1234" s="43" t="s">
        <v>560</v>
      </c>
      <c r="J1234" s="43" t="s">
        <v>519</v>
      </c>
      <c r="K1234" s="43">
        <v>700064</v>
      </c>
      <c r="L1234" s="43">
        <v>12</v>
      </c>
      <c r="M1234" s="43" t="s">
        <v>576</v>
      </c>
      <c r="N1234" s="51"/>
      <c r="O1234" s="51"/>
      <c r="P1234" s="43" t="str">
        <f>VLOOKUP(K1234,Maestro!J:K,2,0)</f>
        <v>FIBROCEMENTO</v>
      </c>
      <c r="Q1234" s="43" t="str">
        <f>VLOOKUP(P1234,Maestro!E:F,2,0)</f>
        <v>Fibrocemento</v>
      </c>
      <c r="R1234" s="43">
        <f>VLOOKUP(P1234,ORD!$A:$C,3,0)</f>
        <v>16</v>
      </c>
      <c r="S1234" t="str">
        <f t="shared" si="22"/>
        <v>7105330101SALMARFibrocemento</v>
      </c>
      <c r="T1234" t="str">
        <f>IFERROR(VLOOKUP(S1234,Maestro!$A:$H,8,0),"Producción")</f>
        <v>Sal Marina</v>
      </c>
      <c r="U1234" s="43" t="s">
        <v>182</v>
      </c>
    </row>
    <row r="1235" spans="1:21" x14ac:dyDescent="0.3">
      <c r="A1235" s="43">
        <v>7105400101</v>
      </c>
      <c r="B1235" s="43" t="s">
        <v>535</v>
      </c>
      <c r="C1235" s="50">
        <f>Datos!$S$76*D1235</f>
        <v>0</v>
      </c>
      <c r="D1235" s="56">
        <f>Datos!$S$254*Datos!$S$202*(1+Datos!$S$229)</f>
        <v>0</v>
      </c>
      <c r="E1235" s="43" t="s">
        <v>556</v>
      </c>
      <c r="F1235" s="43" t="s">
        <v>557</v>
      </c>
      <c r="G1235" s="43" t="s">
        <v>563</v>
      </c>
      <c r="H1235" s="43" t="s">
        <v>564</v>
      </c>
      <c r="I1235" s="43" t="s">
        <v>560</v>
      </c>
      <c r="J1235" s="43" t="s">
        <v>536</v>
      </c>
      <c r="K1235" s="43">
        <v>700064</v>
      </c>
      <c r="L1235" s="43">
        <v>12</v>
      </c>
      <c r="M1235" s="43" t="s">
        <v>580</v>
      </c>
      <c r="N1235" s="51"/>
      <c r="O1235" s="51"/>
      <c r="P1235" s="43" t="str">
        <f>VLOOKUP(K1235,Maestro!J:K,2,0)</f>
        <v>FIBROCEMENTO</v>
      </c>
      <c r="Q1235" s="43" t="str">
        <f>VLOOKUP(P1235,Maestro!E:F,2,0)</f>
        <v>Fibrocemento</v>
      </c>
      <c r="R1235" s="43">
        <f>VLOOKUP(P1235,ORD!$A:$C,3,0)</f>
        <v>16</v>
      </c>
      <c r="S1235" t="str">
        <f t="shared" si="22"/>
        <v>7105400101ADIMOLIENFibrocemento</v>
      </c>
      <c r="T1235" t="str">
        <f>IFERROR(VLOOKUP(S1235,Maestro!$A:$H,8,0),"Producción")</f>
        <v>Aditivo Molienda</v>
      </c>
      <c r="U1235" s="43" t="s">
        <v>182</v>
      </c>
    </row>
    <row r="1236" spans="1:21" x14ac:dyDescent="0.3">
      <c r="A1236" s="43">
        <v>7105400101</v>
      </c>
      <c r="B1236" s="43" t="s">
        <v>535</v>
      </c>
      <c r="C1236" s="50">
        <f>Datos!$S$93*D1236+Datos!$S$90*D1236</f>
        <v>0</v>
      </c>
      <c r="D1236" s="56">
        <f>Datos!$S$254*Datos!$S$200*(1+Datos!$S$223)</f>
        <v>0</v>
      </c>
      <c r="E1236" s="43" t="s">
        <v>556</v>
      </c>
      <c r="F1236" s="43" t="s">
        <v>557</v>
      </c>
      <c r="G1236" s="43" t="s">
        <v>563</v>
      </c>
      <c r="H1236" s="43" t="s">
        <v>564</v>
      </c>
      <c r="I1236" s="43" t="s">
        <v>560</v>
      </c>
      <c r="J1236" s="43" t="s">
        <v>538</v>
      </c>
      <c r="K1236" s="43">
        <v>700064</v>
      </c>
      <c r="L1236" s="43">
        <v>12</v>
      </c>
      <c r="M1236" s="43" t="s">
        <v>538</v>
      </c>
      <c r="N1236" s="51"/>
      <c r="O1236" s="51"/>
      <c r="P1236" s="43" t="str">
        <f>VLOOKUP(K1236,Maestro!J:K,2,0)</f>
        <v>FIBROCEMENTO</v>
      </c>
      <c r="Q1236" s="43" t="str">
        <f>VLOOKUP(P1236,Maestro!E:F,2,0)</f>
        <v>Fibrocemento</v>
      </c>
      <c r="R1236" s="43">
        <f>VLOOKUP(P1236,ORD!$A:$C,3,0)</f>
        <v>16</v>
      </c>
      <c r="S1236" t="str">
        <f t="shared" si="22"/>
        <v>7105400101PUZOLANAFibrocemento</v>
      </c>
      <c r="T1236" t="str">
        <f>IFERROR(VLOOKUP(S1236,Maestro!$A:$H,8,0),"Producción")</f>
        <v>Puzolana</v>
      </c>
      <c r="U1236" s="43" t="s">
        <v>182</v>
      </c>
    </row>
    <row r="1237" spans="1:21" x14ac:dyDescent="0.3">
      <c r="A1237" s="43">
        <v>7105400101</v>
      </c>
      <c r="B1237" s="43" t="s">
        <v>535</v>
      </c>
      <c r="C1237" s="50"/>
      <c r="D1237" s="56">
        <f>Datos!$S$254*Datos!$S$199*(1+Datos!$S$218)</f>
        <v>0</v>
      </c>
      <c r="E1237" s="43" t="s">
        <v>556</v>
      </c>
      <c r="F1237" s="43" t="s">
        <v>557</v>
      </c>
      <c r="G1237" s="43" t="s">
        <v>563</v>
      </c>
      <c r="H1237" s="43" t="s">
        <v>564</v>
      </c>
      <c r="I1237" s="43" t="s">
        <v>560</v>
      </c>
      <c r="J1237" s="43" t="s">
        <v>539</v>
      </c>
      <c r="K1237" s="43">
        <v>700064</v>
      </c>
      <c r="L1237" s="43">
        <v>12</v>
      </c>
      <c r="M1237" s="43" t="s">
        <v>445</v>
      </c>
      <c r="N1237" s="51"/>
      <c r="O1237" s="51"/>
      <c r="P1237" s="43" t="str">
        <f>VLOOKUP(K1237,Maestro!J:K,2,0)</f>
        <v>FIBROCEMENTO</v>
      </c>
      <c r="Q1237" s="43" t="str">
        <f>VLOOKUP(P1237,Maestro!E:F,2,0)</f>
        <v>Fibrocemento</v>
      </c>
      <c r="R1237" s="43">
        <f>VLOOKUP(P1237,ORD!$A:$C,3,0)</f>
        <v>16</v>
      </c>
      <c r="S1237" t="str">
        <f t="shared" si="22"/>
        <v>7105400101CRUDOFibrocemento</v>
      </c>
      <c r="T1237" t="str">
        <f>IFERROR(VLOOKUP(S1237,Maestro!$A:$H,8,0),"Producción")</f>
        <v>Finos Filtro</v>
      </c>
      <c r="U1237" s="43" t="s">
        <v>182</v>
      </c>
    </row>
    <row r="1238" spans="1:21" x14ac:dyDescent="0.3">
      <c r="A1238" s="43">
        <v>7355250321</v>
      </c>
      <c r="B1238" s="43" t="s">
        <v>490</v>
      </c>
      <c r="C1238" s="52">
        <f>Datos!$H$97*D1238</f>
        <v>0</v>
      </c>
      <c r="D1238" s="56">
        <f>Datos!$H$254*Datos!$H$198*(1+Datos!$H$222)</f>
        <v>0</v>
      </c>
      <c r="E1238" s="57"/>
      <c r="F1238" s="58"/>
      <c r="G1238" s="43"/>
      <c r="H1238" s="43"/>
      <c r="I1238" s="43" t="s">
        <v>560</v>
      </c>
      <c r="J1238" s="43" t="s">
        <v>795</v>
      </c>
      <c r="K1238" s="43">
        <v>700064</v>
      </c>
      <c r="L1238" s="43">
        <v>1</v>
      </c>
      <c r="M1238" s="43" t="s">
        <v>468</v>
      </c>
      <c r="N1238" s="53"/>
      <c r="O1238" s="53"/>
      <c r="P1238" s="43" t="str">
        <f>VLOOKUP(K1238,Maestro!J:K,2,0)</f>
        <v>FIBROCEMENTO</v>
      </c>
      <c r="Q1238" s="43" t="str">
        <f>VLOOKUP(P1238,Maestro!E:F,2,0)</f>
        <v>Fibrocemento</v>
      </c>
      <c r="R1238" s="43">
        <f>VLOOKUP(P1238,ORD!$A:$C,3,0)</f>
        <v>16</v>
      </c>
      <c r="S1238" t="str">
        <f t="shared" si="22"/>
        <v>7355250321DOSIFICADOR DE SALFibrocemento</v>
      </c>
      <c r="T1238" t="str">
        <f>IFERROR(VLOOKUP(S1238,Maestro!$A:$H,8,0),"Producción")</f>
        <v>Dosificador de Sal</v>
      </c>
      <c r="U1238" s="43" t="s">
        <v>182</v>
      </c>
    </row>
    <row r="1239" spans="1:21" x14ac:dyDescent="0.3">
      <c r="A1239" s="43">
        <v>7355250321</v>
      </c>
      <c r="B1239" s="43" t="s">
        <v>490</v>
      </c>
      <c r="C1239" s="52">
        <f>Datos!$I$97*D1239</f>
        <v>0</v>
      </c>
      <c r="D1239" s="56">
        <f>Datos!$I$254*Datos!$I$198*(1+Datos!$I$222)</f>
        <v>0</v>
      </c>
      <c r="E1239" s="57"/>
      <c r="F1239" s="58"/>
      <c r="G1239" s="43"/>
      <c r="H1239" s="43"/>
      <c r="I1239" s="43" t="s">
        <v>560</v>
      </c>
      <c r="J1239" s="43" t="s">
        <v>795</v>
      </c>
      <c r="K1239" s="43">
        <v>700064</v>
      </c>
      <c r="L1239" s="43">
        <v>2</v>
      </c>
      <c r="M1239" s="43" t="s">
        <v>468</v>
      </c>
      <c r="N1239" s="53"/>
      <c r="O1239" s="53"/>
      <c r="P1239" s="43" t="str">
        <f>VLOOKUP(K1239,Maestro!J:K,2,0)</f>
        <v>FIBROCEMENTO</v>
      </c>
      <c r="Q1239" s="43" t="str">
        <f>VLOOKUP(P1239,Maestro!E:F,2,0)</f>
        <v>Fibrocemento</v>
      </c>
      <c r="R1239" s="43">
        <f>VLOOKUP(P1239,ORD!$A:$C,3,0)</f>
        <v>16</v>
      </c>
      <c r="S1239" t="str">
        <f t="shared" si="22"/>
        <v>7355250321DOSIFICADOR DE SALFibrocemento</v>
      </c>
      <c r="T1239" t="str">
        <f>IFERROR(VLOOKUP(S1239,Maestro!$A:$H,8,0),"Producción")</f>
        <v>Dosificador de Sal</v>
      </c>
      <c r="U1239" s="43" t="s">
        <v>182</v>
      </c>
    </row>
    <row r="1240" spans="1:21" x14ac:dyDescent="0.3">
      <c r="A1240" s="43">
        <v>7355250321</v>
      </c>
      <c r="B1240" s="43" t="s">
        <v>490</v>
      </c>
      <c r="C1240" s="52">
        <f>Datos!$J$97*D1240</f>
        <v>0</v>
      </c>
      <c r="D1240" s="56">
        <f>Datos!$J$254*Datos!$J$198*(1+Datos!$J$222)</f>
        <v>0</v>
      </c>
      <c r="E1240" s="57"/>
      <c r="F1240" s="58"/>
      <c r="G1240" s="43"/>
      <c r="H1240" s="43"/>
      <c r="I1240" s="43" t="s">
        <v>560</v>
      </c>
      <c r="J1240" s="43" t="s">
        <v>795</v>
      </c>
      <c r="K1240" s="43">
        <v>700064</v>
      </c>
      <c r="L1240" s="43">
        <v>3</v>
      </c>
      <c r="M1240" s="43" t="s">
        <v>468</v>
      </c>
      <c r="N1240" s="53"/>
      <c r="O1240" s="53"/>
      <c r="P1240" s="43" t="str">
        <f>VLOOKUP(K1240,Maestro!J:K,2,0)</f>
        <v>FIBROCEMENTO</v>
      </c>
      <c r="Q1240" s="43" t="str">
        <f>VLOOKUP(P1240,Maestro!E:F,2,0)</f>
        <v>Fibrocemento</v>
      </c>
      <c r="R1240" s="43">
        <f>VLOOKUP(P1240,ORD!$A:$C,3,0)</f>
        <v>16</v>
      </c>
      <c r="S1240" t="str">
        <f t="shared" si="22"/>
        <v>7355250321DOSIFICADOR DE SALFibrocemento</v>
      </c>
      <c r="T1240" t="str">
        <f>IFERROR(VLOOKUP(S1240,Maestro!$A:$H,8,0),"Producción")</f>
        <v>Dosificador de Sal</v>
      </c>
      <c r="U1240" s="43" t="s">
        <v>182</v>
      </c>
    </row>
    <row r="1241" spans="1:21" x14ac:dyDescent="0.3">
      <c r="A1241" s="43">
        <v>7355250321</v>
      </c>
      <c r="B1241" s="43" t="s">
        <v>490</v>
      </c>
      <c r="C1241" s="52">
        <f>Datos!$K$97*D1241</f>
        <v>0</v>
      </c>
      <c r="D1241" s="56">
        <f>Datos!$K$254*Datos!$K$198*(1+Datos!$K$222)</f>
        <v>0</v>
      </c>
      <c r="E1241" s="57"/>
      <c r="F1241" s="58"/>
      <c r="G1241" s="43"/>
      <c r="H1241" s="43"/>
      <c r="I1241" s="43" t="s">
        <v>560</v>
      </c>
      <c r="J1241" s="43" t="s">
        <v>795</v>
      </c>
      <c r="K1241" s="43">
        <v>700064</v>
      </c>
      <c r="L1241" s="43">
        <v>4</v>
      </c>
      <c r="M1241" s="43" t="s">
        <v>468</v>
      </c>
      <c r="N1241" s="53"/>
      <c r="O1241" s="53"/>
      <c r="P1241" s="43" t="str">
        <f>VLOOKUP(K1241,Maestro!J:K,2,0)</f>
        <v>FIBROCEMENTO</v>
      </c>
      <c r="Q1241" s="43" t="str">
        <f>VLOOKUP(P1241,Maestro!E:F,2,0)</f>
        <v>Fibrocemento</v>
      </c>
      <c r="R1241" s="43">
        <f>VLOOKUP(P1241,ORD!$A:$C,3,0)</f>
        <v>16</v>
      </c>
      <c r="S1241" t="str">
        <f t="shared" si="22"/>
        <v>7355250321DOSIFICADOR DE SALFibrocemento</v>
      </c>
      <c r="T1241" t="str">
        <f>IFERROR(VLOOKUP(S1241,Maestro!$A:$H,8,0),"Producción")</f>
        <v>Dosificador de Sal</v>
      </c>
      <c r="U1241" s="43" t="s">
        <v>182</v>
      </c>
    </row>
    <row r="1242" spans="1:21" x14ac:dyDescent="0.3">
      <c r="A1242" s="43">
        <v>7355250321</v>
      </c>
      <c r="B1242" s="43" t="s">
        <v>490</v>
      </c>
      <c r="C1242" s="52">
        <f>Datos!$L$97*D1242</f>
        <v>0</v>
      </c>
      <c r="D1242" s="56">
        <f>Datos!$L$254*Datos!$L$198*(1+Datos!$L$222)</f>
        <v>0</v>
      </c>
      <c r="E1242" s="57"/>
      <c r="F1242" s="58"/>
      <c r="G1242" s="43"/>
      <c r="H1242" s="43"/>
      <c r="I1242" s="43" t="s">
        <v>560</v>
      </c>
      <c r="J1242" s="43" t="s">
        <v>795</v>
      </c>
      <c r="K1242" s="43">
        <v>700064</v>
      </c>
      <c r="L1242" s="43">
        <v>5</v>
      </c>
      <c r="M1242" s="43" t="s">
        <v>468</v>
      </c>
      <c r="N1242" s="53"/>
      <c r="O1242" s="53"/>
      <c r="P1242" s="43" t="str">
        <f>VLOOKUP(K1242,Maestro!J:K,2,0)</f>
        <v>FIBROCEMENTO</v>
      </c>
      <c r="Q1242" s="43" t="str">
        <f>VLOOKUP(P1242,Maestro!E:F,2,0)</f>
        <v>Fibrocemento</v>
      </c>
      <c r="R1242" s="43">
        <f>VLOOKUP(P1242,ORD!$A:$C,3,0)</f>
        <v>16</v>
      </c>
      <c r="S1242" t="str">
        <f t="shared" si="22"/>
        <v>7355250321DOSIFICADOR DE SALFibrocemento</v>
      </c>
      <c r="T1242" t="str">
        <f>IFERROR(VLOOKUP(S1242,Maestro!$A:$H,8,0),"Producción")</f>
        <v>Dosificador de Sal</v>
      </c>
      <c r="U1242" s="43" t="s">
        <v>182</v>
      </c>
    </row>
    <row r="1243" spans="1:21" x14ac:dyDescent="0.3">
      <c r="A1243" s="43">
        <v>7355250321</v>
      </c>
      <c r="B1243" s="43" t="s">
        <v>490</v>
      </c>
      <c r="C1243" s="52">
        <f>Datos!$M$97*D1243</f>
        <v>0</v>
      </c>
      <c r="D1243" s="56">
        <f>Datos!$M$254*Datos!$M$198*(1+Datos!$M$222)</f>
        <v>0</v>
      </c>
      <c r="E1243" s="57"/>
      <c r="F1243" s="58"/>
      <c r="G1243" s="43"/>
      <c r="H1243" s="43"/>
      <c r="I1243" s="43" t="s">
        <v>560</v>
      </c>
      <c r="J1243" s="43" t="s">
        <v>795</v>
      </c>
      <c r="K1243" s="43">
        <v>700064</v>
      </c>
      <c r="L1243" s="43">
        <v>6</v>
      </c>
      <c r="M1243" s="43" t="s">
        <v>468</v>
      </c>
      <c r="N1243" s="53"/>
      <c r="O1243" s="53"/>
      <c r="P1243" s="43" t="str">
        <f>VLOOKUP(K1243,Maestro!J:K,2,0)</f>
        <v>FIBROCEMENTO</v>
      </c>
      <c r="Q1243" s="43" t="str">
        <f>VLOOKUP(P1243,Maestro!E:F,2,0)</f>
        <v>Fibrocemento</v>
      </c>
      <c r="R1243" s="43">
        <f>VLOOKUP(P1243,ORD!$A:$C,3,0)</f>
        <v>16</v>
      </c>
      <c r="S1243" t="str">
        <f t="shared" si="22"/>
        <v>7355250321DOSIFICADOR DE SALFibrocemento</v>
      </c>
      <c r="T1243" t="str">
        <f>IFERROR(VLOOKUP(S1243,Maestro!$A:$H,8,0),"Producción")</f>
        <v>Dosificador de Sal</v>
      </c>
      <c r="U1243" s="43" t="s">
        <v>182</v>
      </c>
    </row>
    <row r="1244" spans="1:21" x14ac:dyDescent="0.3">
      <c r="A1244" s="43">
        <v>7355250321</v>
      </c>
      <c r="B1244" s="43" t="s">
        <v>490</v>
      </c>
      <c r="C1244" s="52">
        <f>Datos!$N$97*D1244</f>
        <v>0</v>
      </c>
      <c r="D1244" s="56">
        <f>Datos!$N$254*Datos!$N$198*(1+Datos!$N$222)</f>
        <v>0</v>
      </c>
      <c r="E1244" s="57"/>
      <c r="F1244" s="58"/>
      <c r="G1244" s="43"/>
      <c r="H1244" s="43"/>
      <c r="I1244" s="43" t="s">
        <v>560</v>
      </c>
      <c r="J1244" s="43" t="s">
        <v>795</v>
      </c>
      <c r="K1244" s="43">
        <v>700064</v>
      </c>
      <c r="L1244" s="43">
        <v>7</v>
      </c>
      <c r="M1244" s="43" t="s">
        <v>468</v>
      </c>
      <c r="N1244" s="53"/>
      <c r="O1244" s="53"/>
      <c r="P1244" s="43" t="str">
        <f>VLOOKUP(K1244,Maestro!J:K,2,0)</f>
        <v>FIBROCEMENTO</v>
      </c>
      <c r="Q1244" s="43" t="str">
        <f>VLOOKUP(P1244,Maestro!E:F,2,0)</f>
        <v>Fibrocemento</v>
      </c>
      <c r="R1244" s="43">
        <f>VLOOKUP(P1244,ORD!$A:$C,3,0)</f>
        <v>16</v>
      </c>
      <c r="S1244" t="str">
        <f t="shared" si="22"/>
        <v>7355250321DOSIFICADOR DE SALFibrocemento</v>
      </c>
      <c r="T1244" t="str">
        <f>IFERROR(VLOOKUP(S1244,Maestro!$A:$H,8,0),"Producción")</f>
        <v>Dosificador de Sal</v>
      </c>
      <c r="U1244" s="43" t="s">
        <v>182</v>
      </c>
    </row>
    <row r="1245" spans="1:21" x14ac:dyDescent="0.3">
      <c r="A1245" s="43">
        <v>7355250321</v>
      </c>
      <c r="B1245" s="43" t="s">
        <v>490</v>
      </c>
      <c r="C1245" s="52">
        <f>Datos!$O$97*D1245</f>
        <v>0</v>
      </c>
      <c r="D1245" s="56">
        <f>Datos!$O$254*Datos!$O$198*(1+Datos!$O$222)</f>
        <v>0</v>
      </c>
      <c r="E1245" s="57"/>
      <c r="F1245" s="58"/>
      <c r="G1245" s="43"/>
      <c r="H1245" s="43"/>
      <c r="I1245" s="43" t="s">
        <v>560</v>
      </c>
      <c r="J1245" s="43" t="s">
        <v>795</v>
      </c>
      <c r="K1245" s="43">
        <v>700064</v>
      </c>
      <c r="L1245" s="43">
        <v>8</v>
      </c>
      <c r="M1245" s="43" t="s">
        <v>468</v>
      </c>
      <c r="N1245" s="53"/>
      <c r="O1245" s="53"/>
      <c r="P1245" s="43" t="str">
        <f>VLOOKUP(K1245,Maestro!J:K,2,0)</f>
        <v>FIBROCEMENTO</v>
      </c>
      <c r="Q1245" s="43" t="str">
        <f>VLOOKUP(P1245,Maestro!E:F,2,0)</f>
        <v>Fibrocemento</v>
      </c>
      <c r="R1245" s="43">
        <f>VLOOKUP(P1245,ORD!$A:$C,3,0)</f>
        <v>16</v>
      </c>
      <c r="S1245" t="str">
        <f t="shared" si="22"/>
        <v>7355250321DOSIFICADOR DE SALFibrocemento</v>
      </c>
      <c r="T1245" t="str">
        <f>IFERROR(VLOOKUP(S1245,Maestro!$A:$H,8,0),"Producción")</f>
        <v>Dosificador de Sal</v>
      </c>
      <c r="U1245" s="43" t="s">
        <v>182</v>
      </c>
    </row>
    <row r="1246" spans="1:21" x14ac:dyDescent="0.3">
      <c r="A1246" s="43">
        <v>7355250321</v>
      </c>
      <c r="B1246" s="43" t="s">
        <v>490</v>
      </c>
      <c r="C1246" s="52">
        <f>Datos!$P$97*D1246</f>
        <v>0</v>
      </c>
      <c r="D1246" s="56">
        <f>Datos!$P$254*Datos!$P$198*(1+Datos!$P$222)</f>
        <v>0</v>
      </c>
      <c r="E1246" s="57"/>
      <c r="F1246" s="58"/>
      <c r="G1246" s="43"/>
      <c r="H1246" s="43"/>
      <c r="I1246" s="43" t="s">
        <v>560</v>
      </c>
      <c r="J1246" s="43" t="s">
        <v>795</v>
      </c>
      <c r="K1246" s="43">
        <v>700064</v>
      </c>
      <c r="L1246" s="43">
        <v>9</v>
      </c>
      <c r="M1246" s="43" t="s">
        <v>468</v>
      </c>
      <c r="N1246" s="53"/>
      <c r="O1246" s="53"/>
      <c r="P1246" s="43" t="str">
        <f>VLOOKUP(K1246,Maestro!J:K,2,0)</f>
        <v>FIBROCEMENTO</v>
      </c>
      <c r="Q1246" s="43" t="str">
        <f>VLOOKUP(P1246,Maestro!E:F,2,0)</f>
        <v>Fibrocemento</v>
      </c>
      <c r="R1246" s="43">
        <f>VLOOKUP(P1246,ORD!$A:$C,3,0)</f>
        <v>16</v>
      </c>
      <c r="S1246" t="str">
        <f t="shared" si="22"/>
        <v>7355250321DOSIFICADOR DE SALFibrocemento</v>
      </c>
      <c r="T1246" t="str">
        <f>IFERROR(VLOOKUP(S1246,Maestro!$A:$H,8,0),"Producción")</f>
        <v>Dosificador de Sal</v>
      </c>
      <c r="U1246" s="43" t="s">
        <v>182</v>
      </c>
    </row>
    <row r="1247" spans="1:21" x14ac:dyDescent="0.3">
      <c r="A1247" s="43">
        <v>7355250321</v>
      </c>
      <c r="B1247" s="43" t="s">
        <v>490</v>
      </c>
      <c r="C1247" s="52">
        <f>Datos!$Q$97*D1247</f>
        <v>0</v>
      </c>
      <c r="D1247" s="56">
        <f>Datos!$Q$254*Datos!$Q$198*(1+Datos!$Q$222)</f>
        <v>0</v>
      </c>
      <c r="E1247" s="57"/>
      <c r="F1247" s="58"/>
      <c r="G1247" s="43"/>
      <c r="H1247" s="43"/>
      <c r="I1247" s="43" t="s">
        <v>560</v>
      </c>
      <c r="J1247" s="43" t="s">
        <v>795</v>
      </c>
      <c r="K1247" s="43">
        <v>700064</v>
      </c>
      <c r="L1247" s="43">
        <v>10</v>
      </c>
      <c r="M1247" s="43" t="s">
        <v>468</v>
      </c>
      <c r="N1247" s="53"/>
      <c r="O1247" s="53"/>
      <c r="P1247" s="43" t="str">
        <f>VLOOKUP(K1247,Maestro!J:K,2,0)</f>
        <v>FIBROCEMENTO</v>
      </c>
      <c r="Q1247" s="43" t="str">
        <f>VLOOKUP(P1247,Maestro!E:F,2,0)</f>
        <v>Fibrocemento</v>
      </c>
      <c r="R1247" s="43">
        <f>VLOOKUP(P1247,ORD!$A:$C,3,0)</f>
        <v>16</v>
      </c>
      <c r="S1247" t="str">
        <f t="shared" si="22"/>
        <v>7355250321DOSIFICADOR DE SALFibrocemento</v>
      </c>
      <c r="T1247" t="str">
        <f>IFERROR(VLOOKUP(S1247,Maestro!$A:$H,8,0),"Producción")</f>
        <v>Dosificador de Sal</v>
      </c>
      <c r="U1247" s="43" t="s">
        <v>182</v>
      </c>
    </row>
    <row r="1248" spans="1:21" x14ac:dyDescent="0.3">
      <c r="A1248" s="43">
        <v>7355250321</v>
      </c>
      <c r="B1248" s="43" t="s">
        <v>490</v>
      </c>
      <c r="C1248" s="52">
        <f>Datos!$R$97*D1248</f>
        <v>0</v>
      </c>
      <c r="D1248" s="56">
        <f>Datos!$R$254*Datos!$R$198*(1+Datos!$R$222)</f>
        <v>0</v>
      </c>
      <c r="E1248" s="57"/>
      <c r="F1248" s="58"/>
      <c r="G1248" s="43"/>
      <c r="H1248" s="43"/>
      <c r="I1248" s="43" t="s">
        <v>560</v>
      </c>
      <c r="J1248" s="43" t="s">
        <v>795</v>
      </c>
      <c r="K1248" s="43">
        <v>700064</v>
      </c>
      <c r="L1248" s="43">
        <v>11</v>
      </c>
      <c r="M1248" s="43" t="s">
        <v>468</v>
      </c>
      <c r="N1248" s="53"/>
      <c r="O1248" s="53"/>
      <c r="P1248" s="43" t="str">
        <f>VLOOKUP(K1248,Maestro!J:K,2,0)</f>
        <v>FIBROCEMENTO</v>
      </c>
      <c r="Q1248" s="43" t="str">
        <f>VLOOKUP(P1248,Maestro!E:F,2,0)</f>
        <v>Fibrocemento</v>
      </c>
      <c r="R1248" s="43">
        <f>VLOOKUP(P1248,ORD!$A:$C,3,0)</f>
        <v>16</v>
      </c>
      <c r="S1248" t="str">
        <f t="shared" si="22"/>
        <v>7355250321DOSIFICADOR DE SALFibrocemento</v>
      </c>
      <c r="T1248" t="str">
        <f>IFERROR(VLOOKUP(S1248,Maestro!$A:$H,8,0),"Producción")</f>
        <v>Dosificador de Sal</v>
      </c>
      <c r="U1248" s="43" t="s">
        <v>182</v>
      </c>
    </row>
    <row r="1249" spans="1:21" x14ac:dyDescent="0.3">
      <c r="A1249" s="43">
        <v>7355250321</v>
      </c>
      <c r="B1249" s="43" t="s">
        <v>490</v>
      </c>
      <c r="C1249" s="52">
        <f>Datos!$S$97*D1249</f>
        <v>0</v>
      </c>
      <c r="D1249" s="56">
        <f>Datos!$S$254*Datos!$S$198*(1+Datos!$S$222)</f>
        <v>0</v>
      </c>
      <c r="E1249" s="57"/>
      <c r="F1249" s="58"/>
      <c r="G1249" s="43"/>
      <c r="H1249" s="43"/>
      <c r="I1249" s="43" t="s">
        <v>560</v>
      </c>
      <c r="J1249" s="43" t="s">
        <v>795</v>
      </c>
      <c r="K1249" s="43">
        <v>700064</v>
      </c>
      <c r="L1249" s="43">
        <v>12</v>
      </c>
      <c r="M1249" s="43" t="s">
        <v>468</v>
      </c>
      <c r="N1249" s="53"/>
      <c r="O1249" s="53"/>
      <c r="P1249" s="43" t="str">
        <f>VLOOKUP(K1249,Maestro!J:K,2,0)</f>
        <v>FIBROCEMENTO</v>
      </c>
      <c r="Q1249" s="43" t="str">
        <f>VLOOKUP(P1249,Maestro!E:F,2,0)</f>
        <v>Fibrocemento</v>
      </c>
      <c r="R1249" s="43">
        <f>VLOOKUP(P1249,ORD!$A:$C,3,0)</f>
        <v>16</v>
      </c>
      <c r="S1249" t="str">
        <f t="shared" si="22"/>
        <v>7355250321DOSIFICADOR DE SALFibrocemento</v>
      </c>
      <c r="T1249" t="str">
        <f>IFERROR(VLOOKUP(S1249,Maestro!$A:$H,8,0),"Producción")</f>
        <v>Dosificador de Sal</v>
      </c>
      <c r="U1249" s="43" t="s">
        <v>182</v>
      </c>
    </row>
    <row r="1250" spans="1:21" x14ac:dyDescent="0.3">
      <c r="A1250" s="41">
        <v>7405050003</v>
      </c>
      <c r="B1250" s="43" t="s">
        <v>688</v>
      </c>
      <c r="C1250" s="50">
        <f>Datos!$H$356*D1250</f>
        <v>72105933.900909573</v>
      </c>
      <c r="D1250" s="17">
        <f>Datos!$H$266*Datos!$H$361</f>
        <v>138303</v>
      </c>
      <c r="E1250" s="43" t="s">
        <v>556</v>
      </c>
      <c r="F1250" s="43" t="s">
        <v>557</v>
      </c>
      <c r="G1250" s="43" t="s">
        <v>567</v>
      </c>
      <c r="H1250" s="43" t="s">
        <v>568</v>
      </c>
      <c r="I1250" s="43" t="s">
        <v>587</v>
      </c>
      <c r="J1250" s="41" t="s">
        <v>797</v>
      </c>
      <c r="K1250" s="43">
        <v>700007</v>
      </c>
      <c r="L1250" s="43">
        <v>1</v>
      </c>
      <c r="M1250" s="43" t="s">
        <v>588</v>
      </c>
      <c r="N1250" s="51"/>
      <c r="O1250" s="51"/>
      <c r="P1250" s="43" t="str">
        <f>VLOOKUP(K1250,Maestro!J:K,2,0)</f>
        <v>MEZCLA PREHOMO</v>
      </c>
      <c r="Q1250" s="43" t="str">
        <f>VLOOKUP(P1250,Maestro!E:F,2,0)</f>
        <v>Trituración</v>
      </c>
      <c r="R1250" s="43">
        <f>VLOOKUP(P1250,ORD!$A:$C,3,0)</f>
        <v>1</v>
      </c>
      <c r="S1250" t="str">
        <f t="shared" si="22"/>
        <v>7405050003ENERGIATrituración</v>
      </c>
      <c r="T1250" t="str">
        <f>IFERROR(VLOOKUP(S1250,Maestro!$A:$H,8,0),"Producción")</f>
        <v>Energía</v>
      </c>
      <c r="U1250" s="43" t="s">
        <v>182</v>
      </c>
    </row>
    <row r="1251" spans="1:21" x14ac:dyDescent="0.3">
      <c r="A1251" s="41">
        <v>7405050003</v>
      </c>
      <c r="B1251" s="43" t="s">
        <v>688</v>
      </c>
      <c r="C1251" s="50">
        <f>Datos!$I$356*D1251</f>
        <v>73296069.18969956</v>
      </c>
      <c r="D1251" s="17">
        <f>Datos!$I$266*Datos!$I$361</f>
        <v>140398.5</v>
      </c>
      <c r="E1251" s="43" t="s">
        <v>556</v>
      </c>
      <c r="F1251" s="43" t="s">
        <v>557</v>
      </c>
      <c r="G1251" s="43" t="s">
        <v>567</v>
      </c>
      <c r="H1251" s="43" t="s">
        <v>568</v>
      </c>
      <c r="I1251" s="43" t="s">
        <v>587</v>
      </c>
      <c r="J1251" s="41" t="s">
        <v>797</v>
      </c>
      <c r="K1251" s="43">
        <v>700007</v>
      </c>
      <c r="L1251" s="43">
        <v>2</v>
      </c>
      <c r="M1251" s="43" t="s">
        <v>588</v>
      </c>
      <c r="N1251" s="51"/>
      <c r="O1251" s="51"/>
      <c r="P1251" s="43" t="str">
        <f>VLOOKUP(K1251,Maestro!J:K,2,0)</f>
        <v>MEZCLA PREHOMO</v>
      </c>
      <c r="Q1251" s="43" t="str">
        <f>VLOOKUP(P1251,Maestro!E:F,2,0)</f>
        <v>Trituración</v>
      </c>
      <c r="R1251" s="43">
        <f>VLOOKUP(P1251,ORD!$A:$C,3,0)</f>
        <v>1</v>
      </c>
      <c r="S1251" t="str">
        <f t="shared" ref="S1251:S1262" si="23">A1251&amp;J1251&amp;Q1251</f>
        <v>7405050003ENERGIATrituración</v>
      </c>
      <c r="T1251" t="str">
        <f>IFERROR(VLOOKUP(S1251,Maestro!$A:$H,8,0),"Producción")</f>
        <v>Energía</v>
      </c>
      <c r="U1251" s="43" t="s">
        <v>182</v>
      </c>
    </row>
    <row r="1252" spans="1:21" x14ac:dyDescent="0.3">
      <c r="A1252" s="41">
        <v>7405050003</v>
      </c>
      <c r="B1252" s="43" t="s">
        <v>688</v>
      </c>
      <c r="C1252" s="50">
        <f>Datos!$J$356*D1252</f>
        <v>54771563.681244172</v>
      </c>
      <c r="D1252" s="17">
        <f>Datos!$J$266*Datos!$J$361</f>
        <v>104775</v>
      </c>
      <c r="E1252" s="43" t="s">
        <v>556</v>
      </c>
      <c r="F1252" s="43" t="s">
        <v>557</v>
      </c>
      <c r="G1252" s="43" t="s">
        <v>567</v>
      </c>
      <c r="H1252" s="43" t="s">
        <v>568</v>
      </c>
      <c r="I1252" s="43" t="s">
        <v>587</v>
      </c>
      <c r="J1252" s="41" t="s">
        <v>797</v>
      </c>
      <c r="K1252" s="43">
        <v>700007</v>
      </c>
      <c r="L1252" s="43">
        <v>3</v>
      </c>
      <c r="M1252" s="43" t="s">
        <v>588</v>
      </c>
      <c r="N1252" s="51"/>
      <c r="O1252" s="51"/>
      <c r="P1252" s="43" t="str">
        <f>VLOOKUP(K1252,Maestro!J:K,2,0)</f>
        <v>MEZCLA PREHOMO</v>
      </c>
      <c r="Q1252" s="43" t="str">
        <f>VLOOKUP(P1252,Maestro!E:F,2,0)</f>
        <v>Trituración</v>
      </c>
      <c r="R1252" s="43">
        <f>VLOOKUP(P1252,ORD!$A:$C,3,0)</f>
        <v>1</v>
      </c>
      <c r="S1252" t="str">
        <f t="shared" si="23"/>
        <v>7405050003ENERGIATrituración</v>
      </c>
      <c r="T1252" t="str">
        <f>IFERROR(VLOOKUP(S1252,Maestro!$A:$H,8,0),"Producción")</f>
        <v>Energía</v>
      </c>
      <c r="U1252" s="43" t="s">
        <v>182</v>
      </c>
    </row>
    <row r="1253" spans="1:21" x14ac:dyDescent="0.3">
      <c r="A1253" s="41">
        <v>7405050003</v>
      </c>
      <c r="B1253" s="43" t="s">
        <v>688</v>
      </c>
      <c r="C1253" s="50">
        <f>Datos!$K$356*D1253</f>
        <v>53747827.143818483</v>
      </c>
      <c r="D1253" s="17">
        <f>Datos!$K$266*Datos!$K$361</f>
        <v>102679.5</v>
      </c>
      <c r="E1253" s="43" t="s">
        <v>556</v>
      </c>
      <c r="F1253" s="43" t="s">
        <v>557</v>
      </c>
      <c r="G1253" s="43" t="s">
        <v>567</v>
      </c>
      <c r="H1253" s="43" t="s">
        <v>568</v>
      </c>
      <c r="I1253" s="43" t="s">
        <v>587</v>
      </c>
      <c r="J1253" s="41" t="s">
        <v>797</v>
      </c>
      <c r="K1253" s="43">
        <v>700007</v>
      </c>
      <c r="L1253" s="43">
        <v>4</v>
      </c>
      <c r="M1253" s="43" t="s">
        <v>588</v>
      </c>
      <c r="N1253" s="51"/>
      <c r="O1253" s="51"/>
      <c r="P1253" s="43" t="str">
        <f>VLOOKUP(K1253,Maestro!J:K,2,0)</f>
        <v>MEZCLA PREHOMO</v>
      </c>
      <c r="Q1253" s="43" t="str">
        <f>VLOOKUP(P1253,Maestro!E:F,2,0)</f>
        <v>Trituración</v>
      </c>
      <c r="R1253" s="43">
        <f>VLOOKUP(P1253,ORD!$A:$C,3,0)</f>
        <v>1</v>
      </c>
      <c r="S1253" t="str">
        <f t="shared" si="23"/>
        <v>7405050003ENERGIATrituración</v>
      </c>
      <c r="T1253" t="str">
        <f>IFERROR(VLOOKUP(S1253,Maestro!$A:$H,8,0),"Producción")</f>
        <v>Energía</v>
      </c>
      <c r="U1253" s="43" t="s">
        <v>182</v>
      </c>
    </row>
    <row r="1254" spans="1:21" x14ac:dyDescent="0.3">
      <c r="A1254" s="41">
        <v>7405050003</v>
      </c>
      <c r="B1254" s="43" t="s">
        <v>688</v>
      </c>
      <c r="C1254" s="50">
        <f>Datos!$L$356*D1254</f>
        <v>81278688.989455372</v>
      </c>
      <c r="D1254" s="17">
        <f>Datos!$L$266*Datos!$L$361</f>
        <v>155067</v>
      </c>
      <c r="E1254" s="43" t="s">
        <v>556</v>
      </c>
      <c r="F1254" s="43" t="s">
        <v>557</v>
      </c>
      <c r="G1254" s="43" t="s">
        <v>567</v>
      </c>
      <c r="H1254" s="43" t="s">
        <v>568</v>
      </c>
      <c r="I1254" s="43" t="s">
        <v>587</v>
      </c>
      <c r="J1254" s="41" t="s">
        <v>797</v>
      </c>
      <c r="K1254" s="43">
        <v>700007</v>
      </c>
      <c r="L1254" s="43">
        <v>5</v>
      </c>
      <c r="M1254" s="43" t="s">
        <v>588</v>
      </c>
      <c r="N1254" s="51"/>
      <c r="O1254" s="51"/>
      <c r="P1254" s="43" t="str">
        <f>VLOOKUP(K1254,Maestro!J:K,2,0)</f>
        <v>MEZCLA PREHOMO</v>
      </c>
      <c r="Q1254" s="43" t="str">
        <f>VLOOKUP(P1254,Maestro!E:F,2,0)</f>
        <v>Trituración</v>
      </c>
      <c r="R1254" s="43">
        <f>VLOOKUP(P1254,ORD!$A:$C,3,0)</f>
        <v>1</v>
      </c>
      <c r="S1254" t="str">
        <f t="shared" si="23"/>
        <v>7405050003ENERGIATrituración</v>
      </c>
      <c r="T1254" t="str">
        <f>IFERROR(VLOOKUP(S1254,Maestro!$A:$H,8,0),"Producción")</f>
        <v>Energía</v>
      </c>
      <c r="U1254" s="43" t="s">
        <v>182</v>
      </c>
    </row>
    <row r="1255" spans="1:21" x14ac:dyDescent="0.3">
      <c r="A1255" s="41">
        <v>7405050003</v>
      </c>
      <c r="B1255" s="43" t="s">
        <v>688</v>
      </c>
      <c r="C1255" s="50">
        <f>Datos!$M$356*D1255</f>
        <v>35744474.077549659</v>
      </c>
      <c r="D1255" s="17">
        <f>Datos!$M$266*Datos!$M$361</f>
        <v>68103.75</v>
      </c>
      <c r="E1255" s="43" t="s">
        <v>556</v>
      </c>
      <c r="F1255" s="43" t="s">
        <v>557</v>
      </c>
      <c r="G1255" s="43" t="s">
        <v>567</v>
      </c>
      <c r="H1255" s="43" t="s">
        <v>568</v>
      </c>
      <c r="I1255" s="43" t="s">
        <v>587</v>
      </c>
      <c r="J1255" s="41" t="s">
        <v>797</v>
      </c>
      <c r="K1255" s="43">
        <v>700007</v>
      </c>
      <c r="L1255" s="43">
        <v>6</v>
      </c>
      <c r="M1255" s="43" t="s">
        <v>588</v>
      </c>
      <c r="N1255" s="51"/>
      <c r="O1255" s="51"/>
      <c r="P1255" s="43" t="str">
        <f>VLOOKUP(K1255,Maestro!J:K,2,0)</f>
        <v>MEZCLA PREHOMO</v>
      </c>
      <c r="Q1255" s="43" t="str">
        <f>VLOOKUP(P1255,Maestro!E:F,2,0)</f>
        <v>Trituración</v>
      </c>
      <c r="R1255" s="43">
        <f>VLOOKUP(P1255,ORD!$A:$C,3,0)</f>
        <v>1</v>
      </c>
      <c r="S1255" t="str">
        <f t="shared" si="23"/>
        <v>7405050003ENERGIATrituración</v>
      </c>
      <c r="T1255" t="str">
        <f>IFERROR(VLOOKUP(S1255,Maestro!$A:$H,8,0),"Producción")</f>
        <v>Energía</v>
      </c>
      <c r="U1255" s="43" t="s">
        <v>182</v>
      </c>
    </row>
    <row r="1256" spans="1:21" x14ac:dyDescent="0.3">
      <c r="A1256" s="41">
        <v>7405050003</v>
      </c>
      <c r="B1256" s="43" t="s">
        <v>688</v>
      </c>
      <c r="C1256" s="50">
        <f>Datos!$N$356*D1256</f>
        <v>67179444.372623026</v>
      </c>
      <c r="D1256" s="17">
        <f>Datos!$N$266*Datos!$N$361</f>
        <v>127825.5</v>
      </c>
      <c r="E1256" s="43" t="s">
        <v>556</v>
      </c>
      <c r="F1256" s="43" t="s">
        <v>557</v>
      </c>
      <c r="G1256" s="43" t="s">
        <v>567</v>
      </c>
      <c r="H1256" s="43" t="s">
        <v>568</v>
      </c>
      <c r="I1256" s="43" t="s">
        <v>587</v>
      </c>
      <c r="J1256" s="41" t="s">
        <v>797</v>
      </c>
      <c r="K1256" s="43">
        <v>700007</v>
      </c>
      <c r="L1256" s="43">
        <v>7</v>
      </c>
      <c r="M1256" s="43" t="s">
        <v>588</v>
      </c>
      <c r="N1256" s="51"/>
      <c r="O1256" s="51"/>
      <c r="P1256" s="43" t="str">
        <f>VLOOKUP(K1256,Maestro!J:K,2,0)</f>
        <v>MEZCLA PREHOMO</v>
      </c>
      <c r="Q1256" s="43" t="str">
        <f>VLOOKUP(P1256,Maestro!E:F,2,0)</f>
        <v>Trituración</v>
      </c>
      <c r="R1256" s="43">
        <f>VLOOKUP(P1256,ORD!$A:$C,3,0)</f>
        <v>1</v>
      </c>
      <c r="S1256" t="str">
        <f t="shared" si="23"/>
        <v>7405050003ENERGIATrituración</v>
      </c>
      <c r="T1256" t="str">
        <f>IFERROR(VLOOKUP(S1256,Maestro!$A:$H,8,0),"Producción")</f>
        <v>Energía</v>
      </c>
      <c r="U1256" s="43" t="s">
        <v>182</v>
      </c>
    </row>
    <row r="1257" spans="1:21" x14ac:dyDescent="0.3">
      <c r="A1257" s="41">
        <v>7405050003</v>
      </c>
      <c r="B1257" s="43" t="s">
        <v>688</v>
      </c>
      <c r="C1257" s="50">
        <f>Datos!$O$356*D1257</f>
        <v>82708339.045614064</v>
      </c>
      <c r="D1257" s="17">
        <f>Datos!$O$266*Datos!$O$361</f>
        <v>157162.5</v>
      </c>
      <c r="E1257" s="43" t="s">
        <v>556</v>
      </c>
      <c r="F1257" s="43" t="s">
        <v>557</v>
      </c>
      <c r="G1257" s="43" t="s">
        <v>567</v>
      </c>
      <c r="H1257" s="43" t="s">
        <v>568</v>
      </c>
      <c r="I1257" s="43" t="s">
        <v>587</v>
      </c>
      <c r="J1257" s="41" t="s">
        <v>797</v>
      </c>
      <c r="K1257" s="43">
        <v>700007</v>
      </c>
      <c r="L1257" s="43">
        <v>8</v>
      </c>
      <c r="M1257" s="43" t="s">
        <v>588</v>
      </c>
      <c r="N1257" s="51"/>
      <c r="O1257" s="51"/>
      <c r="P1257" s="43" t="str">
        <f>VLOOKUP(K1257,Maestro!J:K,2,0)</f>
        <v>MEZCLA PREHOMO</v>
      </c>
      <c r="Q1257" s="43" t="str">
        <f>VLOOKUP(P1257,Maestro!E:F,2,0)</f>
        <v>Trituración</v>
      </c>
      <c r="R1257" s="43">
        <f>VLOOKUP(P1257,ORD!$A:$C,3,0)</f>
        <v>1</v>
      </c>
      <c r="S1257" t="str">
        <f t="shared" si="23"/>
        <v>7405050003ENERGIATrituración</v>
      </c>
      <c r="T1257" t="str">
        <f>IFERROR(VLOOKUP(S1257,Maestro!$A:$H,8,0),"Producción")</f>
        <v>Energía</v>
      </c>
      <c r="U1257" s="43" t="s">
        <v>182</v>
      </c>
    </row>
    <row r="1258" spans="1:21" x14ac:dyDescent="0.3">
      <c r="A1258" s="41">
        <v>7405050003</v>
      </c>
      <c r="B1258" s="43" t="s">
        <v>688</v>
      </c>
      <c r="C1258" s="50">
        <f>Datos!$P$356*D1258</f>
        <v>63494745.279403619</v>
      </c>
      <c r="D1258" s="17">
        <f>Datos!$P$266*Datos!$P$361</f>
        <v>120491.25</v>
      </c>
      <c r="E1258" s="43" t="s">
        <v>556</v>
      </c>
      <c r="F1258" s="43" t="s">
        <v>557</v>
      </c>
      <c r="G1258" s="43" t="s">
        <v>567</v>
      </c>
      <c r="H1258" s="43" t="s">
        <v>568</v>
      </c>
      <c r="I1258" s="43" t="s">
        <v>587</v>
      </c>
      <c r="J1258" s="41" t="s">
        <v>797</v>
      </c>
      <c r="K1258" s="43">
        <v>700007</v>
      </c>
      <c r="L1258" s="43">
        <v>9</v>
      </c>
      <c r="M1258" s="43" t="s">
        <v>588</v>
      </c>
      <c r="N1258" s="51"/>
      <c r="O1258" s="51"/>
      <c r="P1258" s="43" t="str">
        <f>VLOOKUP(K1258,Maestro!J:K,2,0)</f>
        <v>MEZCLA PREHOMO</v>
      </c>
      <c r="Q1258" s="43" t="str">
        <f>VLOOKUP(P1258,Maestro!E:F,2,0)</f>
        <v>Trituración</v>
      </c>
      <c r="R1258" s="43">
        <f>VLOOKUP(P1258,ORD!$A:$C,3,0)</f>
        <v>1</v>
      </c>
      <c r="S1258" t="str">
        <f t="shared" si="23"/>
        <v>7405050003ENERGIATrituración</v>
      </c>
      <c r="T1258" t="str">
        <f>IFERROR(VLOOKUP(S1258,Maestro!$A:$H,8,0),"Producción")</f>
        <v>Energía</v>
      </c>
      <c r="U1258" s="43" t="s">
        <v>182</v>
      </c>
    </row>
    <row r="1259" spans="1:21" x14ac:dyDescent="0.3">
      <c r="A1259" s="41">
        <v>7405050003</v>
      </c>
      <c r="B1259" s="43" t="s">
        <v>688</v>
      </c>
      <c r="C1259" s="50">
        <f>Datos!$Q$356*D1259</f>
        <v>49758215.866742417</v>
      </c>
      <c r="D1259" s="17">
        <f>Datos!$Q$266*Datos!$Q$361</f>
        <v>94297.5</v>
      </c>
      <c r="E1259" s="43" t="s">
        <v>556</v>
      </c>
      <c r="F1259" s="43" t="s">
        <v>557</v>
      </c>
      <c r="G1259" s="43" t="s">
        <v>567</v>
      </c>
      <c r="H1259" s="43" t="s">
        <v>568</v>
      </c>
      <c r="I1259" s="43" t="s">
        <v>587</v>
      </c>
      <c r="J1259" s="41" t="s">
        <v>797</v>
      </c>
      <c r="K1259" s="43">
        <v>700007</v>
      </c>
      <c r="L1259" s="43">
        <v>10</v>
      </c>
      <c r="M1259" s="43" t="s">
        <v>588</v>
      </c>
      <c r="N1259" s="51"/>
      <c r="O1259" s="51"/>
      <c r="P1259" s="43" t="str">
        <f>VLOOKUP(K1259,Maestro!J:K,2,0)</f>
        <v>MEZCLA PREHOMO</v>
      </c>
      <c r="Q1259" s="43" t="str">
        <f>VLOOKUP(P1259,Maestro!E:F,2,0)</f>
        <v>Trituración</v>
      </c>
      <c r="R1259" s="43">
        <f>VLOOKUP(P1259,ORD!$A:$C,3,0)</f>
        <v>1</v>
      </c>
      <c r="S1259" t="str">
        <f t="shared" si="23"/>
        <v>7405050003ENERGIATrituración</v>
      </c>
      <c r="T1259" t="str">
        <f>IFERROR(VLOOKUP(S1259,Maestro!$A:$H,8,0),"Producción")</f>
        <v>Energía</v>
      </c>
      <c r="U1259" s="43" t="s">
        <v>182</v>
      </c>
    </row>
    <row r="1260" spans="1:21" x14ac:dyDescent="0.3">
      <c r="A1260" s="41">
        <v>7405050003</v>
      </c>
      <c r="B1260" s="43" t="s">
        <v>688</v>
      </c>
      <c r="C1260" s="50">
        <f>Datos!$R$356*D1260</f>
        <v>79720051.151004419</v>
      </c>
      <c r="D1260" s="17">
        <f>Datos!$R$266*Datos!$R$361</f>
        <v>150876</v>
      </c>
      <c r="E1260" s="43" t="s">
        <v>556</v>
      </c>
      <c r="F1260" s="43" t="s">
        <v>557</v>
      </c>
      <c r="G1260" s="43" t="s">
        <v>567</v>
      </c>
      <c r="H1260" s="43" t="s">
        <v>568</v>
      </c>
      <c r="I1260" s="43" t="s">
        <v>587</v>
      </c>
      <c r="J1260" s="41" t="s">
        <v>797</v>
      </c>
      <c r="K1260" s="43">
        <v>700007</v>
      </c>
      <c r="L1260" s="43">
        <v>11</v>
      </c>
      <c r="M1260" s="43" t="s">
        <v>588</v>
      </c>
      <c r="N1260" s="51"/>
      <c r="O1260" s="51"/>
      <c r="P1260" s="43" t="str">
        <f>VLOOKUP(K1260,Maestro!J:K,2,0)</f>
        <v>MEZCLA PREHOMO</v>
      </c>
      <c r="Q1260" s="43" t="str">
        <f>VLOOKUP(P1260,Maestro!E:F,2,0)</f>
        <v>Trituración</v>
      </c>
      <c r="R1260" s="43">
        <f>VLOOKUP(P1260,ORD!$A:$C,3,0)</f>
        <v>1</v>
      </c>
      <c r="S1260" t="str">
        <f t="shared" si="23"/>
        <v>7405050003ENERGIATrituración</v>
      </c>
      <c r="T1260" t="str">
        <f>IFERROR(VLOOKUP(S1260,Maestro!$A:$H,8,0),"Producción")</f>
        <v>Energía</v>
      </c>
      <c r="U1260" s="43" t="s">
        <v>182</v>
      </c>
    </row>
    <row r="1261" spans="1:21" x14ac:dyDescent="0.3">
      <c r="A1261" s="41">
        <v>7405050003</v>
      </c>
      <c r="B1261" s="43" t="s">
        <v>688</v>
      </c>
      <c r="C1261" s="50">
        <f>Datos!$S$356*D1261</f>
        <v>50896327.864521928</v>
      </c>
      <c r="D1261" s="17">
        <f>Datos!$S$266*Datos!$S$361</f>
        <v>96195.734667652214</v>
      </c>
      <c r="E1261" s="43" t="s">
        <v>556</v>
      </c>
      <c r="F1261" s="43" t="s">
        <v>557</v>
      </c>
      <c r="G1261" s="43" t="s">
        <v>567</v>
      </c>
      <c r="H1261" s="43" t="s">
        <v>568</v>
      </c>
      <c r="I1261" s="43" t="s">
        <v>587</v>
      </c>
      <c r="J1261" s="41" t="s">
        <v>797</v>
      </c>
      <c r="K1261" s="43">
        <v>700007</v>
      </c>
      <c r="L1261" s="43">
        <v>12</v>
      </c>
      <c r="M1261" s="43" t="s">
        <v>588</v>
      </c>
      <c r="N1261" s="51"/>
      <c r="O1261" s="51"/>
      <c r="P1261" s="43" t="str">
        <f>VLOOKUP(K1261,Maestro!J:K,2,0)</f>
        <v>MEZCLA PREHOMO</v>
      </c>
      <c r="Q1261" s="43" t="str">
        <f>VLOOKUP(P1261,Maestro!E:F,2,0)</f>
        <v>Trituración</v>
      </c>
      <c r="R1261" s="43">
        <f>VLOOKUP(P1261,ORD!$A:$C,3,0)</f>
        <v>1</v>
      </c>
      <c r="S1261" t="str">
        <f t="shared" si="23"/>
        <v>7405050003ENERGIATrituración</v>
      </c>
      <c r="T1261" t="str">
        <f>IFERROR(VLOOKUP(S1261,Maestro!$A:$H,8,0),"Producción")</f>
        <v>Energía</v>
      </c>
      <c r="U1261" s="43" t="s">
        <v>182</v>
      </c>
    </row>
    <row r="1262" spans="1:21" x14ac:dyDescent="0.3">
      <c r="A1262" s="41">
        <v>7405050003</v>
      </c>
      <c r="B1262" s="43" t="s">
        <v>688</v>
      </c>
      <c r="C1262" s="50">
        <f>Datos!$H$356*D1262</f>
        <v>33267105.035973191</v>
      </c>
      <c r="D1262" s="17">
        <f>Datos!$H$269*Datos!$H$361</f>
        <v>63808.06930693068</v>
      </c>
      <c r="E1262" s="43" t="s">
        <v>556</v>
      </c>
      <c r="F1262" s="43" t="s">
        <v>557</v>
      </c>
      <c r="G1262" s="43" t="s">
        <v>567</v>
      </c>
      <c r="H1262" s="43" t="s">
        <v>568</v>
      </c>
      <c r="I1262" s="43" t="s">
        <v>587</v>
      </c>
      <c r="J1262" s="41" t="s">
        <v>797</v>
      </c>
      <c r="K1262" s="43">
        <v>700005</v>
      </c>
      <c r="L1262" s="43">
        <v>1</v>
      </c>
      <c r="M1262" s="43" t="s">
        <v>588</v>
      </c>
      <c r="N1262" s="51"/>
      <c r="O1262" s="51"/>
      <c r="P1262" s="43" t="str">
        <f>VLOOKUP(K1262,Maestro!J:K,2,0)</f>
        <v>CALIZA PARA ADICIONES</v>
      </c>
      <c r="Q1262" s="43" t="str">
        <f>VLOOKUP(P1262,Maestro!E:F,2,0)</f>
        <v>Adiciones</v>
      </c>
      <c r="R1262" s="43">
        <f>VLOOKUP(P1262,ORD!$A:$C,3,0)</f>
        <v>2</v>
      </c>
      <c r="S1262" t="str">
        <f t="shared" si="23"/>
        <v>7405050003ENERGIAAdiciones</v>
      </c>
      <c r="T1262" t="str">
        <f>IFERROR(VLOOKUP(S1262,Maestro!$A:$H,8,0),"Producción")</f>
        <v>Energía</v>
      </c>
      <c r="U1262" s="43" t="s">
        <v>182</v>
      </c>
    </row>
    <row r="1263" spans="1:21" x14ac:dyDescent="0.3">
      <c r="A1263" s="41">
        <v>7405050003</v>
      </c>
      <c r="B1263" s="43" t="s">
        <v>688</v>
      </c>
      <c r="C1263" s="50">
        <f>Datos!$I$356*D1263</f>
        <v>34765504.827675194</v>
      </c>
      <c r="D1263" s="17">
        <f>Datos!$I$269*Datos!$I$361</f>
        <v>66593.267326732661</v>
      </c>
      <c r="E1263" s="43" t="s">
        <v>556</v>
      </c>
      <c r="F1263" s="43" t="s">
        <v>557</v>
      </c>
      <c r="G1263" s="43" t="s">
        <v>567</v>
      </c>
      <c r="H1263" s="43" t="s">
        <v>568</v>
      </c>
      <c r="I1263" s="43" t="s">
        <v>587</v>
      </c>
      <c r="J1263" s="41" t="s">
        <v>797</v>
      </c>
      <c r="K1263" s="43">
        <v>700005</v>
      </c>
      <c r="L1263" s="43">
        <v>2</v>
      </c>
      <c r="M1263" s="43" t="s">
        <v>588</v>
      </c>
      <c r="N1263" s="51"/>
      <c r="O1263" s="51"/>
      <c r="P1263" s="43" t="str">
        <f>VLOOKUP(K1263,Maestro!J:K,2,0)</f>
        <v>CALIZA PARA ADICIONES</v>
      </c>
      <c r="Q1263" s="43" t="str">
        <f>VLOOKUP(P1263,Maestro!E:F,2,0)</f>
        <v>Adiciones</v>
      </c>
      <c r="R1263" s="43">
        <f>VLOOKUP(P1263,ORD!$A:$C,3,0)</f>
        <v>2</v>
      </c>
      <c r="S1263" t="str">
        <f t="shared" ref="S1263:S1274" si="24">A1263&amp;J1263&amp;Q1263</f>
        <v>7405050003ENERGIAAdiciones</v>
      </c>
      <c r="T1263" t="str">
        <f>IFERROR(VLOOKUP(S1263,Maestro!$A:$H,8,0),"Producción")</f>
        <v>Energía</v>
      </c>
      <c r="U1263" s="43" t="s">
        <v>182</v>
      </c>
    </row>
    <row r="1264" spans="1:21" x14ac:dyDescent="0.3">
      <c r="A1264" s="41">
        <v>7405050003</v>
      </c>
      <c r="B1264" s="43" t="s">
        <v>688</v>
      </c>
      <c r="C1264" s="50">
        <f>Datos!$J$356*D1264</f>
        <v>31902587.119177971</v>
      </c>
      <c r="D1264" s="17">
        <f>Datos!$J$269*Datos!$J$361</f>
        <v>61027.900990099006</v>
      </c>
      <c r="E1264" s="43" t="s">
        <v>556</v>
      </c>
      <c r="F1264" s="43" t="s">
        <v>557</v>
      </c>
      <c r="G1264" s="43" t="s">
        <v>567</v>
      </c>
      <c r="H1264" s="43" t="s">
        <v>568</v>
      </c>
      <c r="I1264" s="43" t="s">
        <v>587</v>
      </c>
      <c r="J1264" s="41" t="s">
        <v>797</v>
      </c>
      <c r="K1264" s="43">
        <v>700005</v>
      </c>
      <c r="L1264" s="43">
        <v>3</v>
      </c>
      <c r="M1264" s="43" t="s">
        <v>588</v>
      </c>
      <c r="N1264" s="51"/>
      <c r="O1264" s="51"/>
      <c r="P1264" s="43" t="str">
        <f>VLOOKUP(K1264,Maestro!J:K,2,0)</f>
        <v>CALIZA PARA ADICIONES</v>
      </c>
      <c r="Q1264" s="43" t="str">
        <f>VLOOKUP(P1264,Maestro!E:F,2,0)</f>
        <v>Adiciones</v>
      </c>
      <c r="R1264" s="43">
        <f>VLOOKUP(P1264,ORD!$A:$C,3,0)</f>
        <v>2</v>
      </c>
      <c r="S1264" t="str">
        <f t="shared" si="24"/>
        <v>7405050003ENERGIAAdiciones</v>
      </c>
      <c r="T1264" t="str">
        <f>IFERROR(VLOOKUP(S1264,Maestro!$A:$H,8,0),"Producción")</f>
        <v>Energía</v>
      </c>
      <c r="U1264" s="43" t="s">
        <v>182</v>
      </c>
    </row>
    <row r="1265" spans="1:21" x14ac:dyDescent="0.3">
      <c r="A1265" s="41">
        <v>7405050003</v>
      </c>
      <c r="B1265" s="43" t="s">
        <v>688</v>
      </c>
      <c r="C1265" s="50">
        <f>Datos!$K$356*D1265</f>
        <v>29556582.326312251</v>
      </c>
      <c r="D1265" s="17">
        <f>Datos!$K$269*Datos!$K$361</f>
        <v>56464.702970297032</v>
      </c>
      <c r="E1265" s="43" t="s">
        <v>556</v>
      </c>
      <c r="F1265" s="43" t="s">
        <v>557</v>
      </c>
      <c r="G1265" s="43" t="s">
        <v>567</v>
      </c>
      <c r="H1265" s="43" t="s">
        <v>568</v>
      </c>
      <c r="I1265" s="43" t="s">
        <v>587</v>
      </c>
      <c r="J1265" s="41" t="s">
        <v>797</v>
      </c>
      <c r="K1265" s="43">
        <v>700005</v>
      </c>
      <c r="L1265" s="43">
        <v>4</v>
      </c>
      <c r="M1265" s="43" t="s">
        <v>588</v>
      </c>
      <c r="N1265" s="51"/>
      <c r="O1265" s="51"/>
      <c r="P1265" s="43" t="str">
        <f>VLOOKUP(K1265,Maestro!J:K,2,0)</f>
        <v>CALIZA PARA ADICIONES</v>
      </c>
      <c r="Q1265" s="43" t="str">
        <f>VLOOKUP(P1265,Maestro!E:F,2,0)</f>
        <v>Adiciones</v>
      </c>
      <c r="R1265" s="43">
        <f>VLOOKUP(P1265,ORD!$A:$C,3,0)</f>
        <v>2</v>
      </c>
      <c r="S1265" t="str">
        <f t="shared" si="24"/>
        <v>7405050003ENERGIAAdiciones</v>
      </c>
      <c r="T1265" t="str">
        <f>IFERROR(VLOOKUP(S1265,Maestro!$A:$H,8,0),"Producción")</f>
        <v>Energía</v>
      </c>
      <c r="U1265" s="43" t="s">
        <v>182</v>
      </c>
    </row>
    <row r="1266" spans="1:21" x14ac:dyDescent="0.3">
      <c r="A1266" s="41">
        <v>7405050003</v>
      </c>
      <c r="B1266" s="43" t="s">
        <v>688</v>
      </c>
      <c r="C1266" s="50">
        <f>Datos!$L$356*D1266</f>
        <v>36736588.623050839</v>
      </c>
      <c r="D1266" s="17">
        <f>Datos!$L$269*Datos!$L$361</f>
        <v>70087.653465346535</v>
      </c>
      <c r="E1266" s="43" t="s">
        <v>556</v>
      </c>
      <c r="F1266" s="43" t="s">
        <v>557</v>
      </c>
      <c r="G1266" s="43" t="s">
        <v>567</v>
      </c>
      <c r="H1266" s="43" t="s">
        <v>568</v>
      </c>
      <c r="I1266" s="43" t="s">
        <v>587</v>
      </c>
      <c r="J1266" s="41" t="s">
        <v>797</v>
      </c>
      <c r="K1266" s="43">
        <v>700005</v>
      </c>
      <c r="L1266" s="43">
        <v>5</v>
      </c>
      <c r="M1266" s="43" t="s">
        <v>588</v>
      </c>
      <c r="N1266" s="51"/>
      <c r="O1266" s="51"/>
      <c r="P1266" s="43" t="str">
        <f>VLOOKUP(K1266,Maestro!J:K,2,0)</f>
        <v>CALIZA PARA ADICIONES</v>
      </c>
      <c r="Q1266" s="43" t="str">
        <f>VLOOKUP(P1266,Maestro!E:F,2,0)</f>
        <v>Adiciones</v>
      </c>
      <c r="R1266" s="43">
        <f>VLOOKUP(P1266,ORD!$A:$C,3,0)</f>
        <v>2</v>
      </c>
      <c r="S1266" t="str">
        <f t="shared" si="24"/>
        <v>7405050003ENERGIAAdiciones</v>
      </c>
      <c r="T1266" t="str">
        <f>IFERROR(VLOOKUP(S1266,Maestro!$A:$H,8,0),"Producción")</f>
        <v>Energía</v>
      </c>
      <c r="U1266" s="43" t="s">
        <v>182</v>
      </c>
    </row>
    <row r="1267" spans="1:21" x14ac:dyDescent="0.3">
      <c r="A1267" s="41">
        <v>7405050003</v>
      </c>
      <c r="B1267" s="43" t="s">
        <v>688</v>
      </c>
      <c r="C1267" s="50">
        <f>Datos!$M$356*D1267</f>
        <v>27212294.761284221</v>
      </c>
      <c r="D1267" s="17">
        <f>Datos!$M$269*Datos!$M$361</f>
        <v>51847.435643564357</v>
      </c>
      <c r="E1267" s="43" t="s">
        <v>556</v>
      </c>
      <c r="F1267" s="43" t="s">
        <v>557</v>
      </c>
      <c r="G1267" s="43" t="s">
        <v>567</v>
      </c>
      <c r="H1267" s="43" t="s">
        <v>568</v>
      </c>
      <c r="I1267" s="43" t="s">
        <v>587</v>
      </c>
      <c r="J1267" s="41" t="s">
        <v>797</v>
      </c>
      <c r="K1267" s="43">
        <v>700005</v>
      </c>
      <c r="L1267" s="43">
        <v>6</v>
      </c>
      <c r="M1267" s="43" t="s">
        <v>588</v>
      </c>
      <c r="N1267" s="51"/>
      <c r="O1267" s="51"/>
      <c r="P1267" s="43" t="str">
        <f>VLOOKUP(K1267,Maestro!J:K,2,0)</f>
        <v>CALIZA PARA ADICIONES</v>
      </c>
      <c r="Q1267" s="43" t="str">
        <f>VLOOKUP(P1267,Maestro!E:F,2,0)</f>
        <v>Adiciones</v>
      </c>
      <c r="R1267" s="43">
        <f>VLOOKUP(P1267,ORD!$A:$C,3,0)</f>
        <v>2</v>
      </c>
      <c r="S1267" t="str">
        <f t="shared" si="24"/>
        <v>7405050003ENERGIAAdiciones</v>
      </c>
      <c r="T1267" t="str">
        <f>IFERROR(VLOOKUP(S1267,Maestro!$A:$H,8,0),"Producción")</f>
        <v>Energía</v>
      </c>
      <c r="U1267" s="43" t="s">
        <v>182</v>
      </c>
    </row>
    <row r="1268" spans="1:21" x14ac:dyDescent="0.3">
      <c r="A1268" s="41">
        <v>7405050003</v>
      </c>
      <c r="B1268" s="43" t="s">
        <v>688</v>
      </c>
      <c r="C1268" s="50">
        <f>Datos!$N$356*D1268</f>
        <v>34625765.861975938</v>
      </c>
      <c r="D1268" s="17">
        <f>Datos!$N$269*Datos!$N$361</f>
        <v>65884.079207920804</v>
      </c>
      <c r="E1268" s="43" t="s">
        <v>556</v>
      </c>
      <c r="F1268" s="43" t="s">
        <v>557</v>
      </c>
      <c r="G1268" s="43" t="s">
        <v>567</v>
      </c>
      <c r="H1268" s="43" t="s">
        <v>568</v>
      </c>
      <c r="I1268" s="43" t="s">
        <v>587</v>
      </c>
      <c r="J1268" s="41" t="s">
        <v>797</v>
      </c>
      <c r="K1268" s="43">
        <v>700005</v>
      </c>
      <c r="L1268" s="43">
        <v>7</v>
      </c>
      <c r="M1268" s="43" t="s">
        <v>588</v>
      </c>
      <c r="N1268" s="51"/>
      <c r="O1268" s="51"/>
      <c r="P1268" s="43" t="str">
        <f>VLOOKUP(K1268,Maestro!J:K,2,0)</f>
        <v>CALIZA PARA ADICIONES</v>
      </c>
      <c r="Q1268" s="43" t="str">
        <f>VLOOKUP(P1268,Maestro!E:F,2,0)</f>
        <v>Adiciones</v>
      </c>
      <c r="R1268" s="43">
        <f>VLOOKUP(P1268,ORD!$A:$C,3,0)</f>
        <v>2</v>
      </c>
      <c r="S1268" t="str">
        <f t="shared" si="24"/>
        <v>7405050003ENERGIAAdiciones</v>
      </c>
      <c r="T1268" t="str">
        <f>IFERROR(VLOOKUP(S1268,Maestro!$A:$H,8,0),"Producción")</f>
        <v>Energía</v>
      </c>
      <c r="U1268" s="43" t="s">
        <v>182</v>
      </c>
    </row>
    <row r="1269" spans="1:21" x14ac:dyDescent="0.3">
      <c r="A1269" s="41">
        <v>7405050003</v>
      </c>
      <c r="B1269" s="43" t="s">
        <v>688</v>
      </c>
      <c r="C1269" s="50">
        <f>Datos!$O$356*D1269</f>
        <v>37414377.354847632</v>
      </c>
      <c r="D1269" s="17">
        <f>Datos!$O$269*Datos!$O$361</f>
        <v>71094.851485148509</v>
      </c>
      <c r="E1269" s="43" t="s">
        <v>556</v>
      </c>
      <c r="F1269" s="43" t="s">
        <v>557</v>
      </c>
      <c r="G1269" s="43" t="s">
        <v>567</v>
      </c>
      <c r="H1269" s="43" t="s">
        <v>568</v>
      </c>
      <c r="I1269" s="43" t="s">
        <v>587</v>
      </c>
      <c r="J1269" s="41" t="s">
        <v>797</v>
      </c>
      <c r="K1269" s="43">
        <v>700005</v>
      </c>
      <c r="L1269" s="43">
        <v>8</v>
      </c>
      <c r="M1269" s="43" t="s">
        <v>588</v>
      </c>
      <c r="N1269" s="51"/>
      <c r="O1269" s="51"/>
      <c r="P1269" s="43" t="str">
        <f>VLOOKUP(K1269,Maestro!J:K,2,0)</f>
        <v>CALIZA PARA ADICIONES</v>
      </c>
      <c r="Q1269" s="43" t="str">
        <f>VLOOKUP(P1269,Maestro!E:F,2,0)</f>
        <v>Adiciones</v>
      </c>
      <c r="R1269" s="43">
        <f>VLOOKUP(P1269,ORD!$A:$C,3,0)</f>
        <v>2</v>
      </c>
      <c r="S1269" t="str">
        <f t="shared" si="24"/>
        <v>7405050003ENERGIAAdiciones</v>
      </c>
      <c r="T1269" t="str">
        <f>IFERROR(VLOOKUP(S1269,Maestro!$A:$H,8,0),"Producción")</f>
        <v>Energía</v>
      </c>
      <c r="U1269" s="43" t="s">
        <v>182</v>
      </c>
    </row>
    <row r="1270" spans="1:21" x14ac:dyDescent="0.3">
      <c r="A1270" s="41">
        <v>7405050003</v>
      </c>
      <c r="B1270" s="43" t="s">
        <v>688</v>
      </c>
      <c r="C1270" s="50">
        <f>Datos!$P$356*D1270</f>
        <v>34032169.660967872</v>
      </c>
      <c r="D1270" s="17">
        <f>Datos!$P$269*Datos!$P$361</f>
        <v>64581.386138613867</v>
      </c>
      <c r="E1270" s="43" t="s">
        <v>556</v>
      </c>
      <c r="F1270" s="43" t="s">
        <v>557</v>
      </c>
      <c r="G1270" s="43" t="s">
        <v>567</v>
      </c>
      <c r="H1270" s="43" t="s">
        <v>568</v>
      </c>
      <c r="I1270" s="43" t="s">
        <v>587</v>
      </c>
      <c r="J1270" s="41" t="s">
        <v>797</v>
      </c>
      <c r="K1270" s="43">
        <v>700005</v>
      </c>
      <c r="L1270" s="43">
        <v>9</v>
      </c>
      <c r="M1270" s="43" t="s">
        <v>588</v>
      </c>
      <c r="N1270" s="51"/>
      <c r="O1270" s="51"/>
      <c r="P1270" s="43" t="str">
        <f>VLOOKUP(K1270,Maestro!J:K,2,0)</f>
        <v>CALIZA PARA ADICIONES</v>
      </c>
      <c r="Q1270" s="43" t="str">
        <f>VLOOKUP(P1270,Maestro!E:F,2,0)</f>
        <v>Adiciones</v>
      </c>
      <c r="R1270" s="43">
        <f>VLOOKUP(P1270,ORD!$A:$C,3,0)</f>
        <v>2</v>
      </c>
      <c r="S1270" t="str">
        <f t="shared" si="24"/>
        <v>7405050003ENERGIAAdiciones</v>
      </c>
      <c r="T1270" t="str">
        <f>IFERROR(VLOOKUP(S1270,Maestro!$A:$H,8,0),"Producción")</f>
        <v>Energía</v>
      </c>
      <c r="U1270" s="43" t="s">
        <v>182</v>
      </c>
    </row>
    <row r="1271" spans="1:21" x14ac:dyDescent="0.3">
      <c r="A1271" s="41">
        <v>7405050003</v>
      </c>
      <c r="B1271" s="43" t="s">
        <v>688</v>
      </c>
      <c r="C1271" s="50">
        <f>Datos!$Q$356*D1271</f>
        <v>32360008.614686731</v>
      </c>
      <c r="D1271" s="17">
        <f>Datos!$Q$269*Datos!$Q$361</f>
        <v>61325.910891089108</v>
      </c>
      <c r="E1271" s="43" t="s">
        <v>556</v>
      </c>
      <c r="F1271" s="43" t="s">
        <v>557</v>
      </c>
      <c r="G1271" s="43" t="s">
        <v>567</v>
      </c>
      <c r="H1271" s="43" t="s">
        <v>568</v>
      </c>
      <c r="I1271" s="43" t="s">
        <v>587</v>
      </c>
      <c r="J1271" s="41" t="s">
        <v>797</v>
      </c>
      <c r="K1271" s="43">
        <v>700005</v>
      </c>
      <c r="L1271" s="43">
        <v>10</v>
      </c>
      <c r="M1271" s="43" t="s">
        <v>588</v>
      </c>
      <c r="N1271" s="51"/>
      <c r="O1271" s="51"/>
      <c r="P1271" s="43" t="str">
        <f>VLOOKUP(K1271,Maestro!J:K,2,0)</f>
        <v>CALIZA PARA ADICIONES</v>
      </c>
      <c r="Q1271" s="43" t="str">
        <f>VLOOKUP(P1271,Maestro!E:F,2,0)</f>
        <v>Adiciones</v>
      </c>
      <c r="R1271" s="43">
        <f>VLOOKUP(P1271,ORD!$A:$C,3,0)</f>
        <v>2</v>
      </c>
      <c r="S1271" t="str">
        <f t="shared" si="24"/>
        <v>7405050003ENERGIAAdiciones</v>
      </c>
      <c r="T1271" t="str">
        <f>IFERROR(VLOOKUP(S1271,Maestro!$A:$H,8,0),"Producción")</f>
        <v>Energía</v>
      </c>
      <c r="U1271" s="43" t="s">
        <v>182</v>
      </c>
    </row>
    <row r="1272" spans="1:21" x14ac:dyDescent="0.3">
      <c r="A1272" s="41">
        <v>7405050003</v>
      </c>
      <c r="B1272" s="43" t="s">
        <v>688</v>
      </c>
      <c r="C1272" s="50">
        <f>Datos!$R$356*D1272</f>
        <v>37847557.370878473</v>
      </c>
      <c r="D1272" s="17">
        <f>Datos!$R$269*Datos!$R$361</f>
        <v>71629.257425742573</v>
      </c>
      <c r="E1272" s="43" t="s">
        <v>556</v>
      </c>
      <c r="F1272" s="43" t="s">
        <v>557</v>
      </c>
      <c r="G1272" s="43" t="s">
        <v>567</v>
      </c>
      <c r="H1272" s="43" t="s">
        <v>568</v>
      </c>
      <c r="I1272" s="43" t="s">
        <v>587</v>
      </c>
      <c r="J1272" s="41" t="s">
        <v>797</v>
      </c>
      <c r="K1272" s="43">
        <v>700005</v>
      </c>
      <c r="L1272" s="43">
        <v>11</v>
      </c>
      <c r="M1272" s="43" t="s">
        <v>588</v>
      </c>
      <c r="N1272" s="51"/>
      <c r="O1272" s="51"/>
      <c r="P1272" s="43" t="str">
        <f>VLOOKUP(K1272,Maestro!J:K,2,0)</f>
        <v>CALIZA PARA ADICIONES</v>
      </c>
      <c r="Q1272" s="43" t="str">
        <f>VLOOKUP(P1272,Maestro!E:F,2,0)</f>
        <v>Adiciones</v>
      </c>
      <c r="R1272" s="43">
        <f>VLOOKUP(P1272,ORD!$A:$C,3,0)</f>
        <v>2</v>
      </c>
      <c r="S1272" t="str">
        <f t="shared" si="24"/>
        <v>7405050003ENERGIAAdiciones</v>
      </c>
      <c r="T1272" t="str">
        <f>IFERROR(VLOOKUP(S1272,Maestro!$A:$H,8,0),"Producción")</f>
        <v>Energía</v>
      </c>
      <c r="U1272" s="43" t="s">
        <v>182</v>
      </c>
    </row>
    <row r="1273" spans="1:21" x14ac:dyDescent="0.3">
      <c r="A1273" s="41">
        <v>7405050003</v>
      </c>
      <c r="B1273" s="43" t="s">
        <v>688</v>
      </c>
      <c r="C1273" s="50">
        <f>Datos!$S$356*D1273</f>
        <v>31941006.225757435</v>
      </c>
      <c r="D1273" s="17">
        <f>Datos!$S$269*Datos!$S$361</f>
        <v>60369.552948683064</v>
      </c>
      <c r="E1273" s="43" t="s">
        <v>556</v>
      </c>
      <c r="F1273" s="43" t="s">
        <v>557</v>
      </c>
      <c r="G1273" s="43" t="s">
        <v>567</v>
      </c>
      <c r="H1273" s="43" t="s">
        <v>568</v>
      </c>
      <c r="I1273" s="43" t="s">
        <v>587</v>
      </c>
      <c r="J1273" s="41" t="s">
        <v>797</v>
      </c>
      <c r="K1273" s="43">
        <v>700005</v>
      </c>
      <c r="L1273" s="43">
        <v>12</v>
      </c>
      <c r="M1273" s="43" t="s">
        <v>588</v>
      </c>
      <c r="N1273" s="51"/>
      <c r="O1273" s="51"/>
      <c r="P1273" s="43" t="str">
        <f>VLOOKUP(K1273,Maestro!J:K,2,0)</f>
        <v>CALIZA PARA ADICIONES</v>
      </c>
      <c r="Q1273" s="43" t="str">
        <f>VLOOKUP(P1273,Maestro!E:F,2,0)</f>
        <v>Adiciones</v>
      </c>
      <c r="R1273" s="43">
        <f>VLOOKUP(P1273,ORD!$A:$C,3,0)</f>
        <v>2</v>
      </c>
      <c r="S1273" t="str">
        <f t="shared" si="24"/>
        <v>7405050003ENERGIAAdiciones</v>
      </c>
      <c r="T1273" t="str">
        <f>IFERROR(VLOOKUP(S1273,Maestro!$A:$H,8,0),"Producción")</f>
        <v>Energía</v>
      </c>
      <c r="U1273" s="43" t="s">
        <v>182</v>
      </c>
    </row>
    <row r="1274" spans="1:21" x14ac:dyDescent="0.3">
      <c r="A1274" s="41">
        <v>7405050003</v>
      </c>
      <c r="B1274" s="43" t="s">
        <v>688</v>
      </c>
      <c r="C1274" s="50">
        <f>Datos!$H$356*D1274</f>
        <v>1039178813.5564157</v>
      </c>
      <c r="D1274" s="17">
        <f>Datos!$H$263*Datos!$H$362</f>
        <v>1993200</v>
      </c>
      <c r="E1274" s="43" t="s">
        <v>556</v>
      </c>
      <c r="F1274" s="43" t="s">
        <v>557</v>
      </c>
      <c r="G1274" s="43" t="s">
        <v>567</v>
      </c>
      <c r="H1274" s="43" t="s">
        <v>568</v>
      </c>
      <c r="I1274" s="43" t="s">
        <v>560</v>
      </c>
      <c r="J1274" s="41" t="s">
        <v>797</v>
      </c>
      <c r="K1274" s="43">
        <v>700000</v>
      </c>
      <c r="L1274" s="43">
        <v>1</v>
      </c>
      <c r="M1274" s="43" t="s">
        <v>445</v>
      </c>
      <c r="N1274" s="51"/>
      <c r="O1274" s="51"/>
      <c r="P1274" s="43" t="str">
        <f>VLOOKUP(K1274,Maestro!J:K,2,0)</f>
        <v>HARINA CRUDA</v>
      </c>
      <c r="Q1274" s="43" t="str">
        <f>VLOOKUP(P1274,Maestro!E:F,2,0)</f>
        <v>Molienda de  Crudo</v>
      </c>
      <c r="R1274" s="43">
        <f>VLOOKUP(P1274,ORD!$A:$C,3,0)</f>
        <v>3</v>
      </c>
      <c r="S1274" t="str">
        <f t="shared" si="24"/>
        <v>7405050003ENERGIAMolienda de  Crudo</v>
      </c>
      <c r="T1274" t="str">
        <f>IFERROR(VLOOKUP(S1274,Maestro!$A:$H,8,0),"Producción")</f>
        <v>Energía</v>
      </c>
      <c r="U1274" s="43" t="s">
        <v>182</v>
      </c>
    </row>
    <row r="1275" spans="1:21" x14ac:dyDescent="0.3">
      <c r="A1275" s="41">
        <v>7405050003</v>
      </c>
      <c r="B1275" s="43" t="s">
        <v>688</v>
      </c>
      <c r="C1275" s="50">
        <f>Datos!$I$356*D1275</f>
        <v>1050418547.3125763</v>
      </c>
      <c r="D1275" s="17">
        <f>Datos!$I$263*Datos!$I$362</f>
        <v>2012075</v>
      </c>
      <c r="E1275" s="43" t="s">
        <v>556</v>
      </c>
      <c r="F1275" s="43" t="s">
        <v>557</v>
      </c>
      <c r="G1275" s="43" t="s">
        <v>567</v>
      </c>
      <c r="H1275" s="43" t="s">
        <v>568</v>
      </c>
      <c r="I1275" s="43" t="s">
        <v>560</v>
      </c>
      <c r="J1275" s="41" t="s">
        <v>797</v>
      </c>
      <c r="K1275" s="43">
        <v>700000</v>
      </c>
      <c r="L1275" s="43">
        <v>2</v>
      </c>
      <c r="M1275" s="43" t="s">
        <v>445</v>
      </c>
      <c r="N1275" s="51"/>
      <c r="O1275" s="51"/>
      <c r="P1275" s="43" t="str">
        <f>VLOOKUP(K1275,Maestro!J:K,2,0)</f>
        <v>HARINA CRUDA</v>
      </c>
      <c r="Q1275" s="43" t="str">
        <f>VLOOKUP(P1275,Maestro!E:F,2,0)</f>
        <v>Molienda de  Crudo</v>
      </c>
      <c r="R1275" s="43">
        <f>VLOOKUP(P1275,ORD!$A:$C,3,0)</f>
        <v>3</v>
      </c>
      <c r="S1275" t="str">
        <f t="shared" ref="S1275:S1286" si="25">A1275&amp;J1275&amp;Q1275</f>
        <v>7405050003ENERGIAMolienda de  Crudo</v>
      </c>
      <c r="T1275" t="str">
        <f>IFERROR(VLOOKUP(S1275,Maestro!$A:$H,8,0),"Producción")</f>
        <v>Energía</v>
      </c>
      <c r="U1275" s="43" t="s">
        <v>182</v>
      </c>
    </row>
    <row r="1276" spans="1:21" x14ac:dyDescent="0.3">
      <c r="A1276" s="41">
        <v>7405050003</v>
      </c>
      <c r="B1276" s="43" t="s">
        <v>688</v>
      </c>
      <c r="C1276" s="50">
        <f>Datos!$J$356*D1276</f>
        <v>749890795.52130532</v>
      </c>
      <c r="D1276" s="17">
        <f>Datos!$J$263*Datos!$J$362</f>
        <v>1434500</v>
      </c>
      <c r="E1276" s="43" t="s">
        <v>556</v>
      </c>
      <c r="F1276" s="43" t="s">
        <v>557</v>
      </c>
      <c r="G1276" s="43" t="s">
        <v>567</v>
      </c>
      <c r="H1276" s="43" t="s">
        <v>568</v>
      </c>
      <c r="I1276" s="43" t="s">
        <v>560</v>
      </c>
      <c r="J1276" s="41" t="s">
        <v>797</v>
      </c>
      <c r="K1276" s="43">
        <v>700000</v>
      </c>
      <c r="L1276" s="43">
        <v>3</v>
      </c>
      <c r="M1276" s="43" t="s">
        <v>445</v>
      </c>
      <c r="N1276" s="51"/>
      <c r="O1276" s="51"/>
      <c r="P1276" s="43" t="str">
        <f>VLOOKUP(K1276,Maestro!J:K,2,0)</f>
        <v>HARINA CRUDA</v>
      </c>
      <c r="Q1276" s="43" t="str">
        <f>VLOOKUP(P1276,Maestro!E:F,2,0)</f>
        <v>Molienda de  Crudo</v>
      </c>
      <c r="R1276" s="43">
        <f>VLOOKUP(P1276,ORD!$A:$C,3,0)</f>
        <v>3</v>
      </c>
      <c r="S1276" t="str">
        <f t="shared" si="25"/>
        <v>7405050003ENERGIAMolienda de  Crudo</v>
      </c>
      <c r="T1276" t="str">
        <f>IFERROR(VLOOKUP(S1276,Maestro!$A:$H,8,0),"Producción")</f>
        <v>Energía</v>
      </c>
      <c r="U1276" s="43" t="s">
        <v>182</v>
      </c>
    </row>
    <row r="1277" spans="1:21" x14ac:dyDescent="0.3">
      <c r="A1277" s="41">
        <v>7405050003</v>
      </c>
      <c r="B1277" s="43" t="s">
        <v>688</v>
      </c>
      <c r="C1277" s="50">
        <f>Datos!$K$356*D1277</f>
        <v>770652744.82722223</v>
      </c>
      <c r="D1277" s="17">
        <f>Datos!$K$263*Datos!$K$362</f>
        <v>1472250</v>
      </c>
      <c r="E1277" s="43" t="s">
        <v>556</v>
      </c>
      <c r="F1277" s="43" t="s">
        <v>557</v>
      </c>
      <c r="G1277" s="43" t="s">
        <v>567</v>
      </c>
      <c r="H1277" s="43" t="s">
        <v>568</v>
      </c>
      <c r="I1277" s="43" t="s">
        <v>560</v>
      </c>
      <c r="J1277" s="41" t="s">
        <v>797</v>
      </c>
      <c r="K1277" s="43">
        <v>700000</v>
      </c>
      <c r="L1277" s="43">
        <v>4</v>
      </c>
      <c r="M1277" s="43" t="s">
        <v>445</v>
      </c>
      <c r="N1277" s="51"/>
      <c r="O1277" s="51"/>
      <c r="P1277" s="43" t="str">
        <f>VLOOKUP(K1277,Maestro!J:K,2,0)</f>
        <v>HARINA CRUDA</v>
      </c>
      <c r="Q1277" s="43" t="str">
        <f>VLOOKUP(P1277,Maestro!E:F,2,0)</f>
        <v>Molienda de  Crudo</v>
      </c>
      <c r="R1277" s="43">
        <f>VLOOKUP(P1277,ORD!$A:$C,3,0)</f>
        <v>3</v>
      </c>
      <c r="S1277" t="str">
        <f t="shared" si="25"/>
        <v>7405050003ENERGIAMolienda de  Crudo</v>
      </c>
      <c r="T1277" t="str">
        <f>IFERROR(VLOOKUP(S1277,Maestro!$A:$H,8,0),"Producción")</f>
        <v>Energía</v>
      </c>
      <c r="U1277" s="43" t="s">
        <v>182</v>
      </c>
    </row>
    <row r="1278" spans="1:21" x14ac:dyDescent="0.3">
      <c r="A1278" s="41">
        <v>7405050003</v>
      </c>
      <c r="B1278" s="43" t="s">
        <v>688</v>
      </c>
      <c r="C1278" s="50">
        <f>Datos!$L$356*D1278</f>
        <v>1167417697.2003357</v>
      </c>
      <c r="D1278" s="17">
        <f>Datos!$L$263*Datos!$L$362</f>
        <v>2227250</v>
      </c>
      <c r="E1278" s="43" t="s">
        <v>556</v>
      </c>
      <c r="F1278" s="43" t="s">
        <v>557</v>
      </c>
      <c r="G1278" s="43" t="s">
        <v>567</v>
      </c>
      <c r="H1278" s="43" t="s">
        <v>568</v>
      </c>
      <c r="I1278" s="43" t="s">
        <v>560</v>
      </c>
      <c r="J1278" s="41" t="s">
        <v>797</v>
      </c>
      <c r="K1278" s="43">
        <v>700000</v>
      </c>
      <c r="L1278" s="43">
        <v>5</v>
      </c>
      <c r="M1278" s="43" t="s">
        <v>445</v>
      </c>
      <c r="N1278" s="51"/>
      <c r="O1278" s="51"/>
      <c r="P1278" s="43" t="str">
        <f>VLOOKUP(K1278,Maestro!J:K,2,0)</f>
        <v>HARINA CRUDA</v>
      </c>
      <c r="Q1278" s="43" t="str">
        <f>VLOOKUP(P1278,Maestro!E:F,2,0)</f>
        <v>Molienda de  Crudo</v>
      </c>
      <c r="R1278" s="43">
        <f>VLOOKUP(P1278,ORD!$A:$C,3,0)</f>
        <v>3</v>
      </c>
      <c r="S1278" t="str">
        <f t="shared" si="25"/>
        <v>7405050003ENERGIAMolienda de  Crudo</v>
      </c>
      <c r="T1278" t="str">
        <f>IFERROR(VLOOKUP(S1278,Maestro!$A:$H,8,0),"Producción")</f>
        <v>Energía</v>
      </c>
      <c r="U1278" s="43" t="s">
        <v>182</v>
      </c>
    </row>
    <row r="1279" spans="1:21" x14ac:dyDescent="0.3">
      <c r="A1279" s="41">
        <v>7405050003</v>
      </c>
      <c r="B1279" s="43" t="s">
        <v>688</v>
      </c>
      <c r="C1279" s="50">
        <f>Datos!$M$356*D1279</f>
        <v>515143458.43092322</v>
      </c>
      <c r="D1279" s="17">
        <f>Datos!$M$263*Datos!$M$362</f>
        <v>981500</v>
      </c>
      <c r="E1279" s="43" t="s">
        <v>556</v>
      </c>
      <c r="F1279" s="43" t="s">
        <v>557</v>
      </c>
      <c r="G1279" s="43" t="s">
        <v>567</v>
      </c>
      <c r="H1279" s="43" t="s">
        <v>568</v>
      </c>
      <c r="I1279" s="43" t="s">
        <v>560</v>
      </c>
      <c r="J1279" s="41" t="s">
        <v>797</v>
      </c>
      <c r="K1279" s="43">
        <v>700000</v>
      </c>
      <c r="L1279" s="43">
        <v>6</v>
      </c>
      <c r="M1279" s="43" t="s">
        <v>445</v>
      </c>
      <c r="N1279" s="51"/>
      <c r="O1279" s="51"/>
      <c r="P1279" s="43" t="str">
        <f>VLOOKUP(K1279,Maestro!J:K,2,0)</f>
        <v>HARINA CRUDA</v>
      </c>
      <c r="Q1279" s="43" t="str">
        <f>VLOOKUP(P1279,Maestro!E:F,2,0)</f>
        <v>Molienda de  Crudo</v>
      </c>
      <c r="R1279" s="43">
        <f>VLOOKUP(P1279,ORD!$A:$C,3,0)</f>
        <v>3</v>
      </c>
      <c r="S1279" t="str">
        <f t="shared" si="25"/>
        <v>7405050003ENERGIAMolienda de  Crudo</v>
      </c>
      <c r="T1279" t="str">
        <f>IFERROR(VLOOKUP(S1279,Maestro!$A:$H,8,0),"Producción")</f>
        <v>Energía</v>
      </c>
      <c r="U1279" s="43" t="s">
        <v>182</v>
      </c>
    </row>
    <row r="1280" spans="1:21" x14ac:dyDescent="0.3">
      <c r="A1280" s="41">
        <v>7405050003</v>
      </c>
      <c r="B1280" s="43" t="s">
        <v>688</v>
      </c>
      <c r="C1280" s="50">
        <f>Datos!$N$356*D1280</f>
        <v>972147006.88250339</v>
      </c>
      <c r="D1280" s="17">
        <f>Datos!$N$263*Datos!$N$362</f>
        <v>1849750</v>
      </c>
      <c r="E1280" s="43" t="s">
        <v>556</v>
      </c>
      <c r="F1280" s="43" t="s">
        <v>557</v>
      </c>
      <c r="G1280" s="43" t="s">
        <v>567</v>
      </c>
      <c r="H1280" s="43" t="s">
        <v>568</v>
      </c>
      <c r="I1280" s="43" t="s">
        <v>560</v>
      </c>
      <c r="J1280" s="41" t="s">
        <v>797</v>
      </c>
      <c r="K1280" s="43">
        <v>700000</v>
      </c>
      <c r="L1280" s="43">
        <v>7</v>
      </c>
      <c r="M1280" s="43" t="s">
        <v>445</v>
      </c>
      <c r="N1280" s="51"/>
      <c r="O1280" s="51"/>
      <c r="P1280" s="43" t="str">
        <f>VLOOKUP(K1280,Maestro!J:K,2,0)</f>
        <v>HARINA CRUDA</v>
      </c>
      <c r="Q1280" s="43" t="str">
        <f>VLOOKUP(P1280,Maestro!E:F,2,0)</f>
        <v>Molienda de  Crudo</v>
      </c>
      <c r="R1280" s="43">
        <f>VLOOKUP(P1280,ORD!$A:$C,3,0)</f>
        <v>3</v>
      </c>
      <c r="S1280" t="str">
        <f t="shared" si="25"/>
        <v>7405050003ENERGIAMolienda de  Crudo</v>
      </c>
      <c r="T1280" t="str">
        <f>IFERROR(VLOOKUP(S1280,Maestro!$A:$H,8,0),"Producción")</f>
        <v>Energía</v>
      </c>
      <c r="U1280" s="43" t="s">
        <v>182</v>
      </c>
    </row>
    <row r="1281" spans="1:21" x14ac:dyDescent="0.3">
      <c r="A1281" s="41">
        <v>7405050003</v>
      </c>
      <c r="B1281" s="43" t="s">
        <v>688</v>
      </c>
      <c r="C1281" s="50">
        <f>Datos!$O$356*D1281</f>
        <v>1164166084.2742712</v>
      </c>
      <c r="D1281" s="17">
        <f>Datos!$O$263*Datos!$O$362</f>
        <v>2212150</v>
      </c>
      <c r="E1281" s="43" t="s">
        <v>556</v>
      </c>
      <c r="F1281" s="43" t="s">
        <v>557</v>
      </c>
      <c r="G1281" s="43" t="s">
        <v>567</v>
      </c>
      <c r="H1281" s="43" t="s">
        <v>568</v>
      </c>
      <c r="I1281" s="43" t="s">
        <v>560</v>
      </c>
      <c r="J1281" s="41" t="s">
        <v>797</v>
      </c>
      <c r="K1281" s="43">
        <v>700000</v>
      </c>
      <c r="L1281" s="43">
        <v>8</v>
      </c>
      <c r="M1281" s="43" t="s">
        <v>445</v>
      </c>
      <c r="N1281" s="51"/>
      <c r="O1281" s="51"/>
      <c r="P1281" s="43" t="str">
        <f>VLOOKUP(K1281,Maestro!J:K,2,0)</f>
        <v>HARINA CRUDA</v>
      </c>
      <c r="Q1281" s="43" t="str">
        <f>VLOOKUP(P1281,Maestro!E:F,2,0)</f>
        <v>Molienda de  Crudo</v>
      </c>
      <c r="R1281" s="43">
        <f>VLOOKUP(P1281,ORD!$A:$C,3,0)</f>
        <v>3</v>
      </c>
      <c r="S1281" t="str">
        <f t="shared" si="25"/>
        <v>7405050003ENERGIAMolienda de  Crudo</v>
      </c>
      <c r="T1281" t="str">
        <f>IFERROR(VLOOKUP(S1281,Maestro!$A:$H,8,0),"Producción")</f>
        <v>Energía</v>
      </c>
      <c r="U1281" s="43" t="s">
        <v>182</v>
      </c>
    </row>
    <row r="1282" spans="1:21" x14ac:dyDescent="0.3">
      <c r="A1282" s="41">
        <v>7405050003</v>
      </c>
      <c r="B1282" s="43" t="s">
        <v>688</v>
      </c>
      <c r="C1282" s="50">
        <f>Datos!$P$356*D1282</f>
        <v>905129309.06215715</v>
      </c>
      <c r="D1282" s="17">
        <f>Datos!$P$263*Datos!$P$362</f>
        <v>1717625</v>
      </c>
      <c r="E1282" s="43" t="s">
        <v>556</v>
      </c>
      <c r="F1282" s="43" t="s">
        <v>557</v>
      </c>
      <c r="G1282" s="43" t="s">
        <v>567</v>
      </c>
      <c r="H1282" s="43" t="s">
        <v>568</v>
      </c>
      <c r="I1282" s="43" t="s">
        <v>560</v>
      </c>
      <c r="J1282" s="41" t="s">
        <v>797</v>
      </c>
      <c r="K1282" s="43">
        <v>700000</v>
      </c>
      <c r="L1282" s="43">
        <v>9</v>
      </c>
      <c r="M1282" s="43" t="s">
        <v>445</v>
      </c>
      <c r="N1282" s="51"/>
      <c r="O1282" s="51"/>
      <c r="P1282" s="43" t="str">
        <f>VLOOKUP(K1282,Maestro!J:K,2,0)</f>
        <v>HARINA CRUDA</v>
      </c>
      <c r="Q1282" s="43" t="str">
        <f>VLOOKUP(P1282,Maestro!E:F,2,0)</f>
        <v>Molienda de  Crudo</v>
      </c>
      <c r="R1282" s="43">
        <f>VLOOKUP(P1282,ORD!$A:$C,3,0)</f>
        <v>3</v>
      </c>
      <c r="S1282" t="str">
        <f t="shared" si="25"/>
        <v>7405050003ENERGIAMolienda de  Crudo</v>
      </c>
      <c r="T1282" t="str">
        <f>IFERROR(VLOOKUP(S1282,Maestro!$A:$H,8,0),"Producción")</f>
        <v>Energía</v>
      </c>
      <c r="U1282" s="43" t="s">
        <v>182</v>
      </c>
    </row>
    <row r="1283" spans="1:21" x14ac:dyDescent="0.3">
      <c r="A1283" s="41">
        <v>7405050003</v>
      </c>
      <c r="B1283" s="43" t="s">
        <v>688</v>
      </c>
      <c r="C1283" s="50">
        <f>Datos!$Q$356*D1283</f>
        <v>713123262.36760306</v>
      </c>
      <c r="D1283" s="17">
        <f>Datos!$Q$263*Datos!$Q$362</f>
        <v>1351450</v>
      </c>
      <c r="E1283" s="43" t="s">
        <v>556</v>
      </c>
      <c r="F1283" s="43" t="s">
        <v>557</v>
      </c>
      <c r="G1283" s="43" t="s">
        <v>567</v>
      </c>
      <c r="H1283" s="43" t="s">
        <v>568</v>
      </c>
      <c r="I1283" s="43" t="s">
        <v>560</v>
      </c>
      <c r="J1283" s="41" t="s">
        <v>797</v>
      </c>
      <c r="K1283" s="43">
        <v>700000</v>
      </c>
      <c r="L1283" s="43">
        <v>10</v>
      </c>
      <c r="M1283" s="43" t="s">
        <v>445</v>
      </c>
      <c r="N1283" s="51"/>
      <c r="O1283" s="51"/>
      <c r="P1283" s="43" t="str">
        <f>VLOOKUP(K1283,Maestro!J:K,2,0)</f>
        <v>HARINA CRUDA</v>
      </c>
      <c r="Q1283" s="43" t="str">
        <f>VLOOKUP(P1283,Maestro!E:F,2,0)</f>
        <v>Molienda de  Crudo</v>
      </c>
      <c r="R1283" s="43">
        <f>VLOOKUP(P1283,ORD!$A:$C,3,0)</f>
        <v>3</v>
      </c>
      <c r="S1283" t="str">
        <f t="shared" si="25"/>
        <v>7405050003ENERGIAMolienda de  Crudo</v>
      </c>
      <c r="T1283" t="str">
        <f>IFERROR(VLOOKUP(S1283,Maestro!$A:$H,8,0),"Producción")</f>
        <v>Energía</v>
      </c>
      <c r="U1283" s="43" t="s">
        <v>182</v>
      </c>
    </row>
    <row r="1284" spans="1:21" x14ac:dyDescent="0.3">
      <c r="A1284" s="41">
        <v>7405050003</v>
      </c>
      <c r="B1284" s="43" t="s">
        <v>688</v>
      </c>
      <c r="C1284" s="50">
        <f>Datos!$R$356*D1284</f>
        <v>1136944378.5901916</v>
      </c>
      <c r="D1284" s="17">
        <f>Datos!$R$263*Datos!$R$362</f>
        <v>2151750</v>
      </c>
      <c r="E1284" s="43" t="s">
        <v>556</v>
      </c>
      <c r="F1284" s="43" t="s">
        <v>557</v>
      </c>
      <c r="G1284" s="43" t="s">
        <v>567</v>
      </c>
      <c r="H1284" s="43" t="s">
        <v>568</v>
      </c>
      <c r="I1284" s="43" t="s">
        <v>560</v>
      </c>
      <c r="J1284" s="41" t="s">
        <v>797</v>
      </c>
      <c r="K1284" s="43">
        <v>700000</v>
      </c>
      <c r="L1284" s="43">
        <v>11</v>
      </c>
      <c r="M1284" s="43" t="s">
        <v>445</v>
      </c>
      <c r="N1284" s="51"/>
      <c r="O1284" s="51"/>
      <c r="P1284" s="43" t="str">
        <f>VLOOKUP(K1284,Maestro!J:K,2,0)</f>
        <v>HARINA CRUDA</v>
      </c>
      <c r="Q1284" s="43" t="str">
        <f>VLOOKUP(P1284,Maestro!E:F,2,0)</f>
        <v>Molienda de  Crudo</v>
      </c>
      <c r="R1284" s="43">
        <f>VLOOKUP(P1284,ORD!$A:$C,3,0)</f>
        <v>3</v>
      </c>
      <c r="S1284" t="str">
        <f t="shared" si="25"/>
        <v>7405050003ENERGIAMolienda de  Crudo</v>
      </c>
      <c r="T1284" t="str">
        <f>IFERROR(VLOOKUP(S1284,Maestro!$A:$H,8,0),"Producción")</f>
        <v>Energía</v>
      </c>
      <c r="U1284" s="43" t="s">
        <v>182</v>
      </c>
    </row>
    <row r="1285" spans="1:21" x14ac:dyDescent="0.3">
      <c r="A1285" s="41">
        <v>7405050003</v>
      </c>
      <c r="B1285" s="43" t="s">
        <v>688</v>
      </c>
      <c r="C1285" s="50">
        <f>Datos!$S$356*D1285</f>
        <v>729764448.04655898</v>
      </c>
      <c r="D1285" s="17">
        <f>Datos!$S$263*Datos!$S$362</f>
        <v>1379278.8234356414</v>
      </c>
      <c r="E1285" s="43" t="s">
        <v>556</v>
      </c>
      <c r="F1285" s="43" t="s">
        <v>557</v>
      </c>
      <c r="G1285" s="43" t="s">
        <v>567</v>
      </c>
      <c r="H1285" s="43" t="s">
        <v>568</v>
      </c>
      <c r="I1285" s="43" t="s">
        <v>560</v>
      </c>
      <c r="J1285" s="41" t="s">
        <v>797</v>
      </c>
      <c r="K1285" s="43">
        <v>700000</v>
      </c>
      <c r="L1285" s="43">
        <v>12</v>
      </c>
      <c r="M1285" s="43" t="s">
        <v>445</v>
      </c>
      <c r="N1285" s="51"/>
      <c r="O1285" s="51"/>
      <c r="P1285" s="43" t="str">
        <f>VLOOKUP(K1285,Maestro!J:K,2,0)</f>
        <v>HARINA CRUDA</v>
      </c>
      <c r="Q1285" s="43" t="str">
        <f>VLOOKUP(P1285,Maestro!E:F,2,0)</f>
        <v>Molienda de  Crudo</v>
      </c>
      <c r="R1285" s="43">
        <f>VLOOKUP(P1285,ORD!$A:$C,3,0)</f>
        <v>3</v>
      </c>
      <c r="S1285" t="str">
        <f t="shared" si="25"/>
        <v>7405050003ENERGIAMolienda de  Crudo</v>
      </c>
      <c r="T1285" t="str">
        <f>IFERROR(VLOOKUP(S1285,Maestro!$A:$H,8,0),"Producción")</f>
        <v>Energía</v>
      </c>
      <c r="U1285" s="43" t="s">
        <v>182</v>
      </c>
    </row>
    <row r="1286" spans="1:21" x14ac:dyDescent="0.3">
      <c r="A1286" s="41">
        <v>7405050003</v>
      </c>
      <c r="B1286" s="43" t="s">
        <v>688</v>
      </c>
      <c r="C1286" s="50">
        <f>Datos!$H$356*D1286</f>
        <v>134202528.77256179</v>
      </c>
      <c r="D1286" s="17">
        <f>Datos!$H$272*Datos!$H$363</f>
        <v>257407.55764065462</v>
      </c>
      <c r="E1286" s="43" t="s">
        <v>556</v>
      </c>
      <c r="F1286" s="43" t="s">
        <v>557</v>
      </c>
      <c r="G1286" s="43" t="s">
        <v>567</v>
      </c>
      <c r="H1286" s="43" t="s">
        <v>568</v>
      </c>
      <c r="I1286" s="43" t="s">
        <v>560</v>
      </c>
      <c r="J1286" s="41" t="s">
        <v>797</v>
      </c>
      <c r="K1286" s="43">
        <v>700002</v>
      </c>
      <c r="L1286" s="43">
        <v>1</v>
      </c>
      <c r="M1286" s="43" t="s">
        <v>452</v>
      </c>
      <c r="N1286" s="51"/>
      <c r="O1286" s="51"/>
      <c r="P1286" s="43" t="str">
        <f>VLOOKUP(K1286,Maestro!J:K,2,0)</f>
        <v>CARBON MOLIDO</v>
      </c>
      <c r="Q1286" s="43" t="str">
        <f>VLOOKUP(P1286,Maestro!E:F,2,0)</f>
        <v>Molienda de Carbón</v>
      </c>
      <c r="R1286" s="43">
        <f>VLOOKUP(P1286,ORD!$A:$C,3,0)</f>
        <v>4</v>
      </c>
      <c r="S1286" t="str">
        <f t="shared" si="25"/>
        <v>7405050003ENERGIAMolienda de Carbón</v>
      </c>
      <c r="T1286" t="str">
        <f>IFERROR(VLOOKUP(S1286,Maestro!$A:$H,8,0),"Producción")</f>
        <v>Energía</v>
      </c>
      <c r="U1286" s="43" t="s">
        <v>182</v>
      </c>
    </row>
    <row r="1287" spans="1:21" x14ac:dyDescent="0.3">
      <c r="A1287" s="41">
        <v>7405050003</v>
      </c>
      <c r="B1287" s="43" t="s">
        <v>688</v>
      </c>
      <c r="C1287" s="50">
        <f>Datos!$I$356*D1287</f>
        <v>136042102.57761279</v>
      </c>
      <c r="D1287" s="17">
        <f>Datos!$I$272*Datos!$I$363</f>
        <v>260588.42377084997</v>
      </c>
      <c r="E1287" s="43" t="s">
        <v>556</v>
      </c>
      <c r="F1287" s="43" t="s">
        <v>557</v>
      </c>
      <c r="G1287" s="43" t="s">
        <v>567</v>
      </c>
      <c r="H1287" s="43" t="s">
        <v>568</v>
      </c>
      <c r="I1287" s="43" t="s">
        <v>560</v>
      </c>
      <c r="J1287" s="41" t="s">
        <v>797</v>
      </c>
      <c r="K1287" s="43">
        <v>700002</v>
      </c>
      <c r="L1287" s="43">
        <v>2</v>
      </c>
      <c r="M1287" s="43" t="s">
        <v>452</v>
      </c>
      <c r="N1287" s="51"/>
      <c r="O1287" s="51"/>
      <c r="P1287" s="43" t="str">
        <f>VLOOKUP(K1287,Maestro!J:K,2,0)</f>
        <v>CARBON MOLIDO</v>
      </c>
      <c r="Q1287" s="43" t="str">
        <f>VLOOKUP(P1287,Maestro!E:F,2,0)</f>
        <v>Molienda de Carbón</v>
      </c>
      <c r="R1287" s="43">
        <f>VLOOKUP(P1287,ORD!$A:$C,3,0)</f>
        <v>4</v>
      </c>
      <c r="S1287" t="str">
        <f t="shared" ref="S1287:S1298" si="26">A1287&amp;J1287&amp;Q1287</f>
        <v>7405050003ENERGIAMolienda de Carbón</v>
      </c>
      <c r="T1287" t="str">
        <f>IFERROR(VLOOKUP(S1287,Maestro!$A:$H,8,0),"Producción")</f>
        <v>Energía</v>
      </c>
      <c r="U1287" s="43" t="s">
        <v>182</v>
      </c>
    </row>
    <row r="1288" spans="1:21" x14ac:dyDescent="0.3">
      <c r="A1288" s="41">
        <v>7405050003</v>
      </c>
      <c r="B1288" s="43" t="s">
        <v>688</v>
      </c>
      <c r="C1288" s="50">
        <f>Datos!$J$356*D1288</f>
        <v>94653401.59267427</v>
      </c>
      <c r="D1288" s="17">
        <f>Datos!$J$272*Datos!$J$363</f>
        <v>181066.77051596582</v>
      </c>
      <c r="E1288" s="43" t="s">
        <v>556</v>
      </c>
      <c r="F1288" s="43" t="s">
        <v>557</v>
      </c>
      <c r="G1288" s="43" t="s">
        <v>567</v>
      </c>
      <c r="H1288" s="43" t="s">
        <v>568</v>
      </c>
      <c r="I1288" s="43" t="s">
        <v>560</v>
      </c>
      <c r="J1288" s="41" t="s">
        <v>797</v>
      </c>
      <c r="K1288" s="43">
        <v>700002</v>
      </c>
      <c r="L1288" s="43">
        <v>3</v>
      </c>
      <c r="M1288" s="43" t="s">
        <v>452</v>
      </c>
      <c r="N1288" s="51"/>
      <c r="O1288" s="51"/>
      <c r="P1288" s="43" t="str">
        <f>VLOOKUP(K1288,Maestro!J:K,2,0)</f>
        <v>CARBON MOLIDO</v>
      </c>
      <c r="Q1288" s="43" t="str">
        <f>VLOOKUP(P1288,Maestro!E:F,2,0)</f>
        <v>Molienda de Carbón</v>
      </c>
      <c r="R1288" s="43">
        <f>VLOOKUP(P1288,ORD!$A:$C,3,0)</f>
        <v>4</v>
      </c>
      <c r="S1288" t="str">
        <f t="shared" si="26"/>
        <v>7405050003ENERGIAMolienda de Carbón</v>
      </c>
      <c r="T1288" t="str">
        <f>IFERROR(VLOOKUP(S1288,Maestro!$A:$H,8,0),"Producción")</f>
        <v>Energía</v>
      </c>
      <c r="U1288" s="43" t="s">
        <v>182</v>
      </c>
    </row>
    <row r="1289" spans="1:21" x14ac:dyDescent="0.3">
      <c r="A1289" s="41">
        <v>7405050003</v>
      </c>
      <c r="B1289" s="43" t="s">
        <v>688</v>
      </c>
      <c r="C1289" s="50">
        <f>Datos!$K$356*D1289</f>
        <v>99139980.150661901</v>
      </c>
      <c r="D1289" s="17">
        <f>Datos!$K$272*Datos!$K$363</f>
        <v>189396.37438070175</v>
      </c>
      <c r="E1289" s="43" t="s">
        <v>556</v>
      </c>
      <c r="F1289" s="43" t="s">
        <v>557</v>
      </c>
      <c r="G1289" s="43" t="s">
        <v>567</v>
      </c>
      <c r="H1289" s="43" t="s">
        <v>568</v>
      </c>
      <c r="I1289" s="43" t="s">
        <v>560</v>
      </c>
      <c r="J1289" s="41" t="s">
        <v>797</v>
      </c>
      <c r="K1289" s="43">
        <v>700002</v>
      </c>
      <c r="L1289" s="43">
        <v>4</v>
      </c>
      <c r="M1289" s="43" t="s">
        <v>452</v>
      </c>
      <c r="N1289" s="51"/>
      <c r="O1289" s="51"/>
      <c r="P1289" s="43" t="str">
        <f>VLOOKUP(K1289,Maestro!J:K,2,0)</f>
        <v>CARBON MOLIDO</v>
      </c>
      <c r="Q1289" s="43" t="str">
        <f>VLOOKUP(P1289,Maestro!E:F,2,0)</f>
        <v>Molienda de Carbón</v>
      </c>
      <c r="R1289" s="43">
        <f>VLOOKUP(P1289,ORD!$A:$C,3,0)</f>
        <v>4</v>
      </c>
      <c r="S1289" t="str">
        <f t="shared" si="26"/>
        <v>7405050003ENERGIAMolienda de Carbón</v>
      </c>
      <c r="T1289" t="str">
        <f>IFERROR(VLOOKUP(S1289,Maestro!$A:$H,8,0),"Producción")</f>
        <v>Energía</v>
      </c>
      <c r="U1289" s="43" t="s">
        <v>182</v>
      </c>
    </row>
    <row r="1290" spans="1:21" x14ac:dyDescent="0.3">
      <c r="A1290" s="41">
        <v>7405050003</v>
      </c>
      <c r="B1290" s="43" t="s">
        <v>688</v>
      </c>
      <c r="C1290" s="50">
        <f>Datos!$L$356*D1290</f>
        <v>151593279.74451357</v>
      </c>
      <c r="D1290" s="17">
        <f>Datos!$L$272*Datos!$L$363</f>
        <v>289216.21894260822</v>
      </c>
      <c r="E1290" s="43" t="s">
        <v>556</v>
      </c>
      <c r="F1290" s="43" t="s">
        <v>557</v>
      </c>
      <c r="G1290" s="43" t="s">
        <v>567</v>
      </c>
      <c r="H1290" s="43" t="s">
        <v>568</v>
      </c>
      <c r="I1290" s="43" t="s">
        <v>560</v>
      </c>
      <c r="J1290" s="41" t="s">
        <v>797</v>
      </c>
      <c r="K1290" s="43">
        <v>700002</v>
      </c>
      <c r="L1290" s="43">
        <v>5</v>
      </c>
      <c r="M1290" s="43" t="s">
        <v>452</v>
      </c>
      <c r="N1290" s="51"/>
      <c r="O1290" s="51"/>
      <c r="P1290" s="43" t="str">
        <f>VLOOKUP(K1290,Maestro!J:K,2,0)</f>
        <v>CARBON MOLIDO</v>
      </c>
      <c r="Q1290" s="43" t="str">
        <f>VLOOKUP(P1290,Maestro!E:F,2,0)</f>
        <v>Molienda de Carbón</v>
      </c>
      <c r="R1290" s="43">
        <f>VLOOKUP(P1290,ORD!$A:$C,3,0)</f>
        <v>4</v>
      </c>
      <c r="S1290" t="str">
        <f t="shared" si="26"/>
        <v>7405050003ENERGIAMolienda de Carbón</v>
      </c>
      <c r="T1290" t="str">
        <f>IFERROR(VLOOKUP(S1290,Maestro!$A:$H,8,0),"Producción")</f>
        <v>Energía</v>
      </c>
      <c r="U1290" s="43" t="s">
        <v>182</v>
      </c>
    </row>
    <row r="1291" spans="1:21" x14ac:dyDescent="0.3">
      <c r="A1291" s="41">
        <v>7405050003</v>
      </c>
      <c r="B1291" s="43" t="s">
        <v>688</v>
      </c>
      <c r="C1291" s="50">
        <f>Datos!$M$356*D1291</f>
        <v>64982699.486958392</v>
      </c>
      <c r="D1291" s="17">
        <f>Datos!$M$272*Datos!$M$363</f>
        <v>123811.18017244925</v>
      </c>
      <c r="E1291" s="43" t="s">
        <v>556</v>
      </c>
      <c r="F1291" s="43" t="s">
        <v>557</v>
      </c>
      <c r="G1291" s="43" t="s">
        <v>567</v>
      </c>
      <c r="H1291" s="43" t="s">
        <v>568</v>
      </c>
      <c r="I1291" s="43" t="s">
        <v>560</v>
      </c>
      <c r="J1291" s="41" t="s">
        <v>797</v>
      </c>
      <c r="K1291" s="43">
        <v>700002</v>
      </c>
      <c r="L1291" s="43">
        <v>6</v>
      </c>
      <c r="M1291" s="43" t="s">
        <v>452</v>
      </c>
      <c r="N1291" s="51"/>
      <c r="O1291" s="51"/>
      <c r="P1291" s="43" t="str">
        <f>VLOOKUP(K1291,Maestro!J:K,2,0)</f>
        <v>CARBON MOLIDO</v>
      </c>
      <c r="Q1291" s="43" t="str">
        <f>VLOOKUP(P1291,Maestro!E:F,2,0)</f>
        <v>Molienda de Carbón</v>
      </c>
      <c r="R1291" s="43">
        <f>VLOOKUP(P1291,ORD!$A:$C,3,0)</f>
        <v>4</v>
      </c>
      <c r="S1291" t="str">
        <f t="shared" si="26"/>
        <v>7405050003ENERGIAMolienda de Carbón</v>
      </c>
      <c r="T1291" t="str">
        <f>IFERROR(VLOOKUP(S1291,Maestro!$A:$H,8,0),"Producción")</f>
        <v>Energía</v>
      </c>
      <c r="U1291" s="43" t="s">
        <v>182</v>
      </c>
    </row>
    <row r="1292" spans="1:21" x14ac:dyDescent="0.3">
      <c r="A1292" s="41">
        <v>7405050003</v>
      </c>
      <c r="B1292" s="43" t="s">
        <v>688</v>
      </c>
      <c r="C1292" s="50">
        <f>Datos!$N$356*D1292</f>
        <v>124614223.96812953</v>
      </c>
      <c r="D1292" s="17">
        <f>Datos!$N$272*Datos!$N$363</f>
        <v>237109.36633363224</v>
      </c>
      <c r="E1292" s="43" t="s">
        <v>556</v>
      </c>
      <c r="F1292" s="43" t="s">
        <v>557</v>
      </c>
      <c r="G1292" s="43" t="s">
        <v>567</v>
      </c>
      <c r="H1292" s="43" t="s">
        <v>568</v>
      </c>
      <c r="I1292" s="43" t="s">
        <v>560</v>
      </c>
      <c r="J1292" s="41" t="s">
        <v>797</v>
      </c>
      <c r="K1292" s="43">
        <v>700002</v>
      </c>
      <c r="L1292" s="43">
        <v>7</v>
      </c>
      <c r="M1292" s="43" t="s">
        <v>452</v>
      </c>
      <c r="N1292" s="51"/>
      <c r="O1292" s="51"/>
      <c r="P1292" s="43" t="str">
        <f>VLOOKUP(K1292,Maestro!J:K,2,0)</f>
        <v>CARBON MOLIDO</v>
      </c>
      <c r="Q1292" s="43" t="str">
        <f>VLOOKUP(P1292,Maestro!E:F,2,0)</f>
        <v>Molienda de Carbón</v>
      </c>
      <c r="R1292" s="43">
        <f>VLOOKUP(P1292,ORD!$A:$C,3,0)</f>
        <v>4</v>
      </c>
      <c r="S1292" t="str">
        <f t="shared" si="26"/>
        <v>7405050003ENERGIAMolienda de Carbón</v>
      </c>
      <c r="T1292" t="str">
        <f>IFERROR(VLOOKUP(S1292,Maestro!$A:$H,8,0),"Producción")</f>
        <v>Energía</v>
      </c>
      <c r="U1292" s="43" t="s">
        <v>182</v>
      </c>
    </row>
    <row r="1293" spans="1:21" x14ac:dyDescent="0.3">
      <c r="A1293" s="41">
        <v>7405050003</v>
      </c>
      <c r="B1293" s="43" t="s">
        <v>688</v>
      </c>
      <c r="C1293" s="50">
        <f>Datos!$O$356*D1293</f>
        <v>152202930.68509212</v>
      </c>
      <c r="D1293" s="17">
        <f>Datos!$O$272*Datos!$O$363</f>
        <v>289216.21894260822</v>
      </c>
      <c r="E1293" s="43" t="s">
        <v>556</v>
      </c>
      <c r="F1293" s="43" t="s">
        <v>557</v>
      </c>
      <c r="G1293" s="43" t="s">
        <v>567</v>
      </c>
      <c r="H1293" s="43" t="s">
        <v>568</v>
      </c>
      <c r="I1293" s="43" t="s">
        <v>560</v>
      </c>
      <c r="J1293" s="41" t="s">
        <v>797</v>
      </c>
      <c r="K1293" s="43">
        <v>700002</v>
      </c>
      <c r="L1293" s="43">
        <v>8</v>
      </c>
      <c r="M1293" s="43" t="s">
        <v>452</v>
      </c>
      <c r="N1293" s="51"/>
      <c r="O1293" s="51"/>
      <c r="P1293" s="43" t="str">
        <f>VLOOKUP(K1293,Maestro!J:K,2,0)</f>
        <v>CARBON MOLIDO</v>
      </c>
      <c r="Q1293" s="43" t="str">
        <f>VLOOKUP(P1293,Maestro!E:F,2,0)</f>
        <v>Molienda de Carbón</v>
      </c>
      <c r="R1293" s="43">
        <f>VLOOKUP(P1293,ORD!$A:$C,3,0)</f>
        <v>4</v>
      </c>
      <c r="S1293" t="str">
        <f t="shared" si="26"/>
        <v>7405050003ENERGIAMolienda de Carbón</v>
      </c>
      <c r="T1293" t="str">
        <f>IFERROR(VLOOKUP(S1293,Maestro!$A:$H,8,0),"Producción")</f>
        <v>Energía</v>
      </c>
      <c r="U1293" s="43" t="s">
        <v>182</v>
      </c>
    </row>
    <row r="1294" spans="1:21" x14ac:dyDescent="0.3">
      <c r="A1294" s="41">
        <v>7405050003</v>
      </c>
      <c r="B1294" s="43" t="s">
        <v>688</v>
      </c>
      <c r="C1294" s="50">
        <f>Datos!$P$356*D1294</f>
        <v>115530446.30984508</v>
      </c>
      <c r="D1294" s="17">
        <f>Datos!$P$272*Datos!$P$363</f>
        <v>219237.16407831016</v>
      </c>
      <c r="E1294" s="43" t="s">
        <v>556</v>
      </c>
      <c r="F1294" s="43" t="s">
        <v>557</v>
      </c>
      <c r="G1294" s="43" t="s">
        <v>567</v>
      </c>
      <c r="H1294" s="43" t="s">
        <v>568</v>
      </c>
      <c r="I1294" s="43" t="s">
        <v>560</v>
      </c>
      <c r="J1294" s="41" t="s">
        <v>797</v>
      </c>
      <c r="K1294" s="43">
        <v>700002</v>
      </c>
      <c r="L1294" s="43">
        <v>9</v>
      </c>
      <c r="M1294" s="43" t="s">
        <v>452</v>
      </c>
      <c r="N1294" s="51"/>
      <c r="O1294" s="51"/>
      <c r="P1294" s="43" t="str">
        <f>VLOOKUP(K1294,Maestro!J:K,2,0)</f>
        <v>CARBON MOLIDO</v>
      </c>
      <c r="Q1294" s="43" t="str">
        <f>VLOOKUP(P1294,Maestro!E:F,2,0)</f>
        <v>Molienda de Carbón</v>
      </c>
      <c r="R1294" s="43">
        <f>VLOOKUP(P1294,ORD!$A:$C,3,0)</f>
        <v>4</v>
      </c>
      <c r="S1294" t="str">
        <f t="shared" si="26"/>
        <v>7405050003ENERGIAMolienda de Carbón</v>
      </c>
      <c r="T1294" t="str">
        <f>IFERROR(VLOOKUP(S1294,Maestro!$A:$H,8,0),"Producción")</f>
        <v>Energía</v>
      </c>
      <c r="U1294" s="43" t="s">
        <v>182</v>
      </c>
    </row>
    <row r="1295" spans="1:21" x14ac:dyDescent="0.3">
      <c r="A1295" s="41">
        <v>7405050003</v>
      </c>
      <c r="B1295" s="43" t="s">
        <v>688</v>
      </c>
      <c r="C1295" s="50">
        <f>Datos!$Q$356*D1295</f>
        <v>89868557.909981698</v>
      </c>
      <c r="D1295" s="17">
        <f>Datos!$Q$272*Datos!$Q$363</f>
        <v>170311.17759952959</v>
      </c>
      <c r="E1295" s="43" t="s">
        <v>556</v>
      </c>
      <c r="F1295" s="43" t="s">
        <v>557</v>
      </c>
      <c r="G1295" s="43" t="s">
        <v>567</v>
      </c>
      <c r="H1295" s="43" t="s">
        <v>568</v>
      </c>
      <c r="I1295" s="43" t="s">
        <v>560</v>
      </c>
      <c r="J1295" s="41" t="s">
        <v>797</v>
      </c>
      <c r="K1295" s="43">
        <v>700002</v>
      </c>
      <c r="L1295" s="43">
        <v>10</v>
      </c>
      <c r="M1295" s="43" t="s">
        <v>452</v>
      </c>
      <c r="N1295" s="51"/>
      <c r="O1295" s="51"/>
      <c r="P1295" s="43" t="str">
        <f>VLOOKUP(K1295,Maestro!J:K,2,0)</f>
        <v>CARBON MOLIDO</v>
      </c>
      <c r="Q1295" s="43" t="str">
        <f>VLOOKUP(P1295,Maestro!E:F,2,0)</f>
        <v>Molienda de Carbón</v>
      </c>
      <c r="R1295" s="43">
        <f>VLOOKUP(P1295,ORD!$A:$C,3,0)</f>
        <v>4</v>
      </c>
      <c r="S1295" t="str">
        <f t="shared" si="26"/>
        <v>7405050003ENERGIAMolienda de Carbón</v>
      </c>
      <c r="T1295" t="str">
        <f>IFERROR(VLOOKUP(S1295,Maestro!$A:$H,8,0),"Producción")</f>
        <v>Energía</v>
      </c>
      <c r="U1295" s="43" t="s">
        <v>182</v>
      </c>
    </row>
    <row r="1296" spans="1:21" x14ac:dyDescent="0.3">
      <c r="A1296" s="41">
        <v>7405050003</v>
      </c>
      <c r="B1296" s="43" t="s">
        <v>688</v>
      </c>
      <c r="C1296" s="50">
        <f>Datos!$R$356*D1296</f>
        <v>147774300.32605454</v>
      </c>
      <c r="D1296" s="17">
        <f>Datos!$R$272*Datos!$R$363</f>
        <v>279673.62055202213</v>
      </c>
      <c r="E1296" s="43" t="s">
        <v>556</v>
      </c>
      <c r="F1296" s="43" t="s">
        <v>557</v>
      </c>
      <c r="G1296" s="43" t="s">
        <v>567</v>
      </c>
      <c r="H1296" s="43" t="s">
        <v>568</v>
      </c>
      <c r="I1296" s="43" t="s">
        <v>560</v>
      </c>
      <c r="J1296" s="41" t="s">
        <v>797</v>
      </c>
      <c r="K1296" s="43">
        <v>700002</v>
      </c>
      <c r="L1296" s="43">
        <v>11</v>
      </c>
      <c r="M1296" s="43" t="s">
        <v>452</v>
      </c>
      <c r="N1296" s="51"/>
      <c r="O1296" s="51"/>
      <c r="P1296" s="43" t="str">
        <f>VLOOKUP(K1296,Maestro!J:K,2,0)</f>
        <v>CARBON MOLIDO</v>
      </c>
      <c r="Q1296" s="43" t="str">
        <f>VLOOKUP(P1296,Maestro!E:F,2,0)</f>
        <v>Molienda de Carbón</v>
      </c>
      <c r="R1296" s="43">
        <f>VLOOKUP(P1296,ORD!$A:$C,3,0)</f>
        <v>4</v>
      </c>
      <c r="S1296" t="str">
        <f t="shared" si="26"/>
        <v>7405050003ENERGIAMolienda de Carbón</v>
      </c>
      <c r="T1296" t="str">
        <f>IFERROR(VLOOKUP(S1296,Maestro!$A:$H,8,0),"Producción")</f>
        <v>Energía</v>
      </c>
      <c r="U1296" s="43" t="s">
        <v>182</v>
      </c>
    </row>
    <row r="1297" spans="1:21" x14ac:dyDescent="0.3">
      <c r="A1297" s="41">
        <v>7405050003</v>
      </c>
      <c r="B1297" s="43" t="s">
        <v>688</v>
      </c>
      <c r="C1297" s="50">
        <f>Datos!$S$356*D1297</f>
        <v>92663453.792645395</v>
      </c>
      <c r="D1297" s="17">
        <f>Datos!$S$272*Datos!$S$363</f>
        <v>175136.97723247908</v>
      </c>
      <c r="E1297" s="43" t="s">
        <v>556</v>
      </c>
      <c r="F1297" s="43" t="s">
        <v>557</v>
      </c>
      <c r="G1297" s="43" t="s">
        <v>567</v>
      </c>
      <c r="H1297" s="43" t="s">
        <v>568</v>
      </c>
      <c r="I1297" s="43" t="s">
        <v>560</v>
      </c>
      <c r="J1297" s="41" t="s">
        <v>797</v>
      </c>
      <c r="K1297" s="43">
        <v>700002</v>
      </c>
      <c r="L1297" s="43">
        <v>12</v>
      </c>
      <c r="M1297" s="43" t="s">
        <v>452</v>
      </c>
      <c r="N1297" s="51"/>
      <c r="O1297" s="51"/>
      <c r="P1297" s="43" t="str">
        <f>VLOOKUP(K1297,Maestro!J:K,2,0)</f>
        <v>CARBON MOLIDO</v>
      </c>
      <c r="Q1297" s="43" t="str">
        <f>VLOOKUP(P1297,Maestro!E:F,2,0)</f>
        <v>Molienda de Carbón</v>
      </c>
      <c r="R1297" s="43">
        <f>VLOOKUP(P1297,ORD!$A:$C,3,0)</f>
        <v>4</v>
      </c>
      <c r="S1297" t="str">
        <f t="shared" si="26"/>
        <v>7405050003ENERGIAMolienda de Carbón</v>
      </c>
      <c r="T1297" t="str">
        <f>IFERROR(VLOOKUP(S1297,Maestro!$A:$H,8,0),"Producción")</f>
        <v>Energía</v>
      </c>
      <c r="U1297" s="43" t="s">
        <v>182</v>
      </c>
    </row>
    <row r="1298" spans="1:21" x14ac:dyDescent="0.3">
      <c r="A1298" s="41">
        <v>7405050003</v>
      </c>
      <c r="B1298" s="43" t="s">
        <v>688</v>
      </c>
      <c r="C1298" s="50">
        <f>Datos!$H$356*D1298</f>
        <v>1318078828.8172674</v>
      </c>
      <c r="D1298" s="17">
        <f>Datos!$H$260*Datos!$H$365</f>
        <v>2528144.999999993</v>
      </c>
      <c r="E1298" s="43" t="s">
        <v>556</v>
      </c>
      <c r="F1298" s="43" t="s">
        <v>557</v>
      </c>
      <c r="G1298" s="43" t="s">
        <v>567</v>
      </c>
      <c r="H1298" s="43" t="s">
        <v>568</v>
      </c>
      <c r="I1298" s="43" t="s">
        <v>560</v>
      </c>
      <c r="J1298" s="41" t="s">
        <v>797</v>
      </c>
      <c r="K1298" s="43">
        <v>700001</v>
      </c>
      <c r="L1298" s="43">
        <v>1</v>
      </c>
      <c r="M1298" s="43" t="s">
        <v>62</v>
      </c>
      <c r="N1298" s="51"/>
      <c r="O1298" s="51"/>
      <c r="P1298" s="43" t="str">
        <f>VLOOKUP(K1298,Maestro!J:K,2,0)</f>
        <v>CLINKER</v>
      </c>
      <c r="Q1298" s="43" t="str">
        <f>VLOOKUP(P1298,Maestro!E:F,2,0)</f>
        <v>Clinkerización</v>
      </c>
      <c r="R1298" s="43">
        <f>VLOOKUP(P1298,ORD!$A:$C,3,0)</f>
        <v>5</v>
      </c>
      <c r="S1298" t="str">
        <f t="shared" si="26"/>
        <v>7405050003ENERGIAClinkerización</v>
      </c>
      <c r="T1298" t="str">
        <f>IFERROR(VLOOKUP(S1298,Maestro!$A:$H,8,0),"Producción")</f>
        <v>Energía</v>
      </c>
      <c r="U1298" s="43" t="s">
        <v>182</v>
      </c>
    </row>
    <row r="1299" spans="1:21" x14ac:dyDescent="0.3">
      <c r="A1299" s="41">
        <v>7405050003</v>
      </c>
      <c r="B1299" s="43" t="s">
        <v>688</v>
      </c>
      <c r="C1299" s="50">
        <f>Datos!$I$356*D1299</f>
        <v>1336130965.2248304</v>
      </c>
      <c r="D1299" s="17">
        <f>Datos!$I$260*Datos!$I$365</f>
        <v>2559356.66666666</v>
      </c>
      <c r="E1299" s="43" t="s">
        <v>556</v>
      </c>
      <c r="F1299" s="43" t="s">
        <v>557</v>
      </c>
      <c r="G1299" s="43" t="s">
        <v>567</v>
      </c>
      <c r="H1299" s="43" t="s">
        <v>568</v>
      </c>
      <c r="I1299" s="43" t="s">
        <v>560</v>
      </c>
      <c r="J1299" s="41" t="s">
        <v>797</v>
      </c>
      <c r="K1299" s="43">
        <v>700001</v>
      </c>
      <c r="L1299" s="43">
        <v>2</v>
      </c>
      <c r="M1299" s="43" t="s">
        <v>62</v>
      </c>
      <c r="N1299" s="51"/>
      <c r="O1299" s="51"/>
      <c r="P1299" s="43" t="str">
        <f>VLOOKUP(K1299,Maestro!J:K,2,0)</f>
        <v>CLINKER</v>
      </c>
      <c r="Q1299" s="43" t="str">
        <f>VLOOKUP(P1299,Maestro!E:F,2,0)</f>
        <v>Clinkerización</v>
      </c>
      <c r="R1299" s="43">
        <f>VLOOKUP(P1299,ORD!$A:$C,3,0)</f>
        <v>5</v>
      </c>
      <c r="S1299" t="str">
        <f t="shared" ref="S1299:S1310" si="27">A1299&amp;J1299&amp;Q1299</f>
        <v>7405050003ENERGIAClinkerización</v>
      </c>
      <c r="T1299" t="str">
        <f>IFERROR(VLOOKUP(S1299,Maestro!$A:$H,8,0),"Producción")</f>
        <v>Energía</v>
      </c>
      <c r="U1299" s="43" t="s">
        <v>182</v>
      </c>
    </row>
    <row r="1300" spans="1:21" x14ac:dyDescent="0.3">
      <c r="A1300" s="41">
        <v>7405050003</v>
      </c>
      <c r="B1300" s="43" t="s">
        <v>688</v>
      </c>
      <c r="C1300" s="50">
        <f>Datos!$J$356*D1300</f>
        <v>930013571.37267864</v>
      </c>
      <c r="D1300" s="17">
        <f>Datos!$J$260*Datos!$J$365</f>
        <v>1779064.9999999953</v>
      </c>
      <c r="E1300" s="43" t="s">
        <v>556</v>
      </c>
      <c r="F1300" s="43" t="s">
        <v>557</v>
      </c>
      <c r="G1300" s="43" t="s">
        <v>567</v>
      </c>
      <c r="H1300" s="43" t="s">
        <v>568</v>
      </c>
      <c r="I1300" s="43" t="s">
        <v>560</v>
      </c>
      <c r="J1300" s="41" t="s">
        <v>797</v>
      </c>
      <c r="K1300" s="43">
        <v>700001</v>
      </c>
      <c r="L1300" s="43">
        <v>3</v>
      </c>
      <c r="M1300" s="43" t="s">
        <v>62</v>
      </c>
      <c r="N1300" s="51"/>
      <c r="O1300" s="51"/>
      <c r="P1300" s="43" t="str">
        <f>VLOOKUP(K1300,Maestro!J:K,2,0)</f>
        <v>CLINKER</v>
      </c>
      <c r="Q1300" s="43" t="str">
        <f>VLOOKUP(P1300,Maestro!E:F,2,0)</f>
        <v>Clinkerización</v>
      </c>
      <c r="R1300" s="43">
        <f>VLOOKUP(P1300,ORD!$A:$C,3,0)</f>
        <v>5</v>
      </c>
      <c r="S1300" t="str">
        <f t="shared" si="27"/>
        <v>7405050003ENERGIAClinkerización</v>
      </c>
      <c r="T1300" t="str">
        <f>IFERROR(VLOOKUP(S1300,Maestro!$A:$H,8,0),"Producción")</f>
        <v>Energía</v>
      </c>
      <c r="U1300" s="43" t="s">
        <v>182</v>
      </c>
    </row>
    <row r="1301" spans="1:21" x14ac:dyDescent="0.3">
      <c r="A1301" s="41">
        <v>7405050003</v>
      </c>
      <c r="B1301" s="43" t="s">
        <v>688</v>
      </c>
      <c r="C1301" s="50">
        <f>Datos!$K$356*D1301</f>
        <v>980269244.51549351</v>
      </c>
      <c r="D1301" s="17">
        <f>Datos!$K$260*Datos!$K$365</f>
        <v>1872699.9999999951</v>
      </c>
      <c r="E1301" s="43" t="s">
        <v>556</v>
      </c>
      <c r="F1301" s="43" t="s">
        <v>557</v>
      </c>
      <c r="G1301" s="43" t="s">
        <v>567</v>
      </c>
      <c r="H1301" s="43" t="s">
        <v>568</v>
      </c>
      <c r="I1301" s="43" t="s">
        <v>560</v>
      </c>
      <c r="J1301" s="41" t="s">
        <v>797</v>
      </c>
      <c r="K1301" s="43">
        <v>700001</v>
      </c>
      <c r="L1301" s="43">
        <v>4</v>
      </c>
      <c r="M1301" s="43" t="s">
        <v>62</v>
      </c>
      <c r="N1301" s="51"/>
      <c r="O1301" s="51"/>
      <c r="P1301" s="43" t="str">
        <f>VLOOKUP(K1301,Maestro!J:K,2,0)</f>
        <v>CLINKER</v>
      </c>
      <c r="Q1301" s="43" t="str">
        <f>VLOOKUP(P1301,Maestro!E:F,2,0)</f>
        <v>Clinkerización</v>
      </c>
      <c r="R1301" s="43">
        <f>VLOOKUP(P1301,ORD!$A:$C,3,0)</f>
        <v>5</v>
      </c>
      <c r="S1301" t="str">
        <f t="shared" si="27"/>
        <v>7405050003ENERGIAClinkerización</v>
      </c>
      <c r="T1301" t="str">
        <f>IFERROR(VLOOKUP(S1301,Maestro!$A:$H,8,0),"Producción")</f>
        <v>Energía</v>
      </c>
      <c r="U1301" s="43" t="s">
        <v>182</v>
      </c>
    </row>
    <row r="1302" spans="1:21" x14ac:dyDescent="0.3">
      <c r="A1302" s="41">
        <v>7405050003</v>
      </c>
      <c r="B1302" s="43" t="s">
        <v>688</v>
      </c>
      <c r="C1302" s="50">
        <f>Datos!$L$356*D1302</f>
        <v>1488729031.0231805</v>
      </c>
      <c r="D1302" s="17">
        <f>Datos!$L$260*Datos!$L$365</f>
        <v>2840261.6666666591</v>
      </c>
      <c r="E1302" s="43" t="s">
        <v>556</v>
      </c>
      <c r="F1302" s="43" t="s">
        <v>557</v>
      </c>
      <c r="G1302" s="43" t="s">
        <v>567</v>
      </c>
      <c r="H1302" s="43" t="s">
        <v>568</v>
      </c>
      <c r="I1302" s="43" t="s">
        <v>560</v>
      </c>
      <c r="J1302" s="41" t="s">
        <v>797</v>
      </c>
      <c r="K1302" s="43">
        <v>700001</v>
      </c>
      <c r="L1302" s="43">
        <v>5</v>
      </c>
      <c r="M1302" s="43" t="s">
        <v>62</v>
      </c>
      <c r="N1302" s="51"/>
      <c r="O1302" s="51"/>
      <c r="P1302" s="43" t="str">
        <f>VLOOKUP(K1302,Maestro!J:K,2,0)</f>
        <v>CLINKER</v>
      </c>
      <c r="Q1302" s="43" t="str">
        <f>VLOOKUP(P1302,Maestro!E:F,2,0)</f>
        <v>Clinkerización</v>
      </c>
      <c r="R1302" s="43">
        <f>VLOOKUP(P1302,ORD!$A:$C,3,0)</f>
        <v>5</v>
      </c>
      <c r="S1302" t="str">
        <f t="shared" si="27"/>
        <v>7405050003ENERGIAClinkerización</v>
      </c>
      <c r="T1302" t="str">
        <f>IFERROR(VLOOKUP(S1302,Maestro!$A:$H,8,0),"Producción")</f>
        <v>Energía</v>
      </c>
      <c r="U1302" s="43" t="s">
        <v>182</v>
      </c>
    </row>
    <row r="1303" spans="1:21" x14ac:dyDescent="0.3">
      <c r="A1303" s="41">
        <v>7405050003</v>
      </c>
      <c r="B1303" s="43" t="s">
        <v>688</v>
      </c>
      <c r="C1303" s="50">
        <f>Datos!$M$356*D1303</f>
        <v>638880234.83681285</v>
      </c>
      <c r="D1303" s="17">
        <f>Datos!$M$260*Datos!$M$365</f>
        <v>1217254.9999999967</v>
      </c>
      <c r="E1303" s="43" t="s">
        <v>556</v>
      </c>
      <c r="F1303" s="43" t="s">
        <v>557</v>
      </c>
      <c r="G1303" s="43" t="s">
        <v>567</v>
      </c>
      <c r="H1303" s="43" t="s">
        <v>568</v>
      </c>
      <c r="I1303" s="43" t="s">
        <v>560</v>
      </c>
      <c r="J1303" s="41" t="s">
        <v>797</v>
      </c>
      <c r="K1303" s="43">
        <v>700001</v>
      </c>
      <c r="L1303" s="43">
        <v>6</v>
      </c>
      <c r="M1303" s="43" t="s">
        <v>62</v>
      </c>
      <c r="N1303" s="51"/>
      <c r="O1303" s="51"/>
      <c r="P1303" s="43" t="str">
        <f>VLOOKUP(K1303,Maestro!J:K,2,0)</f>
        <v>CLINKER</v>
      </c>
      <c r="Q1303" s="43" t="str">
        <f>VLOOKUP(P1303,Maestro!E:F,2,0)</f>
        <v>Clinkerización</v>
      </c>
      <c r="R1303" s="43">
        <f>VLOOKUP(P1303,ORD!$A:$C,3,0)</f>
        <v>5</v>
      </c>
      <c r="S1303" t="str">
        <f t="shared" si="27"/>
        <v>7405050003ENERGIAClinkerización</v>
      </c>
      <c r="T1303" t="str">
        <f>IFERROR(VLOOKUP(S1303,Maestro!$A:$H,8,0),"Producción")</f>
        <v>Energía</v>
      </c>
      <c r="U1303" s="43" t="s">
        <v>182</v>
      </c>
    </row>
    <row r="1304" spans="1:21" x14ac:dyDescent="0.3">
      <c r="A1304" s="41">
        <v>7405050003</v>
      </c>
      <c r="B1304" s="43" t="s">
        <v>688</v>
      </c>
      <c r="C1304" s="50">
        <f>Datos!$N$356*D1304</f>
        <v>1230260643.1874976</v>
      </c>
      <c r="D1304" s="17">
        <f>Datos!$N$260*Datos!$N$365</f>
        <v>2340874.9999999935</v>
      </c>
      <c r="E1304" s="43" t="s">
        <v>556</v>
      </c>
      <c r="F1304" s="43" t="s">
        <v>557</v>
      </c>
      <c r="G1304" s="43" t="s">
        <v>567</v>
      </c>
      <c r="H1304" s="43" t="s">
        <v>568</v>
      </c>
      <c r="I1304" s="43" t="s">
        <v>560</v>
      </c>
      <c r="J1304" s="41" t="s">
        <v>797</v>
      </c>
      <c r="K1304" s="43">
        <v>700001</v>
      </c>
      <c r="L1304" s="43">
        <v>7</v>
      </c>
      <c r="M1304" s="43" t="s">
        <v>62</v>
      </c>
      <c r="N1304" s="51"/>
      <c r="O1304" s="51"/>
      <c r="P1304" s="43" t="str">
        <f>VLOOKUP(K1304,Maestro!J:K,2,0)</f>
        <v>CLINKER</v>
      </c>
      <c r="Q1304" s="43" t="str">
        <f>VLOOKUP(P1304,Maestro!E:F,2,0)</f>
        <v>Clinkerización</v>
      </c>
      <c r="R1304" s="43">
        <f>VLOOKUP(P1304,ORD!$A:$C,3,0)</f>
        <v>5</v>
      </c>
      <c r="S1304" t="str">
        <f t="shared" si="27"/>
        <v>7405050003ENERGIAClinkerización</v>
      </c>
      <c r="T1304" t="str">
        <f>IFERROR(VLOOKUP(S1304,Maestro!$A:$H,8,0),"Producción")</f>
        <v>Energía</v>
      </c>
      <c r="U1304" s="43" t="s">
        <v>182</v>
      </c>
    </row>
    <row r="1305" spans="1:21" x14ac:dyDescent="0.3">
      <c r="A1305" s="41">
        <v>7405050003</v>
      </c>
      <c r="B1305" s="43" t="s">
        <v>688</v>
      </c>
      <c r="C1305" s="50">
        <f>Datos!$O$356*D1305</f>
        <v>1494716137.150573</v>
      </c>
      <c r="D1305" s="17">
        <f>Datos!$O$260*Datos!$O$365</f>
        <v>2840261.6666666591</v>
      </c>
      <c r="E1305" s="43" t="s">
        <v>556</v>
      </c>
      <c r="F1305" s="43" t="s">
        <v>557</v>
      </c>
      <c r="G1305" s="43" t="s">
        <v>567</v>
      </c>
      <c r="H1305" s="43" t="s">
        <v>568</v>
      </c>
      <c r="I1305" s="43" t="s">
        <v>560</v>
      </c>
      <c r="J1305" s="41" t="s">
        <v>797</v>
      </c>
      <c r="K1305" s="43">
        <v>700001</v>
      </c>
      <c r="L1305" s="43">
        <v>8</v>
      </c>
      <c r="M1305" s="43" t="s">
        <v>62</v>
      </c>
      <c r="N1305" s="51"/>
      <c r="O1305" s="51"/>
      <c r="P1305" s="43" t="str">
        <f>VLOOKUP(K1305,Maestro!J:K,2,0)</f>
        <v>CLINKER</v>
      </c>
      <c r="Q1305" s="43" t="str">
        <f>VLOOKUP(P1305,Maestro!E:F,2,0)</f>
        <v>Clinkerización</v>
      </c>
      <c r="R1305" s="43">
        <f>VLOOKUP(P1305,ORD!$A:$C,3,0)</f>
        <v>5</v>
      </c>
      <c r="S1305" t="str">
        <f t="shared" si="27"/>
        <v>7405050003ENERGIAClinkerización</v>
      </c>
      <c r="T1305" t="str">
        <f>IFERROR(VLOOKUP(S1305,Maestro!$A:$H,8,0),"Producción")</f>
        <v>Energía</v>
      </c>
      <c r="U1305" s="43" t="s">
        <v>182</v>
      </c>
    </row>
    <row r="1306" spans="1:21" x14ac:dyDescent="0.3">
      <c r="A1306" s="41">
        <v>7405050003</v>
      </c>
      <c r="B1306" s="43" t="s">
        <v>688</v>
      </c>
      <c r="C1306" s="50">
        <f>Datos!$P$356*D1306</f>
        <v>1134875776.5186241</v>
      </c>
      <c r="D1306" s="17">
        <f>Datos!$P$260*Datos!$P$365</f>
        <v>2153604.9999999939</v>
      </c>
      <c r="E1306" s="43" t="s">
        <v>556</v>
      </c>
      <c r="F1306" s="43" t="s">
        <v>557</v>
      </c>
      <c r="G1306" s="43" t="s">
        <v>567</v>
      </c>
      <c r="H1306" s="43" t="s">
        <v>568</v>
      </c>
      <c r="I1306" s="43" t="s">
        <v>560</v>
      </c>
      <c r="J1306" s="41" t="s">
        <v>797</v>
      </c>
      <c r="K1306" s="43">
        <v>700001</v>
      </c>
      <c r="L1306" s="43">
        <v>9</v>
      </c>
      <c r="M1306" s="43" t="s">
        <v>62</v>
      </c>
      <c r="N1306" s="51"/>
      <c r="O1306" s="51"/>
      <c r="P1306" s="43" t="str">
        <f>VLOOKUP(K1306,Maestro!J:K,2,0)</f>
        <v>CLINKER</v>
      </c>
      <c r="Q1306" s="43" t="str">
        <f>VLOOKUP(P1306,Maestro!E:F,2,0)</f>
        <v>Clinkerización</v>
      </c>
      <c r="R1306" s="43">
        <f>VLOOKUP(P1306,ORD!$A:$C,3,0)</f>
        <v>5</v>
      </c>
      <c r="S1306" t="str">
        <f t="shared" si="27"/>
        <v>7405050003ENERGIAClinkerización</v>
      </c>
      <c r="T1306" t="str">
        <f>IFERROR(VLOOKUP(S1306,Maestro!$A:$H,8,0),"Producción")</f>
        <v>Energía</v>
      </c>
      <c r="U1306" s="43" t="s">
        <v>182</v>
      </c>
    </row>
    <row r="1307" spans="1:21" x14ac:dyDescent="0.3">
      <c r="A1307" s="41">
        <v>7405050003</v>
      </c>
      <c r="B1307" s="43" t="s">
        <v>688</v>
      </c>
      <c r="C1307" s="50">
        <f>Datos!$Q$356*D1307</f>
        <v>889355388.72487032</v>
      </c>
      <c r="D1307" s="17">
        <f>Datos!$Q$260*Datos!$Q$365</f>
        <v>1685429.9999999956</v>
      </c>
      <c r="E1307" s="43" t="s">
        <v>556</v>
      </c>
      <c r="F1307" s="43" t="s">
        <v>557</v>
      </c>
      <c r="G1307" s="43" t="s">
        <v>567</v>
      </c>
      <c r="H1307" s="43" t="s">
        <v>568</v>
      </c>
      <c r="I1307" s="43" t="s">
        <v>560</v>
      </c>
      <c r="J1307" s="41" t="s">
        <v>797</v>
      </c>
      <c r="K1307" s="43">
        <v>700001</v>
      </c>
      <c r="L1307" s="43">
        <v>10</v>
      </c>
      <c r="M1307" s="43" t="s">
        <v>62</v>
      </c>
      <c r="N1307" s="51"/>
      <c r="O1307" s="51"/>
      <c r="P1307" s="43" t="str">
        <f>VLOOKUP(K1307,Maestro!J:K,2,0)</f>
        <v>CLINKER</v>
      </c>
      <c r="Q1307" s="43" t="str">
        <f>VLOOKUP(P1307,Maestro!E:F,2,0)</f>
        <v>Clinkerización</v>
      </c>
      <c r="R1307" s="43">
        <f>VLOOKUP(P1307,ORD!$A:$C,3,0)</f>
        <v>5</v>
      </c>
      <c r="S1307" t="str">
        <f t="shared" si="27"/>
        <v>7405050003ENERGIAClinkerización</v>
      </c>
      <c r="T1307" t="str">
        <f>IFERROR(VLOOKUP(S1307,Maestro!$A:$H,8,0),"Producción")</f>
        <v>Energía</v>
      </c>
      <c r="U1307" s="43" t="s">
        <v>182</v>
      </c>
    </row>
    <row r="1308" spans="1:21" x14ac:dyDescent="0.3">
      <c r="A1308" s="41">
        <v>7405050003</v>
      </c>
      <c r="B1308" s="43" t="s">
        <v>688</v>
      </c>
      <c r="C1308" s="50">
        <f>Datos!$R$356*D1308</f>
        <v>1451266061.9275355</v>
      </c>
      <c r="D1308" s="17">
        <f>Datos!$R$260*Datos!$R$365</f>
        <v>2746626.6666666595</v>
      </c>
      <c r="E1308" s="43" t="s">
        <v>556</v>
      </c>
      <c r="F1308" s="43" t="s">
        <v>557</v>
      </c>
      <c r="G1308" s="43" t="s">
        <v>567</v>
      </c>
      <c r="H1308" s="43" t="s">
        <v>568</v>
      </c>
      <c r="I1308" s="43" t="s">
        <v>560</v>
      </c>
      <c r="J1308" s="41" t="s">
        <v>797</v>
      </c>
      <c r="K1308" s="43">
        <v>700001</v>
      </c>
      <c r="L1308" s="43">
        <v>11</v>
      </c>
      <c r="M1308" s="43" t="s">
        <v>62</v>
      </c>
      <c r="N1308" s="51"/>
      <c r="O1308" s="51"/>
      <c r="P1308" s="43" t="str">
        <f>VLOOKUP(K1308,Maestro!J:K,2,0)</f>
        <v>CLINKER</v>
      </c>
      <c r="Q1308" s="43" t="str">
        <f>VLOOKUP(P1308,Maestro!E:F,2,0)</f>
        <v>Clinkerización</v>
      </c>
      <c r="R1308" s="43">
        <f>VLOOKUP(P1308,ORD!$A:$C,3,0)</f>
        <v>5</v>
      </c>
      <c r="S1308" t="str">
        <f t="shared" si="27"/>
        <v>7405050003ENERGIAClinkerización</v>
      </c>
      <c r="T1308" t="str">
        <f>IFERROR(VLOOKUP(S1308,Maestro!$A:$H,8,0),"Producción")</f>
        <v>Energía</v>
      </c>
      <c r="U1308" s="43" t="s">
        <v>182</v>
      </c>
    </row>
    <row r="1309" spans="1:21" x14ac:dyDescent="0.3">
      <c r="A1309" s="41">
        <v>7405050003</v>
      </c>
      <c r="B1309" s="43" t="s">
        <v>688</v>
      </c>
      <c r="C1309" s="50">
        <f>Datos!$S$356*D1309</f>
        <v>916800054.80353773</v>
      </c>
      <c r="D1309" s="17">
        <f>Datos!$S$260*Datos!$S$365</f>
        <v>1732782.2755685661</v>
      </c>
      <c r="E1309" s="43" t="s">
        <v>556</v>
      </c>
      <c r="F1309" s="43" t="s">
        <v>557</v>
      </c>
      <c r="G1309" s="43" t="s">
        <v>567</v>
      </c>
      <c r="H1309" s="43" t="s">
        <v>568</v>
      </c>
      <c r="I1309" s="43" t="s">
        <v>560</v>
      </c>
      <c r="J1309" s="41" t="s">
        <v>797</v>
      </c>
      <c r="K1309" s="43">
        <v>700001</v>
      </c>
      <c r="L1309" s="43">
        <v>12</v>
      </c>
      <c r="M1309" s="43" t="s">
        <v>62</v>
      </c>
      <c r="N1309" s="51"/>
      <c r="O1309" s="51"/>
      <c r="P1309" s="43" t="str">
        <f>VLOOKUP(K1309,Maestro!J:K,2,0)</f>
        <v>CLINKER</v>
      </c>
      <c r="Q1309" s="43" t="str">
        <f>VLOOKUP(P1309,Maestro!E:F,2,0)</f>
        <v>Clinkerización</v>
      </c>
      <c r="R1309" s="43">
        <f>VLOOKUP(P1309,ORD!$A:$C,3,0)</f>
        <v>5</v>
      </c>
      <c r="S1309" t="str">
        <f t="shared" si="27"/>
        <v>7405050003ENERGIAClinkerización</v>
      </c>
      <c r="T1309" t="str">
        <f>IFERROR(VLOOKUP(S1309,Maestro!$A:$H,8,0),"Producción")</f>
        <v>Energía</v>
      </c>
      <c r="U1309" s="43" t="s">
        <v>182</v>
      </c>
    </row>
    <row r="1310" spans="1:21" x14ac:dyDescent="0.3">
      <c r="A1310" s="41">
        <v>7405050003</v>
      </c>
      <c r="B1310" s="43" t="s">
        <v>688</v>
      </c>
      <c r="C1310" s="50">
        <f>Datos!$H$356*D1310</f>
        <v>853933991.62007844</v>
      </c>
      <c r="D1310" s="17">
        <f>Datos!$H$248*Datos!$H$367</f>
        <v>1637890.6208375443</v>
      </c>
      <c r="E1310" s="43" t="s">
        <v>556</v>
      </c>
      <c r="F1310" s="43" t="s">
        <v>557</v>
      </c>
      <c r="G1310" s="43" t="s">
        <v>567</v>
      </c>
      <c r="H1310" s="43" t="s">
        <v>568</v>
      </c>
      <c r="I1310" s="43" t="s">
        <v>560</v>
      </c>
      <c r="J1310" s="41" t="s">
        <v>797</v>
      </c>
      <c r="K1310" s="43">
        <v>700003</v>
      </c>
      <c r="L1310" s="43">
        <v>1</v>
      </c>
      <c r="M1310" s="43" t="s">
        <v>464</v>
      </c>
      <c r="N1310" s="51"/>
      <c r="O1310" s="51"/>
      <c r="P1310" s="43" t="str">
        <f>VLOOKUP(K1310,Maestro!J:K,2,0)</f>
        <v>CEMENTO UG</v>
      </c>
      <c r="Q1310" s="43" t="str">
        <f>VLOOKUP(P1310,Maestro!E:F,2,0)</f>
        <v>Cemento UG</v>
      </c>
      <c r="R1310" s="43">
        <f>VLOOKUP(P1310,ORD!$A:$C,3,0)</f>
        <v>6</v>
      </c>
      <c r="S1310" t="str">
        <f t="shared" si="27"/>
        <v>7405050003ENERGIACemento UG</v>
      </c>
      <c r="T1310" t="str">
        <f>IFERROR(VLOOKUP(S1310,Maestro!$A:$H,8,0),"Producción")</f>
        <v>Energía</v>
      </c>
      <c r="U1310" s="43" t="s">
        <v>182</v>
      </c>
    </row>
    <row r="1311" spans="1:21" x14ac:dyDescent="0.3">
      <c r="A1311" s="41">
        <v>7405050003</v>
      </c>
      <c r="B1311" s="43" t="s">
        <v>688</v>
      </c>
      <c r="C1311" s="50">
        <f>Datos!$I$356*D1311</f>
        <v>891640455.648543</v>
      </c>
      <c r="D1311" s="17">
        <f>Datos!$I$248*Datos!$I$367</f>
        <v>1707935.8265226651</v>
      </c>
      <c r="E1311" s="43" t="s">
        <v>556</v>
      </c>
      <c r="F1311" s="43" t="s">
        <v>557</v>
      </c>
      <c r="G1311" s="43" t="s">
        <v>567</v>
      </c>
      <c r="H1311" s="43" t="s">
        <v>568</v>
      </c>
      <c r="I1311" s="43" t="s">
        <v>560</v>
      </c>
      <c r="J1311" s="41" t="s">
        <v>797</v>
      </c>
      <c r="K1311" s="43">
        <v>700003</v>
      </c>
      <c r="L1311" s="43">
        <v>2</v>
      </c>
      <c r="M1311" s="43" t="s">
        <v>464</v>
      </c>
      <c r="N1311" s="51"/>
      <c r="O1311" s="51"/>
      <c r="P1311" s="43" t="str">
        <f>VLOOKUP(K1311,Maestro!J:K,2,0)</f>
        <v>CEMENTO UG</v>
      </c>
      <c r="Q1311" s="43" t="str">
        <f>VLOOKUP(P1311,Maestro!E:F,2,0)</f>
        <v>Cemento UG</v>
      </c>
      <c r="R1311" s="43">
        <f>VLOOKUP(P1311,ORD!$A:$C,3,0)</f>
        <v>6</v>
      </c>
      <c r="S1311" t="str">
        <f t="shared" ref="S1311:S1322" si="28">A1311&amp;J1311&amp;Q1311</f>
        <v>7405050003ENERGIACemento UG</v>
      </c>
      <c r="T1311" t="str">
        <f>IFERROR(VLOOKUP(S1311,Maestro!$A:$H,8,0),"Producción")</f>
        <v>Energía</v>
      </c>
      <c r="U1311" s="43" t="s">
        <v>182</v>
      </c>
    </row>
    <row r="1312" spans="1:21" x14ac:dyDescent="0.3">
      <c r="A1312" s="41">
        <v>7405050003</v>
      </c>
      <c r="B1312" s="43" t="s">
        <v>688</v>
      </c>
      <c r="C1312" s="50">
        <f>Datos!$J$356*D1312</f>
        <v>959375787.14312625</v>
      </c>
      <c r="D1312" s="17">
        <f>Datos!$J$248*Datos!$J$367</f>
        <v>1835233.3098049266</v>
      </c>
      <c r="E1312" s="43" t="s">
        <v>556</v>
      </c>
      <c r="F1312" s="43" t="s">
        <v>557</v>
      </c>
      <c r="G1312" s="43" t="s">
        <v>567</v>
      </c>
      <c r="H1312" s="43" t="s">
        <v>568</v>
      </c>
      <c r="I1312" s="43" t="s">
        <v>560</v>
      </c>
      <c r="J1312" s="41" t="s">
        <v>797</v>
      </c>
      <c r="K1312" s="43">
        <v>700003</v>
      </c>
      <c r="L1312" s="43">
        <v>3</v>
      </c>
      <c r="M1312" s="43" t="s">
        <v>464</v>
      </c>
      <c r="N1312" s="51"/>
      <c r="O1312" s="51"/>
      <c r="P1312" s="43" t="str">
        <f>VLOOKUP(K1312,Maestro!J:K,2,0)</f>
        <v>CEMENTO UG</v>
      </c>
      <c r="Q1312" s="43" t="str">
        <f>VLOOKUP(P1312,Maestro!E:F,2,0)</f>
        <v>Cemento UG</v>
      </c>
      <c r="R1312" s="43">
        <f>VLOOKUP(P1312,ORD!$A:$C,3,0)</f>
        <v>6</v>
      </c>
      <c r="S1312" t="str">
        <f t="shared" si="28"/>
        <v>7405050003ENERGIACemento UG</v>
      </c>
      <c r="T1312" t="str">
        <f>IFERROR(VLOOKUP(S1312,Maestro!$A:$H,8,0),"Producción")</f>
        <v>Energía</v>
      </c>
      <c r="U1312" s="43" t="s">
        <v>182</v>
      </c>
    </row>
    <row r="1313" spans="1:21" x14ac:dyDescent="0.3">
      <c r="A1313" s="41">
        <v>7405050003</v>
      </c>
      <c r="B1313" s="43" t="s">
        <v>688</v>
      </c>
      <c r="C1313" s="50">
        <f>Datos!$K$356*D1313</f>
        <v>913989313.65668464</v>
      </c>
      <c r="D1313" s="17">
        <f>Datos!$K$248*Datos!$K$367</f>
        <v>1746079.2504317074</v>
      </c>
      <c r="E1313" s="43" t="s">
        <v>556</v>
      </c>
      <c r="F1313" s="43" t="s">
        <v>557</v>
      </c>
      <c r="G1313" s="43" t="s">
        <v>567</v>
      </c>
      <c r="H1313" s="43" t="s">
        <v>568</v>
      </c>
      <c r="I1313" s="43" t="s">
        <v>560</v>
      </c>
      <c r="J1313" s="41" t="s">
        <v>797</v>
      </c>
      <c r="K1313" s="43">
        <v>700003</v>
      </c>
      <c r="L1313" s="43">
        <v>4</v>
      </c>
      <c r="M1313" s="43" t="s">
        <v>464</v>
      </c>
      <c r="N1313" s="51"/>
      <c r="O1313" s="51"/>
      <c r="P1313" s="43" t="str">
        <f>VLOOKUP(K1313,Maestro!J:K,2,0)</f>
        <v>CEMENTO UG</v>
      </c>
      <c r="Q1313" s="43" t="str">
        <f>VLOOKUP(P1313,Maestro!E:F,2,0)</f>
        <v>Cemento UG</v>
      </c>
      <c r="R1313" s="43">
        <f>VLOOKUP(P1313,ORD!$A:$C,3,0)</f>
        <v>6</v>
      </c>
      <c r="S1313" t="str">
        <f t="shared" si="28"/>
        <v>7405050003ENERGIACemento UG</v>
      </c>
      <c r="T1313" t="str">
        <f>IFERROR(VLOOKUP(S1313,Maestro!$A:$H,8,0),"Producción")</f>
        <v>Energía</v>
      </c>
      <c r="U1313" s="43" t="s">
        <v>182</v>
      </c>
    </row>
    <row r="1314" spans="1:21" x14ac:dyDescent="0.3">
      <c r="A1314" s="41">
        <v>7405050003</v>
      </c>
      <c r="B1314" s="43" t="s">
        <v>688</v>
      </c>
      <c r="C1314" s="50">
        <f>Datos!$L$356*D1314</f>
        <v>860167649.10379291</v>
      </c>
      <c r="D1314" s="17">
        <f>Datos!$L$248*Datos!$L$367</f>
        <v>1641065.0627113618</v>
      </c>
      <c r="E1314" s="43" t="s">
        <v>556</v>
      </c>
      <c r="F1314" s="43" t="s">
        <v>557</v>
      </c>
      <c r="G1314" s="43" t="s">
        <v>567</v>
      </c>
      <c r="H1314" s="43" t="s">
        <v>568</v>
      </c>
      <c r="I1314" s="43" t="s">
        <v>560</v>
      </c>
      <c r="J1314" s="41" t="s">
        <v>797</v>
      </c>
      <c r="K1314" s="43">
        <v>700003</v>
      </c>
      <c r="L1314" s="43">
        <v>5</v>
      </c>
      <c r="M1314" s="43" t="s">
        <v>464</v>
      </c>
      <c r="N1314" s="51"/>
      <c r="O1314" s="51"/>
      <c r="P1314" s="43" t="str">
        <f>VLOOKUP(K1314,Maestro!J:K,2,0)</f>
        <v>CEMENTO UG</v>
      </c>
      <c r="Q1314" s="43" t="str">
        <f>VLOOKUP(P1314,Maestro!E:F,2,0)</f>
        <v>Cemento UG</v>
      </c>
      <c r="R1314" s="43">
        <f>VLOOKUP(P1314,ORD!$A:$C,3,0)</f>
        <v>6</v>
      </c>
      <c r="S1314" t="str">
        <f t="shared" si="28"/>
        <v>7405050003ENERGIACemento UG</v>
      </c>
      <c r="T1314" t="str">
        <f>IFERROR(VLOOKUP(S1314,Maestro!$A:$H,8,0),"Producción")</f>
        <v>Energía</v>
      </c>
      <c r="U1314" s="43" t="s">
        <v>182</v>
      </c>
    </row>
    <row r="1315" spans="1:21" x14ac:dyDescent="0.3">
      <c r="A1315" s="41">
        <v>7405050003</v>
      </c>
      <c r="B1315" s="43" t="s">
        <v>688</v>
      </c>
      <c r="C1315" s="50">
        <f>Datos!$M$356*D1315</f>
        <v>858057643.00954008</v>
      </c>
      <c r="D1315" s="17">
        <f>Datos!$M$248*Datos!$M$367</f>
        <v>1634852.5111414066</v>
      </c>
      <c r="E1315" s="43" t="s">
        <v>556</v>
      </c>
      <c r="F1315" s="43" t="s">
        <v>557</v>
      </c>
      <c r="G1315" s="43" t="s">
        <v>567</v>
      </c>
      <c r="H1315" s="43" t="s">
        <v>568</v>
      </c>
      <c r="I1315" s="43" t="s">
        <v>560</v>
      </c>
      <c r="J1315" s="41" t="s">
        <v>797</v>
      </c>
      <c r="K1315" s="43">
        <v>700003</v>
      </c>
      <c r="L1315" s="43">
        <v>6</v>
      </c>
      <c r="M1315" s="43" t="s">
        <v>464</v>
      </c>
      <c r="N1315" s="51"/>
      <c r="O1315" s="51"/>
      <c r="P1315" s="43" t="str">
        <f>VLOOKUP(K1315,Maestro!J:K,2,0)</f>
        <v>CEMENTO UG</v>
      </c>
      <c r="Q1315" s="43" t="str">
        <f>VLOOKUP(P1315,Maestro!E:F,2,0)</f>
        <v>Cemento UG</v>
      </c>
      <c r="R1315" s="43">
        <f>VLOOKUP(P1315,ORD!$A:$C,3,0)</f>
        <v>6</v>
      </c>
      <c r="S1315" t="str">
        <f t="shared" si="28"/>
        <v>7405050003ENERGIACemento UG</v>
      </c>
      <c r="T1315" t="str">
        <f>IFERROR(VLOOKUP(S1315,Maestro!$A:$H,8,0),"Producción")</f>
        <v>Energía</v>
      </c>
      <c r="U1315" s="43" t="s">
        <v>182</v>
      </c>
    </row>
    <row r="1316" spans="1:21" x14ac:dyDescent="0.3">
      <c r="A1316" s="41">
        <v>7405050003</v>
      </c>
      <c r="B1316" s="43" t="s">
        <v>688</v>
      </c>
      <c r="C1316" s="50">
        <f>Datos!$N$356*D1316</f>
        <v>1012034121.4393387</v>
      </c>
      <c r="D1316" s="17">
        <f>Datos!$N$248*Datos!$N$367</f>
        <v>1925645.0957305406</v>
      </c>
      <c r="E1316" s="43" t="s">
        <v>556</v>
      </c>
      <c r="F1316" s="43" t="s">
        <v>557</v>
      </c>
      <c r="G1316" s="43" t="s">
        <v>567</v>
      </c>
      <c r="H1316" s="43" t="s">
        <v>568</v>
      </c>
      <c r="I1316" s="43" t="s">
        <v>560</v>
      </c>
      <c r="J1316" s="41" t="s">
        <v>797</v>
      </c>
      <c r="K1316" s="43">
        <v>700003</v>
      </c>
      <c r="L1316" s="43">
        <v>7</v>
      </c>
      <c r="M1316" s="43" t="s">
        <v>464</v>
      </c>
      <c r="N1316" s="51"/>
      <c r="O1316" s="51"/>
      <c r="P1316" s="43" t="str">
        <f>VLOOKUP(K1316,Maestro!J:K,2,0)</f>
        <v>CEMENTO UG</v>
      </c>
      <c r="Q1316" s="43" t="str">
        <f>VLOOKUP(P1316,Maestro!E:F,2,0)</f>
        <v>Cemento UG</v>
      </c>
      <c r="R1316" s="43">
        <f>VLOOKUP(P1316,ORD!$A:$C,3,0)</f>
        <v>6</v>
      </c>
      <c r="S1316" t="str">
        <f t="shared" si="28"/>
        <v>7405050003ENERGIACemento UG</v>
      </c>
      <c r="T1316" t="str">
        <f>IFERROR(VLOOKUP(S1316,Maestro!$A:$H,8,0),"Producción")</f>
        <v>Energía</v>
      </c>
      <c r="U1316" s="43" t="s">
        <v>182</v>
      </c>
    </row>
    <row r="1317" spans="1:21" x14ac:dyDescent="0.3">
      <c r="A1317" s="41">
        <v>7405050003</v>
      </c>
      <c r="B1317" s="43" t="s">
        <v>688</v>
      </c>
      <c r="C1317" s="50">
        <f>Datos!$O$356*D1317</f>
        <v>923276820.75653946</v>
      </c>
      <c r="D1317" s="17">
        <f>Datos!$O$248*Datos!$O$367</f>
        <v>1754411.8890130748</v>
      </c>
      <c r="E1317" s="43" t="s">
        <v>556</v>
      </c>
      <c r="F1317" s="43" t="s">
        <v>557</v>
      </c>
      <c r="G1317" s="43" t="s">
        <v>567</v>
      </c>
      <c r="H1317" s="43" t="s">
        <v>568</v>
      </c>
      <c r="I1317" s="43" t="s">
        <v>560</v>
      </c>
      <c r="J1317" s="41" t="s">
        <v>797</v>
      </c>
      <c r="K1317" s="43">
        <v>700003</v>
      </c>
      <c r="L1317" s="43">
        <v>8</v>
      </c>
      <c r="M1317" s="43" t="s">
        <v>464</v>
      </c>
      <c r="N1317" s="51"/>
      <c r="O1317" s="51"/>
      <c r="P1317" s="43" t="str">
        <f>VLOOKUP(K1317,Maestro!J:K,2,0)</f>
        <v>CEMENTO UG</v>
      </c>
      <c r="Q1317" s="43" t="str">
        <f>VLOOKUP(P1317,Maestro!E:F,2,0)</f>
        <v>Cemento UG</v>
      </c>
      <c r="R1317" s="43">
        <f>VLOOKUP(P1317,ORD!$A:$C,3,0)</f>
        <v>6</v>
      </c>
      <c r="S1317" t="str">
        <f t="shared" si="28"/>
        <v>7405050003ENERGIACemento UG</v>
      </c>
      <c r="T1317" t="str">
        <f>IFERROR(VLOOKUP(S1317,Maestro!$A:$H,8,0),"Producción")</f>
        <v>Energía</v>
      </c>
      <c r="U1317" s="43" t="s">
        <v>182</v>
      </c>
    </row>
    <row r="1318" spans="1:21" x14ac:dyDescent="0.3">
      <c r="A1318" s="41">
        <v>7405050003</v>
      </c>
      <c r="B1318" s="43" t="s">
        <v>688</v>
      </c>
      <c r="C1318" s="50">
        <f>Datos!$P$356*D1318</f>
        <v>979288602.68254507</v>
      </c>
      <c r="D1318" s="17">
        <f>Datos!$P$248*Datos!$P$367</f>
        <v>1858353.9051734502</v>
      </c>
      <c r="E1318" s="43" t="s">
        <v>556</v>
      </c>
      <c r="F1318" s="43" t="s">
        <v>557</v>
      </c>
      <c r="G1318" s="43" t="s">
        <v>567</v>
      </c>
      <c r="H1318" s="43" t="s">
        <v>568</v>
      </c>
      <c r="I1318" s="43" t="s">
        <v>560</v>
      </c>
      <c r="J1318" s="41" t="s">
        <v>797</v>
      </c>
      <c r="K1318" s="43">
        <v>700003</v>
      </c>
      <c r="L1318" s="43">
        <v>9</v>
      </c>
      <c r="M1318" s="43" t="s">
        <v>464</v>
      </c>
      <c r="N1318" s="51"/>
      <c r="O1318" s="51"/>
      <c r="P1318" s="43" t="str">
        <f>VLOOKUP(K1318,Maestro!J:K,2,0)</f>
        <v>CEMENTO UG</v>
      </c>
      <c r="Q1318" s="43" t="str">
        <f>VLOOKUP(P1318,Maestro!E:F,2,0)</f>
        <v>Cemento UG</v>
      </c>
      <c r="R1318" s="43">
        <f>VLOOKUP(P1318,ORD!$A:$C,3,0)</f>
        <v>6</v>
      </c>
      <c r="S1318" t="str">
        <f t="shared" si="28"/>
        <v>7405050003ENERGIACemento UG</v>
      </c>
      <c r="T1318" t="str">
        <f>IFERROR(VLOOKUP(S1318,Maestro!$A:$H,8,0),"Producción")</f>
        <v>Energía</v>
      </c>
      <c r="U1318" s="43" t="s">
        <v>182</v>
      </c>
    </row>
    <row r="1319" spans="1:21" x14ac:dyDescent="0.3">
      <c r="A1319" s="41">
        <v>7405050003</v>
      </c>
      <c r="B1319" s="43" t="s">
        <v>688</v>
      </c>
      <c r="C1319" s="50">
        <f>Datos!$Q$356*D1319</f>
        <v>995813387.08631647</v>
      </c>
      <c r="D1319" s="17">
        <f>Datos!$Q$248*Datos!$Q$367</f>
        <v>1887180.0612838084</v>
      </c>
      <c r="E1319" s="43" t="s">
        <v>556</v>
      </c>
      <c r="F1319" s="43" t="s">
        <v>557</v>
      </c>
      <c r="G1319" s="43" t="s">
        <v>567</v>
      </c>
      <c r="H1319" s="43" t="s">
        <v>568</v>
      </c>
      <c r="I1319" s="43" t="s">
        <v>560</v>
      </c>
      <c r="J1319" s="41" t="s">
        <v>797</v>
      </c>
      <c r="K1319" s="43">
        <v>700003</v>
      </c>
      <c r="L1319" s="43">
        <v>10</v>
      </c>
      <c r="M1319" s="43" t="s">
        <v>464</v>
      </c>
      <c r="N1319" s="51"/>
      <c r="O1319" s="51"/>
      <c r="P1319" s="43" t="str">
        <f>VLOOKUP(K1319,Maestro!J:K,2,0)</f>
        <v>CEMENTO UG</v>
      </c>
      <c r="Q1319" s="43" t="str">
        <f>VLOOKUP(P1319,Maestro!E:F,2,0)</f>
        <v>Cemento UG</v>
      </c>
      <c r="R1319" s="43">
        <f>VLOOKUP(P1319,ORD!$A:$C,3,0)</f>
        <v>6</v>
      </c>
      <c r="S1319" t="str">
        <f t="shared" si="28"/>
        <v>7405050003ENERGIACemento UG</v>
      </c>
      <c r="T1319" t="str">
        <f>IFERROR(VLOOKUP(S1319,Maestro!$A:$H,8,0),"Producción")</f>
        <v>Energía</v>
      </c>
      <c r="U1319" s="43" t="s">
        <v>182</v>
      </c>
    </row>
    <row r="1320" spans="1:21" x14ac:dyDescent="0.3">
      <c r="A1320" s="41">
        <v>7405050003</v>
      </c>
      <c r="B1320" s="43" t="s">
        <v>688</v>
      </c>
      <c r="C1320" s="50">
        <f>Datos!$R$356*D1320</f>
        <v>932947993.55686152</v>
      </c>
      <c r="D1320" s="17">
        <f>Datos!$R$248*Datos!$R$367</f>
        <v>1765671.9914700103</v>
      </c>
      <c r="E1320" s="43" t="s">
        <v>556</v>
      </c>
      <c r="F1320" s="43" t="s">
        <v>557</v>
      </c>
      <c r="G1320" s="43" t="s">
        <v>567</v>
      </c>
      <c r="H1320" s="43" t="s">
        <v>568</v>
      </c>
      <c r="I1320" s="43" t="s">
        <v>560</v>
      </c>
      <c r="J1320" s="41" t="s">
        <v>797</v>
      </c>
      <c r="K1320" s="43">
        <v>700003</v>
      </c>
      <c r="L1320" s="43">
        <v>11</v>
      </c>
      <c r="M1320" s="43" t="s">
        <v>464</v>
      </c>
      <c r="N1320" s="51"/>
      <c r="O1320" s="51"/>
      <c r="P1320" s="43" t="str">
        <f>VLOOKUP(K1320,Maestro!J:K,2,0)</f>
        <v>CEMENTO UG</v>
      </c>
      <c r="Q1320" s="43" t="str">
        <f>VLOOKUP(P1320,Maestro!E:F,2,0)</f>
        <v>Cemento UG</v>
      </c>
      <c r="R1320" s="43">
        <f>VLOOKUP(P1320,ORD!$A:$C,3,0)</f>
        <v>6</v>
      </c>
      <c r="S1320" t="str">
        <f t="shared" si="28"/>
        <v>7405050003ENERGIACemento UG</v>
      </c>
      <c r="T1320" t="str">
        <f>IFERROR(VLOOKUP(S1320,Maestro!$A:$H,8,0),"Producción")</f>
        <v>Energía</v>
      </c>
      <c r="U1320" s="43" t="s">
        <v>182</v>
      </c>
    </row>
    <row r="1321" spans="1:21" x14ac:dyDescent="0.3">
      <c r="A1321" s="41">
        <v>7405050003</v>
      </c>
      <c r="B1321" s="43" t="s">
        <v>688</v>
      </c>
      <c r="C1321" s="50">
        <f>Datos!$S$356*D1321</f>
        <v>962295281.45191145</v>
      </c>
      <c r="D1321" s="17">
        <f>Datos!$S$248*Datos!$S$367</f>
        <v>1818769.7511868677</v>
      </c>
      <c r="E1321" s="43" t="s">
        <v>556</v>
      </c>
      <c r="F1321" s="43" t="s">
        <v>557</v>
      </c>
      <c r="G1321" s="43" t="s">
        <v>567</v>
      </c>
      <c r="H1321" s="43" t="s">
        <v>568</v>
      </c>
      <c r="I1321" s="43" t="s">
        <v>560</v>
      </c>
      <c r="J1321" s="41" t="s">
        <v>797</v>
      </c>
      <c r="K1321" s="43">
        <v>700003</v>
      </c>
      <c r="L1321" s="43">
        <v>12</v>
      </c>
      <c r="M1321" s="43" t="s">
        <v>464</v>
      </c>
      <c r="N1321" s="51"/>
      <c r="O1321" s="51"/>
      <c r="P1321" s="43" t="str">
        <f>VLOOKUP(K1321,Maestro!J:K,2,0)</f>
        <v>CEMENTO UG</v>
      </c>
      <c r="Q1321" s="43" t="str">
        <f>VLOOKUP(P1321,Maestro!E:F,2,0)</f>
        <v>Cemento UG</v>
      </c>
      <c r="R1321" s="43">
        <f>VLOOKUP(P1321,ORD!$A:$C,3,0)</f>
        <v>6</v>
      </c>
      <c r="S1321" t="str">
        <f t="shared" si="28"/>
        <v>7405050003ENERGIACemento UG</v>
      </c>
      <c r="T1321" t="str">
        <f>IFERROR(VLOOKUP(S1321,Maestro!$A:$H,8,0),"Producción")</f>
        <v>Energía</v>
      </c>
      <c r="U1321" s="43" t="s">
        <v>182</v>
      </c>
    </row>
    <row r="1322" spans="1:21" x14ac:dyDescent="0.3">
      <c r="A1322" s="41">
        <v>7405050003</v>
      </c>
      <c r="B1322" s="43" t="s">
        <v>688</v>
      </c>
      <c r="C1322" s="50">
        <f>Datos!$H$356*D1322</f>
        <v>581209102.0912081</v>
      </c>
      <c r="D1322" s="17">
        <f>Datos!$H$251*Datos!$H$368</f>
        <v>1114789.8390302435</v>
      </c>
      <c r="E1322" s="43" t="s">
        <v>556</v>
      </c>
      <c r="F1322" s="43" t="s">
        <v>557</v>
      </c>
      <c r="G1322" s="43" t="s">
        <v>567</v>
      </c>
      <c r="H1322" s="43" t="s">
        <v>568</v>
      </c>
      <c r="I1322" s="43" t="s">
        <v>560</v>
      </c>
      <c r="J1322" s="41" t="s">
        <v>797</v>
      </c>
      <c r="K1322" s="43">
        <v>700060</v>
      </c>
      <c r="L1322" s="43">
        <v>1</v>
      </c>
      <c r="M1322" s="43" t="s">
        <v>468</v>
      </c>
      <c r="N1322" s="51"/>
      <c r="O1322" s="51"/>
      <c r="P1322" s="43" t="str">
        <f>VLOOKUP(K1322,Maestro!J:K,2,0)</f>
        <v>CEMENTO ART</v>
      </c>
      <c r="Q1322" s="43" t="str">
        <f>VLOOKUP(P1322,Maestro!E:F,2,0)</f>
        <v>Cemento ART</v>
      </c>
      <c r="R1322" s="43">
        <f>VLOOKUP(P1322,ORD!$A:$C,3,0)</f>
        <v>7</v>
      </c>
      <c r="S1322" t="str">
        <f t="shared" si="28"/>
        <v>7405050003ENERGIACemento ART</v>
      </c>
      <c r="T1322" t="str">
        <f>IFERROR(VLOOKUP(S1322,Maestro!$A:$H,8,0),"Producción")</f>
        <v>Energía</v>
      </c>
      <c r="U1322" s="43" t="s">
        <v>182</v>
      </c>
    </row>
    <row r="1323" spans="1:21" x14ac:dyDescent="0.3">
      <c r="A1323" s="41">
        <v>7405050003</v>
      </c>
      <c r="B1323" s="43" t="s">
        <v>688</v>
      </c>
      <c r="C1323" s="50">
        <f>Datos!$I$356*D1323</f>
        <v>656706379.052019</v>
      </c>
      <c r="D1323" s="17">
        <f>Datos!$I$251*Datos!$I$368</f>
        <v>1257919.989143047</v>
      </c>
      <c r="E1323" s="43" t="s">
        <v>556</v>
      </c>
      <c r="F1323" s="43" t="s">
        <v>557</v>
      </c>
      <c r="G1323" s="43" t="s">
        <v>567</v>
      </c>
      <c r="H1323" s="43" t="s">
        <v>568</v>
      </c>
      <c r="I1323" s="43" t="s">
        <v>560</v>
      </c>
      <c r="J1323" s="41" t="s">
        <v>797</v>
      </c>
      <c r="K1323" s="43">
        <v>700060</v>
      </c>
      <c r="L1323" s="43">
        <v>2</v>
      </c>
      <c r="M1323" s="43" t="s">
        <v>468</v>
      </c>
      <c r="N1323" s="51"/>
      <c r="O1323" s="51"/>
      <c r="P1323" s="43" t="str">
        <f>VLOOKUP(K1323,Maestro!J:K,2,0)</f>
        <v>CEMENTO ART</v>
      </c>
      <c r="Q1323" s="43" t="str">
        <f>VLOOKUP(P1323,Maestro!E:F,2,0)</f>
        <v>Cemento ART</v>
      </c>
      <c r="R1323" s="43">
        <f>VLOOKUP(P1323,ORD!$A:$C,3,0)</f>
        <v>7</v>
      </c>
      <c r="S1323" t="str">
        <f t="shared" ref="S1323:S1334" si="29">A1323&amp;J1323&amp;Q1323</f>
        <v>7405050003ENERGIACemento ART</v>
      </c>
      <c r="T1323" t="str">
        <f>IFERROR(VLOOKUP(S1323,Maestro!$A:$H,8,0),"Producción")</f>
        <v>Energía</v>
      </c>
      <c r="U1323" s="43" t="s">
        <v>182</v>
      </c>
    </row>
    <row r="1324" spans="1:21" x14ac:dyDescent="0.3">
      <c r="A1324" s="41">
        <v>7405050003</v>
      </c>
      <c r="B1324" s="43" t="s">
        <v>688</v>
      </c>
      <c r="C1324" s="50">
        <f>Datos!$J$356*D1324</f>
        <v>687383810.92784107</v>
      </c>
      <c r="D1324" s="17">
        <f>Datos!$J$251*Datos!$J$368</f>
        <v>1314927.5636734669</v>
      </c>
      <c r="E1324" s="43" t="s">
        <v>556</v>
      </c>
      <c r="F1324" s="43" t="s">
        <v>557</v>
      </c>
      <c r="G1324" s="43" t="s">
        <v>567</v>
      </c>
      <c r="H1324" s="43" t="s">
        <v>568</v>
      </c>
      <c r="I1324" s="43" t="s">
        <v>560</v>
      </c>
      <c r="J1324" s="41" t="s">
        <v>797</v>
      </c>
      <c r="K1324" s="43">
        <v>700060</v>
      </c>
      <c r="L1324" s="43">
        <v>3</v>
      </c>
      <c r="M1324" s="43" t="s">
        <v>468</v>
      </c>
      <c r="N1324" s="51"/>
      <c r="O1324" s="51"/>
      <c r="P1324" s="43" t="str">
        <f>VLOOKUP(K1324,Maestro!J:K,2,0)</f>
        <v>CEMENTO ART</v>
      </c>
      <c r="Q1324" s="43" t="str">
        <f>VLOOKUP(P1324,Maestro!E:F,2,0)</f>
        <v>Cemento ART</v>
      </c>
      <c r="R1324" s="43">
        <f>VLOOKUP(P1324,ORD!$A:$C,3,0)</f>
        <v>7</v>
      </c>
      <c r="S1324" t="str">
        <f t="shared" si="29"/>
        <v>7405050003ENERGIACemento ART</v>
      </c>
      <c r="T1324" t="str">
        <f>IFERROR(VLOOKUP(S1324,Maestro!$A:$H,8,0),"Producción")</f>
        <v>Energía</v>
      </c>
      <c r="U1324" s="43" t="s">
        <v>182</v>
      </c>
    </row>
    <row r="1325" spans="1:21" x14ac:dyDescent="0.3">
      <c r="A1325" s="41">
        <v>7405050003</v>
      </c>
      <c r="B1325" s="43" t="s">
        <v>688</v>
      </c>
      <c r="C1325" s="50">
        <f>Datos!$K$356*D1325</f>
        <v>633745149.55714166</v>
      </c>
      <c r="D1325" s="17">
        <f>Datos!$K$251*Datos!$K$368</f>
        <v>1210702.618913898</v>
      </c>
      <c r="E1325" s="43" t="s">
        <v>556</v>
      </c>
      <c r="F1325" s="43" t="s">
        <v>557</v>
      </c>
      <c r="G1325" s="43" t="s">
        <v>567</v>
      </c>
      <c r="H1325" s="43" t="s">
        <v>568</v>
      </c>
      <c r="I1325" s="43" t="s">
        <v>560</v>
      </c>
      <c r="J1325" s="41" t="s">
        <v>797</v>
      </c>
      <c r="K1325" s="43">
        <v>700060</v>
      </c>
      <c r="L1325" s="43">
        <v>4</v>
      </c>
      <c r="M1325" s="43" t="s">
        <v>468</v>
      </c>
      <c r="N1325" s="51"/>
      <c r="O1325" s="51"/>
      <c r="P1325" s="43" t="str">
        <f>VLOOKUP(K1325,Maestro!J:K,2,0)</f>
        <v>CEMENTO ART</v>
      </c>
      <c r="Q1325" s="43" t="str">
        <f>VLOOKUP(P1325,Maestro!E:F,2,0)</f>
        <v>Cemento ART</v>
      </c>
      <c r="R1325" s="43">
        <f>VLOOKUP(P1325,ORD!$A:$C,3,0)</f>
        <v>7</v>
      </c>
      <c r="S1325" t="str">
        <f t="shared" si="29"/>
        <v>7405050003ENERGIACemento ART</v>
      </c>
      <c r="T1325" t="str">
        <f>IFERROR(VLOOKUP(S1325,Maestro!$A:$H,8,0),"Producción")</f>
        <v>Energía</v>
      </c>
      <c r="U1325" s="43" t="s">
        <v>182</v>
      </c>
    </row>
    <row r="1326" spans="1:21" x14ac:dyDescent="0.3">
      <c r="A1326" s="41">
        <v>7405050003</v>
      </c>
      <c r="B1326" s="43" t="s">
        <v>688</v>
      </c>
      <c r="C1326" s="50">
        <f>Datos!$L$356*D1326</f>
        <v>648936479.15995443</v>
      </c>
      <c r="D1326" s="17">
        <f>Datos!$L$251*Datos!$L$368</f>
        <v>1238069.0961557173</v>
      </c>
      <c r="E1326" s="43" t="s">
        <v>556</v>
      </c>
      <c r="F1326" s="43" t="s">
        <v>557</v>
      </c>
      <c r="G1326" s="43" t="s">
        <v>567</v>
      </c>
      <c r="H1326" s="43" t="s">
        <v>568</v>
      </c>
      <c r="I1326" s="43" t="s">
        <v>560</v>
      </c>
      <c r="J1326" s="41" t="s">
        <v>797</v>
      </c>
      <c r="K1326" s="43">
        <v>700060</v>
      </c>
      <c r="L1326" s="43">
        <v>5</v>
      </c>
      <c r="M1326" s="43" t="s">
        <v>468</v>
      </c>
      <c r="N1326" s="51"/>
      <c r="O1326" s="51"/>
      <c r="P1326" s="43" t="str">
        <f>VLOOKUP(K1326,Maestro!J:K,2,0)</f>
        <v>CEMENTO ART</v>
      </c>
      <c r="Q1326" s="43" t="str">
        <f>VLOOKUP(P1326,Maestro!E:F,2,0)</f>
        <v>Cemento ART</v>
      </c>
      <c r="R1326" s="43">
        <f>VLOOKUP(P1326,ORD!$A:$C,3,0)</f>
        <v>7</v>
      </c>
      <c r="S1326" t="str">
        <f t="shared" si="29"/>
        <v>7405050003ENERGIACemento ART</v>
      </c>
      <c r="T1326" t="str">
        <f>IFERROR(VLOOKUP(S1326,Maestro!$A:$H,8,0),"Producción")</f>
        <v>Energía</v>
      </c>
      <c r="U1326" s="43" t="s">
        <v>182</v>
      </c>
    </row>
    <row r="1327" spans="1:21" x14ac:dyDescent="0.3">
      <c r="A1327" s="41">
        <v>7405050003</v>
      </c>
      <c r="B1327" s="43" t="s">
        <v>688</v>
      </c>
      <c r="C1327" s="50">
        <f>Datos!$M$356*D1327</f>
        <v>632116953.33782363</v>
      </c>
      <c r="D1327" s="17">
        <f>Datos!$M$251*Datos!$M$368</f>
        <v>1204368.9569325431</v>
      </c>
      <c r="E1327" s="43" t="s">
        <v>556</v>
      </c>
      <c r="F1327" s="43" t="s">
        <v>557</v>
      </c>
      <c r="G1327" s="43" t="s">
        <v>567</v>
      </c>
      <c r="H1327" s="43" t="s">
        <v>568</v>
      </c>
      <c r="I1327" s="43" t="s">
        <v>560</v>
      </c>
      <c r="J1327" s="41" t="s">
        <v>797</v>
      </c>
      <c r="K1327" s="43">
        <v>700060</v>
      </c>
      <c r="L1327" s="43">
        <v>6</v>
      </c>
      <c r="M1327" s="43" t="s">
        <v>468</v>
      </c>
      <c r="N1327" s="51"/>
      <c r="O1327" s="51"/>
      <c r="P1327" s="43" t="str">
        <f>VLOOKUP(K1327,Maestro!J:K,2,0)</f>
        <v>CEMENTO ART</v>
      </c>
      <c r="Q1327" s="43" t="str">
        <f>VLOOKUP(P1327,Maestro!E:F,2,0)</f>
        <v>Cemento ART</v>
      </c>
      <c r="R1327" s="43">
        <f>VLOOKUP(P1327,ORD!$A:$C,3,0)</f>
        <v>7</v>
      </c>
      <c r="S1327" t="str">
        <f t="shared" si="29"/>
        <v>7405050003ENERGIACemento ART</v>
      </c>
      <c r="T1327" t="str">
        <f>IFERROR(VLOOKUP(S1327,Maestro!$A:$H,8,0),"Producción")</f>
        <v>Energía</v>
      </c>
      <c r="U1327" s="43" t="s">
        <v>182</v>
      </c>
    </row>
    <row r="1328" spans="1:21" x14ac:dyDescent="0.3">
      <c r="A1328" s="41">
        <v>7405050003</v>
      </c>
      <c r="B1328" s="43" t="s">
        <v>688</v>
      </c>
      <c r="C1328" s="50">
        <f>Datos!$N$356*D1328</f>
        <v>732392355.99203324</v>
      </c>
      <c r="D1328" s="17">
        <f>Datos!$N$251*Datos!$N$368</f>
        <v>1393557.5081804493</v>
      </c>
      <c r="E1328" s="43" t="s">
        <v>556</v>
      </c>
      <c r="F1328" s="43" t="s">
        <v>557</v>
      </c>
      <c r="G1328" s="43" t="s">
        <v>567</v>
      </c>
      <c r="H1328" s="43" t="s">
        <v>568</v>
      </c>
      <c r="I1328" s="43" t="s">
        <v>560</v>
      </c>
      <c r="J1328" s="41" t="s">
        <v>797</v>
      </c>
      <c r="K1328" s="43">
        <v>700060</v>
      </c>
      <c r="L1328" s="43">
        <v>7</v>
      </c>
      <c r="M1328" s="43" t="s">
        <v>468</v>
      </c>
      <c r="N1328" s="51"/>
      <c r="O1328" s="51"/>
      <c r="P1328" s="43" t="str">
        <f>VLOOKUP(K1328,Maestro!J:K,2,0)</f>
        <v>CEMENTO ART</v>
      </c>
      <c r="Q1328" s="43" t="str">
        <f>VLOOKUP(P1328,Maestro!E:F,2,0)</f>
        <v>Cemento ART</v>
      </c>
      <c r="R1328" s="43">
        <f>VLOOKUP(P1328,ORD!$A:$C,3,0)</f>
        <v>7</v>
      </c>
      <c r="S1328" t="str">
        <f t="shared" si="29"/>
        <v>7405050003ENERGIACemento ART</v>
      </c>
      <c r="T1328" t="str">
        <f>IFERROR(VLOOKUP(S1328,Maestro!$A:$H,8,0),"Producción")</f>
        <v>Energía</v>
      </c>
      <c r="U1328" s="43" t="s">
        <v>182</v>
      </c>
    </row>
    <row r="1329" spans="1:21" x14ac:dyDescent="0.3">
      <c r="A1329" s="41">
        <v>7405050003</v>
      </c>
      <c r="B1329" s="43" t="s">
        <v>688</v>
      </c>
      <c r="C1329" s="50">
        <f>Datos!$O$356*D1329</f>
        <v>675192373.6800245</v>
      </c>
      <c r="D1329" s="17">
        <f>Datos!$O$251*Datos!$O$368</f>
        <v>1283001.4802976993</v>
      </c>
      <c r="E1329" s="43" t="s">
        <v>556</v>
      </c>
      <c r="F1329" s="43" t="s">
        <v>557</v>
      </c>
      <c r="G1329" s="43" t="s">
        <v>567</v>
      </c>
      <c r="H1329" s="43" t="s">
        <v>568</v>
      </c>
      <c r="I1329" s="43" t="s">
        <v>560</v>
      </c>
      <c r="J1329" s="41" t="s">
        <v>797</v>
      </c>
      <c r="K1329" s="43">
        <v>700060</v>
      </c>
      <c r="L1329" s="43">
        <v>8</v>
      </c>
      <c r="M1329" s="43" t="s">
        <v>468</v>
      </c>
      <c r="N1329" s="51"/>
      <c r="O1329" s="51"/>
      <c r="P1329" s="43" t="str">
        <f>VLOOKUP(K1329,Maestro!J:K,2,0)</f>
        <v>CEMENTO ART</v>
      </c>
      <c r="Q1329" s="43" t="str">
        <f>VLOOKUP(P1329,Maestro!E:F,2,0)</f>
        <v>Cemento ART</v>
      </c>
      <c r="R1329" s="43">
        <f>VLOOKUP(P1329,ORD!$A:$C,3,0)</f>
        <v>7</v>
      </c>
      <c r="S1329" t="str">
        <f t="shared" si="29"/>
        <v>7405050003ENERGIACemento ART</v>
      </c>
      <c r="T1329" t="str">
        <f>IFERROR(VLOOKUP(S1329,Maestro!$A:$H,8,0),"Producción")</f>
        <v>Energía</v>
      </c>
      <c r="U1329" s="43" t="s">
        <v>182</v>
      </c>
    </row>
    <row r="1330" spans="1:21" x14ac:dyDescent="0.3">
      <c r="A1330" s="41">
        <v>7405050003</v>
      </c>
      <c r="B1330" s="43" t="s">
        <v>688</v>
      </c>
      <c r="C1330" s="50">
        <f>Datos!$P$356*D1330</f>
        <v>717633035.22875917</v>
      </c>
      <c r="D1330" s="17">
        <f>Datos!$P$251*Datos!$P$368</f>
        <v>1361821.3771156874</v>
      </c>
      <c r="E1330" s="43" t="s">
        <v>556</v>
      </c>
      <c r="F1330" s="43" t="s">
        <v>557</v>
      </c>
      <c r="G1330" s="43" t="s">
        <v>567</v>
      </c>
      <c r="H1330" s="43" t="s">
        <v>568</v>
      </c>
      <c r="I1330" s="43" t="s">
        <v>560</v>
      </c>
      <c r="J1330" s="41" t="s">
        <v>797</v>
      </c>
      <c r="K1330" s="43">
        <v>700060</v>
      </c>
      <c r="L1330" s="43">
        <v>9</v>
      </c>
      <c r="M1330" s="43" t="s">
        <v>468</v>
      </c>
      <c r="N1330" s="51"/>
      <c r="O1330" s="51"/>
      <c r="P1330" s="43" t="str">
        <f>VLOOKUP(K1330,Maestro!J:K,2,0)</f>
        <v>CEMENTO ART</v>
      </c>
      <c r="Q1330" s="43" t="str">
        <f>VLOOKUP(P1330,Maestro!E:F,2,0)</f>
        <v>Cemento ART</v>
      </c>
      <c r="R1330" s="43">
        <f>VLOOKUP(P1330,ORD!$A:$C,3,0)</f>
        <v>7</v>
      </c>
      <c r="S1330" t="str">
        <f t="shared" si="29"/>
        <v>7405050003ENERGIACemento ART</v>
      </c>
      <c r="T1330" t="str">
        <f>IFERROR(VLOOKUP(S1330,Maestro!$A:$H,8,0),"Producción")</f>
        <v>Energía</v>
      </c>
      <c r="U1330" s="43" t="s">
        <v>182</v>
      </c>
    </row>
    <row r="1331" spans="1:21" x14ac:dyDescent="0.3">
      <c r="A1331" s="41">
        <v>7405050003</v>
      </c>
      <c r="B1331" s="43" t="s">
        <v>688</v>
      </c>
      <c r="C1331" s="50">
        <f>Datos!$Q$356*D1331</f>
        <v>727918483.63420093</v>
      </c>
      <c r="D1331" s="17">
        <f>Datos!$Q$251*Datos!$Q$368</f>
        <v>1379488.633481622</v>
      </c>
      <c r="E1331" s="43" t="s">
        <v>556</v>
      </c>
      <c r="F1331" s="43" t="s">
        <v>557</v>
      </c>
      <c r="G1331" s="43" t="s">
        <v>567</v>
      </c>
      <c r="H1331" s="43" t="s">
        <v>568</v>
      </c>
      <c r="I1331" s="43" t="s">
        <v>560</v>
      </c>
      <c r="J1331" s="41" t="s">
        <v>797</v>
      </c>
      <c r="K1331" s="43">
        <v>700060</v>
      </c>
      <c r="L1331" s="43">
        <v>10</v>
      </c>
      <c r="M1331" s="43" t="s">
        <v>468</v>
      </c>
      <c r="N1331" s="51"/>
      <c r="O1331" s="51"/>
      <c r="P1331" s="43" t="str">
        <f>VLOOKUP(K1331,Maestro!J:K,2,0)</f>
        <v>CEMENTO ART</v>
      </c>
      <c r="Q1331" s="43" t="str">
        <f>VLOOKUP(P1331,Maestro!E:F,2,0)</f>
        <v>Cemento ART</v>
      </c>
      <c r="R1331" s="43">
        <f>VLOOKUP(P1331,ORD!$A:$C,3,0)</f>
        <v>7</v>
      </c>
      <c r="S1331" t="str">
        <f t="shared" si="29"/>
        <v>7405050003ENERGIACemento ART</v>
      </c>
      <c r="T1331" t="str">
        <f>IFERROR(VLOOKUP(S1331,Maestro!$A:$H,8,0),"Producción")</f>
        <v>Energía</v>
      </c>
      <c r="U1331" s="43" t="s">
        <v>182</v>
      </c>
    </row>
    <row r="1332" spans="1:21" x14ac:dyDescent="0.3">
      <c r="A1332" s="41">
        <v>7405050003</v>
      </c>
      <c r="B1332" s="43" t="s">
        <v>688</v>
      </c>
      <c r="C1332" s="50">
        <f>Datos!$R$356*D1332</f>
        <v>667415486.03143179</v>
      </c>
      <c r="D1332" s="17">
        <f>Datos!$R$251*Datos!$R$368</f>
        <v>1263132.3916205189</v>
      </c>
      <c r="E1332" s="43" t="s">
        <v>556</v>
      </c>
      <c r="F1332" s="43" t="s">
        <v>557</v>
      </c>
      <c r="G1332" s="43" t="s">
        <v>567</v>
      </c>
      <c r="H1332" s="43" t="s">
        <v>568</v>
      </c>
      <c r="I1332" s="43" t="s">
        <v>560</v>
      </c>
      <c r="J1332" s="41" t="s">
        <v>797</v>
      </c>
      <c r="K1332" s="43">
        <v>700060</v>
      </c>
      <c r="L1332" s="43">
        <v>11</v>
      </c>
      <c r="M1332" s="43" t="s">
        <v>468</v>
      </c>
      <c r="N1332" s="51"/>
      <c r="O1332" s="51"/>
      <c r="P1332" s="43" t="str">
        <f>VLOOKUP(K1332,Maestro!J:K,2,0)</f>
        <v>CEMENTO ART</v>
      </c>
      <c r="Q1332" s="43" t="str">
        <f>VLOOKUP(P1332,Maestro!E:F,2,0)</f>
        <v>Cemento ART</v>
      </c>
      <c r="R1332" s="43">
        <f>VLOOKUP(P1332,ORD!$A:$C,3,0)</f>
        <v>7</v>
      </c>
      <c r="S1332" t="str">
        <f t="shared" si="29"/>
        <v>7405050003ENERGIACemento ART</v>
      </c>
      <c r="T1332" t="str">
        <f>IFERROR(VLOOKUP(S1332,Maestro!$A:$H,8,0),"Producción")</f>
        <v>Energía</v>
      </c>
      <c r="U1332" s="43" t="s">
        <v>182</v>
      </c>
    </row>
    <row r="1333" spans="1:21" x14ac:dyDescent="0.3">
      <c r="A1333" s="41">
        <v>7405050003</v>
      </c>
      <c r="B1333" s="43" t="s">
        <v>688</v>
      </c>
      <c r="C1333" s="50">
        <f>Datos!$S$356*D1333</f>
        <v>651591814.89483583</v>
      </c>
      <c r="D1333" s="17">
        <f>Datos!$S$251*Datos!$S$368</f>
        <v>1231529.9741089945</v>
      </c>
      <c r="E1333" s="43" t="s">
        <v>556</v>
      </c>
      <c r="F1333" s="43" t="s">
        <v>557</v>
      </c>
      <c r="G1333" s="43" t="s">
        <v>567</v>
      </c>
      <c r="H1333" s="43" t="s">
        <v>568</v>
      </c>
      <c r="I1333" s="43" t="s">
        <v>560</v>
      </c>
      <c r="J1333" s="41" t="s">
        <v>797</v>
      </c>
      <c r="K1333" s="43">
        <v>700060</v>
      </c>
      <c r="L1333" s="43">
        <v>12</v>
      </c>
      <c r="M1333" s="43" t="s">
        <v>468</v>
      </c>
      <c r="N1333" s="51"/>
      <c r="O1333" s="51"/>
      <c r="P1333" s="43" t="str">
        <f>VLOOKUP(K1333,Maestro!J:K,2,0)</f>
        <v>CEMENTO ART</v>
      </c>
      <c r="Q1333" s="43" t="str">
        <f>VLOOKUP(P1333,Maestro!E:F,2,0)</f>
        <v>Cemento ART</v>
      </c>
      <c r="R1333" s="43">
        <f>VLOOKUP(P1333,ORD!$A:$C,3,0)</f>
        <v>7</v>
      </c>
      <c r="S1333" t="str">
        <f t="shared" si="29"/>
        <v>7405050003ENERGIACemento ART</v>
      </c>
      <c r="T1333" t="str">
        <f>IFERROR(VLOOKUP(S1333,Maestro!$A:$H,8,0),"Producción")</f>
        <v>Energía</v>
      </c>
      <c r="U1333" s="43" t="s">
        <v>182</v>
      </c>
    </row>
    <row r="1334" spans="1:21" x14ac:dyDescent="0.3">
      <c r="A1334" s="41">
        <v>7405050003</v>
      </c>
      <c r="B1334" s="43" t="s">
        <v>688</v>
      </c>
      <c r="C1334" s="50">
        <f>Datos!$H$356*D1334</f>
        <v>33267105.035973191</v>
      </c>
      <c r="D1334" s="17">
        <f>Datos!$H$269*Datos!$H$361</f>
        <v>63808.06930693068</v>
      </c>
      <c r="E1334" s="43" t="s">
        <v>556</v>
      </c>
      <c r="F1334" s="43" t="s">
        <v>557</v>
      </c>
      <c r="G1334" s="43" t="s">
        <v>567</v>
      </c>
      <c r="H1334" s="43" t="s">
        <v>568</v>
      </c>
      <c r="I1334" s="43" t="s">
        <v>560</v>
      </c>
      <c r="J1334" s="41" t="s">
        <v>797</v>
      </c>
      <c r="K1334" s="43">
        <v>700053</v>
      </c>
      <c r="L1334" s="43">
        <v>1</v>
      </c>
      <c r="M1334" s="43" t="s">
        <v>517</v>
      </c>
      <c r="N1334" s="51"/>
      <c r="O1334" s="51"/>
      <c r="P1334" s="43" t="str">
        <f>VLOOKUP(K1334,Maestro!J:K,2,0)</f>
        <v>CEMENTO UG 50 KG</v>
      </c>
      <c r="Q1334" s="43" t="str">
        <f>VLOOKUP(P1334,Maestro!E:F,2,0)</f>
        <v>CEMENTO UG 50 KG</v>
      </c>
      <c r="R1334" s="43">
        <f>VLOOKUP(P1334,ORD!$A:$C,3,0)</f>
        <v>8</v>
      </c>
      <c r="S1334" t="str">
        <f t="shared" si="29"/>
        <v>7405050003ENERGIACEMENTO UG 50 KG</v>
      </c>
      <c r="T1334" t="str">
        <f>IFERROR(VLOOKUP(S1334,Maestro!$A:$H,8,0),"Producción")</f>
        <v>Energía</v>
      </c>
      <c r="U1334" s="43" t="s">
        <v>182</v>
      </c>
    </row>
    <row r="1335" spans="1:21" x14ac:dyDescent="0.3">
      <c r="A1335" s="41">
        <v>7405050003</v>
      </c>
      <c r="B1335" s="43" t="s">
        <v>688</v>
      </c>
      <c r="C1335" s="50">
        <f>Datos!$I$356*D1335</f>
        <v>34765504.827675194</v>
      </c>
      <c r="D1335" s="17">
        <f>Datos!$I$269*Datos!$I$361</f>
        <v>66593.267326732661</v>
      </c>
      <c r="E1335" s="43" t="s">
        <v>556</v>
      </c>
      <c r="F1335" s="43" t="s">
        <v>557</v>
      </c>
      <c r="G1335" s="43" t="s">
        <v>567</v>
      </c>
      <c r="H1335" s="43" t="s">
        <v>568</v>
      </c>
      <c r="I1335" s="43" t="s">
        <v>560</v>
      </c>
      <c r="J1335" s="41" t="s">
        <v>797</v>
      </c>
      <c r="K1335" s="43">
        <v>700053</v>
      </c>
      <c r="L1335" s="43">
        <v>2</v>
      </c>
      <c r="M1335" s="43" t="s">
        <v>517</v>
      </c>
      <c r="N1335" s="51"/>
      <c r="O1335" s="51"/>
      <c r="P1335" s="43" t="str">
        <f>VLOOKUP(K1335,Maestro!J:K,2,0)</f>
        <v>CEMENTO UG 50 KG</v>
      </c>
      <c r="Q1335" s="43" t="str">
        <f>VLOOKUP(P1335,Maestro!E:F,2,0)</f>
        <v>CEMENTO UG 50 KG</v>
      </c>
      <c r="R1335" s="43">
        <f>VLOOKUP(P1335,ORD!$A:$C,3,0)</f>
        <v>8</v>
      </c>
      <c r="S1335" t="str">
        <f t="shared" ref="S1335:S1346" si="30">A1335&amp;J1335&amp;Q1335</f>
        <v>7405050003ENERGIACEMENTO UG 50 KG</v>
      </c>
      <c r="T1335" t="str">
        <f>IFERROR(VLOOKUP(S1335,Maestro!$A:$H,8,0),"Producción")</f>
        <v>Energía</v>
      </c>
      <c r="U1335" s="43" t="s">
        <v>182</v>
      </c>
    </row>
    <row r="1336" spans="1:21" x14ac:dyDescent="0.3">
      <c r="A1336" s="41">
        <v>7405050003</v>
      </c>
      <c r="B1336" s="43" t="s">
        <v>688</v>
      </c>
      <c r="C1336" s="50">
        <f>Datos!$J$356*D1336</f>
        <v>31902587.119177971</v>
      </c>
      <c r="D1336" s="17">
        <f>Datos!$J$269*Datos!$J$361</f>
        <v>61027.900990099006</v>
      </c>
      <c r="E1336" s="43" t="s">
        <v>556</v>
      </c>
      <c r="F1336" s="43" t="s">
        <v>557</v>
      </c>
      <c r="G1336" s="43" t="s">
        <v>567</v>
      </c>
      <c r="H1336" s="43" t="s">
        <v>568</v>
      </c>
      <c r="I1336" s="43" t="s">
        <v>560</v>
      </c>
      <c r="J1336" s="41" t="s">
        <v>797</v>
      </c>
      <c r="K1336" s="43">
        <v>700053</v>
      </c>
      <c r="L1336" s="43">
        <v>3</v>
      </c>
      <c r="M1336" s="43" t="s">
        <v>517</v>
      </c>
      <c r="N1336" s="51"/>
      <c r="O1336" s="51"/>
      <c r="P1336" s="43" t="str">
        <f>VLOOKUP(K1336,Maestro!J:K,2,0)</f>
        <v>CEMENTO UG 50 KG</v>
      </c>
      <c r="Q1336" s="43" t="str">
        <f>VLOOKUP(P1336,Maestro!E:F,2,0)</f>
        <v>CEMENTO UG 50 KG</v>
      </c>
      <c r="R1336" s="43">
        <f>VLOOKUP(P1336,ORD!$A:$C,3,0)</f>
        <v>8</v>
      </c>
      <c r="S1336" t="str">
        <f t="shared" si="30"/>
        <v>7405050003ENERGIACEMENTO UG 50 KG</v>
      </c>
      <c r="T1336" t="str">
        <f>IFERROR(VLOOKUP(S1336,Maestro!$A:$H,8,0),"Producción")</f>
        <v>Energía</v>
      </c>
      <c r="U1336" s="43" t="s">
        <v>182</v>
      </c>
    </row>
    <row r="1337" spans="1:21" x14ac:dyDescent="0.3">
      <c r="A1337" s="41">
        <v>7405050003</v>
      </c>
      <c r="B1337" s="43" t="s">
        <v>688</v>
      </c>
      <c r="C1337" s="50">
        <f>Datos!$K$356*D1337</f>
        <v>29556582.326312251</v>
      </c>
      <c r="D1337" s="17">
        <f>Datos!$K$269*Datos!$K$361</f>
        <v>56464.702970297032</v>
      </c>
      <c r="E1337" s="43" t="s">
        <v>556</v>
      </c>
      <c r="F1337" s="43" t="s">
        <v>557</v>
      </c>
      <c r="G1337" s="43" t="s">
        <v>567</v>
      </c>
      <c r="H1337" s="43" t="s">
        <v>568</v>
      </c>
      <c r="I1337" s="43" t="s">
        <v>560</v>
      </c>
      <c r="J1337" s="41" t="s">
        <v>797</v>
      </c>
      <c r="K1337" s="43">
        <v>700053</v>
      </c>
      <c r="L1337" s="43">
        <v>4</v>
      </c>
      <c r="M1337" s="43" t="s">
        <v>517</v>
      </c>
      <c r="N1337" s="51"/>
      <c r="O1337" s="51"/>
      <c r="P1337" s="43" t="str">
        <f>VLOOKUP(K1337,Maestro!J:K,2,0)</f>
        <v>CEMENTO UG 50 KG</v>
      </c>
      <c r="Q1337" s="43" t="str">
        <f>VLOOKUP(P1337,Maestro!E:F,2,0)</f>
        <v>CEMENTO UG 50 KG</v>
      </c>
      <c r="R1337" s="43">
        <f>VLOOKUP(P1337,ORD!$A:$C,3,0)</f>
        <v>8</v>
      </c>
      <c r="S1337" t="str">
        <f t="shared" si="30"/>
        <v>7405050003ENERGIACEMENTO UG 50 KG</v>
      </c>
      <c r="T1337" t="str">
        <f>IFERROR(VLOOKUP(S1337,Maestro!$A:$H,8,0),"Producción")</f>
        <v>Energía</v>
      </c>
      <c r="U1337" s="43" t="s">
        <v>182</v>
      </c>
    </row>
    <row r="1338" spans="1:21" x14ac:dyDescent="0.3">
      <c r="A1338" s="41">
        <v>7405050003</v>
      </c>
      <c r="B1338" s="43" t="s">
        <v>688</v>
      </c>
      <c r="C1338" s="50">
        <f>Datos!$L$356*D1338</f>
        <v>36736588.623050839</v>
      </c>
      <c r="D1338" s="17">
        <f>Datos!$L$269*Datos!$L$361</f>
        <v>70087.653465346535</v>
      </c>
      <c r="E1338" s="43" t="s">
        <v>556</v>
      </c>
      <c r="F1338" s="43" t="s">
        <v>557</v>
      </c>
      <c r="G1338" s="43" t="s">
        <v>567</v>
      </c>
      <c r="H1338" s="43" t="s">
        <v>568</v>
      </c>
      <c r="I1338" s="43" t="s">
        <v>560</v>
      </c>
      <c r="J1338" s="41" t="s">
        <v>797</v>
      </c>
      <c r="K1338" s="43">
        <v>700053</v>
      </c>
      <c r="L1338" s="43">
        <v>5</v>
      </c>
      <c r="M1338" s="43" t="s">
        <v>517</v>
      </c>
      <c r="N1338" s="51"/>
      <c r="O1338" s="51"/>
      <c r="P1338" s="43" t="str">
        <f>VLOOKUP(K1338,Maestro!J:K,2,0)</f>
        <v>CEMENTO UG 50 KG</v>
      </c>
      <c r="Q1338" s="43" t="str">
        <f>VLOOKUP(P1338,Maestro!E:F,2,0)</f>
        <v>CEMENTO UG 50 KG</v>
      </c>
      <c r="R1338" s="43">
        <f>VLOOKUP(P1338,ORD!$A:$C,3,0)</f>
        <v>8</v>
      </c>
      <c r="S1338" t="str">
        <f t="shared" si="30"/>
        <v>7405050003ENERGIACEMENTO UG 50 KG</v>
      </c>
      <c r="T1338" t="str">
        <f>IFERROR(VLOOKUP(S1338,Maestro!$A:$H,8,0),"Producción")</f>
        <v>Energía</v>
      </c>
      <c r="U1338" s="43" t="s">
        <v>182</v>
      </c>
    </row>
    <row r="1339" spans="1:21" x14ac:dyDescent="0.3">
      <c r="A1339" s="41">
        <v>7405050003</v>
      </c>
      <c r="B1339" s="43" t="s">
        <v>688</v>
      </c>
      <c r="C1339" s="50">
        <f>Datos!$M$356*D1339</f>
        <v>27212294.761284221</v>
      </c>
      <c r="D1339" s="17">
        <f>Datos!$M$269*Datos!$M$361</f>
        <v>51847.435643564357</v>
      </c>
      <c r="E1339" s="43" t="s">
        <v>556</v>
      </c>
      <c r="F1339" s="43" t="s">
        <v>557</v>
      </c>
      <c r="G1339" s="43" t="s">
        <v>567</v>
      </c>
      <c r="H1339" s="43" t="s">
        <v>568</v>
      </c>
      <c r="I1339" s="43" t="s">
        <v>560</v>
      </c>
      <c r="J1339" s="41" t="s">
        <v>797</v>
      </c>
      <c r="K1339" s="43">
        <v>700053</v>
      </c>
      <c r="L1339" s="43">
        <v>6</v>
      </c>
      <c r="M1339" s="43" t="s">
        <v>517</v>
      </c>
      <c r="N1339" s="51"/>
      <c r="O1339" s="51"/>
      <c r="P1339" s="43" t="str">
        <f>VLOOKUP(K1339,Maestro!J:K,2,0)</f>
        <v>CEMENTO UG 50 KG</v>
      </c>
      <c r="Q1339" s="43" t="str">
        <f>VLOOKUP(P1339,Maestro!E:F,2,0)</f>
        <v>CEMENTO UG 50 KG</v>
      </c>
      <c r="R1339" s="43">
        <f>VLOOKUP(P1339,ORD!$A:$C,3,0)</f>
        <v>8</v>
      </c>
      <c r="S1339" t="str">
        <f t="shared" si="30"/>
        <v>7405050003ENERGIACEMENTO UG 50 KG</v>
      </c>
      <c r="T1339" t="str">
        <f>IFERROR(VLOOKUP(S1339,Maestro!$A:$H,8,0),"Producción")</f>
        <v>Energía</v>
      </c>
      <c r="U1339" s="43" t="s">
        <v>182</v>
      </c>
    </row>
    <row r="1340" spans="1:21" x14ac:dyDescent="0.3">
      <c r="A1340" s="41">
        <v>7405050003</v>
      </c>
      <c r="B1340" s="43" t="s">
        <v>688</v>
      </c>
      <c r="C1340" s="50">
        <f>Datos!$N$356*D1340</f>
        <v>34625765.861975938</v>
      </c>
      <c r="D1340" s="17">
        <f>Datos!$N$269*Datos!$N$361</f>
        <v>65884.079207920804</v>
      </c>
      <c r="E1340" s="43" t="s">
        <v>556</v>
      </c>
      <c r="F1340" s="43" t="s">
        <v>557</v>
      </c>
      <c r="G1340" s="43" t="s">
        <v>567</v>
      </c>
      <c r="H1340" s="43" t="s">
        <v>568</v>
      </c>
      <c r="I1340" s="43" t="s">
        <v>560</v>
      </c>
      <c r="J1340" s="41" t="s">
        <v>797</v>
      </c>
      <c r="K1340" s="43">
        <v>700053</v>
      </c>
      <c r="L1340" s="43">
        <v>7</v>
      </c>
      <c r="M1340" s="43" t="s">
        <v>517</v>
      </c>
      <c r="N1340" s="51"/>
      <c r="O1340" s="51"/>
      <c r="P1340" s="43" t="str">
        <f>VLOOKUP(K1340,Maestro!J:K,2,0)</f>
        <v>CEMENTO UG 50 KG</v>
      </c>
      <c r="Q1340" s="43" t="str">
        <f>VLOOKUP(P1340,Maestro!E:F,2,0)</f>
        <v>CEMENTO UG 50 KG</v>
      </c>
      <c r="R1340" s="43">
        <f>VLOOKUP(P1340,ORD!$A:$C,3,0)</f>
        <v>8</v>
      </c>
      <c r="S1340" t="str">
        <f t="shared" si="30"/>
        <v>7405050003ENERGIACEMENTO UG 50 KG</v>
      </c>
      <c r="T1340" t="str">
        <f>IFERROR(VLOOKUP(S1340,Maestro!$A:$H,8,0),"Producción")</f>
        <v>Energía</v>
      </c>
      <c r="U1340" s="43" t="s">
        <v>182</v>
      </c>
    </row>
    <row r="1341" spans="1:21" x14ac:dyDescent="0.3">
      <c r="A1341" s="41">
        <v>7405050003</v>
      </c>
      <c r="B1341" s="43" t="s">
        <v>688</v>
      </c>
      <c r="C1341" s="50">
        <f>Datos!$O$356*D1341</f>
        <v>37414377.354847632</v>
      </c>
      <c r="D1341" s="17">
        <f>Datos!$O$269*Datos!$O$361</f>
        <v>71094.851485148509</v>
      </c>
      <c r="E1341" s="43" t="s">
        <v>556</v>
      </c>
      <c r="F1341" s="43" t="s">
        <v>557</v>
      </c>
      <c r="G1341" s="43" t="s">
        <v>567</v>
      </c>
      <c r="H1341" s="43" t="s">
        <v>568</v>
      </c>
      <c r="I1341" s="43" t="s">
        <v>560</v>
      </c>
      <c r="J1341" s="41" t="s">
        <v>797</v>
      </c>
      <c r="K1341" s="43">
        <v>700053</v>
      </c>
      <c r="L1341" s="43">
        <v>8</v>
      </c>
      <c r="M1341" s="43" t="s">
        <v>517</v>
      </c>
      <c r="N1341" s="51"/>
      <c r="O1341" s="51"/>
      <c r="P1341" s="43" t="str">
        <f>VLOOKUP(K1341,Maestro!J:K,2,0)</f>
        <v>CEMENTO UG 50 KG</v>
      </c>
      <c r="Q1341" s="43" t="str">
        <f>VLOOKUP(P1341,Maestro!E:F,2,0)</f>
        <v>CEMENTO UG 50 KG</v>
      </c>
      <c r="R1341" s="43">
        <f>VLOOKUP(P1341,ORD!$A:$C,3,0)</f>
        <v>8</v>
      </c>
      <c r="S1341" t="str">
        <f t="shared" si="30"/>
        <v>7405050003ENERGIACEMENTO UG 50 KG</v>
      </c>
      <c r="T1341" t="str">
        <f>IFERROR(VLOOKUP(S1341,Maestro!$A:$H,8,0),"Producción")</f>
        <v>Energía</v>
      </c>
      <c r="U1341" s="43" t="s">
        <v>182</v>
      </c>
    </row>
    <row r="1342" spans="1:21" x14ac:dyDescent="0.3">
      <c r="A1342" s="41">
        <v>7405050003</v>
      </c>
      <c r="B1342" s="43" t="s">
        <v>688</v>
      </c>
      <c r="C1342" s="50">
        <f>Datos!$P$356*D1342</f>
        <v>34032169.660967872</v>
      </c>
      <c r="D1342" s="17">
        <f>Datos!$P$269*Datos!$P$361</f>
        <v>64581.386138613867</v>
      </c>
      <c r="E1342" s="43" t="s">
        <v>556</v>
      </c>
      <c r="F1342" s="43" t="s">
        <v>557</v>
      </c>
      <c r="G1342" s="43" t="s">
        <v>567</v>
      </c>
      <c r="H1342" s="43" t="s">
        <v>568</v>
      </c>
      <c r="I1342" s="43" t="s">
        <v>560</v>
      </c>
      <c r="J1342" s="41" t="s">
        <v>797</v>
      </c>
      <c r="K1342" s="43">
        <v>700053</v>
      </c>
      <c r="L1342" s="43">
        <v>9</v>
      </c>
      <c r="M1342" s="43" t="s">
        <v>517</v>
      </c>
      <c r="N1342" s="51"/>
      <c r="O1342" s="51"/>
      <c r="P1342" s="43" t="str">
        <f>VLOOKUP(K1342,Maestro!J:K,2,0)</f>
        <v>CEMENTO UG 50 KG</v>
      </c>
      <c r="Q1342" s="43" t="str">
        <f>VLOOKUP(P1342,Maestro!E:F,2,0)</f>
        <v>CEMENTO UG 50 KG</v>
      </c>
      <c r="R1342" s="43">
        <f>VLOOKUP(P1342,ORD!$A:$C,3,0)</f>
        <v>8</v>
      </c>
      <c r="S1342" t="str">
        <f t="shared" si="30"/>
        <v>7405050003ENERGIACEMENTO UG 50 KG</v>
      </c>
      <c r="T1342" t="str">
        <f>IFERROR(VLOOKUP(S1342,Maestro!$A:$H,8,0),"Producción")</f>
        <v>Energía</v>
      </c>
      <c r="U1342" s="43" t="s">
        <v>182</v>
      </c>
    </row>
    <row r="1343" spans="1:21" x14ac:dyDescent="0.3">
      <c r="A1343" s="41">
        <v>7405050003</v>
      </c>
      <c r="B1343" s="43" t="s">
        <v>688</v>
      </c>
      <c r="C1343" s="50">
        <f>Datos!$Q$356*D1343</f>
        <v>32360008.614686731</v>
      </c>
      <c r="D1343" s="17">
        <f>Datos!$Q$269*Datos!$Q$361</f>
        <v>61325.910891089108</v>
      </c>
      <c r="E1343" s="43" t="s">
        <v>556</v>
      </c>
      <c r="F1343" s="43" t="s">
        <v>557</v>
      </c>
      <c r="G1343" s="43" t="s">
        <v>567</v>
      </c>
      <c r="H1343" s="43" t="s">
        <v>568</v>
      </c>
      <c r="I1343" s="43" t="s">
        <v>560</v>
      </c>
      <c r="J1343" s="41" t="s">
        <v>797</v>
      </c>
      <c r="K1343" s="43">
        <v>700053</v>
      </c>
      <c r="L1343" s="43">
        <v>10</v>
      </c>
      <c r="M1343" s="43" t="s">
        <v>517</v>
      </c>
      <c r="N1343" s="51"/>
      <c r="O1343" s="51"/>
      <c r="P1343" s="43" t="str">
        <f>VLOOKUP(K1343,Maestro!J:K,2,0)</f>
        <v>CEMENTO UG 50 KG</v>
      </c>
      <c r="Q1343" s="43" t="str">
        <f>VLOOKUP(P1343,Maestro!E:F,2,0)</f>
        <v>CEMENTO UG 50 KG</v>
      </c>
      <c r="R1343" s="43">
        <f>VLOOKUP(P1343,ORD!$A:$C,3,0)</f>
        <v>8</v>
      </c>
      <c r="S1343" t="str">
        <f t="shared" si="30"/>
        <v>7405050003ENERGIACEMENTO UG 50 KG</v>
      </c>
      <c r="T1343" t="str">
        <f>IFERROR(VLOOKUP(S1343,Maestro!$A:$H,8,0),"Producción")</f>
        <v>Energía</v>
      </c>
      <c r="U1343" s="43" t="s">
        <v>182</v>
      </c>
    </row>
    <row r="1344" spans="1:21" x14ac:dyDescent="0.3">
      <c r="A1344" s="41">
        <v>7405050003</v>
      </c>
      <c r="B1344" s="43" t="s">
        <v>688</v>
      </c>
      <c r="C1344" s="50">
        <f>Datos!$R$356*D1344</f>
        <v>37847557.370878473</v>
      </c>
      <c r="D1344" s="17">
        <f>Datos!$R$269*Datos!$R$361</f>
        <v>71629.257425742573</v>
      </c>
      <c r="E1344" s="43" t="s">
        <v>556</v>
      </c>
      <c r="F1344" s="43" t="s">
        <v>557</v>
      </c>
      <c r="G1344" s="43" t="s">
        <v>567</v>
      </c>
      <c r="H1344" s="43" t="s">
        <v>568</v>
      </c>
      <c r="I1344" s="43" t="s">
        <v>560</v>
      </c>
      <c r="J1344" s="41" t="s">
        <v>797</v>
      </c>
      <c r="K1344" s="43">
        <v>700053</v>
      </c>
      <c r="L1344" s="43">
        <v>11</v>
      </c>
      <c r="M1344" s="43" t="s">
        <v>517</v>
      </c>
      <c r="N1344" s="51"/>
      <c r="O1344" s="51"/>
      <c r="P1344" s="43" t="str">
        <f>VLOOKUP(K1344,Maestro!J:K,2,0)</f>
        <v>CEMENTO UG 50 KG</v>
      </c>
      <c r="Q1344" s="43" t="str">
        <f>VLOOKUP(P1344,Maestro!E:F,2,0)</f>
        <v>CEMENTO UG 50 KG</v>
      </c>
      <c r="R1344" s="43">
        <f>VLOOKUP(P1344,ORD!$A:$C,3,0)</f>
        <v>8</v>
      </c>
      <c r="S1344" t="str">
        <f t="shared" si="30"/>
        <v>7405050003ENERGIACEMENTO UG 50 KG</v>
      </c>
      <c r="T1344" t="str">
        <f>IFERROR(VLOOKUP(S1344,Maestro!$A:$H,8,0),"Producción")</f>
        <v>Energía</v>
      </c>
      <c r="U1344" s="43" t="s">
        <v>182</v>
      </c>
    </row>
    <row r="1345" spans="1:21" x14ac:dyDescent="0.3">
      <c r="A1345" s="41">
        <v>7405050003</v>
      </c>
      <c r="B1345" s="43" t="s">
        <v>688</v>
      </c>
      <c r="C1345" s="50">
        <f>Datos!$S$356*D1345</f>
        <v>31941006.225757435</v>
      </c>
      <c r="D1345" s="17">
        <f>Datos!$S$269*Datos!$S$361</f>
        <v>60369.552948683064</v>
      </c>
      <c r="E1345" s="43" t="s">
        <v>556</v>
      </c>
      <c r="F1345" s="43" t="s">
        <v>557</v>
      </c>
      <c r="G1345" s="43" t="s">
        <v>567</v>
      </c>
      <c r="H1345" s="43" t="s">
        <v>568</v>
      </c>
      <c r="I1345" s="43" t="s">
        <v>560</v>
      </c>
      <c r="J1345" s="41" t="s">
        <v>797</v>
      </c>
      <c r="K1345" s="43">
        <v>700053</v>
      </c>
      <c r="L1345" s="43">
        <v>12</v>
      </c>
      <c r="M1345" s="43" t="s">
        <v>517</v>
      </c>
      <c r="N1345" s="51"/>
      <c r="O1345" s="51"/>
      <c r="P1345" s="43" t="str">
        <f>VLOOKUP(K1345,Maestro!J:K,2,0)</f>
        <v>CEMENTO UG 50 KG</v>
      </c>
      <c r="Q1345" s="43" t="str">
        <f>VLOOKUP(P1345,Maestro!E:F,2,0)</f>
        <v>CEMENTO UG 50 KG</v>
      </c>
      <c r="R1345" s="43">
        <f>VLOOKUP(P1345,ORD!$A:$C,3,0)</f>
        <v>8</v>
      </c>
      <c r="S1345" t="str">
        <f t="shared" si="30"/>
        <v>7405050003ENERGIACEMENTO UG 50 KG</v>
      </c>
      <c r="T1345" t="str">
        <f>IFERROR(VLOOKUP(S1345,Maestro!$A:$H,8,0),"Producción")</f>
        <v>Energía</v>
      </c>
      <c r="U1345" s="43" t="s">
        <v>182</v>
      </c>
    </row>
    <row r="1346" spans="1:21" x14ac:dyDescent="0.3">
      <c r="A1346" s="41">
        <v>7405050003</v>
      </c>
      <c r="B1346" s="43" t="s">
        <v>688</v>
      </c>
      <c r="C1346" s="50">
        <f>Datos!$H$356*D1346</f>
        <v>33267105.035973191</v>
      </c>
      <c r="D1346" s="17">
        <f>Datos!$H$269*Datos!$H$361</f>
        <v>63808.06930693068</v>
      </c>
      <c r="E1346" s="43" t="s">
        <v>556</v>
      </c>
      <c r="F1346" s="43" t="s">
        <v>557</v>
      </c>
      <c r="G1346" s="43" t="s">
        <v>567</v>
      </c>
      <c r="H1346" s="43" t="s">
        <v>568</v>
      </c>
      <c r="I1346" s="43" t="s">
        <v>560</v>
      </c>
      <c r="J1346" s="41" t="s">
        <v>797</v>
      </c>
      <c r="K1346" s="43">
        <v>700004</v>
      </c>
      <c r="L1346" s="43">
        <v>1</v>
      </c>
      <c r="M1346" s="43" t="s">
        <v>515</v>
      </c>
      <c r="N1346" s="51"/>
      <c r="O1346" s="51"/>
      <c r="P1346" s="43" t="str">
        <f>VLOOKUP(K1346,Maestro!J:K,2,0)</f>
        <v>CEMENTO UG 42,5 KG</v>
      </c>
      <c r="Q1346" s="43" t="str">
        <f>VLOOKUP(P1346,Maestro!E:F,2,0)</f>
        <v>CEMENTO UG 42,5 KG</v>
      </c>
      <c r="R1346" s="43">
        <f>VLOOKUP(P1346,ORD!$A:$C,3,0)</f>
        <v>9</v>
      </c>
      <c r="S1346" t="str">
        <f t="shared" si="30"/>
        <v>7405050003ENERGIACEMENTO UG 42,5 KG</v>
      </c>
      <c r="T1346" t="str">
        <f>IFERROR(VLOOKUP(S1346,Maestro!$A:$H,8,0),"Producción")</f>
        <v>Energía</v>
      </c>
      <c r="U1346" s="43" t="s">
        <v>182</v>
      </c>
    </row>
    <row r="1347" spans="1:21" x14ac:dyDescent="0.3">
      <c r="A1347" s="41">
        <v>7405050003</v>
      </c>
      <c r="B1347" s="43" t="s">
        <v>688</v>
      </c>
      <c r="C1347" s="50">
        <f>Datos!$I$356*D1347</f>
        <v>34765504.827675194</v>
      </c>
      <c r="D1347" s="17">
        <f>Datos!$I$269*Datos!$I$361</f>
        <v>66593.267326732661</v>
      </c>
      <c r="E1347" s="43" t="s">
        <v>556</v>
      </c>
      <c r="F1347" s="43" t="s">
        <v>557</v>
      </c>
      <c r="G1347" s="43" t="s">
        <v>567</v>
      </c>
      <c r="H1347" s="43" t="s">
        <v>568</v>
      </c>
      <c r="I1347" s="43" t="s">
        <v>560</v>
      </c>
      <c r="J1347" s="41" t="s">
        <v>797</v>
      </c>
      <c r="K1347" s="43">
        <v>700004</v>
      </c>
      <c r="L1347" s="43">
        <v>2</v>
      </c>
      <c r="M1347" s="43" t="s">
        <v>515</v>
      </c>
      <c r="N1347" s="51"/>
      <c r="O1347" s="51"/>
      <c r="P1347" s="43" t="str">
        <f>VLOOKUP(K1347,Maestro!J:K,2,0)</f>
        <v>CEMENTO UG 42,5 KG</v>
      </c>
      <c r="Q1347" s="43" t="str">
        <f>VLOOKUP(P1347,Maestro!E:F,2,0)</f>
        <v>CEMENTO UG 42,5 KG</v>
      </c>
      <c r="R1347" s="43">
        <f>VLOOKUP(P1347,ORD!$A:$C,3,0)</f>
        <v>9</v>
      </c>
      <c r="S1347" t="str">
        <f t="shared" ref="S1347:S1358" si="31">A1347&amp;J1347&amp;Q1347</f>
        <v>7405050003ENERGIACEMENTO UG 42,5 KG</v>
      </c>
      <c r="T1347" t="str">
        <f>IFERROR(VLOOKUP(S1347,Maestro!$A:$H,8,0),"Producción")</f>
        <v>Energía</v>
      </c>
      <c r="U1347" s="43" t="s">
        <v>182</v>
      </c>
    </row>
    <row r="1348" spans="1:21" x14ac:dyDescent="0.3">
      <c r="A1348" s="41">
        <v>7405050003</v>
      </c>
      <c r="B1348" s="43" t="s">
        <v>688</v>
      </c>
      <c r="C1348" s="50">
        <f>Datos!$J$356*D1348</f>
        <v>31902587.119177971</v>
      </c>
      <c r="D1348" s="17">
        <f>Datos!$J$269*Datos!$J$361</f>
        <v>61027.900990099006</v>
      </c>
      <c r="E1348" s="43" t="s">
        <v>556</v>
      </c>
      <c r="F1348" s="43" t="s">
        <v>557</v>
      </c>
      <c r="G1348" s="43" t="s">
        <v>567</v>
      </c>
      <c r="H1348" s="43" t="s">
        <v>568</v>
      </c>
      <c r="I1348" s="43" t="s">
        <v>560</v>
      </c>
      <c r="J1348" s="41" t="s">
        <v>797</v>
      </c>
      <c r="K1348" s="43">
        <v>700004</v>
      </c>
      <c r="L1348" s="43">
        <v>3</v>
      </c>
      <c r="M1348" s="43" t="s">
        <v>515</v>
      </c>
      <c r="N1348" s="51"/>
      <c r="O1348" s="51"/>
      <c r="P1348" s="43" t="str">
        <f>VLOOKUP(K1348,Maestro!J:K,2,0)</f>
        <v>CEMENTO UG 42,5 KG</v>
      </c>
      <c r="Q1348" s="43" t="str">
        <f>VLOOKUP(P1348,Maestro!E:F,2,0)</f>
        <v>CEMENTO UG 42,5 KG</v>
      </c>
      <c r="R1348" s="43">
        <f>VLOOKUP(P1348,ORD!$A:$C,3,0)</f>
        <v>9</v>
      </c>
      <c r="S1348" t="str">
        <f t="shared" si="31"/>
        <v>7405050003ENERGIACEMENTO UG 42,5 KG</v>
      </c>
      <c r="T1348" t="str">
        <f>IFERROR(VLOOKUP(S1348,Maestro!$A:$H,8,0),"Producción")</f>
        <v>Energía</v>
      </c>
      <c r="U1348" s="43" t="s">
        <v>182</v>
      </c>
    </row>
    <row r="1349" spans="1:21" x14ac:dyDescent="0.3">
      <c r="A1349" s="41">
        <v>7405050003</v>
      </c>
      <c r="B1349" s="43" t="s">
        <v>688</v>
      </c>
      <c r="C1349" s="50">
        <f>Datos!$K$356*D1349</f>
        <v>29556582.326312251</v>
      </c>
      <c r="D1349" s="17">
        <f>Datos!$K$269*Datos!$K$361</f>
        <v>56464.702970297032</v>
      </c>
      <c r="E1349" s="43" t="s">
        <v>556</v>
      </c>
      <c r="F1349" s="43" t="s">
        <v>557</v>
      </c>
      <c r="G1349" s="43" t="s">
        <v>567</v>
      </c>
      <c r="H1349" s="43" t="s">
        <v>568</v>
      </c>
      <c r="I1349" s="43" t="s">
        <v>560</v>
      </c>
      <c r="J1349" s="41" t="s">
        <v>797</v>
      </c>
      <c r="K1349" s="43">
        <v>700004</v>
      </c>
      <c r="L1349" s="43">
        <v>4</v>
      </c>
      <c r="M1349" s="43" t="s">
        <v>515</v>
      </c>
      <c r="N1349" s="51"/>
      <c r="O1349" s="51"/>
      <c r="P1349" s="43" t="str">
        <f>VLOOKUP(K1349,Maestro!J:K,2,0)</f>
        <v>CEMENTO UG 42,5 KG</v>
      </c>
      <c r="Q1349" s="43" t="str">
        <f>VLOOKUP(P1349,Maestro!E:F,2,0)</f>
        <v>CEMENTO UG 42,5 KG</v>
      </c>
      <c r="R1349" s="43">
        <f>VLOOKUP(P1349,ORD!$A:$C,3,0)</f>
        <v>9</v>
      </c>
      <c r="S1349" t="str">
        <f t="shared" si="31"/>
        <v>7405050003ENERGIACEMENTO UG 42,5 KG</v>
      </c>
      <c r="T1349" t="str">
        <f>IFERROR(VLOOKUP(S1349,Maestro!$A:$H,8,0),"Producción")</f>
        <v>Energía</v>
      </c>
      <c r="U1349" s="43" t="s">
        <v>182</v>
      </c>
    </row>
    <row r="1350" spans="1:21" x14ac:dyDescent="0.3">
      <c r="A1350" s="41">
        <v>7405050003</v>
      </c>
      <c r="B1350" s="43" t="s">
        <v>688</v>
      </c>
      <c r="C1350" s="50">
        <f>Datos!$L$356*D1350</f>
        <v>36736588.623050839</v>
      </c>
      <c r="D1350" s="17">
        <f>Datos!$L$269*Datos!$L$361</f>
        <v>70087.653465346535</v>
      </c>
      <c r="E1350" s="43" t="s">
        <v>556</v>
      </c>
      <c r="F1350" s="43" t="s">
        <v>557</v>
      </c>
      <c r="G1350" s="43" t="s">
        <v>567</v>
      </c>
      <c r="H1350" s="43" t="s">
        <v>568</v>
      </c>
      <c r="I1350" s="43" t="s">
        <v>560</v>
      </c>
      <c r="J1350" s="41" t="s">
        <v>797</v>
      </c>
      <c r="K1350" s="43">
        <v>700004</v>
      </c>
      <c r="L1350" s="43">
        <v>5</v>
      </c>
      <c r="M1350" s="43" t="s">
        <v>515</v>
      </c>
      <c r="N1350" s="51"/>
      <c r="O1350" s="51"/>
      <c r="P1350" s="43" t="str">
        <f>VLOOKUP(K1350,Maestro!J:K,2,0)</f>
        <v>CEMENTO UG 42,5 KG</v>
      </c>
      <c r="Q1350" s="43" t="str">
        <f>VLOOKUP(P1350,Maestro!E:F,2,0)</f>
        <v>CEMENTO UG 42,5 KG</v>
      </c>
      <c r="R1350" s="43">
        <f>VLOOKUP(P1350,ORD!$A:$C,3,0)</f>
        <v>9</v>
      </c>
      <c r="S1350" t="str">
        <f t="shared" si="31"/>
        <v>7405050003ENERGIACEMENTO UG 42,5 KG</v>
      </c>
      <c r="T1350" t="str">
        <f>IFERROR(VLOOKUP(S1350,Maestro!$A:$H,8,0),"Producción")</f>
        <v>Energía</v>
      </c>
      <c r="U1350" s="43" t="s">
        <v>182</v>
      </c>
    </row>
    <row r="1351" spans="1:21" x14ac:dyDescent="0.3">
      <c r="A1351" s="41">
        <v>7405050003</v>
      </c>
      <c r="B1351" s="43" t="s">
        <v>688</v>
      </c>
      <c r="C1351" s="50">
        <f>Datos!$M$356*D1351</f>
        <v>27212294.761284221</v>
      </c>
      <c r="D1351" s="17">
        <f>Datos!$M$269*Datos!$M$361</f>
        <v>51847.435643564357</v>
      </c>
      <c r="E1351" s="43" t="s">
        <v>556</v>
      </c>
      <c r="F1351" s="43" t="s">
        <v>557</v>
      </c>
      <c r="G1351" s="43" t="s">
        <v>567</v>
      </c>
      <c r="H1351" s="43" t="s">
        <v>568</v>
      </c>
      <c r="I1351" s="43" t="s">
        <v>560</v>
      </c>
      <c r="J1351" s="41" t="s">
        <v>797</v>
      </c>
      <c r="K1351" s="43">
        <v>700004</v>
      </c>
      <c r="L1351" s="43">
        <v>6</v>
      </c>
      <c r="M1351" s="43" t="s">
        <v>515</v>
      </c>
      <c r="N1351" s="51"/>
      <c r="O1351" s="51"/>
      <c r="P1351" s="43" t="str">
        <f>VLOOKUP(K1351,Maestro!J:K,2,0)</f>
        <v>CEMENTO UG 42,5 KG</v>
      </c>
      <c r="Q1351" s="43" t="str">
        <f>VLOOKUP(P1351,Maestro!E:F,2,0)</f>
        <v>CEMENTO UG 42,5 KG</v>
      </c>
      <c r="R1351" s="43">
        <f>VLOOKUP(P1351,ORD!$A:$C,3,0)</f>
        <v>9</v>
      </c>
      <c r="S1351" t="str">
        <f t="shared" si="31"/>
        <v>7405050003ENERGIACEMENTO UG 42,5 KG</v>
      </c>
      <c r="T1351" t="str">
        <f>IFERROR(VLOOKUP(S1351,Maestro!$A:$H,8,0),"Producción")</f>
        <v>Energía</v>
      </c>
      <c r="U1351" s="43" t="s">
        <v>182</v>
      </c>
    </row>
    <row r="1352" spans="1:21" x14ac:dyDescent="0.3">
      <c r="A1352" s="41">
        <v>7405050003</v>
      </c>
      <c r="B1352" s="43" t="s">
        <v>688</v>
      </c>
      <c r="C1352" s="50">
        <f>Datos!$N$356*D1352</f>
        <v>34625765.861975938</v>
      </c>
      <c r="D1352" s="17">
        <f>Datos!$N$269*Datos!$N$361</f>
        <v>65884.079207920804</v>
      </c>
      <c r="E1352" s="43" t="s">
        <v>556</v>
      </c>
      <c r="F1352" s="43" t="s">
        <v>557</v>
      </c>
      <c r="G1352" s="43" t="s">
        <v>567</v>
      </c>
      <c r="H1352" s="43" t="s">
        <v>568</v>
      </c>
      <c r="I1352" s="43" t="s">
        <v>560</v>
      </c>
      <c r="J1352" s="41" t="s">
        <v>797</v>
      </c>
      <c r="K1352" s="43">
        <v>700004</v>
      </c>
      <c r="L1352" s="43">
        <v>7</v>
      </c>
      <c r="M1352" s="43" t="s">
        <v>515</v>
      </c>
      <c r="N1352" s="51"/>
      <c r="O1352" s="51"/>
      <c r="P1352" s="43" t="str">
        <f>VLOOKUP(K1352,Maestro!J:K,2,0)</f>
        <v>CEMENTO UG 42,5 KG</v>
      </c>
      <c r="Q1352" s="43" t="str">
        <f>VLOOKUP(P1352,Maestro!E:F,2,0)</f>
        <v>CEMENTO UG 42,5 KG</v>
      </c>
      <c r="R1352" s="43">
        <f>VLOOKUP(P1352,ORD!$A:$C,3,0)</f>
        <v>9</v>
      </c>
      <c r="S1352" t="str">
        <f t="shared" si="31"/>
        <v>7405050003ENERGIACEMENTO UG 42,5 KG</v>
      </c>
      <c r="T1352" t="str">
        <f>IFERROR(VLOOKUP(S1352,Maestro!$A:$H,8,0),"Producción")</f>
        <v>Energía</v>
      </c>
      <c r="U1352" s="43" t="s">
        <v>182</v>
      </c>
    </row>
    <row r="1353" spans="1:21" x14ac:dyDescent="0.3">
      <c r="A1353" s="41">
        <v>7405050003</v>
      </c>
      <c r="B1353" s="43" t="s">
        <v>688</v>
      </c>
      <c r="C1353" s="50">
        <f>Datos!$O$356*D1353</f>
        <v>37414377.354847632</v>
      </c>
      <c r="D1353" s="17">
        <f>Datos!$O$269*Datos!$O$361</f>
        <v>71094.851485148509</v>
      </c>
      <c r="E1353" s="43" t="s">
        <v>556</v>
      </c>
      <c r="F1353" s="43" t="s">
        <v>557</v>
      </c>
      <c r="G1353" s="43" t="s">
        <v>567</v>
      </c>
      <c r="H1353" s="43" t="s">
        <v>568</v>
      </c>
      <c r="I1353" s="43" t="s">
        <v>560</v>
      </c>
      <c r="J1353" s="41" t="s">
        <v>797</v>
      </c>
      <c r="K1353" s="43">
        <v>700004</v>
      </c>
      <c r="L1353" s="43">
        <v>8</v>
      </c>
      <c r="M1353" s="43" t="s">
        <v>515</v>
      </c>
      <c r="N1353" s="51"/>
      <c r="O1353" s="51"/>
      <c r="P1353" s="43" t="str">
        <f>VLOOKUP(K1353,Maestro!J:K,2,0)</f>
        <v>CEMENTO UG 42,5 KG</v>
      </c>
      <c r="Q1353" s="43" t="str">
        <f>VLOOKUP(P1353,Maestro!E:F,2,0)</f>
        <v>CEMENTO UG 42,5 KG</v>
      </c>
      <c r="R1353" s="43">
        <f>VLOOKUP(P1353,ORD!$A:$C,3,0)</f>
        <v>9</v>
      </c>
      <c r="S1353" t="str">
        <f t="shared" si="31"/>
        <v>7405050003ENERGIACEMENTO UG 42,5 KG</v>
      </c>
      <c r="T1353" t="str">
        <f>IFERROR(VLOOKUP(S1353,Maestro!$A:$H,8,0),"Producción")</f>
        <v>Energía</v>
      </c>
      <c r="U1353" s="43" t="s">
        <v>182</v>
      </c>
    </row>
    <row r="1354" spans="1:21" x14ac:dyDescent="0.3">
      <c r="A1354" s="41">
        <v>7405050003</v>
      </c>
      <c r="B1354" s="43" t="s">
        <v>688</v>
      </c>
      <c r="C1354" s="50">
        <f>Datos!$P$356*D1354</f>
        <v>34032169.660967872</v>
      </c>
      <c r="D1354" s="17">
        <f>Datos!$P$269*Datos!$P$361</f>
        <v>64581.386138613867</v>
      </c>
      <c r="E1354" s="43" t="s">
        <v>556</v>
      </c>
      <c r="F1354" s="43" t="s">
        <v>557</v>
      </c>
      <c r="G1354" s="43" t="s">
        <v>567</v>
      </c>
      <c r="H1354" s="43" t="s">
        <v>568</v>
      </c>
      <c r="I1354" s="43" t="s">
        <v>560</v>
      </c>
      <c r="J1354" s="41" t="s">
        <v>797</v>
      </c>
      <c r="K1354" s="43">
        <v>700004</v>
      </c>
      <c r="L1354" s="43">
        <v>9</v>
      </c>
      <c r="M1354" s="43" t="s">
        <v>515</v>
      </c>
      <c r="N1354" s="51"/>
      <c r="O1354" s="51"/>
      <c r="P1354" s="43" t="str">
        <f>VLOOKUP(K1354,Maestro!J:K,2,0)</f>
        <v>CEMENTO UG 42,5 KG</v>
      </c>
      <c r="Q1354" s="43" t="str">
        <f>VLOOKUP(P1354,Maestro!E:F,2,0)</f>
        <v>CEMENTO UG 42,5 KG</v>
      </c>
      <c r="R1354" s="43">
        <f>VLOOKUP(P1354,ORD!$A:$C,3,0)</f>
        <v>9</v>
      </c>
      <c r="S1354" t="str">
        <f t="shared" si="31"/>
        <v>7405050003ENERGIACEMENTO UG 42,5 KG</v>
      </c>
      <c r="T1354" t="str">
        <f>IFERROR(VLOOKUP(S1354,Maestro!$A:$H,8,0),"Producción")</f>
        <v>Energía</v>
      </c>
      <c r="U1354" s="43" t="s">
        <v>182</v>
      </c>
    </row>
    <row r="1355" spans="1:21" x14ac:dyDescent="0.3">
      <c r="A1355" s="41">
        <v>7405050003</v>
      </c>
      <c r="B1355" s="43" t="s">
        <v>688</v>
      </c>
      <c r="C1355" s="50">
        <f>Datos!$Q$356*D1355</f>
        <v>32360008.614686731</v>
      </c>
      <c r="D1355" s="17">
        <f>Datos!$Q$269*Datos!$Q$361</f>
        <v>61325.910891089108</v>
      </c>
      <c r="E1355" s="43" t="s">
        <v>556</v>
      </c>
      <c r="F1355" s="43" t="s">
        <v>557</v>
      </c>
      <c r="G1355" s="43" t="s">
        <v>567</v>
      </c>
      <c r="H1355" s="43" t="s">
        <v>568</v>
      </c>
      <c r="I1355" s="43" t="s">
        <v>560</v>
      </c>
      <c r="J1355" s="41" t="s">
        <v>797</v>
      </c>
      <c r="K1355" s="43">
        <v>700004</v>
      </c>
      <c r="L1355" s="43">
        <v>10</v>
      </c>
      <c r="M1355" s="43" t="s">
        <v>515</v>
      </c>
      <c r="N1355" s="51"/>
      <c r="O1355" s="51"/>
      <c r="P1355" s="43" t="str">
        <f>VLOOKUP(K1355,Maestro!J:K,2,0)</f>
        <v>CEMENTO UG 42,5 KG</v>
      </c>
      <c r="Q1355" s="43" t="str">
        <f>VLOOKUP(P1355,Maestro!E:F,2,0)</f>
        <v>CEMENTO UG 42,5 KG</v>
      </c>
      <c r="R1355" s="43">
        <f>VLOOKUP(P1355,ORD!$A:$C,3,0)</f>
        <v>9</v>
      </c>
      <c r="S1355" t="str">
        <f t="shared" si="31"/>
        <v>7405050003ENERGIACEMENTO UG 42,5 KG</v>
      </c>
      <c r="T1355" t="str">
        <f>IFERROR(VLOOKUP(S1355,Maestro!$A:$H,8,0),"Producción")</f>
        <v>Energía</v>
      </c>
      <c r="U1355" s="43" t="s">
        <v>182</v>
      </c>
    </row>
    <row r="1356" spans="1:21" x14ac:dyDescent="0.3">
      <c r="A1356" s="41">
        <v>7405050003</v>
      </c>
      <c r="B1356" s="43" t="s">
        <v>688</v>
      </c>
      <c r="C1356" s="50">
        <f>Datos!$R$356*D1356</f>
        <v>37847557.370878473</v>
      </c>
      <c r="D1356" s="17">
        <f>Datos!$R$269*Datos!$R$361</f>
        <v>71629.257425742573</v>
      </c>
      <c r="E1356" s="43" t="s">
        <v>556</v>
      </c>
      <c r="F1356" s="43" t="s">
        <v>557</v>
      </c>
      <c r="G1356" s="43" t="s">
        <v>567</v>
      </c>
      <c r="H1356" s="43" t="s">
        <v>568</v>
      </c>
      <c r="I1356" s="43" t="s">
        <v>560</v>
      </c>
      <c r="J1356" s="41" t="s">
        <v>797</v>
      </c>
      <c r="K1356" s="43">
        <v>700004</v>
      </c>
      <c r="L1356" s="43">
        <v>11</v>
      </c>
      <c r="M1356" s="43" t="s">
        <v>515</v>
      </c>
      <c r="N1356" s="51"/>
      <c r="O1356" s="51"/>
      <c r="P1356" s="43" t="str">
        <f>VLOOKUP(K1356,Maestro!J:K,2,0)</f>
        <v>CEMENTO UG 42,5 KG</v>
      </c>
      <c r="Q1356" s="43" t="str">
        <f>VLOOKUP(P1356,Maestro!E:F,2,0)</f>
        <v>CEMENTO UG 42,5 KG</v>
      </c>
      <c r="R1356" s="43">
        <f>VLOOKUP(P1356,ORD!$A:$C,3,0)</f>
        <v>9</v>
      </c>
      <c r="S1356" t="str">
        <f t="shared" si="31"/>
        <v>7405050003ENERGIACEMENTO UG 42,5 KG</v>
      </c>
      <c r="T1356" t="str">
        <f>IFERROR(VLOOKUP(S1356,Maestro!$A:$H,8,0),"Producción")</f>
        <v>Energía</v>
      </c>
      <c r="U1356" s="43" t="s">
        <v>182</v>
      </c>
    </row>
    <row r="1357" spans="1:21" x14ac:dyDescent="0.3">
      <c r="A1357" s="41">
        <v>7405050003</v>
      </c>
      <c r="B1357" s="43" t="s">
        <v>688</v>
      </c>
      <c r="C1357" s="50">
        <f>Datos!$S$356*D1357</f>
        <v>31941006.225757435</v>
      </c>
      <c r="D1357" s="17">
        <f>Datos!$S$269*Datos!$S$361</f>
        <v>60369.552948683064</v>
      </c>
      <c r="E1357" s="43" t="s">
        <v>556</v>
      </c>
      <c r="F1357" s="43" t="s">
        <v>557</v>
      </c>
      <c r="G1357" s="43" t="s">
        <v>567</v>
      </c>
      <c r="H1357" s="43" t="s">
        <v>568</v>
      </c>
      <c r="I1357" s="43" t="s">
        <v>560</v>
      </c>
      <c r="J1357" s="41" t="s">
        <v>797</v>
      </c>
      <c r="K1357" s="43">
        <v>700004</v>
      </c>
      <c r="L1357" s="43">
        <v>12</v>
      </c>
      <c r="M1357" s="43" t="s">
        <v>515</v>
      </c>
      <c r="N1357" s="51"/>
      <c r="O1357" s="51"/>
      <c r="P1357" s="43" t="str">
        <f>VLOOKUP(K1357,Maestro!J:K,2,0)</f>
        <v>CEMENTO UG 42,5 KG</v>
      </c>
      <c r="Q1357" s="43" t="str">
        <f>VLOOKUP(P1357,Maestro!E:F,2,0)</f>
        <v>CEMENTO UG 42,5 KG</v>
      </c>
      <c r="R1357" s="43">
        <f>VLOOKUP(P1357,ORD!$A:$C,3,0)</f>
        <v>9</v>
      </c>
      <c r="S1357" t="str">
        <f t="shared" si="31"/>
        <v>7405050003ENERGIACEMENTO UG 42,5 KG</v>
      </c>
      <c r="T1357" t="str">
        <f>IFERROR(VLOOKUP(S1357,Maestro!$A:$H,8,0),"Producción")</f>
        <v>Energía</v>
      </c>
      <c r="U1357" s="43" t="s">
        <v>182</v>
      </c>
    </row>
    <row r="1358" spans="1:21" x14ac:dyDescent="0.3">
      <c r="A1358" s="41">
        <v>7405050003</v>
      </c>
      <c r="B1358" s="43" t="s">
        <v>688</v>
      </c>
      <c r="C1358" s="50">
        <f>Datos!$H$356*D1358</f>
        <v>33267105.035973191</v>
      </c>
      <c r="D1358" s="17">
        <f>Datos!$H$269*Datos!$H$361</f>
        <v>63808.06930693068</v>
      </c>
      <c r="E1358" s="43" t="s">
        <v>556</v>
      </c>
      <c r="F1358" s="43" t="s">
        <v>557</v>
      </c>
      <c r="G1358" s="43" t="s">
        <v>567</v>
      </c>
      <c r="H1358" s="43" t="s">
        <v>568</v>
      </c>
      <c r="I1358" s="43" t="s">
        <v>560</v>
      </c>
      <c r="J1358" s="41" t="s">
        <v>797</v>
      </c>
      <c r="K1358" s="43">
        <v>700048</v>
      </c>
      <c r="L1358" s="43">
        <v>1</v>
      </c>
      <c r="M1358" s="43" t="s">
        <v>513</v>
      </c>
      <c r="N1358" s="51"/>
      <c r="O1358" s="51"/>
      <c r="P1358" s="43" t="str">
        <f>VLOOKUP(K1358,Maestro!J:K,2,0)</f>
        <v>CEMENTO UG 25 KG</v>
      </c>
      <c r="Q1358" s="43" t="str">
        <f>VLOOKUP(P1358,Maestro!E:F,2,0)</f>
        <v>CEMENTO UG 25 KG</v>
      </c>
      <c r="R1358" s="43">
        <v>10</v>
      </c>
      <c r="S1358" t="str">
        <f t="shared" si="31"/>
        <v>7405050003ENERGIACEMENTO UG 25 KG</v>
      </c>
      <c r="T1358" t="str">
        <f>IFERROR(VLOOKUP(S1358,Maestro!$A:$H,8,0),"Producción")</f>
        <v>Energía</v>
      </c>
      <c r="U1358" s="43" t="s">
        <v>182</v>
      </c>
    </row>
    <row r="1359" spans="1:21" x14ac:dyDescent="0.3">
      <c r="A1359" s="41">
        <v>7405050003</v>
      </c>
      <c r="B1359" s="43" t="s">
        <v>688</v>
      </c>
      <c r="C1359" s="50">
        <f>Datos!$I$356*D1359</f>
        <v>34765504.827675194</v>
      </c>
      <c r="D1359" s="17">
        <f>Datos!$I$269*Datos!$I$361</f>
        <v>66593.267326732661</v>
      </c>
      <c r="E1359" s="43" t="s">
        <v>556</v>
      </c>
      <c r="F1359" s="43" t="s">
        <v>557</v>
      </c>
      <c r="G1359" s="43" t="s">
        <v>567</v>
      </c>
      <c r="H1359" s="43" t="s">
        <v>568</v>
      </c>
      <c r="I1359" s="43" t="s">
        <v>560</v>
      </c>
      <c r="J1359" s="41" t="s">
        <v>797</v>
      </c>
      <c r="K1359" s="43">
        <v>700048</v>
      </c>
      <c r="L1359" s="43">
        <v>2</v>
      </c>
      <c r="M1359" s="43" t="s">
        <v>513</v>
      </c>
      <c r="N1359" s="51"/>
      <c r="O1359" s="51"/>
      <c r="P1359" s="43" t="str">
        <f>VLOOKUP(K1359,Maestro!J:K,2,0)</f>
        <v>CEMENTO UG 25 KG</v>
      </c>
      <c r="Q1359" s="43" t="str">
        <f>VLOOKUP(P1359,Maestro!E:F,2,0)</f>
        <v>CEMENTO UG 25 KG</v>
      </c>
      <c r="R1359" s="43">
        <v>10</v>
      </c>
      <c r="S1359" t="str">
        <f t="shared" ref="S1359:S1370" si="32">A1359&amp;J1359&amp;Q1359</f>
        <v>7405050003ENERGIACEMENTO UG 25 KG</v>
      </c>
      <c r="T1359" t="str">
        <f>IFERROR(VLOOKUP(S1359,Maestro!$A:$H,8,0),"Producción")</f>
        <v>Energía</v>
      </c>
      <c r="U1359" s="43" t="s">
        <v>182</v>
      </c>
    </row>
    <row r="1360" spans="1:21" x14ac:dyDescent="0.3">
      <c r="A1360" s="41">
        <v>7405050003</v>
      </c>
      <c r="B1360" s="43" t="s">
        <v>688</v>
      </c>
      <c r="C1360" s="50">
        <f>Datos!$J$356*D1360</f>
        <v>31902587.119177971</v>
      </c>
      <c r="D1360" s="17">
        <f>Datos!$J$269*Datos!$J$361</f>
        <v>61027.900990099006</v>
      </c>
      <c r="E1360" s="43" t="s">
        <v>556</v>
      </c>
      <c r="F1360" s="43" t="s">
        <v>557</v>
      </c>
      <c r="G1360" s="43" t="s">
        <v>567</v>
      </c>
      <c r="H1360" s="43" t="s">
        <v>568</v>
      </c>
      <c r="I1360" s="43" t="s">
        <v>560</v>
      </c>
      <c r="J1360" s="41" t="s">
        <v>797</v>
      </c>
      <c r="K1360" s="43">
        <v>700048</v>
      </c>
      <c r="L1360" s="43">
        <v>3</v>
      </c>
      <c r="M1360" s="43" t="s">
        <v>513</v>
      </c>
      <c r="N1360" s="51"/>
      <c r="O1360" s="51"/>
      <c r="P1360" s="43" t="str">
        <f>VLOOKUP(K1360,Maestro!J:K,2,0)</f>
        <v>CEMENTO UG 25 KG</v>
      </c>
      <c r="Q1360" s="43" t="str">
        <f>VLOOKUP(P1360,Maestro!E:F,2,0)</f>
        <v>CEMENTO UG 25 KG</v>
      </c>
      <c r="R1360" s="43">
        <v>10</v>
      </c>
      <c r="S1360" t="str">
        <f t="shared" si="32"/>
        <v>7405050003ENERGIACEMENTO UG 25 KG</v>
      </c>
      <c r="T1360" t="str">
        <f>IFERROR(VLOOKUP(S1360,Maestro!$A:$H,8,0),"Producción")</f>
        <v>Energía</v>
      </c>
      <c r="U1360" s="43" t="s">
        <v>182</v>
      </c>
    </row>
    <row r="1361" spans="1:21" x14ac:dyDescent="0.3">
      <c r="A1361" s="41">
        <v>7405050003</v>
      </c>
      <c r="B1361" s="43" t="s">
        <v>688</v>
      </c>
      <c r="C1361" s="50">
        <f>Datos!$K$356*D1361</f>
        <v>29556582.326312251</v>
      </c>
      <c r="D1361" s="17">
        <f>Datos!$K$269*Datos!$K$361</f>
        <v>56464.702970297032</v>
      </c>
      <c r="E1361" s="43" t="s">
        <v>556</v>
      </c>
      <c r="F1361" s="43" t="s">
        <v>557</v>
      </c>
      <c r="G1361" s="43" t="s">
        <v>567</v>
      </c>
      <c r="H1361" s="43" t="s">
        <v>568</v>
      </c>
      <c r="I1361" s="43" t="s">
        <v>560</v>
      </c>
      <c r="J1361" s="41" t="s">
        <v>797</v>
      </c>
      <c r="K1361" s="43">
        <v>700048</v>
      </c>
      <c r="L1361" s="43">
        <v>4</v>
      </c>
      <c r="M1361" s="43" t="s">
        <v>513</v>
      </c>
      <c r="N1361" s="51"/>
      <c r="O1361" s="51"/>
      <c r="P1361" s="43" t="str">
        <f>VLOOKUP(K1361,Maestro!J:K,2,0)</f>
        <v>CEMENTO UG 25 KG</v>
      </c>
      <c r="Q1361" s="43" t="str">
        <f>VLOOKUP(P1361,Maestro!E:F,2,0)</f>
        <v>CEMENTO UG 25 KG</v>
      </c>
      <c r="R1361" s="43">
        <v>10</v>
      </c>
      <c r="S1361" t="str">
        <f t="shared" si="32"/>
        <v>7405050003ENERGIACEMENTO UG 25 KG</v>
      </c>
      <c r="T1361" t="str">
        <f>IFERROR(VLOOKUP(S1361,Maestro!$A:$H,8,0),"Producción")</f>
        <v>Energía</v>
      </c>
      <c r="U1361" s="43" t="s">
        <v>182</v>
      </c>
    </row>
    <row r="1362" spans="1:21" x14ac:dyDescent="0.3">
      <c r="A1362" s="41">
        <v>7405050003</v>
      </c>
      <c r="B1362" s="43" t="s">
        <v>688</v>
      </c>
      <c r="C1362" s="50">
        <f>Datos!$L$356*D1362</f>
        <v>36736588.623050839</v>
      </c>
      <c r="D1362" s="17">
        <f>Datos!$L$269*Datos!$L$361</f>
        <v>70087.653465346535</v>
      </c>
      <c r="E1362" s="43" t="s">
        <v>556</v>
      </c>
      <c r="F1362" s="43" t="s">
        <v>557</v>
      </c>
      <c r="G1362" s="43" t="s">
        <v>567</v>
      </c>
      <c r="H1362" s="43" t="s">
        <v>568</v>
      </c>
      <c r="I1362" s="43" t="s">
        <v>560</v>
      </c>
      <c r="J1362" s="41" t="s">
        <v>797</v>
      </c>
      <c r="K1362" s="43">
        <v>700048</v>
      </c>
      <c r="L1362" s="43">
        <v>5</v>
      </c>
      <c r="M1362" s="43" t="s">
        <v>513</v>
      </c>
      <c r="N1362" s="51"/>
      <c r="O1362" s="51"/>
      <c r="P1362" s="43" t="str">
        <f>VLOOKUP(K1362,Maestro!J:K,2,0)</f>
        <v>CEMENTO UG 25 KG</v>
      </c>
      <c r="Q1362" s="43" t="str">
        <f>VLOOKUP(P1362,Maestro!E:F,2,0)</f>
        <v>CEMENTO UG 25 KG</v>
      </c>
      <c r="R1362" s="43">
        <v>10</v>
      </c>
      <c r="S1362" t="str">
        <f t="shared" si="32"/>
        <v>7405050003ENERGIACEMENTO UG 25 KG</v>
      </c>
      <c r="T1362" t="str">
        <f>IFERROR(VLOOKUP(S1362,Maestro!$A:$H,8,0),"Producción")</f>
        <v>Energía</v>
      </c>
      <c r="U1362" s="43" t="s">
        <v>182</v>
      </c>
    </row>
    <row r="1363" spans="1:21" x14ac:dyDescent="0.3">
      <c r="A1363" s="41">
        <v>7405050003</v>
      </c>
      <c r="B1363" s="43" t="s">
        <v>688</v>
      </c>
      <c r="C1363" s="50">
        <f>Datos!$M$356*D1363</f>
        <v>27212294.761284221</v>
      </c>
      <c r="D1363" s="17">
        <f>Datos!$M$269*Datos!$M$361</f>
        <v>51847.435643564357</v>
      </c>
      <c r="E1363" s="43" t="s">
        <v>556</v>
      </c>
      <c r="F1363" s="43" t="s">
        <v>557</v>
      </c>
      <c r="G1363" s="43" t="s">
        <v>567</v>
      </c>
      <c r="H1363" s="43" t="s">
        <v>568</v>
      </c>
      <c r="I1363" s="43" t="s">
        <v>560</v>
      </c>
      <c r="J1363" s="41" t="s">
        <v>797</v>
      </c>
      <c r="K1363" s="43">
        <v>700048</v>
      </c>
      <c r="L1363" s="43">
        <v>6</v>
      </c>
      <c r="M1363" s="43" t="s">
        <v>513</v>
      </c>
      <c r="N1363" s="51"/>
      <c r="O1363" s="51"/>
      <c r="P1363" s="43" t="str">
        <f>VLOOKUP(K1363,Maestro!J:K,2,0)</f>
        <v>CEMENTO UG 25 KG</v>
      </c>
      <c r="Q1363" s="43" t="str">
        <f>VLOOKUP(P1363,Maestro!E:F,2,0)</f>
        <v>CEMENTO UG 25 KG</v>
      </c>
      <c r="R1363" s="43">
        <v>10</v>
      </c>
      <c r="S1363" t="str">
        <f t="shared" si="32"/>
        <v>7405050003ENERGIACEMENTO UG 25 KG</v>
      </c>
      <c r="T1363" t="str">
        <f>IFERROR(VLOOKUP(S1363,Maestro!$A:$H,8,0),"Producción")</f>
        <v>Energía</v>
      </c>
      <c r="U1363" s="43" t="s">
        <v>182</v>
      </c>
    </row>
    <row r="1364" spans="1:21" x14ac:dyDescent="0.3">
      <c r="A1364" s="41">
        <v>7405050003</v>
      </c>
      <c r="B1364" s="43" t="s">
        <v>688</v>
      </c>
      <c r="C1364" s="50">
        <f>Datos!$N$356*D1364</f>
        <v>34625765.861975938</v>
      </c>
      <c r="D1364" s="17">
        <f>Datos!$N$269*Datos!$N$361</f>
        <v>65884.079207920804</v>
      </c>
      <c r="E1364" s="43" t="s">
        <v>556</v>
      </c>
      <c r="F1364" s="43" t="s">
        <v>557</v>
      </c>
      <c r="G1364" s="43" t="s">
        <v>567</v>
      </c>
      <c r="H1364" s="43" t="s">
        <v>568</v>
      </c>
      <c r="I1364" s="43" t="s">
        <v>560</v>
      </c>
      <c r="J1364" s="41" t="s">
        <v>797</v>
      </c>
      <c r="K1364" s="43">
        <v>700048</v>
      </c>
      <c r="L1364" s="43">
        <v>7</v>
      </c>
      <c r="M1364" s="43" t="s">
        <v>513</v>
      </c>
      <c r="N1364" s="51"/>
      <c r="O1364" s="51"/>
      <c r="P1364" s="43" t="str">
        <f>VLOOKUP(K1364,Maestro!J:K,2,0)</f>
        <v>CEMENTO UG 25 KG</v>
      </c>
      <c r="Q1364" s="43" t="str">
        <f>VLOOKUP(P1364,Maestro!E:F,2,0)</f>
        <v>CEMENTO UG 25 KG</v>
      </c>
      <c r="R1364" s="43">
        <v>10</v>
      </c>
      <c r="S1364" t="str">
        <f t="shared" si="32"/>
        <v>7405050003ENERGIACEMENTO UG 25 KG</v>
      </c>
      <c r="T1364" t="str">
        <f>IFERROR(VLOOKUP(S1364,Maestro!$A:$H,8,0),"Producción")</f>
        <v>Energía</v>
      </c>
      <c r="U1364" s="43" t="s">
        <v>182</v>
      </c>
    </row>
    <row r="1365" spans="1:21" x14ac:dyDescent="0.3">
      <c r="A1365" s="41">
        <v>7405050003</v>
      </c>
      <c r="B1365" s="43" t="s">
        <v>688</v>
      </c>
      <c r="C1365" s="50">
        <f>Datos!$O$356*D1365</f>
        <v>37414377.354847632</v>
      </c>
      <c r="D1365" s="17">
        <f>Datos!$O$269*Datos!$O$361</f>
        <v>71094.851485148509</v>
      </c>
      <c r="E1365" s="43" t="s">
        <v>556</v>
      </c>
      <c r="F1365" s="43" t="s">
        <v>557</v>
      </c>
      <c r="G1365" s="43" t="s">
        <v>567</v>
      </c>
      <c r="H1365" s="43" t="s">
        <v>568</v>
      </c>
      <c r="I1365" s="43" t="s">
        <v>560</v>
      </c>
      <c r="J1365" s="41" t="s">
        <v>797</v>
      </c>
      <c r="K1365" s="43">
        <v>700048</v>
      </c>
      <c r="L1365" s="43">
        <v>8</v>
      </c>
      <c r="M1365" s="43" t="s">
        <v>513</v>
      </c>
      <c r="N1365" s="51"/>
      <c r="O1365" s="51"/>
      <c r="P1365" s="43" t="str">
        <f>VLOOKUP(K1365,Maestro!J:K,2,0)</f>
        <v>CEMENTO UG 25 KG</v>
      </c>
      <c r="Q1365" s="43" t="str">
        <f>VLOOKUP(P1365,Maestro!E:F,2,0)</f>
        <v>CEMENTO UG 25 KG</v>
      </c>
      <c r="R1365" s="43">
        <v>10</v>
      </c>
      <c r="S1365" t="str">
        <f t="shared" si="32"/>
        <v>7405050003ENERGIACEMENTO UG 25 KG</v>
      </c>
      <c r="T1365" t="str">
        <f>IFERROR(VLOOKUP(S1365,Maestro!$A:$H,8,0),"Producción")</f>
        <v>Energía</v>
      </c>
      <c r="U1365" s="43" t="s">
        <v>182</v>
      </c>
    </row>
    <row r="1366" spans="1:21" x14ac:dyDescent="0.3">
      <c r="A1366" s="41">
        <v>7405050003</v>
      </c>
      <c r="B1366" s="43" t="s">
        <v>688</v>
      </c>
      <c r="C1366" s="50">
        <f>Datos!$P$356*D1366</f>
        <v>34032169.660967872</v>
      </c>
      <c r="D1366" s="17">
        <f>Datos!$P$269*Datos!$P$361</f>
        <v>64581.386138613867</v>
      </c>
      <c r="E1366" s="43" t="s">
        <v>556</v>
      </c>
      <c r="F1366" s="43" t="s">
        <v>557</v>
      </c>
      <c r="G1366" s="43" t="s">
        <v>567</v>
      </c>
      <c r="H1366" s="43" t="s">
        <v>568</v>
      </c>
      <c r="I1366" s="43" t="s">
        <v>560</v>
      </c>
      <c r="J1366" s="41" t="s">
        <v>797</v>
      </c>
      <c r="K1366" s="43">
        <v>700048</v>
      </c>
      <c r="L1366" s="43">
        <v>9</v>
      </c>
      <c r="M1366" s="43" t="s">
        <v>513</v>
      </c>
      <c r="N1366" s="51"/>
      <c r="O1366" s="51"/>
      <c r="P1366" s="43" t="str">
        <f>VLOOKUP(K1366,Maestro!J:K,2,0)</f>
        <v>CEMENTO UG 25 KG</v>
      </c>
      <c r="Q1366" s="43" t="str">
        <f>VLOOKUP(P1366,Maestro!E:F,2,0)</f>
        <v>CEMENTO UG 25 KG</v>
      </c>
      <c r="R1366" s="43">
        <v>10</v>
      </c>
      <c r="S1366" t="str">
        <f t="shared" si="32"/>
        <v>7405050003ENERGIACEMENTO UG 25 KG</v>
      </c>
      <c r="T1366" t="str">
        <f>IFERROR(VLOOKUP(S1366,Maestro!$A:$H,8,0),"Producción")</f>
        <v>Energía</v>
      </c>
      <c r="U1366" s="43" t="s">
        <v>182</v>
      </c>
    </row>
    <row r="1367" spans="1:21" x14ac:dyDescent="0.3">
      <c r="A1367" s="41">
        <v>7405050003</v>
      </c>
      <c r="B1367" s="43" t="s">
        <v>688</v>
      </c>
      <c r="C1367" s="50">
        <f>Datos!$Q$356*D1367</f>
        <v>32360008.614686731</v>
      </c>
      <c r="D1367" s="17">
        <f>Datos!$Q$269*Datos!$Q$361</f>
        <v>61325.910891089108</v>
      </c>
      <c r="E1367" s="43" t="s">
        <v>556</v>
      </c>
      <c r="F1367" s="43" t="s">
        <v>557</v>
      </c>
      <c r="G1367" s="43" t="s">
        <v>567</v>
      </c>
      <c r="H1367" s="43" t="s">
        <v>568</v>
      </c>
      <c r="I1367" s="43" t="s">
        <v>560</v>
      </c>
      <c r="J1367" s="41" t="s">
        <v>797</v>
      </c>
      <c r="K1367" s="43">
        <v>700048</v>
      </c>
      <c r="L1367" s="43">
        <v>10</v>
      </c>
      <c r="M1367" s="43" t="s">
        <v>513</v>
      </c>
      <c r="N1367" s="51"/>
      <c r="O1367" s="51"/>
      <c r="P1367" s="43" t="str">
        <f>VLOOKUP(K1367,Maestro!J:K,2,0)</f>
        <v>CEMENTO UG 25 KG</v>
      </c>
      <c r="Q1367" s="43" t="str">
        <f>VLOOKUP(P1367,Maestro!E:F,2,0)</f>
        <v>CEMENTO UG 25 KG</v>
      </c>
      <c r="R1367" s="43">
        <v>10</v>
      </c>
      <c r="S1367" t="str">
        <f t="shared" si="32"/>
        <v>7405050003ENERGIACEMENTO UG 25 KG</v>
      </c>
      <c r="T1367" t="str">
        <f>IFERROR(VLOOKUP(S1367,Maestro!$A:$H,8,0),"Producción")</f>
        <v>Energía</v>
      </c>
      <c r="U1367" s="43" t="s">
        <v>182</v>
      </c>
    </row>
    <row r="1368" spans="1:21" x14ac:dyDescent="0.3">
      <c r="A1368" s="41">
        <v>7405050003</v>
      </c>
      <c r="B1368" s="43" t="s">
        <v>688</v>
      </c>
      <c r="C1368" s="50">
        <f>Datos!$R$356*D1368</f>
        <v>37847557.370878473</v>
      </c>
      <c r="D1368" s="17">
        <f>Datos!$R$269*Datos!$R$361</f>
        <v>71629.257425742573</v>
      </c>
      <c r="E1368" s="43" t="s">
        <v>556</v>
      </c>
      <c r="F1368" s="43" t="s">
        <v>557</v>
      </c>
      <c r="G1368" s="43" t="s">
        <v>567</v>
      </c>
      <c r="H1368" s="43" t="s">
        <v>568</v>
      </c>
      <c r="I1368" s="43" t="s">
        <v>560</v>
      </c>
      <c r="J1368" s="41" t="s">
        <v>797</v>
      </c>
      <c r="K1368" s="43">
        <v>700048</v>
      </c>
      <c r="L1368" s="43">
        <v>11</v>
      </c>
      <c r="M1368" s="43" t="s">
        <v>513</v>
      </c>
      <c r="N1368" s="51"/>
      <c r="O1368" s="51"/>
      <c r="P1368" s="43" t="str">
        <f>VLOOKUP(K1368,Maestro!J:K,2,0)</f>
        <v>CEMENTO UG 25 KG</v>
      </c>
      <c r="Q1368" s="43" t="str">
        <f>VLOOKUP(P1368,Maestro!E:F,2,0)</f>
        <v>CEMENTO UG 25 KG</v>
      </c>
      <c r="R1368" s="43">
        <v>10</v>
      </c>
      <c r="S1368" t="str">
        <f t="shared" si="32"/>
        <v>7405050003ENERGIACEMENTO UG 25 KG</v>
      </c>
      <c r="T1368" t="str">
        <f>IFERROR(VLOOKUP(S1368,Maestro!$A:$H,8,0),"Producción")</f>
        <v>Energía</v>
      </c>
      <c r="U1368" s="43" t="s">
        <v>182</v>
      </c>
    </row>
    <row r="1369" spans="1:21" x14ac:dyDescent="0.3">
      <c r="A1369" s="41">
        <v>7405050003</v>
      </c>
      <c r="B1369" s="43" t="s">
        <v>688</v>
      </c>
      <c r="C1369" s="50">
        <f>Datos!$S$356*D1369</f>
        <v>31941006.225757435</v>
      </c>
      <c r="D1369" s="17">
        <f>Datos!$S$269*Datos!$S$361</f>
        <v>60369.552948683064</v>
      </c>
      <c r="E1369" s="43" t="s">
        <v>556</v>
      </c>
      <c r="F1369" s="43" t="s">
        <v>557</v>
      </c>
      <c r="G1369" s="43" t="s">
        <v>567</v>
      </c>
      <c r="H1369" s="43" t="s">
        <v>568</v>
      </c>
      <c r="I1369" s="43" t="s">
        <v>560</v>
      </c>
      <c r="J1369" s="41" t="s">
        <v>797</v>
      </c>
      <c r="K1369" s="43">
        <v>700048</v>
      </c>
      <c r="L1369" s="43">
        <v>12</v>
      </c>
      <c r="M1369" s="43" t="s">
        <v>513</v>
      </c>
      <c r="N1369" s="51"/>
      <c r="O1369" s="51"/>
      <c r="P1369" s="43" t="str">
        <f>VLOOKUP(K1369,Maestro!J:K,2,0)</f>
        <v>CEMENTO UG 25 KG</v>
      </c>
      <c r="Q1369" s="43" t="str">
        <f>VLOOKUP(P1369,Maestro!E:F,2,0)</f>
        <v>CEMENTO UG 25 KG</v>
      </c>
      <c r="R1369" s="43">
        <v>10</v>
      </c>
      <c r="S1369" t="str">
        <f t="shared" si="32"/>
        <v>7405050003ENERGIACEMENTO UG 25 KG</v>
      </c>
      <c r="T1369" t="str">
        <f>IFERROR(VLOOKUP(S1369,Maestro!$A:$H,8,0),"Producción")</f>
        <v>Energía</v>
      </c>
      <c r="U1369" s="43" t="s">
        <v>182</v>
      </c>
    </row>
    <row r="1370" spans="1:21" x14ac:dyDescent="0.3">
      <c r="A1370" s="41">
        <v>7405050003</v>
      </c>
      <c r="B1370" s="43" t="s">
        <v>688</v>
      </c>
      <c r="C1370" s="50">
        <f>Datos!$H$356*D1370</f>
        <v>33267105.035973191</v>
      </c>
      <c r="D1370" s="17">
        <f>Datos!$H$269*Datos!$H$361</f>
        <v>63808.06930693068</v>
      </c>
      <c r="E1370" s="43" t="s">
        <v>556</v>
      </c>
      <c r="F1370" s="43" t="s">
        <v>557</v>
      </c>
      <c r="G1370" s="43" t="s">
        <v>567</v>
      </c>
      <c r="H1370" s="43" t="s">
        <v>568</v>
      </c>
      <c r="I1370" s="43" t="s">
        <v>560</v>
      </c>
      <c r="J1370" s="41" t="s">
        <v>797</v>
      </c>
      <c r="K1370" s="43">
        <v>700034</v>
      </c>
      <c r="L1370" s="43">
        <v>1</v>
      </c>
      <c r="M1370" s="43" t="s">
        <v>511</v>
      </c>
      <c r="N1370" s="51"/>
      <c r="O1370" s="51"/>
      <c r="P1370" s="43" t="str">
        <f>VLOOKUP(K1370,Maestro!J:K,2,0)</f>
        <v>CEMENTO ART 42,5 KG</v>
      </c>
      <c r="Q1370" s="43" t="str">
        <f>VLOOKUP(P1370,Maestro!E:F,2,0)</f>
        <v>CEMENTO ART 42,5 KG</v>
      </c>
      <c r="R1370" s="43">
        <v>11</v>
      </c>
      <c r="S1370" t="str">
        <f t="shared" si="32"/>
        <v>7405050003ENERGIACEMENTO ART 42,5 KG</v>
      </c>
      <c r="T1370" t="str">
        <f>IFERROR(VLOOKUP(S1370,Maestro!$A:$H,8,0),"Producción")</f>
        <v>Energía</v>
      </c>
      <c r="U1370" s="43" t="s">
        <v>182</v>
      </c>
    </row>
    <row r="1371" spans="1:21" x14ac:dyDescent="0.3">
      <c r="A1371" s="41">
        <v>7405050003</v>
      </c>
      <c r="B1371" s="43" t="s">
        <v>688</v>
      </c>
      <c r="C1371" s="50">
        <f>Datos!$I$356*D1371</f>
        <v>34765504.827675194</v>
      </c>
      <c r="D1371" s="17">
        <f>Datos!$I$269*Datos!$I$361</f>
        <v>66593.267326732661</v>
      </c>
      <c r="E1371" s="43" t="s">
        <v>556</v>
      </c>
      <c r="F1371" s="43" t="s">
        <v>557</v>
      </c>
      <c r="G1371" s="43" t="s">
        <v>567</v>
      </c>
      <c r="H1371" s="43" t="s">
        <v>568</v>
      </c>
      <c r="I1371" s="43" t="s">
        <v>560</v>
      </c>
      <c r="J1371" s="41" t="s">
        <v>797</v>
      </c>
      <c r="K1371" s="43">
        <v>700034</v>
      </c>
      <c r="L1371" s="43">
        <v>2</v>
      </c>
      <c r="M1371" s="43" t="s">
        <v>511</v>
      </c>
      <c r="N1371" s="51"/>
      <c r="O1371" s="51"/>
      <c r="P1371" s="43" t="str">
        <f>VLOOKUP(K1371,Maestro!J:K,2,0)</f>
        <v>CEMENTO ART 42,5 KG</v>
      </c>
      <c r="Q1371" s="43" t="str">
        <f>VLOOKUP(P1371,Maestro!E:F,2,0)</f>
        <v>CEMENTO ART 42,5 KG</v>
      </c>
      <c r="R1371" s="43">
        <v>11</v>
      </c>
      <c r="S1371" t="str">
        <f t="shared" ref="S1371:S1381" si="33">A1371&amp;J1371&amp;Q1371</f>
        <v>7405050003ENERGIACEMENTO ART 42,5 KG</v>
      </c>
      <c r="T1371" t="str">
        <f>IFERROR(VLOOKUP(S1371,Maestro!$A:$H,8,0),"Producción")</f>
        <v>Energía</v>
      </c>
      <c r="U1371" s="43" t="s">
        <v>182</v>
      </c>
    </row>
    <row r="1372" spans="1:21" x14ac:dyDescent="0.3">
      <c r="A1372" s="41">
        <v>7405050003</v>
      </c>
      <c r="B1372" s="43" t="s">
        <v>688</v>
      </c>
      <c r="C1372" s="50">
        <f>Datos!$J$356*D1372</f>
        <v>31902587.119177971</v>
      </c>
      <c r="D1372" s="17">
        <f>Datos!$J$269*Datos!$J$361</f>
        <v>61027.900990099006</v>
      </c>
      <c r="E1372" s="43" t="s">
        <v>556</v>
      </c>
      <c r="F1372" s="43" t="s">
        <v>557</v>
      </c>
      <c r="G1372" s="43" t="s">
        <v>567</v>
      </c>
      <c r="H1372" s="43" t="s">
        <v>568</v>
      </c>
      <c r="I1372" s="43" t="s">
        <v>560</v>
      </c>
      <c r="J1372" s="41" t="s">
        <v>797</v>
      </c>
      <c r="K1372" s="43">
        <v>700034</v>
      </c>
      <c r="L1372" s="43">
        <v>3</v>
      </c>
      <c r="M1372" s="43" t="s">
        <v>511</v>
      </c>
      <c r="N1372" s="51"/>
      <c r="O1372" s="51"/>
      <c r="P1372" s="43" t="str">
        <f>VLOOKUP(K1372,Maestro!J:K,2,0)</f>
        <v>CEMENTO ART 42,5 KG</v>
      </c>
      <c r="Q1372" s="43" t="str">
        <f>VLOOKUP(P1372,Maestro!E:F,2,0)</f>
        <v>CEMENTO ART 42,5 KG</v>
      </c>
      <c r="R1372" s="43">
        <v>11</v>
      </c>
      <c r="S1372" t="str">
        <f t="shared" si="33"/>
        <v>7405050003ENERGIACEMENTO ART 42,5 KG</v>
      </c>
      <c r="T1372" t="str">
        <f>IFERROR(VLOOKUP(S1372,Maestro!$A:$H,8,0),"Producción")</f>
        <v>Energía</v>
      </c>
      <c r="U1372" s="43" t="s">
        <v>182</v>
      </c>
    </row>
    <row r="1373" spans="1:21" x14ac:dyDescent="0.3">
      <c r="A1373" s="41">
        <v>7405050003</v>
      </c>
      <c r="B1373" s="43" t="s">
        <v>688</v>
      </c>
      <c r="C1373" s="50">
        <f>Datos!$K$356*D1373</f>
        <v>29556582.326312251</v>
      </c>
      <c r="D1373" s="17">
        <f>Datos!$K$269*Datos!$K$361</f>
        <v>56464.702970297032</v>
      </c>
      <c r="E1373" s="43" t="s">
        <v>556</v>
      </c>
      <c r="F1373" s="43" t="s">
        <v>557</v>
      </c>
      <c r="G1373" s="43" t="s">
        <v>567</v>
      </c>
      <c r="H1373" s="43" t="s">
        <v>568</v>
      </c>
      <c r="I1373" s="43" t="s">
        <v>560</v>
      </c>
      <c r="J1373" s="41" t="s">
        <v>797</v>
      </c>
      <c r="K1373" s="43">
        <v>700034</v>
      </c>
      <c r="L1373" s="43">
        <v>4</v>
      </c>
      <c r="M1373" s="43" t="s">
        <v>511</v>
      </c>
      <c r="N1373" s="51"/>
      <c r="O1373" s="51"/>
      <c r="P1373" s="43" t="str">
        <f>VLOOKUP(K1373,Maestro!J:K,2,0)</f>
        <v>CEMENTO ART 42,5 KG</v>
      </c>
      <c r="Q1373" s="43" t="str">
        <f>VLOOKUP(P1373,Maestro!E:F,2,0)</f>
        <v>CEMENTO ART 42,5 KG</v>
      </c>
      <c r="R1373" s="43">
        <v>11</v>
      </c>
      <c r="S1373" t="str">
        <f t="shared" si="33"/>
        <v>7405050003ENERGIACEMENTO ART 42,5 KG</v>
      </c>
      <c r="T1373" t="str">
        <f>IFERROR(VLOOKUP(S1373,Maestro!$A:$H,8,0),"Producción")</f>
        <v>Energía</v>
      </c>
      <c r="U1373" s="43" t="s">
        <v>182</v>
      </c>
    </row>
    <row r="1374" spans="1:21" x14ac:dyDescent="0.3">
      <c r="A1374" s="41">
        <v>7405050003</v>
      </c>
      <c r="B1374" s="43" t="s">
        <v>688</v>
      </c>
      <c r="C1374" s="50">
        <f>Datos!$L$356*D1374</f>
        <v>36736588.623050839</v>
      </c>
      <c r="D1374" s="17">
        <f>Datos!$L$269*Datos!$L$361</f>
        <v>70087.653465346535</v>
      </c>
      <c r="E1374" s="43" t="s">
        <v>556</v>
      </c>
      <c r="F1374" s="43" t="s">
        <v>557</v>
      </c>
      <c r="G1374" s="43" t="s">
        <v>567</v>
      </c>
      <c r="H1374" s="43" t="s">
        <v>568</v>
      </c>
      <c r="I1374" s="43" t="s">
        <v>560</v>
      </c>
      <c r="J1374" s="41" t="s">
        <v>797</v>
      </c>
      <c r="K1374" s="43">
        <v>700034</v>
      </c>
      <c r="L1374" s="43">
        <v>5</v>
      </c>
      <c r="M1374" s="43" t="s">
        <v>511</v>
      </c>
      <c r="N1374" s="51"/>
      <c r="O1374" s="51"/>
      <c r="P1374" s="43" t="str">
        <f>VLOOKUP(K1374,Maestro!J:K,2,0)</f>
        <v>CEMENTO ART 42,5 KG</v>
      </c>
      <c r="Q1374" s="43" t="str">
        <f>VLOOKUP(P1374,Maestro!E:F,2,0)</f>
        <v>CEMENTO ART 42,5 KG</v>
      </c>
      <c r="R1374" s="43">
        <v>11</v>
      </c>
      <c r="S1374" t="str">
        <f t="shared" si="33"/>
        <v>7405050003ENERGIACEMENTO ART 42,5 KG</v>
      </c>
      <c r="T1374" t="str">
        <f>IFERROR(VLOOKUP(S1374,Maestro!$A:$H,8,0),"Producción")</f>
        <v>Energía</v>
      </c>
      <c r="U1374" s="43" t="s">
        <v>182</v>
      </c>
    </row>
    <row r="1375" spans="1:21" x14ac:dyDescent="0.3">
      <c r="A1375" s="41">
        <v>7405050003</v>
      </c>
      <c r="B1375" s="43" t="s">
        <v>688</v>
      </c>
      <c r="C1375" s="50">
        <f>Datos!$M$356*D1375</f>
        <v>27212294.761284221</v>
      </c>
      <c r="D1375" s="17">
        <f>Datos!$M$269*Datos!$M$361</f>
        <v>51847.435643564357</v>
      </c>
      <c r="E1375" s="43" t="s">
        <v>556</v>
      </c>
      <c r="F1375" s="43" t="s">
        <v>557</v>
      </c>
      <c r="G1375" s="43" t="s">
        <v>567</v>
      </c>
      <c r="H1375" s="43" t="s">
        <v>568</v>
      </c>
      <c r="I1375" s="43" t="s">
        <v>560</v>
      </c>
      <c r="J1375" s="41" t="s">
        <v>797</v>
      </c>
      <c r="K1375" s="43">
        <v>700034</v>
      </c>
      <c r="L1375" s="43">
        <v>6</v>
      </c>
      <c r="M1375" s="43" t="s">
        <v>511</v>
      </c>
      <c r="N1375" s="51"/>
      <c r="O1375" s="51"/>
      <c r="P1375" s="43" t="str">
        <f>VLOOKUP(K1375,Maestro!J:K,2,0)</f>
        <v>CEMENTO ART 42,5 KG</v>
      </c>
      <c r="Q1375" s="43" t="str">
        <f>VLOOKUP(P1375,Maestro!E:F,2,0)</f>
        <v>CEMENTO ART 42,5 KG</v>
      </c>
      <c r="R1375" s="43">
        <v>11</v>
      </c>
      <c r="S1375" t="str">
        <f t="shared" si="33"/>
        <v>7405050003ENERGIACEMENTO ART 42,5 KG</v>
      </c>
      <c r="T1375" t="str">
        <f>IFERROR(VLOOKUP(S1375,Maestro!$A:$H,8,0),"Producción")</f>
        <v>Energía</v>
      </c>
      <c r="U1375" s="43" t="s">
        <v>182</v>
      </c>
    </row>
    <row r="1376" spans="1:21" x14ac:dyDescent="0.3">
      <c r="A1376" s="41">
        <v>7405050003</v>
      </c>
      <c r="B1376" s="43" t="s">
        <v>688</v>
      </c>
      <c r="C1376" s="50">
        <f>Datos!$N$356*D1376</f>
        <v>34625765.861975938</v>
      </c>
      <c r="D1376" s="17">
        <f>Datos!$N$269*Datos!$N$361</f>
        <v>65884.079207920804</v>
      </c>
      <c r="E1376" s="43" t="s">
        <v>556</v>
      </c>
      <c r="F1376" s="43" t="s">
        <v>557</v>
      </c>
      <c r="G1376" s="43" t="s">
        <v>567</v>
      </c>
      <c r="H1376" s="43" t="s">
        <v>568</v>
      </c>
      <c r="I1376" s="43" t="s">
        <v>560</v>
      </c>
      <c r="J1376" s="41" t="s">
        <v>797</v>
      </c>
      <c r="K1376" s="43">
        <v>700034</v>
      </c>
      <c r="L1376" s="43">
        <v>7</v>
      </c>
      <c r="M1376" s="43" t="s">
        <v>511</v>
      </c>
      <c r="N1376" s="51"/>
      <c r="O1376" s="51"/>
      <c r="P1376" s="43" t="str">
        <f>VLOOKUP(K1376,Maestro!J:K,2,0)</f>
        <v>CEMENTO ART 42,5 KG</v>
      </c>
      <c r="Q1376" s="43" t="str">
        <f>VLOOKUP(P1376,Maestro!E:F,2,0)</f>
        <v>CEMENTO ART 42,5 KG</v>
      </c>
      <c r="R1376" s="43">
        <v>11</v>
      </c>
      <c r="S1376" t="str">
        <f t="shared" si="33"/>
        <v>7405050003ENERGIACEMENTO ART 42,5 KG</v>
      </c>
      <c r="T1376" t="str">
        <f>IFERROR(VLOOKUP(S1376,Maestro!$A:$H,8,0),"Producción")</f>
        <v>Energía</v>
      </c>
      <c r="U1376" s="43" t="s">
        <v>182</v>
      </c>
    </row>
    <row r="1377" spans="1:21" x14ac:dyDescent="0.3">
      <c r="A1377" s="41">
        <v>7405050003</v>
      </c>
      <c r="B1377" s="43" t="s">
        <v>688</v>
      </c>
      <c r="C1377" s="50">
        <f>Datos!$O$356*D1377</f>
        <v>37414377.354847632</v>
      </c>
      <c r="D1377" s="17">
        <f>Datos!$O$269*Datos!$O$361</f>
        <v>71094.851485148509</v>
      </c>
      <c r="E1377" s="43" t="s">
        <v>556</v>
      </c>
      <c r="F1377" s="43" t="s">
        <v>557</v>
      </c>
      <c r="G1377" s="43" t="s">
        <v>567</v>
      </c>
      <c r="H1377" s="43" t="s">
        <v>568</v>
      </c>
      <c r="I1377" s="43" t="s">
        <v>560</v>
      </c>
      <c r="J1377" s="41" t="s">
        <v>797</v>
      </c>
      <c r="K1377" s="43">
        <v>700034</v>
      </c>
      <c r="L1377" s="43">
        <v>8</v>
      </c>
      <c r="M1377" s="43" t="s">
        <v>511</v>
      </c>
      <c r="N1377" s="51"/>
      <c r="O1377" s="51"/>
      <c r="P1377" s="43" t="str">
        <f>VLOOKUP(K1377,Maestro!J:K,2,0)</f>
        <v>CEMENTO ART 42,5 KG</v>
      </c>
      <c r="Q1377" s="43" t="str">
        <f>VLOOKUP(P1377,Maestro!E:F,2,0)</f>
        <v>CEMENTO ART 42,5 KG</v>
      </c>
      <c r="R1377" s="43">
        <v>11</v>
      </c>
      <c r="S1377" t="str">
        <f t="shared" si="33"/>
        <v>7405050003ENERGIACEMENTO ART 42,5 KG</v>
      </c>
      <c r="T1377" t="str">
        <f>IFERROR(VLOOKUP(S1377,Maestro!$A:$H,8,0),"Producción")</f>
        <v>Energía</v>
      </c>
      <c r="U1377" s="43" t="s">
        <v>182</v>
      </c>
    </row>
    <row r="1378" spans="1:21" x14ac:dyDescent="0.3">
      <c r="A1378" s="41">
        <v>7405050003</v>
      </c>
      <c r="B1378" s="43" t="s">
        <v>688</v>
      </c>
      <c r="C1378" s="50">
        <f>Datos!$P$356*D1378</f>
        <v>34032169.660967872</v>
      </c>
      <c r="D1378" s="17">
        <f>Datos!$P$269*Datos!$P$361</f>
        <v>64581.386138613867</v>
      </c>
      <c r="E1378" s="43" t="s">
        <v>556</v>
      </c>
      <c r="F1378" s="43" t="s">
        <v>557</v>
      </c>
      <c r="G1378" s="43" t="s">
        <v>567</v>
      </c>
      <c r="H1378" s="43" t="s">
        <v>568</v>
      </c>
      <c r="I1378" s="43" t="s">
        <v>560</v>
      </c>
      <c r="J1378" s="41" t="s">
        <v>797</v>
      </c>
      <c r="K1378" s="43">
        <v>700034</v>
      </c>
      <c r="L1378" s="43">
        <v>9</v>
      </c>
      <c r="M1378" s="43" t="s">
        <v>511</v>
      </c>
      <c r="N1378" s="51"/>
      <c r="O1378" s="51"/>
      <c r="P1378" s="43" t="str">
        <f>VLOOKUP(K1378,Maestro!J:K,2,0)</f>
        <v>CEMENTO ART 42,5 KG</v>
      </c>
      <c r="Q1378" s="43" t="str">
        <f>VLOOKUP(P1378,Maestro!E:F,2,0)</f>
        <v>CEMENTO ART 42,5 KG</v>
      </c>
      <c r="R1378" s="43">
        <v>11</v>
      </c>
      <c r="S1378" t="str">
        <f t="shared" si="33"/>
        <v>7405050003ENERGIACEMENTO ART 42,5 KG</v>
      </c>
      <c r="T1378" t="str">
        <f>IFERROR(VLOOKUP(S1378,Maestro!$A:$H,8,0),"Producción")</f>
        <v>Energía</v>
      </c>
      <c r="U1378" s="43" t="s">
        <v>182</v>
      </c>
    </row>
    <row r="1379" spans="1:21" x14ac:dyDescent="0.3">
      <c r="A1379" s="41">
        <v>7405050003</v>
      </c>
      <c r="B1379" s="43" t="s">
        <v>688</v>
      </c>
      <c r="C1379" s="50">
        <f>Datos!$Q$356*D1379</f>
        <v>32360008.614686731</v>
      </c>
      <c r="D1379" s="17">
        <f>Datos!$Q$269*Datos!$Q$361</f>
        <v>61325.910891089108</v>
      </c>
      <c r="E1379" s="43" t="s">
        <v>556</v>
      </c>
      <c r="F1379" s="43" t="s">
        <v>557</v>
      </c>
      <c r="G1379" s="43" t="s">
        <v>567</v>
      </c>
      <c r="H1379" s="43" t="s">
        <v>568</v>
      </c>
      <c r="I1379" s="43" t="s">
        <v>560</v>
      </c>
      <c r="J1379" s="41" t="s">
        <v>797</v>
      </c>
      <c r="K1379" s="43">
        <v>700034</v>
      </c>
      <c r="L1379" s="43">
        <v>10</v>
      </c>
      <c r="M1379" s="43" t="s">
        <v>511</v>
      </c>
      <c r="N1379" s="51"/>
      <c r="O1379" s="51"/>
      <c r="P1379" s="43" t="str">
        <f>VLOOKUP(K1379,Maestro!J:K,2,0)</f>
        <v>CEMENTO ART 42,5 KG</v>
      </c>
      <c r="Q1379" s="43" t="str">
        <f>VLOOKUP(P1379,Maestro!E:F,2,0)</f>
        <v>CEMENTO ART 42,5 KG</v>
      </c>
      <c r="R1379" s="43">
        <v>11</v>
      </c>
      <c r="S1379" t="str">
        <f t="shared" si="33"/>
        <v>7405050003ENERGIACEMENTO ART 42,5 KG</v>
      </c>
      <c r="T1379" t="str">
        <f>IFERROR(VLOOKUP(S1379,Maestro!$A:$H,8,0),"Producción")</f>
        <v>Energía</v>
      </c>
      <c r="U1379" s="43" t="s">
        <v>182</v>
      </c>
    </row>
    <row r="1380" spans="1:21" x14ac:dyDescent="0.3">
      <c r="A1380" s="41">
        <v>7405050003</v>
      </c>
      <c r="B1380" s="43" t="s">
        <v>688</v>
      </c>
      <c r="C1380" s="50">
        <f>Datos!$R$356*D1380</f>
        <v>37847557.370878473</v>
      </c>
      <c r="D1380" s="17">
        <f>Datos!$R$269*Datos!$R$361</f>
        <v>71629.257425742573</v>
      </c>
      <c r="E1380" s="43" t="s">
        <v>556</v>
      </c>
      <c r="F1380" s="43" t="s">
        <v>557</v>
      </c>
      <c r="G1380" s="43" t="s">
        <v>567</v>
      </c>
      <c r="H1380" s="43" t="s">
        <v>568</v>
      </c>
      <c r="I1380" s="43" t="s">
        <v>560</v>
      </c>
      <c r="J1380" s="41" t="s">
        <v>797</v>
      </c>
      <c r="K1380" s="43">
        <v>700034</v>
      </c>
      <c r="L1380" s="43">
        <v>11</v>
      </c>
      <c r="M1380" s="43" t="s">
        <v>511</v>
      </c>
      <c r="N1380" s="51"/>
      <c r="O1380" s="51"/>
      <c r="P1380" s="43" t="str">
        <f>VLOOKUP(K1380,Maestro!J:K,2,0)</f>
        <v>CEMENTO ART 42,5 KG</v>
      </c>
      <c r="Q1380" s="43" t="str">
        <f>VLOOKUP(P1380,Maestro!E:F,2,0)</f>
        <v>CEMENTO ART 42,5 KG</v>
      </c>
      <c r="R1380" s="43">
        <v>11</v>
      </c>
      <c r="S1380" t="str">
        <f t="shared" si="33"/>
        <v>7405050003ENERGIACEMENTO ART 42,5 KG</v>
      </c>
      <c r="T1380" t="str">
        <f>IFERROR(VLOOKUP(S1380,Maestro!$A:$H,8,0),"Producción")</f>
        <v>Energía</v>
      </c>
      <c r="U1380" s="43" t="s">
        <v>182</v>
      </c>
    </row>
    <row r="1381" spans="1:21" x14ac:dyDescent="0.3">
      <c r="A1381" s="41">
        <v>7405050003</v>
      </c>
      <c r="B1381" s="43" t="s">
        <v>688</v>
      </c>
      <c r="C1381" s="50">
        <f>Datos!$S$356*D1381</f>
        <v>31941006.225757435</v>
      </c>
      <c r="D1381" s="17">
        <f>Datos!$S$269*Datos!$S$361</f>
        <v>60369.552948683064</v>
      </c>
      <c r="E1381" s="43" t="s">
        <v>556</v>
      </c>
      <c r="F1381" s="43" t="s">
        <v>557</v>
      </c>
      <c r="G1381" s="43" t="s">
        <v>567</v>
      </c>
      <c r="H1381" s="43" t="s">
        <v>568</v>
      </c>
      <c r="I1381" s="43" t="s">
        <v>560</v>
      </c>
      <c r="J1381" s="41" t="s">
        <v>797</v>
      </c>
      <c r="K1381" s="43">
        <v>700034</v>
      </c>
      <c r="L1381" s="43">
        <v>12</v>
      </c>
      <c r="M1381" s="43" t="s">
        <v>511</v>
      </c>
      <c r="N1381" s="51"/>
      <c r="O1381" s="51"/>
      <c r="P1381" s="43" t="str">
        <f>VLOOKUP(K1381,Maestro!J:K,2,0)</f>
        <v>CEMENTO ART 42,5 KG</v>
      </c>
      <c r="Q1381" s="43" t="str">
        <f>VLOOKUP(P1381,Maestro!E:F,2,0)</f>
        <v>CEMENTO ART 42,5 KG</v>
      </c>
      <c r="R1381" s="43">
        <v>11</v>
      </c>
      <c r="S1381" t="str">
        <f t="shared" si="33"/>
        <v>7405050003ENERGIACEMENTO ART 42,5 KG</v>
      </c>
      <c r="T1381" t="str">
        <f>IFERROR(VLOOKUP(S1381,Maestro!$A:$H,8,0),"Producción")</f>
        <v>Energía</v>
      </c>
      <c r="U1381" s="43" t="s">
        <v>182</v>
      </c>
    </row>
    <row r="1382" spans="1:21" x14ac:dyDescent="0.3">
      <c r="A1382" s="41">
        <v>7405050003</v>
      </c>
      <c r="B1382" s="43" t="s">
        <v>688</v>
      </c>
      <c r="C1382" s="50">
        <f>Datos!$H$356*D1382</f>
        <v>33267105.035973191</v>
      </c>
      <c r="D1382" s="17">
        <f>Datos!$H$269*Datos!$H$361</f>
        <v>63808.06930693068</v>
      </c>
      <c r="E1382" s="43" t="s">
        <v>556</v>
      </c>
      <c r="F1382" s="43" t="s">
        <v>557</v>
      </c>
      <c r="G1382" s="43" t="s">
        <v>567</v>
      </c>
      <c r="H1382" s="43" t="s">
        <v>568</v>
      </c>
      <c r="I1382" s="43" t="s">
        <v>560</v>
      </c>
      <c r="J1382" s="41" t="s">
        <v>797</v>
      </c>
      <c r="K1382" s="43">
        <v>700080</v>
      </c>
      <c r="L1382" s="43">
        <v>1</v>
      </c>
      <c r="M1382" s="43" t="s">
        <v>598</v>
      </c>
      <c r="N1382" s="51"/>
      <c r="O1382" s="51"/>
      <c r="P1382" s="43" t="str">
        <f>VLOOKUP(K1382,Maestro!J:K,2,0)</f>
        <v>CEMENTO TOPEX 50 KG</v>
      </c>
      <c r="Q1382" s="43" t="str">
        <f>VLOOKUP(P1382,Maestro!E:F,2,0)</f>
        <v>CEMENTO TOPEX 50 KG</v>
      </c>
      <c r="R1382" s="43">
        <v>14</v>
      </c>
      <c r="S1382" t="str">
        <f t="shared" ref="S1382" si="34">A1382&amp;J1382&amp;Q1382</f>
        <v>7405050003ENERGIACEMENTO TOPEX 50 KG</v>
      </c>
      <c r="T1382" t="str">
        <f>IFERROR(VLOOKUP(S1382,Maestro!$A:$H,8,0),"Producción")</f>
        <v>Energía</v>
      </c>
      <c r="U1382" s="43" t="s">
        <v>182</v>
      </c>
    </row>
    <row r="1383" spans="1:21" x14ac:dyDescent="0.3">
      <c r="A1383" s="41">
        <v>7405050003</v>
      </c>
      <c r="B1383" s="43" t="s">
        <v>688</v>
      </c>
      <c r="C1383" s="50">
        <f>Datos!$I$356*D1383</f>
        <v>34765504.827675194</v>
      </c>
      <c r="D1383" s="17">
        <f>Datos!$I$269*Datos!$I$361</f>
        <v>66593.267326732661</v>
      </c>
      <c r="E1383" s="43" t="s">
        <v>556</v>
      </c>
      <c r="F1383" s="43" t="s">
        <v>557</v>
      </c>
      <c r="G1383" s="43" t="s">
        <v>567</v>
      </c>
      <c r="H1383" s="43" t="s">
        <v>568</v>
      </c>
      <c r="I1383" s="43" t="s">
        <v>560</v>
      </c>
      <c r="J1383" s="41" t="s">
        <v>797</v>
      </c>
      <c r="K1383" s="43">
        <v>700080</v>
      </c>
      <c r="L1383" s="43">
        <v>2</v>
      </c>
      <c r="M1383" s="43" t="s">
        <v>598</v>
      </c>
      <c r="N1383" s="51"/>
      <c r="O1383" s="51"/>
      <c r="P1383" s="43" t="str">
        <f>VLOOKUP(K1383,Maestro!J:K,2,0)</f>
        <v>CEMENTO TOPEX 50 KG</v>
      </c>
      <c r="Q1383" s="43" t="str">
        <f>VLOOKUP(P1383,Maestro!E:F,2,0)</f>
        <v>CEMENTO TOPEX 50 KG</v>
      </c>
      <c r="R1383" s="43">
        <v>14</v>
      </c>
      <c r="S1383" t="str">
        <f t="shared" ref="S1383:S1393" si="35">A1383&amp;J1383&amp;Q1383</f>
        <v>7405050003ENERGIACEMENTO TOPEX 50 KG</v>
      </c>
      <c r="T1383" t="str">
        <f>IFERROR(VLOOKUP(S1383,Maestro!$A:$H,8,0),"Producción")</f>
        <v>Energía</v>
      </c>
      <c r="U1383" s="43" t="s">
        <v>182</v>
      </c>
    </row>
    <row r="1384" spans="1:21" x14ac:dyDescent="0.3">
      <c r="A1384" s="41">
        <v>7405050003</v>
      </c>
      <c r="B1384" s="43" t="s">
        <v>688</v>
      </c>
      <c r="C1384" s="50">
        <f>Datos!$J$356*D1384</f>
        <v>31902587.119177971</v>
      </c>
      <c r="D1384" s="17">
        <f>Datos!$J$269*Datos!$J$361</f>
        <v>61027.900990099006</v>
      </c>
      <c r="E1384" s="43" t="s">
        <v>556</v>
      </c>
      <c r="F1384" s="43" t="s">
        <v>557</v>
      </c>
      <c r="G1384" s="43" t="s">
        <v>567</v>
      </c>
      <c r="H1384" s="43" t="s">
        <v>568</v>
      </c>
      <c r="I1384" s="43" t="s">
        <v>560</v>
      </c>
      <c r="J1384" s="41" t="s">
        <v>797</v>
      </c>
      <c r="K1384" s="43">
        <v>700080</v>
      </c>
      <c r="L1384" s="43">
        <v>3</v>
      </c>
      <c r="M1384" s="43" t="s">
        <v>598</v>
      </c>
      <c r="N1384" s="51"/>
      <c r="O1384" s="51"/>
      <c r="P1384" s="43" t="str">
        <f>VLOOKUP(K1384,Maestro!J:K,2,0)</f>
        <v>CEMENTO TOPEX 50 KG</v>
      </c>
      <c r="Q1384" s="43" t="str">
        <f>VLOOKUP(P1384,Maestro!E:F,2,0)</f>
        <v>CEMENTO TOPEX 50 KG</v>
      </c>
      <c r="R1384" s="43">
        <v>14</v>
      </c>
      <c r="S1384" t="str">
        <f t="shared" si="35"/>
        <v>7405050003ENERGIACEMENTO TOPEX 50 KG</v>
      </c>
      <c r="T1384" t="str">
        <f>IFERROR(VLOOKUP(S1384,Maestro!$A:$H,8,0),"Producción")</f>
        <v>Energía</v>
      </c>
      <c r="U1384" s="43" t="s">
        <v>182</v>
      </c>
    </row>
    <row r="1385" spans="1:21" x14ac:dyDescent="0.3">
      <c r="A1385" s="41">
        <v>7405050003</v>
      </c>
      <c r="B1385" s="43" t="s">
        <v>688</v>
      </c>
      <c r="C1385" s="50">
        <f>Datos!$K$356*D1385</f>
        <v>29556582.326312251</v>
      </c>
      <c r="D1385" s="17">
        <f>Datos!$K$269*Datos!$K$361</f>
        <v>56464.702970297032</v>
      </c>
      <c r="E1385" s="43" t="s">
        <v>556</v>
      </c>
      <c r="F1385" s="43" t="s">
        <v>557</v>
      </c>
      <c r="G1385" s="43" t="s">
        <v>567</v>
      </c>
      <c r="H1385" s="43" t="s">
        <v>568</v>
      </c>
      <c r="I1385" s="43" t="s">
        <v>560</v>
      </c>
      <c r="J1385" s="41" t="s">
        <v>797</v>
      </c>
      <c r="K1385" s="43">
        <v>700080</v>
      </c>
      <c r="L1385" s="43">
        <v>4</v>
      </c>
      <c r="M1385" s="43" t="s">
        <v>598</v>
      </c>
      <c r="N1385" s="51"/>
      <c r="O1385" s="51"/>
      <c r="P1385" s="43" t="str">
        <f>VLOOKUP(K1385,Maestro!J:K,2,0)</f>
        <v>CEMENTO TOPEX 50 KG</v>
      </c>
      <c r="Q1385" s="43" t="str">
        <f>VLOOKUP(P1385,Maestro!E:F,2,0)</f>
        <v>CEMENTO TOPEX 50 KG</v>
      </c>
      <c r="R1385" s="43">
        <v>14</v>
      </c>
      <c r="S1385" t="str">
        <f t="shared" si="35"/>
        <v>7405050003ENERGIACEMENTO TOPEX 50 KG</v>
      </c>
      <c r="T1385" t="str">
        <f>IFERROR(VLOOKUP(S1385,Maestro!$A:$H,8,0),"Producción")</f>
        <v>Energía</v>
      </c>
      <c r="U1385" s="43" t="s">
        <v>182</v>
      </c>
    </row>
    <row r="1386" spans="1:21" x14ac:dyDescent="0.3">
      <c r="A1386" s="41">
        <v>7405050003</v>
      </c>
      <c r="B1386" s="43" t="s">
        <v>688</v>
      </c>
      <c r="C1386" s="50">
        <f>Datos!$L$356*D1386</f>
        <v>36736588.623050839</v>
      </c>
      <c r="D1386" s="17">
        <f>Datos!$L$269*Datos!$L$361</f>
        <v>70087.653465346535</v>
      </c>
      <c r="E1386" s="43" t="s">
        <v>556</v>
      </c>
      <c r="F1386" s="43" t="s">
        <v>557</v>
      </c>
      <c r="G1386" s="43" t="s">
        <v>567</v>
      </c>
      <c r="H1386" s="43" t="s">
        <v>568</v>
      </c>
      <c r="I1386" s="43" t="s">
        <v>560</v>
      </c>
      <c r="J1386" s="41" t="s">
        <v>797</v>
      </c>
      <c r="K1386" s="43">
        <v>700080</v>
      </c>
      <c r="L1386" s="43">
        <v>5</v>
      </c>
      <c r="M1386" s="43" t="s">
        <v>598</v>
      </c>
      <c r="N1386" s="51"/>
      <c r="O1386" s="51"/>
      <c r="P1386" s="43" t="str">
        <f>VLOOKUP(K1386,Maestro!J:K,2,0)</f>
        <v>CEMENTO TOPEX 50 KG</v>
      </c>
      <c r="Q1386" s="43" t="str">
        <f>VLOOKUP(P1386,Maestro!E:F,2,0)</f>
        <v>CEMENTO TOPEX 50 KG</v>
      </c>
      <c r="R1386" s="43">
        <v>14</v>
      </c>
      <c r="S1386" t="str">
        <f t="shared" si="35"/>
        <v>7405050003ENERGIACEMENTO TOPEX 50 KG</v>
      </c>
      <c r="T1386" t="str">
        <f>IFERROR(VLOOKUP(S1386,Maestro!$A:$H,8,0),"Producción")</f>
        <v>Energía</v>
      </c>
      <c r="U1386" s="43" t="s">
        <v>182</v>
      </c>
    </row>
    <row r="1387" spans="1:21" x14ac:dyDescent="0.3">
      <c r="A1387" s="41">
        <v>7405050003</v>
      </c>
      <c r="B1387" s="43" t="s">
        <v>688</v>
      </c>
      <c r="C1387" s="50">
        <f>Datos!$M$356*D1387</f>
        <v>27212294.761284221</v>
      </c>
      <c r="D1387" s="17">
        <f>Datos!$M$269*Datos!$M$361</f>
        <v>51847.435643564357</v>
      </c>
      <c r="E1387" s="43" t="s">
        <v>556</v>
      </c>
      <c r="F1387" s="43" t="s">
        <v>557</v>
      </c>
      <c r="G1387" s="43" t="s">
        <v>567</v>
      </c>
      <c r="H1387" s="43" t="s">
        <v>568</v>
      </c>
      <c r="I1387" s="43" t="s">
        <v>560</v>
      </c>
      <c r="J1387" s="41" t="s">
        <v>797</v>
      </c>
      <c r="K1387" s="43">
        <v>700080</v>
      </c>
      <c r="L1387" s="43">
        <v>6</v>
      </c>
      <c r="M1387" s="43" t="s">
        <v>598</v>
      </c>
      <c r="N1387" s="51"/>
      <c r="O1387" s="51"/>
      <c r="P1387" s="43" t="str">
        <f>VLOOKUP(K1387,Maestro!J:K,2,0)</f>
        <v>CEMENTO TOPEX 50 KG</v>
      </c>
      <c r="Q1387" s="43" t="str">
        <f>VLOOKUP(P1387,Maestro!E:F,2,0)</f>
        <v>CEMENTO TOPEX 50 KG</v>
      </c>
      <c r="R1387" s="43">
        <v>14</v>
      </c>
      <c r="S1387" t="str">
        <f t="shared" si="35"/>
        <v>7405050003ENERGIACEMENTO TOPEX 50 KG</v>
      </c>
      <c r="T1387" t="str">
        <f>IFERROR(VLOOKUP(S1387,Maestro!$A:$H,8,0),"Producción")</f>
        <v>Energía</v>
      </c>
      <c r="U1387" s="43" t="s">
        <v>182</v>
      </c>
    </row>
    <row r="1388" spans="1:21" x14ac:dyDescent="0.3">
      <c r="A1388" s="41">
        <v>7405050003</v>
      </c>
      <c r="B1388" s="43" t="s">
        <v>688</v>
      </c>
      <c r="C1388" s="50">
        <f>Datos!$N$356*D1388</f>
        <v>34625765.861975938</v>
      </c>
      <c r="D1388" s="17">
        <f>Datos!$N$269*Datos!$N$361</f>
        <v>65884.079207920804</v>
      </c>
      <c r="E1388" s="43" t="s">
        <v>556</v>
      </c>
      <c r="F1388" s="43" t="s">
        <v>557</v>
      </c>
      <c r="G1388" s="43" t="s">
        <v>567</v>
      </c>
      <c r="H1388" s="43" t="s">
        <v>568</v>
      </c>
      <c r="I1388" s="43" t="s">
        <v>560</v>
      </c>
      <c r="J1388" s="41" t="s">
        <v>797</v>
      </c>
      <c r="K1388" s="43">
        <v>700080</v>
      </c>
      <c r="L1388" s="43">
        <v>7</v>
      </c>
      <c r="M1388" s="43" t="s">
        <v>598</v>
      </c>
      <c r="N1388" s="51"/>
      <c r="O1388" s="51"/>
      <c r="P1388" s="43" t="str">
        <f>VLOOKUP(K1388,Maestro!J:K,2,0)</f>
        <v>CEMENTO TOPEX 50 KG</v>
      </c>
      <c r="Q1388" s="43" t="str">
        <f>VLOOKUP(P1388,Maestro!E:F,2,0)</f>
        <v>CEMENTO TOPEX 50 KG</v>
      </c>
      <c r="R1388" s="43">
        <v>14</v>
      </c>
      <c r="S1388" t="str">
        <f t="shared" si="35"/>
        <v>7405050003ENERGIACEMENTO TOPEX 50 KG</v>
      </c>
      <c r="T1388" t="str">
        <f>IFERROR(VLOOKUP(S1388,Maestro!$A:$H,8,0),"Producción")</f>
        <v>Energía</v>
      </c>
      <c r="U1388" s="43" t="s">
        <v>182</v>
      </c>
    </row>
    <row r="1389" spans="1:21" x14ac:dyDescent="0.3">
      <c r="A1389" s="41">
        <v>7405050003</v>
      </c>
      <c r="B1389" s="43" t="s">
        <v>688</v>
      </c>
      <c r="C1389" s="50">
        <f>Datos!$O$356*D1389</f>
        <v>37414377.354847632</v>
      </c>
      <c r="D1389" s="17">
        <f>Datos!$O$269*Datos!$O$361</f>
        <v>71094.851485148509</v>
      </c>
      <c r="E1389" s="43" t="s">
        <v>556</v>
      </c>
      <c r="F1389" s="43" t="s">
        <v>557</v>
      </c>
      <c r="G1389" s="43" t="s">
        <v>567</v>
      </c>
      <c r="H1389" s="43" t="s">
        <v>568</v>
      </c>
      <c r="I1389" s="43" t="s">
        <v>560</v>
      </c>
      <c r="J1389" s="41" t="s">
        <v>797</v>
      </c>
      <c r="K1389" s="43">
        <v>700080</v>
      </c>
      <c r="L1389" s="43">
        <v>8</v>
      </c>
      <c r="M1389" s="43" t="s">
        <v>598</v>
      </c>
      <c r="N1389" s="51"/>
      <c r="O1389" s="51"/>
      <c r="P1389" s="43" t="str">
        <f>VLOOKUP(K1389,Maestro!J:K,2,0)</f>
        <v>CEMENTO TOPEX 50 KG</v>
      </c>
      <c r="Q1389" s="43" t="str">
        <f>VLOOKUP(P1389,Maestro!E:F,2,0)</f>
        <v>CEMENTO TOPEX 50 KG</v>
      </c>
      <c r="R1389" s="43">
        <v>14</v>
      </c>
      <c r="S1389" t="str">
        <f t="shared" si="35"/>
        <v>7405050003ENERGIACEMENTO TOPEX 50 KG</v>
      </c>
      <c r="T1389" t="str">
        <f>IFERROR(VLOOKUP(S1389,Maestro!$A:$H,8,0),"Producción")</f>
        <v>Energía</v>
      </c>
      <c r="U1389" s="43" t="s">
        <v>182</v>
      </c>
    </row>
    <row r="1390" spans="1:21" x14ac:dyDescent="0.3">
      <c r="A1390" s="41">
        <v>7405050003</v>
      </c>
      <c r="B1390" s="43" t="s">
        <v>688</v>
      </c>
      <c r="C1390" s="50">
        <f>Datos!$P$356*D1390</f>
        <v>34032169.660967872</v>
      </c>
      <c r="D1390" s="17">
        <f>Datos!$P$269*Datos!$P$361</f>
        <v>64581.386138613867</v>
      </c>
      <c r="E1390" s="43" t="s">
        <v>556</v>
      </c>
      <c r="F1390" s="43" t="s">
        <v>557</v>
      </c>
      <c r="G1390" s="43" t="s">
        <v>567</v>
      </c>
      <c r="H1390" s="43" t="s">
        <v>568</v>
      </c>
      <c r="I1390" s="43" t="s">
        <v>560</v>
      </c>
      <c r="J1390" s="41" t="s">
        <v>797</v>
      </c>
      <c r="K1390" s="43">
        <v>700080</v>
      </c>
      <c r="L1390" s="43">
        <v>9</v>
      </c>
      <c r="M1390" s="43" t="s">
        <v>598</v>
      </c>
      <c r="N1390" s="51"/>
      <c r="O1390" s="51"/>
      <c r="P1390" s="43" t="str">
        <f>VLOOKUP(K1390,Maestro!J:K,2,0)</f>
        <v>CEMENTO TOPEX 50 KG</v>
      </c>
      <c r="Q1390" s="43" t="str">
        <f>VLOOKUP(P1390,Maestro!E:F,2,0)</f>
        <v>CEMENTO TOPEX 50 KG</v>
      </c>
      <c r="R1390" s="43">
        <v>14</v>
      </c>
      <c r="S1390" t="str">
        <f t="shared" si="35"/>
        <v>7405050003ENERGIACEMENTO TOPEX 50 KG</v>
      </c>
      <c r="T1390" t="str">
        <f>IFERROR(VLOOKUP(S1390,Maestro!$A:$H,8,0),"Producción")</f>
        <v>Energía</v>
      </c>
      <c r="U1390" s="43" t="s">
        <v>182</v>
      </c>
    </row>
    <row r="1391" spans="1:21" x14ac:dyDescent="0.3">
      <c r="A1391" s="41">
        <v>7405050003</v>
      </c>
      <c r="B1391" s="43" t="s">
        <v>688</v>
      </c>
      <c r="C1391" s="50">
        <f>Datos!$Q$356*D1391</f>
        <v>32360008.614686731</v>
      </c>
      <c r="D1391" s="17">
        <f>Datos!$Q$269*Datos!$Q$361</f>
        <v>61325.910891089108</v>
      </c>
      <c r="E1391" s="43" t="s">
        <v>556</v>
      </c>
      <c r="F1391" s="43" t="s">
        <v>557</v>
      </c>
      <c r="G1391" s="43" t="s">
        <v>567</v>
      </c>
      <c r="H1391" s="43" t="s">
        <v>568</v>
      </c>
      <c r="I1391" s="43" t="s">
        <v>560</v>
      </c>
      <c r="J1391" s="41" t="s">
        <v>797</v>
      </c>
      <c r="K1391" s="43">
        <v>700080</v>
      </c>
      <c r="L1391" s="43">
        <v>10</v>
      </c>
      <c r="M1391" s="43" t="s">
        <v>598</v>
      </c>
      <c r="N1391" s="51"/>
      <c r="O1391" s="51"/>
      <c r="P1391" s="43" t="str">
        <f>VLOOKUP(K1391,Maestro!J:K,2,0)</f>
        <v>CEMENTO TOPEX 50 KG</v>
      </c>
      <c r="Q1391" s="43" t="str">
        <f>VLOOKUP(P1391,Maestro!E:F,2,0)</f>
        <v>CEMENTO TOPEX 50 KG</v>
      </c>
      <c r="R1391" s="43">
        <v>14</v>
      </c>
      <c r="S1391" t="str">
        <f t="shared" si="35"/>
        <v>7405050003ENERGIACEMENTO TOPEX 50 KG</v>
      </c>
      <c r="T1391" t="str">
        <f>IFERROR(VLOOKUP(S1391,Maestro!$A:$H,8,0),"Producción")</f>
        <v>Energía</v>
      </c>
      <c r="U1391" s="43" t="s">
        <v>182</v>
      </c>
    </row>
    <row r="1392" spans="1:21" x14ac:dyDescent="0.3">
      <c r="A1392" s="41">
        <v>7405050003</v>
      </c>
      <c r="B1392" s="43" t="s">
        <v>688</v>
      </c>
      <c r="C1392" s="50">
        <f>Datos!$R$356*D1392</f>
        <v>37847557.370878473</v>
      </c>
      <c r="D1392" s="17">
        <f>Datos!$R$269*Datos!$R$361</f>
        <v>71629.257425742573</v>
      </c>
      <c r="E1392" s="43" t="s">
        <v>556</v>
      </c>
      <c r="F1392" s="43" t="s">
        <v>557</v>
      </c>
      <c r="G1392" s="43" t="s">
        <v>567</v>
      </c>
      <c r="H1392" s="43" t="s">
        <v>568</v>
      </c>
      <c r="I1392" s="43" t="s">
        <v>560</v>
      </c>
      <c r="J1392" s="41" t="s">
        <v>797</v>
      </c>
      <c r="K1392" s="43">
        <v>700080</v>
      </c>
      <c r="L1392" s="43">
        <v>11</v>
      </c>
      <c r="M1392" s="43" t="s">
        <v>598</v>
      </c>
      <c r="N1392" s="51"/>
      <c r="O1392" s="51"/>
      <c r="P1392" s="43" t="str">
        <f>VLOOKUP(K1392,Maestro!J:K,2,0)</f>
        <v>CEMENTO TOPEX 50 KG</v>
      </c>
      <c r="Q1392" s="43" t="str">
        <f>VLOOKUP(P1392,Maestro!E:F,2,0)</f>
        <v>CEMENTO TOPEX 50 KG</v>
      </c>
      <c r="R1392" s="43">
        <v>14</v>
      </c>
      <c r="S1392" t="str">
        <f t="shared" si="35"/>
        <v>7405050003ENERGIACEMENTO TOPEX 50 KG</v>
      </c>
      <c r="T1392" t="str">
        <f>IFERROR(VLOOKUP(S1392,Maestro!$A:$H,8,0),"Producción")</f>
        <v>Energía</v>
      </c>
      <c r="U1392" s="43" t="s">
        <v>182</v>
      </c>
    </row>
    <row r="1393" spans="1:21" x14ac:dyDescent="0.3">
      <c r="A1393" s="41">
        <v>7405050003</v>
      </c>
      <c r="B1393" s="43" t="s">
        <v>688</v>
      </c>
      <c r="C1393" s="50">
        <f>Datos!$S$356*D1393</f>
        <v>31941006.225757435</v>
      </c>
      <c r="D1393" s="17">
        <f>Datos!$S$269*Datos!$S$361</f>
        <v>60369.552948683064</v>
      </c>
      <c r="E1393" s="43" t="s">
        <v>556</v>
      </c>
      <c r="F1393" s="43" t="s">
        <v>557</v>
      </c>
      <c r="G1393" s="43" t="s">
        <v>567</v>
      </c>
      <c r="H1393" s="43" t="s">
        <v>568</v>
      </c>
      <c r="I1393" s="43" t="s">
        <v>560</v>
      </c>
      <c r="J1393" s="41" t="s">
        <v>797</v>
      </c>
      <c r="K1393" s="43">
        <v>700080</v>
      </c>
      <c r="L1393" s="43">
        <v>12</v>
      </c>
      <c r="M1393" s="43" t="s">
        <v>598</v>
      </c>
      <c r="N1393" s="51"/>
      <c r="O1393" s="51"/>
      <c r="P1393" s="43" t="str">
        <f>VLOOKUP(K1393,Maestro!J:K,2,0)</f>
        <v>CEMENTO TOPEX 50 KG</v>
      </c>
      <c r="Q1393" s="43" t="str">
        <f>VLOOKUP(P1393,Maestro!E:F,2,0)</f>
        <v>CEMENTO TOPEX 50 KG</v>
      </c>
      <c r="R1393" s="43">
        <v>14</v>
      </c>
      <c r="S1393" t="str">
        <f t="shared" si="35"/>
        <v>7405050003ENERGIACEMENTO TOPEX 50 KG</v>
      </c>
      <c r="T1393" t="str">
        <f>IFERROR(VLOOKUP(S1393,Maestro!$A:$H,8,0),"Producción")</f>
        <v>Energía</v>
      </c>
      <c r="U1393" s="43" t="s">
        <v>182</v>
      </c>
    </row>
    <row r="1394" spans="1:21" x14ac:dyDescent="0.3">
      <c r="A1394" s="41">
        <v>7405050003</v>
      </c>
      <c r="B1394" s="43" t="s">
        <v>688</v>
      </c>
      <c r="C1394" s="50">
        <f>Datos!$H$356*D1394</f>
        <v>50814893.040165029</v>
      </c>
      <c r="D1394" s="17">
        <f>Datos!$H$254*Datos!$H$369</f>
        <v>97465.656041455033</v>
      </c>
      <c r="E1394" s="43" t="s">
        <v>556</v>
      </c>
      <c r="F1394" s="43" t="s">
        <v>557</v>
      </c>
      <c r="G1394" s="43" t="s">
        <v>567</v>
      </c>
      <c r="H1394" s="43" t="s">
        <v>568</v>
      </c>
      <c r="I1394" s="43" t="s">
        <v>560</v>
      </c>
      <c r="J1394" s="41" t="s">
        <v>797</v>
      </c>
      <c r="K1394" s="43">
        <v>700064</v>
      </c>
      <c r="L1394" s="43">
        <v>1</v>
      </c>
      <c r="M1394" s="43" t="s">
        <v>468</v>
      </c>
      <c r="N1394" s="51"/>
      <c r="O1394" s="51"/>
      <c r="P1394" s="43" t="str">
        <f>VLOOKUP(K1394,Maestro!J:K,2,0)</f>
        <v>FIBROCEMENTO</v>
      </c>
      <c r="Q1394" s="43" t="str">
        <f>VLOOKUP(P1394,Maestro!E:F,2,0)</f>
        <v>Fibrocemento</v>
      </c>
      <c r="R1394" s="43">
        <v>16</v>
      </c>
      <c r="S1394" t="str">
        <f t="shared" ref="S1394" si="36">A1394&amp;J1394&amp;Q1394</f>
        <v>7405050003ENERGIAFibrocemento</v>
      </c>
      <c r="T1394" t="str">
        <f>IFERROR(VLOOKUP(S1394,Maestro!$A:$H,8,0),"Producción")</f>
        <v>Energía</v>
      </c>
      <c r="U1394" s="43" t="s">
        <v>182</v>
      </c>
    </row>
    <row r="1395" spans="1:21" x14ac:dyDescent="0.3">
      <c r="A1395" s="41">
        <v>7405050003</v>
      </c>
      <c r="B1395" s="43" t="s">
        <v>688</v>
      </c>
      <c r="C1395" s="50">
        <f>Datos!$I$356*D1395</f>
        <v>51548188.082968004</v>
      </c>
      <c r="D1395" s="17">
        <f>Datos!$I$254*Datos!$I$369</f>
        <v>98740.469503699569</v>
      </c>
      <c r="E1395" s="43" t="s">
        <v>556</v>
      </c>
      <c r="F1395" s="43" t="s">
        <v>557</v>
      </c>
      <c r="G1395" s="43" t="s">
        <v>567</v>
      </c>
      <c r="H1395" s="43" t="s">
        <v>568</v>
      </c>
      <c r="I1395" s="43" t="s">
        <v>560</v>
      </c>
      <c r="J1395" s="41" t="s">
        <v>797</v>
      </c>
      <c r="K1395" s="43">
        <v>700064</v>
      </c>
      <c r="L1395" s="43">
        <v>2</v>
      </c>
      <c r="M1395" s="43" t="s">
        <v>468</v>
      </c>
      <c r="N1395" s="51"/>
      <c r="O1395" s="51"/>
      <c r="P1395" s="43" t="str">
        <f>VLOOKUP(K1395,Maestro!J:K,2,0)</f>
        <v>FIBROCEMENTO</v>
      </c>
      <c r="Q1395" s="43" t="str">
        <f>VLOOKUP(P1395,Maestro!E:F,2,0)</f>
        <v>Fibrocemento</v>
      </c>
      <c r="R1395" s="43">
        <v>16</v>
      </c>
      <c r="S1395" t="str">
        <f t="shared" ref="S1395:S1406" si="37">A1395&amp;J1395&amp;Q1395</f>
        <v>7405050003ENERGIAFibrocemento</v>
      </c>
      <c r="T1395" t="str">
        <f>IFERROR(VLOOKUP(S1395,Maestro!$A:$H,8,0),"Producción")</f>
        <v>Energía</v>
      </c>
      <c r="U1395" s="43" t="s">
        <v>182</v>
      </c>
    </row>
    <row r="1396" spans="1:21" x14ac:dyDescent="0.3">
      <c r="A1396" s="41">
        <v>7405050003</v>
      </c>
      <c r="B1396" s="43" t="s">
        <v>688</v>
      </c>
      <c r="C1396" s="50">
        <f>Datos!$J$356*D1396</f>
        <v>52293733.802478261</v>
      </c>
      <c r="D1396" s="17">
        <f>Datos!$J$254*Datos!$J$369</f>
        <v>100035.04721978387</v>
      </c>
      <c r="E1396" s="43" t="s">
        <v>556</v>
      </c>
      <c r="F1396" s="43" t="s">
        <v>557</v>
      </c>
      <c r="G1396" s="43" t="s">
        <v>567</v>
      </c>
      <c r="H1396" s="43" t="s">
        <v>568</v>
      </c>
      <c r="I1396" s="43" t="s">
        <v>560</v>
      </c>
      <c r="J1396" s="41" t="s">
        <v>797</v>
      </c>
      <c r="K1396" s="43">
        <v>700064</v>
      </c>
      <c r="L1396" s="43">
        <v>3</v>
      </c>
      <c r="M1396" s="43" t="s">
        <v>468</v>
      </c>
      <c r="N1396" s="51"/>
      <c r="O1396" s="51"/>
      <c r="P1396" s="43" t="str">
        <f>VLOOKUP(K1396,Maestro!J:K,2,0)</f>
        <v>FIBROCEMENTO</v>
      </c>
      <c r="Q1396" s="43" t="str">
        <f>VLOOKUP(P1396,Maestro!E:F,2,0)</f>
        <v>Fibrocemento</v>
      </c>
      <c r="R1396" s="43">
        <v>16</v>
      </c>
      <c r="S1396" t="str">
        <f t="shared" si="37"/>
        <v>7405050003ENERGIAFibrocemento</v>
      </c>
      <c r="T1396" t="str">
        <f>IFERROR(VLOOKUP(S1396,Maestro!$A:$H,8,0),"Producción")</f>
        <v>Energía</v>
      </c>
      <c r="U1396" s="43" t="s">
        <v>182</v>
      </c>
    </row>
    <row r="1397" spans="1:21" x14ac:dyDescent="0.3">
      <c r="A1397" s="41">
        <v>7405050003</v>
      </c>
      <c r="B1397" s="43" t="s">
        <v>688</v>
      </c>
      <c r="C1397" s="50">
        <f>Datos!$K$356*D1397</f>
        <v>47955627.023893662</v>
      </c>
      <c r="D1397" s="17">
        <f>Datos!$K$254*Datos!$K$369</f>
        <v>91614.11849867132</v>
      </c>
      <c r="E1397" s="43" t="s">
        <v>556</v>
      </c>
      <c r="F1397" s="43" t="s">
        <v>557</v>
      </c>
      <c r="G1397" s="43" t="s">
        <v>567</v>
      </c>
      <c r="H1397" s="43" t="s">
        <v>568</v>
      </c>
      <c r="I1397" s="43" t="s">
        <v>560</v>
      </c>
      <c r="J1397" s="41" t="s">
        <v>797</v>
      </c>
      <c r="K1397" s="43">
        <v>700064</v>
      </c>
      <c r="L1397" s="43">
        <v>4</v>
      </c>
      <c r="M1397" s="43" t="s">
        <v>468</v>
      </c>
      <c r="N1397" s="51"/>
      <c r="O1397" s="51"/>
      <c r="P1397" s="43" t="str">
        <f>VLOOKUP(K1397,Maestro!J:K,2,0)</f>
        <v>FIBROCEMENTO</v>
      </c>
      <c r="Q1397" s="43" t="str">
        <f>VLOOKUP(P1397,Maestro!E:F,2,0)</f>
        <v>Fibrocemento</v>
      </c>
      <c r="R1397" s="43">
        <v>16</v>
      </c>
      <c r="S1397" t="str">
        <f t="shared" si="37"/>
        <v>7405050003ENERGIAFibrocemento</v>
      </c>
      <c r="T1397" t="str">
        <f>IFERROR(VLOOKUP(S1397,Maestro!$A:$H,8,0),"Producción")</f>
        <v>Energía</v>
      </c>
      <c r="U1397" s="43" t="s">
        <v>182</v>
      </c>
    </row>
    <row r="1398" spans="1:21" x14ac:dyDescent="0.3">
      <c r="A1398" s="41">
        <v>7405050003</v>
      </c>
      <c r="B1398" s="43" t="s">
        <v>688</v>
      </c>
      <c r="C1398" s="50">
        <f>Datos!$L$356*D1398</f>
        <v>47552669.484637506</v>
      </c>
      <c r="D1398" s="17">
        <f>Datos!$L$254*Datos!$L$369</f>
        <v>90723.040573783437</v>
      </c>
      <c r="E1398" s="43" t="s">
        <v>556</v>
      </c>
      <c r="F1398" s="43" t="s">
        <v>557</v>
      </c>
      <c r="G1398" s="43" t="s">
        <v>567</v>
      </c>
      <c r="H1398" s="43" t="s">
        <v>568</v>
      </c>
      <c r="I1398" s="43" t="s">
        <v>560</v>
      </c>
      <c r="J1398" s="41" t="s">
        <v>797</v>
      </c>
      <c r="K1398" s="43">
        <v>700064</v>
      </c>
      <c r="L1398" s="43">
        <v>5</v>
      </c>
      <c r="M1398" s="43" t="s">
        <v>468</v>
      </c>
      <c r="N1398" s="51"/>
      <c r="O1398" s="51"/>
      <c r="P1398" s="43" t="str">
        <f>VLOOKUP(K1398,Maestro!J:K,2,0)</f>
        <v>FIBROCEMENTO</v>
      </c>
      <c r="Q1398" s="43" t="str">
        <f>VLOOKUP(P1398,Maestro!E:F,2,0)</f>
        <v>Fibrocemento</v>
      </c>
      <c r="R1398" s="43">
        <v>16</v>
      </c>
      <c r="S1398" t="str">
        <f t="shared" si="37"/>
        <v>7405050003ENERGIAFibrocemento</v>
      </c>
      <c r="T1398" t="str">
        <f>IFERROR(VLOOKUP(S1398,Maestro!$A:$H,8,0),"Producción")</f>
        <v>Energía</v>
      </c>
      <c r="U1398" s="43" t="s">
        <v>182</v>
      </c>
    </row>
    <row r="1399" spans="1:21" x14ac:dyDescent="0.3">
      <c r="A1399" s="41">
        <v>7405050003</v>
      </c>
      <c r="B1399" s="43" t="s">
        <v>688</v>
      </c>
      <c r="C1399" s="50">
        <f>Datos!$M$356*D1399</f>
        <v>47838536.21911715</v>
      </c>
      <c r="D1399" s="17">
        <f>Datos!$M$254*Datos!$M$369</f>
        <v>91146.500126545987</v>
      </c>
      <c r="E1399" s="43" t="s">
        <v>556</v>
      </c>
      <c r="F1399" s="43" t="s">
        <v>557</v>
      </c>
      <c r="G1399" s="43" t="s">
        <v>567</v>
      </c>
      <c r="H1399" s="43" t="s">
        <v>568</v>
      </c>
      <c r="I1399" s="43" t="s">
        <v>560</v>
      </c>
      <c r="J1399" s="41" t="s">
        <v>797</v>
      </c>
      <c r="K1399" s="43">
        <v>700064</v>
      </c>
      <c r="L1399" s="43">
        <v>6</v>
      </c>
      <c r="M1399" s="43" t="s">
        <v>468</v>
      </c>
      <c r="N1399" s="51"/>
      <c r="O1399" s="51"/>
      <c r="P1399" s="43" t="str">
        <f>VLOOKUP(K1399,Maestro!J:K,2,0)</f>
        <v>FIBROCEMENTO</v>
      </c>
      <c r="Q1399" s="43" t="str">
        <f>VLOOKUP(P1399,Maestro!E:F,2,0)</f>
        <v>Fibrocemento</v>
      </c>
      <c r="R1399" s="43">
        <v>16</v>
      </c>
      <c r="S1399" t="str">
        <f t="shared" si="37"/>
        <v>7405050003ENERGIAFibrocemento</v>
      </c>
      <c r="T1399" t="str">
        <f>IFERROR(VLOOKUP(S1399,Maestro!$A:$H,8,0),"Producción")</f>
        <v>Energía</v>
      </c>
      <c r="U1399" s="43" t="s">
        <v>182</v>
      </c>
    </row>
    <row r="1400" spans="1:21" x14ac:dyDescent="0.3">
      <c r="A1400" s="41">
        <v>7405050003</v>
      </c>
      <c r="B1400" s="43" t="s">
        <v>688</v>
      </c>
      <c r="C1400" s="50">
        <f>Datos!$N$356*D1400</f>
        <v>55599648.325292319</v>
      </c>
      <c r="D1400" s="17">
        <f>Datos!$N$254*Datos!$N$369</f>
        <v>105792.07543879181</v>
      </c>
      <c r="E1400" s="43" t="s">
        <v>556</v>
      </c>
      <c r="F1400" s="43" t="s">
        <v>557</v>
      </c>
      <c r="G1400" s="43" t="s">
        <v>567</v>
      </c>
      <c r="H1400" s="43" t="s">
        <v>568</v>
      </c>
      <c r="I1400" s="43" t="s">
        <v>560</v>
      </c>
      <c r="J1400" s="41" t="s">
        <v>797</v>
      </c>
      <c r="K1400" s="43">
        <v>700064</v>
      </c>
      <c r="L1400" s="43">
        <v>7</v>
      </c>
      <c r="M1400" s="43" t="s">
        <v>468</v>
      </c>
      <c r="N1400" s="51"/>
      <c r="O1400" s="51"/>
      <c r="P1400" s="43" t="str">
        <f>VLOOKUP(K1400,Maestro!J:K,2,0)</f>
        <v>FIBROCEMENTO</v>
      </c>
      <c r="Q1400" s="43" t="str">
        <f>VLOOKUP(P1400,Maestro!E:F,2,0)</f>
        <v>Fibrocemento</v>
      </c>
      <c r="R1400" s="43">
        <v>16</v>
      </c>
      <c r="S1400" t="str">
        <f t="shared" si="37"/>
        <v>7405050003ENERGIAFibrocemento</v>
      </c>
      <c r="T1400" t="str">
        <f>IFERROR(VLOOKUP(S1400,Maestro!$A:$H,8,0),"Producción")</f>
        <v>Energía</v>
      </c>
      <c r="U1400" s="43" t="s">
        <v>182</v>
      </c>
    </row>
    <row r="1401" spans="1:21" x14ac:dyDescent="0.3">
      <c r="A1401" s="41">
        <v>7405050003</v>
      </c>
      <c r="B1401" s="43" t="s">
        <v>688</v>
      </c>
      <c r="C1401" s="50">
        <f>Datos!$O$356*D1401</f>
        <v>50588012.548026212</v>
      </c>
      <c r="D1401" s="17">
        <f>Datos!$O$254*Datos!$O$369</f>
        <v>96127.411260119829</v>
      </c>
      <c r="E1401" s="43" t="s">
        <v>556</v>
      </c>
      <c r="F1401" s="43" t="s">
        <v>557</v>
      </c>
      <c r="G1401" s="43" t="s">
        <v>567</v>
      </c>
      <c r="H1401" s="43" t="s">
        <v>568</v>
      </c>
      <c r="I1401" s="43" t="s">
        <v>560</v>
      </c>
      <c r="J1401" s="41" t="s">
        <v>797</v>
      </c>
      <c r="K1401" s="43">
        <v>700064</v>
      </c>
      <c r="L1401" s="43">
        <v>8</v>
      </c>
      <c r="M1401" s="43" t="s">
        <v>468</v>
      </c>
      <c r="N1401" s="51"/>
      <c r="O1401" s="51"/>
      <c r="P1401" s="43" t="str">
        <f>VLOOKUP(K1401,Maestro!J:K,2,0)</f>
        <v>FIBROCEMENTO</v>
      </c>
      <c r="Q1401" s="43" t="str">
        <f>VLOOKUP(P1401,Maestro!E:F,2,0)</f>
        <v>Fibrocemento</v>
      </c>
      <c r="R1401" s="43">
        <v>16</v>
      </c>
      <c r="S1401" t="str">
        <f t="shared" si="37"/>
        <v>7405050003ENERGIAFibrocemento</v>
      </c>
      <c r="T1401" t="str">
        <f>IFERROR(VLOOKUP(S1401,Maestro!$A:$H,8,0),"Producción")</f>
        <v>Energía</v>
      </c>
      <c r="U1401" s="43" t="s">
        <v>182</v>
      </c>
    </row>
    <row r="1402" spans="1:21" x14ac:dyDescent="0.3">
      <c r="A1402" s="41">
        <v>7405050003</v>
      </c>
      <c r="B1402" s="43" t="s">
        <v>688</v>
      </c>
      <c r="C1402" s="50">
        <f>Datos!$P$356*D1402</f>
        <v>53548845.002549417</v>
      </c>
      <c r="D1402" s="17">
        <f>Datos!$P$254*Datos!$P$369</f>
        <v>101617.34238039982</v>
      </c>
      <c r="E1402" s="43" t="s">
        <v>556</v>
      </c>
      <c r="F1402" s="43" t="s">
        <v>557</v>
      </c>
      <c r="G1402" s="43" t="s">
        <v>567</v>
      </c>
      <c r="H1402" s="43" t="s">
        <v>568</v>
      </c>
      <c r="I1402" s="43" t="s">
        <v>560</v>
      </c>
      <c r="J1402" s="41" t="s">
        <v>797</v>
      </c>
      <c r="K1402" s="43">
        <v>700064</v>
      </c>
      <c r="L1402" s="43">
        <v>9</v>
      </c>
      <c r="M1402" s="43" t="s">
        <v>468</v>
      </c>
      <c r="N1402" s="51"/>
      <c r="O1402" s="51"/>
      <c r="P1402" s="43" t="str">
        <f>VLOOKUP(K1402,Maestro!J:K,2,0)</f>
        <v>FIBROCEMENTO</v>
      </c>
      <c r="Q1402" s="43" t="str">
        <f>VLOOKUP(P1402,Maestro!E:F,2,0)</f>
        <v>Fibrocemento</v>
      </c>
      <c r="R1402" s="43">
        <v>16</v>
      </c>
      <c r="S1402" t="str">
        <f t="shared" si="37"/>
        <v>7405050003ENERGIAFibrocemento</v>
      </c>
      <c r="T1402" t="str">
        <f>IFERROR(VLOOKUP(S1402,Maestro!$A:$H,8,0),"Producción")</f>
        <v>Energía</v>
      </c>
      <c r="U1402" s="43" t="s">
        <v>182</v>
      </c>
    </row>
    <row r="1403" spans="1:21" x14ac:dyDescent="0.3">
      <c r="A1403" s="41">
        <v>7405050003</v>
      </c>
      <c r="B1403" s="43" t="s">
        <v>688</v>
      </c>
      <c r="C1403" s="50">
        <f>Datos!$Q$356*D1403</f>
        <v>56520118.635499999</v>
      </c>
      <c r="D1403" s="17">
        <f>Datos!$Q$254*Datos!$Q$369</f>
        <v>107112.07775826524</v>
      </c>
      <c r="E1403" s="43" t="s">
        <v>556</v>
      </c>
      <c r="F1403" s="43" t="s">
        <v>557</v>
      </c>
      <c r="G1403" s="43" t="s">
        <v>567</v>
      </c>
      <c r="H1403" s="43" t="s">
        <v>568</v>
      </c>
      <c r="I1403" s="43" t="s">
        <v>560</v>
      </c>
      <c r="J1403" s="41" t="s">
        <v>797</v>
      </c>
      <c r="K1403" s="43">
        <v>700064</v>
      </c>
      <c r="L1403" s="43">
        <v>10</v>
      </c>
      <c r="M1403" s="43" t="s">
        <v>468</v>
      </c>
      <c r="N1403" s="51"/>
      <c r="O1403" s="51"/>
      <c r="P1403" s="43" t="str">
        <f>VLOOKUP(K1403,Maestro!J:K,2,0)</f>
        <v>FIBROCEMENTO</v>
      </c>
      <c r="Q1403" s="43" t="str">
        <f>VLOOKUP(P1403,Maestro!E:F,2,0)</f>
        <v>Fibrocemento</v>
      </c>
      <c r="R1403" s="43">
        <v>16</v>
      </c>
      <c r="S1403" t="str">
        <f t="shared" si="37"/>
        <v>7405050003ENERGIAFibrocemento</v>
      </c>
      <c r="T1403" t="str">
        <f>IFERROR(VLOOKUP(S1403,Maestro!$A:$H,8,0),"Producción")</f>
        <v>Energía</v>
      </c>
      <c r="U1403" s="43" t="s">
        <v>182</v>
      </c>
    </row>
    <row r="1404" spans="1:21" x14ac:dyDescent="0.3">
      <c r="A1404" s="41">
        <v>7405050003</v>
      </c>
      <c r="B1404" s="43" t="s">
        <v>688</v>
      </c>
      <c r="C1404" s="50">
        <f>Datos!$R$356*D1404</f>
        <v>52419408.798136801</v>
      </c>
      <c r="D1404" s="17">
        <f>Datos!$R$254*Datos!$R$369</f>
        <v>99207.547005293687</v>
      </c>
      <c r="E1404" s="43" t="s">
        <v>556</v>
      </c>
      <c r="F1404" s="43" t="s">
        <v>557</v>
      </c>
      <c r="G1404" s="43" t="s">
        <v>567</v>
      </c>
      <c r="H1404" s="43" t="s">
        <v>568</v>
      </c>
      <c r="I1404" s="43" t="s">
        <v>560</v>
      </c>
      <c r="J1404" s="41" t="s">
        <v>797</v>
      </c>
      <c r="K1404" s="43">
        <v>700064</v>
      </c>
      <c r="L1404" s="43">
        <v>11</v>
      </c>
      <c r="M1404" s="43" t="s">
        <v>468</v>
      </c>
      <c r="N1404" s="51"/>
      <c r="O1404" s="51"/>
      <c r="P1404" s="43" t="str">
        <f>VLOOKUP(K1404,Maestro!J:K,2,0)</f>
        <v>FIBROCEMENTO</v>
      </c>
      <c r="Q1404" s="43" t="str">
        <f>VLOOKUP(P1404,Maestro!E:F,2,0)</f>
        <v>Fibrocemento</v>
      </c>
      <c r="R1404" s="43">
        <v>16</v>
      </c>
      <c r="S1404" t="str">
        <f t="shared" si="37"/>
        <v>7405050003ENERGIAFibrocemento</v>
      </c>
      <c r="T1404" t="str">
        <f>IFERROR(VLOOKUP(S1404,Maestro!$A:$H,8,0),"Producción")</f>
        <v>Energía</v>
      </c>
      <c r="U1404" s="43" t="s">
        <v>182</v>
      </c>
    </row>
    <row r="1405" spans="1:21" x14ac:dyDescent="0.3">
      <c r="A1405" s="41">
        <v>7405050003</v>
      </c>
      <c r="B1405" s="43" t="s">
        <v>688</v>
      </c>
      <c r="C1405" s="50">
        <f>Datos!$S$356*D1405</f>
        <v>50052610.79290247</v>
      </c>
      <c r="D1405" s="17">
        <f>Datos!$S$254*Datos!$S$369</f>
        <v>94601.081635470517</v>
      </c>
      <c r="E1405" s="43" t="s">
        <v>556</v>
      </c>
      <c r="F1405" s="43" t="s">
        <v>557</v>
      </c>
      <c r="G1405" s="43" t="s">
        <v>567</v>
      </c>
      <c r="H1405" s="43" t="s">
        <v>568</v>
      </c>
      <c r="I1405" s="43" t="s">
        <v>560</v>
      </c>
      <c r="J1405" s="41" t="s">
        <v>797</v>
      </c>
      <c r="K1405" s="43">
        <v>700064</v>
      </c>
      <c r="L1405" s="43">
        <v>12</v>
      </c>
      <c r="M1405" s="43" t="s">
        <v>468</v>
      </c>
      <c r="N1405" s="51"/>
      <c r="O1405" s="51"/>
      <c r="P1405" s="43" t="str">
        <f>VLOOKUP(K1405,Maestro!J:K,2,0)</f>
        <v>FIBROCEMENTO</v>
      </c>
      <c r="Q1405" s="43" t="str">
        <f>VLOOKUP(P1405,Maestro!E:F,2,0)</f>
        <v>Fibrocemento</v>
      </c>
      <c r="R1405" s="43">
        <v>16</v>
      </c>
      <c r="S1405" t="str">
        <f t="shared" si="37"/>
        <v>7405050003ENERGIAFibrocemento</v>
      </c>
      <c r="T1405" t="str">
        <f>IFERROR(VLOOKUP(S1405,Maestro!$A:$H,8,0),"Producción")</f>
        <v>Energía</v>
      </c>
      <c r="U1405" s="43" t="s">
        <v>182</v>
      </c>
    </row>
    <row r="1406" spans="1:21" x14ac:dyDescent="0.3">
      <c r="A1406" s="41">
        <v>7405050003</v>
      </c>
      <c r="B1406" s="43" t="s">
        <v>688</v>
      </c>
      <c r="C1406" s="50">
        <f>Datos!$H$356*D1406</f>
        <v>6914586.9482528334</v>
      </c>
      <c r="D1406" s="17">
        <f>Datos!$H$275*Datos!$H$364</f>
        <v>13262.543967857109</v>
      </c>
      <c r="E1406" s="43" t="s">
        <v>556</v>
      </c>
      <c r="F1406" s="43" t="s">
        <v>557</v>
      </c>
      <c r="G1406" s="43" t="s">
        <v>567</v>
      </c>
      <c r="H1406" s="43" t="s">
        <v>568</v>
      </c>
      <c r="I1406" s="43" t="s">
        <v>560</v>
      </c>
      <c r="J1406" s="41" t="s">
        <v>797</v>
      </c>
      <c r="K1406" s="43">
        <v>700120</v>
      </c>
      <c r="L1406" s="43">
        <v>1</v>
      </c>
      <c r="M1406" s="43" t="s">
        <v>526</v>
      </c>
      <c r="N1406" s="51"/>
      <c r="O1406" s="51"/>
      <c r="P1406" s="43" t="str">
        <f>VLOOKUP(K1406,Maestro!J:K,2,0)</f>
        <v>COMBUSTIBLES ALTERNOS</v>
      </c>
      <c r="Q1406" s="43" t="str">
        <f>VLOOKUP(P1406,Maestro!E:F,2,0)</f>
        <v>COMBUSTIBLES ALTERNOS</v>
      </c>
      <c r="R1406" s="43">
        <v>20</v>
      </c>
      <c r="S1406" t="str">
        <f t="shared" si="37"/>
        <v>7405050003ENERGIACOMBUSTIBLES ALTERNOS</v>
      </c>
      <c r="T1406" t="str">
        <f>IFERROR(VLOOKUP(S1406,Maestro!$A:$H,8,0),"Producción")</f>
        <v>Energía</v>
      </c>
      <c r="U1406" s="43" t="s">
        <v>182</v>
      </c>
    </row>
    <row r="1407" spans="1:21" x14ac:dyDescent="0.3">
      <c r="A1407" s="41">
        <v>7405050003</v>
      </c>
      <c r="B1407" s="43" t="s">
        <v>688</v>
      </c>
      <c r="C1407" s="50">
        <f>Datos!$I$356*D1407</f>
        <v>7009287.7082246933</v>
      </c>
      <c r="D1407" s="17">
        <f>Datos!$I$275*Datos!$I$364</f>
        <v>13426.279078571395</v>
      </c>
      <c r="E1407" s="43" t="s">
        <v>556</v>
      </c>
      <c r="F1407" s="43" t="s">
        <v>557</v>
      </c>
      <c r="G1407" s="43" t="s">
        <v>567</v>
      </c>
      <c r="H1407" s="43" t="s">
        <v>568</v>
      </c>
      <c r="I1407" s="43" t="s">
        <v>560</v>
      </c>
      <c r="J1407" s="41" t="s">
        <v>797</v>
      </c>
      <c r="K1407" s="43">
        <v>700120</v>
      </c>
      <c r="L1407" s="43">
        <v>2</v>
      </c>
      <c r="M1407" s="43" t="s">
        <v>526</v>
      </c>
      <c r="N1407" s="51"/>
      <c r="O1407" s="51"/>
      <c r="P1407" s="43" t="str">
        <f>VLOOKUP(K1407,Maestro!J:K,2,0)</f>
        <v>COMBUSTIBLES ALTERNOS</v>
      </c>
      <c r="Q1407" s="43" t="str">
        <f>VLOOKUP(P1407,Maestro!E:F,2,0)</f>
        <v>COMBUSTIBLES ALTERNOS</v>
      </c>
      <c r="R1407" s="43">
        <v>20</v>
      </c>
      <c r="S1407" t="str">
        <f t="shared" ref="S1407:S1430" si="38">A1407&amp;J1407&amp;Q1407</f>
        <v>7405050003ENERGIACOMBUSTIBLES ALTERNOS</v>
      </c>
      <c r="T1407" t="str">
        <f>IFERROR(VLOOKUP(S1407,Maestro!$A:$H,8,0),"Producción")</f>
        <v>Energía</v>
      </c>
      <c r="U1407" s="43" t="s">
        <v>182</v>
      </c>
    </row>
    <row r="1408" spans="1:21" x14ac:dyDescent="0.3">
      <c r="A1408" s="41">
        <v>7405050003</v>
      </c>
      <c r="B1408" s="43" t="s">
        <v>688</v>
      </c>
      <c r="C1408" s="50">
        <f>Datos!$J$356*D1408</f>
        <v>4878812.6792703737</v>
      </c>
      <c r="D1408" s="17">
        <f>Datos!$J$275*Datos!$J$364</f>
        <v>9332.9013107142619</v>
      </c>
      <c r="E1408" s="43" t="s">
        <v>556</v>
      </c>
      <c r="F1408" s="43" t="s">
        <v>557</v>
      </c>
      <c r="G1408" s="43" t="s">
        <v>567</v>
      </c>
      <c r="H1408" s="43" t="s">
        <v>568</v>
      </c>
      <c r="I1408" s="43" t="s">
        <v>560</v>
      </c>
      <c r="J1408" s="41" t="s">
        <v>797</v>
      </c>
      <c r="K1408" s="43">
        <v>700120</v>
      </c>
      <c r="L1408" s="43">
        <v>3</v>
      </c>
      <c r="M1408" s="43" t="s">
        <v>526</v>
      </c>
      <c r="N1408" s="51"/>
      <c r="O1408" s="51"/>
      <c r="P1408" s="43" t="str">
        <f>VLOOKUP(K1408,Maestro!J:K,2,0)</f>
        <v>COMBUSTIBLES ALTERNOS</v>
      </c>
      <c r="Q1408" s="43" t="str">
        <f>VLOOKUP(P1408,Maestro!E:F,2,0)</f>
        <v>COMBUSTIBLES ALTERNOS</v>
      </c>
      <c r="R1408" s="43">
        <v>20</v>
      </c>
      <c r="S1408" t="str">
        <f t="shared" si="38"/>
        <v>7405050003ENERGIACOMBUSTIBLES ALTERNOS</v>
      </c>
      <c r="T1408" t="str">
        <f>IFERROR(VLOOKUP(S1408,Maestro!$A:$H,8,0),"Producción")</f>
        <v>Energía</v>
      </c>
      <c r="U1408" s="43" t="s">
        <v>182</v>
      </c>
    </row>
    <row r="1409" spans="1:21" x14ac:dyDescent="0.3">
      <c r="A1409" s="41">
        <v>7405050003</v>
      </c>
      <c r="B1409" s="43" t="s">
        <v>688</v>
      </c>
      <c r="C1409" s="50">
        <f>Datos!$K$356*D1409</f>
        <v>5142451.859258404</v>
      </c>
      <c r="D1409" s="17">
        <f>Datos!$K$275*Datos!$K$364</f>
        <v>9824.1066428571175</v>
      </c>
      <c r="E1409" s="43" t="s">
        <v>556</v>
      </c>
      <c r="F1409" s="43" t="s">
        <v>557</v>
      </c>
      <c r="G1409" s="43" t="s">
        <v>567</v>
      </c>
      <c r="H1409" s="43" t="s">
        <v>568</v>
      </c>
      <c r="I1409" s="43" t="s">
        <v>560</v>
      </c>
      <c r="J1409" s="41" t="s">
        <v>797</v>
      </c>
      <c r="K1409" s="43">
        <v>700120</v>
      </c>
      <c r="L1409" s="43">
        <v>4</v>
      </c>
      <c r="M1409" s="43" t="s">
        <v>526</v>
      </c>
      <c r="N1409" s="51"/>
      <c r="O1409" s="51"/>
      <c r="P1409" s="43" t="str">
        <f>VLOOKUP(K1409,Maestro!J:K,2,0)</f>
        <v>COMBUSTIBLES ALTERNOS</v>
      </c>
      <c r="Q1409" s="43" t="str">
        <f>VLOOKUP(P1409,Maestro!E:F,2,0)</f>
        <v>COMBUSTIBLES ALTERNOS</v>
      </c>
      <c r="R1409" s="43">
        <v>20</v>
      </c>
      <c r="S1409" t="str">
        <f t="shared" si="38"/>
        <v>7405050003ENERGIACOMBUSTIBLES ALTERNOS</v>
      </c>
      <c r="T1409" t="str">
        <f>IFERROR(VLOOKUP(S1409,Maestro!$A:$H,8,0),"Producción")</f>
        <v>Energía</v>
      </c>
      <c r="U1409" s="43" t="s">
        <v>182</v>
      </c>
    </row>
    <row r="1410" spans="1:21" x14ac:dyDescent="0.3">
      <c r="A1410" s="41">
        <v>7405050003</v>
      </c>
      <c r="B1410" s="43" t="s">
        <v>688</v>
      </c>
      <c r="C1410" s="50">
        <f>Datos!$L$356*D1410</f>
        <v>7809810.841613235</v>
      </c>
      <c r="D1410" s="17">
        <f>Datos!$L$275*Datos!$L$364</f>
        <v>14899.89507499996</v>
      </c>
      <c r="E1410" s="43" t="s">
        <v>556</v>
      </c>
      <c r="F1410" s="43" t="s">
        <v>557</v>
      </c>
      <c r="G1410" s="43" t="s">
        <v>567</v>
      </c>
      <c r="H1410" s="43" t="s">
        <v>568</v>
      </c>
      <c r="I1410" s="43" t="s">
        <v>560</v>
      </c>
      <c r="J1410" s="41" t="s">
        <v>797</v>
      </c>
      <c r="K1410" s="43">
        <v>700120</v>
      </c>
      <c r="L1410" s="43">
        <v>5</v>
      </c>
      <c r="M1410" s="43" t="s">
        <v>526</v>
      </c>
      <c r="N1410" s="51"/>
      <c r="O1410" s="51"/>
      <c r="P1410" s="43" t="str">
        <f>VLOOKUP(K1410,Maestro!J:K,2,0)</f>
        <v>COMBUSTIBLES ALTERNOS</v>
      </c>
      <c r="Q1410" s="43" t="str">
        <f>VLOOKUP(P1410,Maestro!E:F,2,0)</f>
        <v>COMBUSTIBLES ALTERNOS</v>
      </c>
      <c r="R1410" s="43">
        <v>20</v>
      </c>
      <c r="S1410" t="str">
        <f t="shared" si="38"/>
        <v>7405050003ENERGIACOMBUSTIBLES ALTERNOS</v>
      </c>
      <c r="T1410" t="str">
        <f>IFERROR(VLOOKUP(S1410,Maestro!$A:$H,8,0),"Producción")</f>
        <v>Energía</v>
      </c>
      <c r="U1410" s="43" t="s">
        <v>182</v>
      </c>
    </row>
    <row r="1411" spans="1:21" x14ac:dyDescent="0.3">
      <c r="A1411" s="41">
        <v>7405050003</v>
      </c>
      <c r="B1411" s="43" t="s">
        <v>688</v>
      </c>
      <c r="C1411" s="50">
        <f>Datos!$M$356*D1411</f>
        <v>3351539.2529772334</v>
      </c>
      <c r="D1411" s="17">
        <f>Datos!$M$275*Datos!$M$364</f>
        <v>6385.6693178571268</v>
      </c>
      <c r="E1411" s="43" t="s">
        <v>556</v>
      </c>
      <c r="F1411" s="43" t="s">
        <v>557</v>
      </c>
      <c r="G1411" s="43" t="s">
        <v>567</v>
      </c>
      <c r="H1411" s="43" t="s">
        <v>568</v>
      </c>
      <c r="I1411" s="43" t="s">
        <v>560</v>
      </c>
      <c r="J1411" s="41" t="s">
        <v>797</v>
      </c>
      <c r="K1411" s="43">
        <v>700120</v>
      </c>
      <c r="L1411" s="43">
        <v>6</v>
      </c>
      <c r="M1411" s="43" t="s">
        <v>526</v>
      </c>
      <c r="N1411" s="51"/>
      <c r="O1411" s="51"/>
      <c r="P1411" s="43" t="str">
        <f>VLOOKUP(K1411,Maestro!J:K,2,0)</f>
        <v>COMBUSTIBLES ALTERNOS</v>
      </c>
      <c r="Q1411" s="43" t="str">
        <f>VLOOKUP(P1411,Maestro!E:F,2,0)</f>
        <v>COMBUSTIBLES ALTERNOS</v>
      </c>
      <c r="R1411" s="43">
        <v>20</v>
      </c>
      <c r="S1411" t="str">
        <f t="shared" si="38"/>
        <v>7405050003ENERGIACOMBUSTIBLES ALTERNOS</v>
      </c>
      <c r="T1411" t="str">
        <f>IFERROR(VLOOKUP(S1411,Maestro!$A:$H,8,0),"Producción")</f>
        <v>Energía</v>
      </c>
      <c r="U1411" s="43" t="s">
        <v>182</v>
      </c>
    </row>
    <row r="1412" spans="1:21" x14ac:dyDescent="0.3">
      <c r="A1412" s="41">
        <v>7405050003</v>
      </c>
      <c r="B1412" s="43" t="s">
        <v>688</v>
      </c>
      <c r="C1412" s="50">
        <f>Datos!$N$356*D1412</f>
        <v>6453896.3833950972</v>
      </c>
      <c r="D1412" s="17">
        <f>Datos!$N$275*Datos!$N$364</f>
        <v>12280.133303571396</v>
      </c>
      <c r="E1412" s="43" t="s">
        <v>556</v>
      </c>
      <c r="F1412" s="43" t="s">
        <v>557</v>
      </c>
      <c r="G1412" s="43" t="s">
        <v>567</v>
      </c>
      <c r="H1412" s="43" t="s">
        <v>568</v>
      </c>
      <c r="I1412" s="43" t="s">
        <v>560</v>
      </c>
      <c r="J1412" s="41" t="s">
        <v>797</v>
      </c>
      <c r="K1412" s="43">
        <v>700120</v>
      </c>
      <c r="L1412" s="43">
        <v>7</v>
      </c>
      <c r="M1412" s="43" t="s">
        <v>526</v>
      </c>
      <c r="N1412" s="51"/>
      <c r="O1412" s="51"/>
      <c r="P1412" s="43" t="str">
        <f>VLOOKUP(K1412,Maestro!J:K,2,0)</f>
        <v>COMBUSTIBLES ALTERNOS</v>
      </c>
      <c r="Q1412" s="43" t="str">
        <f>VLOOKUP(P1412,Maestro!E:F,2,0)</f>
        <v>COMBUSTIBLES ALTERNOS</v>
      </c>
      <c r="R1412" s="43">
        <v>20</v>
      </c>
      <c r="S1412" t="str">
        <f t="shared" si="38"/>
        <v>7405050003ENERGIACOMBUSTIBLES ALTERNOS</v>
      </c>
      <c r="T1412" t="str">
        <f>IFERROR(VLOOKUP(S1412,Maestro!$A:$H,8,0),"Producción")</f>
        <v>Energía</v>
      </c>
      <c r="U1412" s="43" t="s">
        <v>182</v>
      </c>
    </row>
    <row r="1413" spans="1:21" x14ac:dyDescent="0.3">
      <c r="A1413" s="41">
        <v>7405050003</v>
      </c>
      <c r="B1413" s="43" t="s">
        <v>688</v>
      </c>
      <c r="C1413" s="50">
        <f>Datos!$O$356*D1413</f>
        <v>7841218.952403862</v>
      </c>
      <c r="D1413" s="17">
        <f>Datos!$O$275*Datos!$O$364</f>
        <v>14899.89507499996</v>
      </c>
      <c r="E1413" s="43" t="s">
        <v>556</v>
      </c>
      <c r="F1413" s="43" t="s">
        <v>557</v>
      </c>
      <c r="G1413" s="43" t="s">
        <v>567</v>
      </c>
      <c r="H1413" s="43" t="s">
        <v>568</v>
      </c>
      <c r="I1413" s="43" t="s">
        <v>560</v>
      </c>
      <c r="J1413" s="41" t="s">
        <v>797</v>
      </c>
      <c r="K1413" s="43">
        <v>700120</v>
      </c>
      <c r="L1413" s="43">
        <v>8</v>
      </c>
      <c r="M1413" s="43" t="s">
        <v>526</v>
      </c>
      <c r="N1413" s="51"/>
      <c r="O1413" s="51"/>
      <c r="P1413" s="43" t="str">
        <f>VLOOKUP(K1413,Maestro!J:K,2,0)</f>
        <v>COMBUSTIBLES ALTERNOS</v>
      </c>
      <c r="Q1413" s="43" t="str">
        <f>VLOOKUP(P1413,Maestro!E:F,2,0)</f>
        <v>COMBUSTIBLES ALTERNOS</v>
      </c>
      <c r="R1413" s="43">
        <v>20</v>
      </c>
      <c r="S1413" t="str">
        <f t="shared" si="38"/>
        <v>7405050003ENERGIACOMBUSTIBLES ALTERNOS</v>
      </c>
      <c r="T1413" t="str">
        <f>IFERROR(VLOOKUP(S1413,Maestro!$A:$H,8,0),"Producción")</f>
        <v>Energía</v>
      </c>
      <c r="U1413" s="43" t="s">
        <v>182</v>
      </c>
    </row>
    <row r="1414" spans="1:21" x14ac:dyDescent="0.3">
      <c r="A1414" s="41">
        <v>7405050003</v>
      </c>
      <c r="B1414" s="43" t="s">
        <v>688</v>
      </c>
      <c r="C1414" s="50">
        <f>Datos!$P$356*D1414</f>
        <v>5953511.3231773777</v>
      </c>
      <c r="D1414" s="17">
        <f>Datos!$P$275*Datos!$P$364</f>
        <v>11297.722639285686</v>
      </c>
      <c r="E1414" s="43" t="s">
        <v>556</v>
      </c>
      <c r="F1414" s="43" t="s">
        <v>557</v>
      </c>
      <c r="G1414" s="43" t="s">
        <v>567</v>
      </c>
      <c r="H1414" s="43" t="s">
        <v>568</v>
      </c>
      <c r="I1414" s="43" t="s">
        <v>560</v>
      </c>
      <c r="J1414" s="41" t="s">
        <v>797</v>
      </c>
      <c r="K1414" s="43">
        <v>700120</v>
      </c>
      <c r="L1414" s="43">
        <v>9</v>
      </c>
      <c r="M1414" s="43" t="s">
        <v>526</v>
      </c>
      <c r="N1414" s="51"/>
      <c r="O1414" s="51"/>
      <c r="P1414" s="43" t="str">
        <f>VLOOKUP(K1414,Maestro!J:K,2,0)</f>
        <v>COMBUSTIBLES ALTERNOS</v>
      </c>
      <c r="Q1414" s="43" t="str">
        <f>VLOOKUP(P1414,Maestro!E:F,2,0)</f>
        <v>COMBUSTIBLES ALTERNOS</v>
      </c>
      <c r="R1414" s="43">
        <v>20</v>
      </c>
      <c r="S1414" t="str">
        <f t="shared" si="38"/>
        <v>7405050003ENERGIACOMBUSTIBLES ALTERNOS</v>
      </c>
      <c r="T1414" t="str">
        <f>IFERROR(VLOOKUP(S1414,Maestro!$A:$H,8,0),"Producción")</f>
        <v>Energía</v>
      </c>
      <c r="U1414" s="43" t="s">
        <v>182</v>
      </c>
    </row>
    <row r="1415" spans="1:21" x14ac:dyDescent="0.3">
      <c r="A1415" s="41">
        <v>7405050003</v>
      </c>
      <c r="B1415" s="43" t="s">
        <v>688</v>
      </c>
      <c r="C1415" s="50">
        <f>Datos!$Q$356*D1415</f>
        <v>4665521.536942807</v>
      </c>
      <c r="D1415" s="17">
        <f>Datos!$Q$275*Datos!$Q$364</f>
        <v>8841.6959785714043</v>
      </c>
      <c r="E1415" s="43" t="s">
        <v>556</v>
      </c>
      <c r="F1415" s="43" t="s">
        <v>557</v>
      </c>
      <c r="G1415" s="43" t="s">
        <v>567</v>
      </c>
      <c r="H1415" s="43" t="s">
        <v>568</v>
      </c>
      <c r="I1415" s="43" t="s">
        <v>560</v>
      </c>
      <c r="J1415" s="41" t="s">
        <v>797</v>
      </c>
      <c r="K1415" s="43">
        <v>700120</v>
      </c>
      <c r="L1415" s="43">
        <v>10</v>
      </c>
      <c r="M1415" s="43" t="s">
        <v>526</v>
      </c>
      <c r="N1415" s="51"/>
      <c r="O1415" s="51"/>
      <c r="P1415" s="43" t="str">
        <f>VLOOKUP(K1415,Maestro!J:K,2,0)</f>
        <v>COMBUSTIBLES ALTERNOS</v>
      </c>
      <c r="Q1415" s="43" t="str">
        <f>VLOOKUP(P1415,Maestro!E:F,2,0)</f>
        <v>COMBUSTIBLES ALTERNOS</v>
      </c>
      <c r="R1415" s="43">
        <v>20</v>
      </c>
      <c r="S1415" t="str">
        <f t="shared" si="38"/>
        <v>7405050003ENERGIACOMBUSTIBLES ALTERNOS</v>
      </c>
      <c r="T1415" t="str">
        <f>IFERROR(VLOOKUP(S1415,Maestro!$A:$H,8,0),"Producción")</f>
        <v>Energía</v>
      </c>
      <c r="U1415" s="43" t="s">
        <v>182</v>
      </c>
    </row>
    <row r="1416" spans="1:21" x14ac:dyDescent="0.3">
      <c r="A1416" s="41">
        <v>7405050003</v>
      </c>
      <c r="B1416" s="43" t="s">
        <v>688</v>
      </c>
      <c r="C1416" s="50">
        <f>Datos!$R$356*D1416</f>
        <v>7613281.657251792</v>
      </c>
      <c r="D1416" s="17">
        <f>Datos!$R$275*Datos!$R$364</f>
        <v>14408.689742857108</v>
      </c>
      <c r="E1416" s="43" t="s">
        <v>556</v>
      </c>
      <c r="F1416" s="43" t="s">
        <v>557</v>
      </c>
      <c r="G1416" s="43" t="s">
        <v>567</v>
      </c>
      <c r="H1416" s="43" t="s">
        <v>568</v>
      </c>
      <c r="I1416" s="43" t="s">
        <v>560</v>
      </c>
      <c r="J1416" s="41" t="s">
        <v>797</v>
      </c>
      <c r="K1416" s="43">
        <v>700120</v>
      </c>
      <c r="L1416" s="43">
        <v>11</v>
      </c>
      <c r="M1416" s="43" t="s">
        <v>526</v>
      </c>
      <c r="N1416" s="51"/>
      <c r="O1416" s="51"/>
      <c r="P1416" s="43" t="str">
        <f>VLOOKUP(K1416,Maestro!J:K,2,0)</f>
        <v>COMBUSTIBLES ALTERNOS</v>
      </c>
      <c r="Q1416" s="43" t="str">
        <f>VLOOKUP(P1416,Maestro!E:F,2,0)</f>
        <v>COMBUSTIBLES ALTERNOS</v>
      </c>
      <c r="R1416" s="43">
        <v>20</v>
      </c>
      <c r="S1416" t="str">
        <f t="shared" si="38"/>
        <v>7405050003ENERGIACOMBUSTIBLES ALTERNOS</v>
      </c>
      <c r="T1416" t="str">
        <f>IFERROR(VLOOKUP(S1416,Maestro!$A:$H,8,0),"Producción")</f>
        <v>Energía</v>
      </c>
      <c r="U1416" s="43" t="s">
        <v>182</v>
      </c>
    </row>
    <row r="1417" spans="1:21" x14ac:dyDescent="0.3">
      <c r="A1417" s="41">
        <v>7405050003</v>
      </c>
      <c r="B1417" s="43" t="s">
        <v>688</v>
      </c>
      <c r="C1417" s="50">
        <f>Datos!$S$356*D1417</f>
        <v>4809495.1185813136</v>
      </c>
      <c r="D1417" s="17">
        <f>Datos!$S$275*Datos!$S$364</f>
        <v>9090.1040551280312</v>
      </c>
      <c r="E1417" s="43" t="s">
        <v>556</v>
      </c>
      <c r="F1417" s="43" t="s">
        <v>557</v>
      </c>
      <c r="G1417" s="43" t="s">
        <v>567</v>
      </c>
      <c r="H1417" s="43" t="s">
        <v>568</v>
      </c>
      <c r="I1417" s="43" t="s">
        <v>560</v>
      </c>
      <c r="J1417" s="41" t="s">
        <v>797</v>
      </c>
      <c r="K1417" s="43">
        <v>700120</v>
      </c>
      <c r="L1417" s="43">
        <v>12</v>
      </c>
      <c r="M1417" s="43" t="s">
        <v>526</v>
      </c>
      <c r="N1417" s="51"/>
      <c r="O1417" s="51"/>
      <c r="P1417" s="43" t="str">
        <f>VLOOKUP(K1417,Maestro!J:K,2,0)</f>
        <v>COMBUSTIBLES ALTERNOS</v>
      </c>
      <c r="Q1417" s="43" t="str">
        <f>VLOOKUP(P1417,Maestro!E:F,2,0)</f>
        <v>COMBUSTIBLES ALTERNOS</v>
      </c>
      <c r="R1417" s="43">
        <v>20</v>
      </c>
      <c r="S1417" t="str">
        <f t="shared" si="38"/>
        <v>7405050003ENERGIACOMBUSTIBLES ALTERNOS</v>
      </c>
      <c r="T1417" t="str">
        <f>IFERROR(VLOOKUP(S1417,Maestro!$A:$H,8,0),"Producción")</f>
        <v>Energía</v>
      </c>
      <c r="U1417" s="43" t="s">
        <v>182</v>
      </c>
    </row>
    <row r="1418" spans="1:21" x14ac:dyDescent="0.3">
      <c r="A1418" s="43">
        <v>7355250325</v>
      </c>
      <c r="B1418" s="43" t="s">
        <v>490</v>
      </c>
      <c r="C1418" s="49">
        <f>Datos!$H$82*D1418</f>
        <v>61989902.607262433</v>
      </c>
      <c r="D1418" s="50">
        <f>SUM(Datos!$H$461:$H$463)</f>
        <v>9800.7751157727162</v>
      </c>
      <c r="E1418" s="43"/>
      <c r="F1418" s="43"/>
      <c r="G1418" s="43"/>
      <c r="H1418" s="43"/>
      <c r="I1418" s="43" t="s">
        <v>560</v>
      </c>
      <c r="J1418" s="43" t="s">
        <v>786</v>
      </c>
      <c r="K1418" s="43">
        <v>700002</v>
      </c>
      <c r="L1418" s="43">
        <v>1</v>
      </c>
      <c r="M1418" s="43" t="s">
        <v>495</v>
      </c>
      <c r="N1418" s="53"/>
      <c r="O1418" s="53"/>
      <c r="P1418" s="43" t="str">
        <f>VLOOKUP(K1418,Maestro!J:K,2,0)</f>
        <v>CARBON MOLIDO</v>
      </c>
      <c r="Q1418" s="43" t="str">
        <f>VLOOKUP(P1418,Maestro!E:F,2,0)</f>
        <v>Molienda de Carbón</v>
      </c>
      <c r="R1418" s="43">
        <f>VLOOKUP(P1418,ORD!$A:$C,3,0)</f>
        <v>4</v>
      </c>
      <c r="S1418" t="str">
        <f t="shared" si="38"/>
        <v>7355250325CARGADOR CARBONMolienda de Carbón</v>
      </c>
      <c r="T1418" t="str">
        <f>IFERROR(VLOOKUP(S1418,Maestro!$A:$H,8,0),"Producción")</f>
        <v>Cargador Carbón</v>
      </c>
      <c r="U1418" s="43" t="s">
        <v>182</v>
      </c>
    </row>
    <row r="1419" spans="1:21" x14ac:dyDescent="0.3">
      <c r="A1419" s="43">
        <v>7355250325</v>
      </c>
      <c r="B1419" s="43" t="s">
        <v>490</v>
      </c>
      <c r="C1419" s="49">
        <f>Datos!$I$82*D1419</f>
        <v>62755931.3261737</v>
      </c>
      <c r="D1419" s="50">
        <f>SUM(Datos!$I$461:$I$463)</f>
        <v>9921.8863756796363</v>
      </c>
      <c r="E1419" s="43"/>
      <c r="F1419" s="43"/>
      <c r="G1419" s="43"/>
      <c r="H1419" s="43"/>
      <c r="I1419" s="43" t="s">
        <v>560</v>
      </c>
      <c r="J1419" s="43" t="s">
        <v>786</v>
      </c>
      <c r="K1419" s="43">
        <v>700002</v>
      </c>
      <c r="L1419" s="43">
        <v>2</v>
      </c>
      <c r="M1419" s="43" t="s">
        <v>495</v>
      </c>
      <c r="N1419" s="53"/>
      <c r="O1419" s="53"/>
      <c r="P1419" s="43" t="str">
        <f>VLOOKUP(K1419,Maestro!J:K,2,0)</f>
        <v>CARBON MOLIDO</v>
      </c>
      <c r="Q1419" s="43" t="str">
        <f>VLOOKUP(P1419,Maestro!E:F,2,0)</f>
        <v>Molienda de Carbón</v>
      </c>
      <c r="R1419" s="43">
        <f>VLOOKUP(P1419,ORD!$A:$C,3,0)</f>
        <v>4</v>
      </c>
      <c r="S1419" t="str">
        <f t="shared" si="38"/>
        <v>7355250325CARGADOR CARBONMolienda de Carbón</v>
      </c>
      <c r="T1419" t="str">
        <f>IFERROR(VLOOKUP(S1419,Maestro!$A:$H,8,0),"Producción")</f>
        <v>Cargador Carbón</v>
      </c>
      <c r="U1419" s="43" t="s">
        <v>182</v>
      </c>
    </row>
    <row r="1420" spans="1:21" x14ac:dyDescent="0.3">
      <c r="A1420" s="43">
        <v>7355250325</v>
      </c>
      <c r="B1420" s="43" t="s">
        <v>490</v>
      </c>
      <c r="C1420" s="49">
        <f>Datos!$J$82*D1420</f>
        <v>43605213.353391863</v>
      </c>
      <c r="D1420" s="50">
        <f>SUM(Datos!$J$461:$J$463)</f>
        <v>6894.1048780066185</v>
      </c>
      <c r="E1420" s="43"/>
      <c r="F1420" s="43"/>
      <c r="G1420" s="43"/>
      <c r="H1420" s="43"/>
      <c r="I1420" s="43" t="s">
        <v>560</v>
      </c>
      <c r="J1420" s="43" t="s">
        <v>786</v>
      </c>
      <c r="K1420" s="43">
        <v>700002</v>
      </c>
      <c r="L1420" s="43">
        <v>3</v>
      </c>
      <c r="M1420" s="43" t="s">
        <v>495</v>
      </c>
      <c r="N1420" s="53"/>
      <c r="O1420" s="53"/>
      <c r="P1420" s="43" t="str">
        <f>VLOOKUP(K1420,Maestro!J:K,2,0)</f>
        <v>CARBON MOLIDO</v>
      </c>
      <c r="Q1420" s="43" t="str">
        <f>VLOOKUP(P1420,Maestro!E:F,2,0)</f>
        <v>Molienda de Carbón</v>
      </c>
      <c r="R1420" s="43">
        <f>VLOOKUP(P1420,ORD!$A:$C,3,0)</f>
        <v>4</v>
      </c>
      <c r="S1420" t="str">
        <f t="shared" si="38"/>
        <v>7355250325CARGADOR CARBONMolienda de Carbón</v>
      </c>
      <c r="T1420" t="str">
        <f>IFERROR(VLOOKUP(S1420,Maestro!$A:$H,8,0),"Producción")</f>
        <v>Cargador Carbón</v>
      </c>
      <c r="U1420" s="43" t="s">
        <v>182</v>
      </c>
    </row>
    <row r="1421" spans="1:21" x14ac:dyDescent="0.3">
      <c r="A1421" s="43">
        <v>7355250325</v>
      </c>
      <c r="B1421" s="43" t="s">
        <v>490</v>
      </c>
      <c r="C1421" s="49">
        <f>Datos!$K$82*D1421</f>
        <v>45611181.387372017</v>
      </c>
      <c r="D1421" s="50">
        <f>SUM(Datos!$K$461:$K$463)</f>
        <v>7211.2539742880663</v>
      </c>
      <c r="E1421" s="43"/>
      <c r="F1421" s="43"/>
      <c r="G1421" s="43"/>
      <c r="H1421" s="43"/>
      <c r="I1421" s="43" t="s">
        <v>560</v>
      </c>
      <c r="J1421" s="43" t="s">
        <v>786</v>
      </c>
      <c r="K1421" s="43">
        <v>700002</v>
      </c>
      <c r="L1421" s="43">
        <v>4</v>
      </c>
      <c r="M1421" s="43" t="s">
        <v>495</v>
      </c>
      <c r="N1421" s="53"/>
      <c r="O1421" s="53"/>
      <c r="P1421" s="43" t="str">
        <f>VLOOKUP(K1421,Maestro!J:K,2,0)</f>
        <v>CARBON MOLIDO</v>
      </c>
      <c r="Q1421" s="43" t="str">
        <f>VLOOKUP(P1421,Maestro!E:F,2,0)</f>
        <v>Molienda de Carbón</v>
      </c>
      <c r="R1421" s="43">
        <f>VLOOKUP(P1421,ORD!$A:$C,3,0)</f>
        <v>4</v>
      </c>
      <c r="S1421" t="str">
        <f t="shared" si="38"/>
        <v>7355250325CARGADOR CARBONMolienda de Carbón</v>
      </c>
      <c r="T1421" t="str">
        <f>IFERROR(VLOOKUP(S1421,Maestro!$A:$H,8,0),"Producción")</f>
        <v>Cargador Carbón</v>
      </c>
      <c r="U1421" s="43" t="s">
        <v>182</v>
      </c>
    </row>
    <row r="1422" spans="1:21" x14ac:dyDescent="0.3">
      <c r="A1422" s="43">
        <v>7355250325</v>
      </c>
      <c r="B1422" s="43" t="s">
        <v>490</v>
      </c>
      <c r="C1422" s="49">
        <f>Datos!$L$82*D1422</f>
        <v>69650189.796375155</v>
      </c>
      <c r="D1422" s="50">
        <f>SUM(Datos!$L$461:$L$463)</f>
        <v>11011.887714841921</v>
      </c>
      <c r="E1422" s="43"/>
      <c r="F1422" s="43"/>
      <c r="G1422" s="43"/>
      <c r="H1422" s="43"/>
      <c r="I1422" s="43" t="s">
        <v>560</v>
      </c>
      <c r="J1422" s="43" t="s">
        <v>786</v>
      </c>
      <c r="K1422" s="43">
        <v>700002</v>
      </c>
      <c r="L1422" s="43">
        <v>5</v>
      </c>
      <c r="M1422" s="43" t="s">
        <v>495</v>
      </c>
      <c r="N1422" s="53"/>
      <c r="O1422" s="53"/>
      <c r="P1422" s="43" t="str">
        <f>VLOOKUP(K1422,Maestro!J:K,2,0)</f>
        <v>CARBON MOLIDO</v>
      </c>
      <c r="Q1422" s="43" t="str">
        <f>VLOOKUP(P1422,Maestro!E:F,2,0)</f>
        <v>Molienda de Carbón</v>
      </c>
      <c r="R1422" s="43">
        <f>VLOOKUP(P1422,ORD!$A:$C,3,0)</f>
        <v>4</v>
      </c>
      <c r="S1422" t="str">
        <f t="shared" si="38"/>
        <v>7355250325CARGADOR CARBONMolienda de Carbón</v>
      </c>
      <c r="T1422" t="str">
        <f>IFERROR(VLOOKUP(S1422,Maestro!$A:$H,8,0),"Producción")</f>
        <v>Cargador Carbón</v>
      </c>
      <c r="U1422" s="43" t="s">
        <v>182</v>
      </c>
    </row>
    <row r="1423" spans="1:21" x14ac:dyDescent="0.3">
      <c r="A1423" s="43">
        <v>7355250325</v>
      </c>
      <c r="B1423" s="43" t="s">
        <v>490</v>
      </c>
      <c r="C1423" s="49">
        <f>Datos!$M$82*D1423</f>
        <v>29816696.412988938</v>
      </c>
      <c r="D1423" s="50">
        <f>SUM(Datos!$M$461:$M$463)</f>
        <v>4714.1021996820455</v>
      </c>
      <c r="E1423" s="43"/>
      <c r="F1423" s="43"/>
      <c r="G1423" s="43"/>
      <c r="H1423" s="43"/>
      <c r="I1423" s="43" t="s">
        <v>560</v>
      </c>
      <c r="J1423" s="43" t="s">
        <v>786</v>
      </c>
      <c r="K1423" s="43">
        <v>700002</v>
      </c>
      <c r="L1423" s="43">
        <v>6</v>
      </c>
      <c r="M1423" s="43" t="s">
        <v>495</v>
      </c>
      <c r="N1423" s="53"/>
      <c r="O1423" s="53"/>
      <c r="P1423" s="43" t="str">
        <f>VLOOKUP(K1423,Maestro!J:K,2,0)</f>
        <v>CARBON MOLIDO</v>
      </c>
      <c r="Q1423" s="43" t="str">
        <f>VLOOKUP(P1423,Maestro!E:F,2,0)</f>
        <v>Molienda de Carbón</v>
      </c>
      <c r="R1423" s="43">
        <f>VLOOKUP(P1423,ORD!$A:$C,3,0)</f>
        <v>4</v>
      </c>
      <c r="S1423" t="str">
        <f t="shared" si="38"/>
        <v>7355250325CARGADOR CARBONMolienda de Carbón</v>
      </c>
      <c r="T1423" t="str">
        <f>IFERROR(VLOOKUP(S1423,Maestro!$A:$H,8,0),"Producción")</f>
        <v>Cargador Carbón</v>
      </c>
      <c r="U1423" s="43" t="s">
        <v>182</v>
      </c>
    </row>
    <row r="1424" spans="1:21" x14ac:dyDescent="0.3">
      <c r="A1424" s="43">
        <v>7355250325</v>
      </c>
      <c r="B1424" s="43" t="s">
        <v>490</v>
      </c>
      <c r="C1424" s="49">
        <f>Datos!$N$82*D1424</f>
        <v>57101612.171041109</v>
      </c>
      <c r="D1424" s="50">
        <f>SUM(Datos!$N$461:$N$463)</f>
        <v>9027.9228728918752</v>
      </c>
      <c r="E1424" s="43"/>
      <c r="F1424" s="43"/>
      <c r="G1424" s="43"/>
      <c r="H1424" s="43"/>
      <c r="I1424" s="43" t="s">
        <v>560</v>
      </c>
      <c r="J1424" s="43" t="s">
        <v>786</v>
      </c>
      <c r="K1424" s="43">
        <v>700002</v>
      </c>
      <c r="L1424" s="43">
        <v>7</v>
      </c>
      <c r="M1424" s="43" t="s">
        <v>495</v>
      </c>
      <c r="N1424" s="53"/>
      <c r="O1424" s="53"/>
      <c r="P1424" s="43" t="str">
        <f>VLOOKUP(K1424,Maestro!J:K,2,0)</f>
        <v>CARBON MOLIDO</v>
      </c>
      <c r="Q1424" s="43" t="str">
        <f>VLOOKUP(P1424,Maestro!E:F,2,0)</f>
        <v>Molienda de Carbón</v>
      </c>
      <c r="R1424" s="43">
        <f>VLOOKUP(P1424,ORD!$A:$C,3,0)</f>
        <v>4</v>
      </c>
      <c r="S1424" t="str">
        <f t="shared" si="38"/>
        <v>7355250325CARGADOR CARBONMolienda de Carbón</v>
      </c>
      <c r="T1424" t="str">
        <f>IFERROR(VLOOKUP(S1424,Maestro!$A:$H,8,0),"Producción")</f>
        <v>Cargador Carbón</v>
      </c>
      <c r="U1424" s="43" t="s">
        <v>182</v>
      </c>
    </row>
    <row r="1425" spans="1:21" x14ac:dyDescent="0.3">
      <c r="A1425" s="43">
        <v>7355250325</v>
      </c>
      <c r="B1425" s="43" t="s">
        <v>490</v>
      </c>
      <c r="C1425" s="49">
        <f>Datos!$O$82*D1425</f>
        <v>69650189.796375155</v>
      </c>
      <c r="D1425" s="50">
        <f>SUM(Datos!$O$461:$O$463)</f>
        <v>11011.887714841921</v>
      </c>
      <c r="E1425" s="43"/>
      <c r="F1425" s="43"/>
      <c r="G1425" s="43"/>
      <c r="H1425" s="43"/>
      <c r="I1425" s="43" t="s">
        <v>560</v>
      </c>
      <c r="J1425" s="43" t="s">
        <v>786</v>
      </c>
      <c r="K1425" s="43">
        <v>700002</v>
      </c>
      <c r="L1425" s="43">
        <v>8</v>
      </c>
      <c r="M1425" s="43" t="s">
        <v>495</v>
      </c>
      <c r="N1425" s="53"/>
      <c r="O1425" s="53"/>
      <c r="P1425" s="43" t="str">
        <f>VLOOKUP(K1425,Maestro!J:K,2,0)</f>
        <v>CARBON MOLIDO</v>
      </c>
      <c r="Q1425" s="43" t="str">
        <f>VLOOKUP(P1425,Maestro!E:F,2,0)</f>
        <v>Molienda de Carbón</v>
      </c>
      <c r="R1425" s="43">
        <f>VLOOKUP(P1425,ORD!$A:$C,3,0)</f>
        <v>4</v>
      </c>
      <c r="S1425" t="str">
        <f t="shared" si="38"/>
        <v>7355250325CARGADOR CARBONMolienda de Carbón</v>
      </c>
      <c r="T1425" t="str">
        <f>IFERROR(VLOOKUP(S1425,Maestro!$A:$H,8,0),"Producción")</f>
        <v>Cargador Carbón</v>
      </c>
      <c r="U1425" s="43" t="s">
        <v>182</v>
      </c>
    </row>
    <row r="1426" spans="1:21" x14ac:dyDescent="0.3">
      <c r="A1426" s="43">
        <v>7355250325</v>
      </c>
      <c r="B1426" s="43" t="s">
        <v>490</v>
      </c>
      <c r="C1426" s="49">
        <f>Datos!$P$82*D1426</f>
        <v>52797557.980327129</v>
      </c>
      <c r="D1426" s="50">
        <f>SUM(Datos!$P$461:$P$463)</f>
        <v>8347.4399968896651</v>
      </c>
      <c r="E1426" s="43"/>
      <c r="F1426" s="43"/>
      <c r="G1426" s="43"/>
      <c r="H1426" s="43"/>
      <c r="I1426" s="43" t="s">
        <v>560</v>
      </c>
      <c r="J1426" s="43" t="s">
        <v>786</v>
      </c>
      <c r="K1426" s="43">
        <v>700002</v>
      </c>
      <c r="L1426" s="43">
        <v>9</v>
      </c>
      <c r="M1426" s="43" t="s">
        <v>495</v>
      </c>
      <c r="N1426" s="53"/>
      <c r="O1426" s="53"/>
      <c r="P1426" s="43" t="str">
        <f>VLOOKUP(K1426,Maestro!J:K,2,0)</f>
        <v>CARBON MOLIDO</v>
      </c>
      <c r="Q1426" s="43" t="str">
        <f>VLOOKUP(P1426,Maestro!E:F,2,0)</f>
        <v>Molienda de Carbón</v>
      </c>
      <c r="R1426" s="43">
        <f>VLOOKUP(P1426,ORD!$A:$C,3,0)</f>
        <v>4</v>
      </c>
      <c r="S1426" t="str">
        <f t="shared" si="38"/>
        <v>7355250325CARGADOR CARBONMolienda de Carbón</v>
      </c>
      <c r="T1426" t="str">
        <f>IFERROR(VLOOKUP(S1426,Maestro!$A:$H,8,0),"Producción")</f>
        <v>Cargador Carbón</v>
      </c>
      <c r="U1426" s="43" t="s">
        <v>182</v>
      </c>
    </row>
    <row r="1427" spans="1:21" x14ac:dyDescent="0.3">
      <c r="A1427" s="43">
        <v>7355250325</v>
      </c>
      <c r="B1427" s="43" t="s">
        <v>490</v>
      </c>
      <c r="C1427" s="49">
        <f>Datos!$Q$82*D1427</f>
        <v>41015009.073904373</v>
      </c>
      <c r="D1427" s="50">
        <f>SUM(Datos!$Q$461:$Q$463)</f>
        <v>6484.5864148465416</v>
      </c>
      <c r="E1427" s="43"/>
      <c r="F1427" s="43"/>
      <c r="G1427" s="43"/>
      <c r="H1427" s="43"/>
      <c r="I1427" s="43" t="s">
        <v>560</v>
      </c>
      <c r="J1427" s="43" t="s">
        <v>786</v>
      </c>
      <c r="K1427" s="43">
        <v>700002</v>
      </c>
      <c r="L1427" s="43">
        <v>10</v>
      </c>
      <c r="M1427" s="43" t="s">
        <v>495</v>
      </c>
      <c r="N1427" s="53"/>
      <c r="O1427" s="53"/>
      <c r="P1427" s="43" t="str">
        <f>VLOOKUP(K1427,Maestro!J:K,2,0)</f>
        <v>CARBON MOLIDO</v>
      </c>
      <c r="Q1427" s="43" t="str">
        <f>VLOOKUP(P1427,Maestro!E:F,2,0)</f>
        <v>Molienda de Carbón</v>
      </c>
      <c r="R1427" s="43">
        <f>VLOOKUP(P1427,ORD!$A:$C,3,0)</f>
        <v>4</v>
      </c>
      <c r="S1427" t="str">
        <f t="shared" si="38"/>
        <v>7355250325CARGADOR CARBONMolienda de Carbón</v>
      </c>
      <c r="T1427" t="str">
        <f>IFERROR(VLOOKUP(S1427,Maestro!$A:$H,8,0),"Producción")</f>
        <v>Cargador Carbón</v>
      </c>
      <c r="U1427" s="43" t="s">
        <v>182</v>
      </c>
    </row>
    <row r="1428" spans="1:21" x14ac:dyDescent="0.3">
      <c r="A1428" s="43">
        <v>7355250325</v>
      </c>
      <c r="B1428" s="43" t="s">
        <v>490</v>
      </c>
      <c r="C1428" s="49">
        <f>Datos!$R$82*D1428</f>
        <v>67352103.639641345</v>
      </c>
      <c r="D1428" s="50">
        <f>SUM(Datos!$R$461:$R$463)</f>
        <v>10648.553935121161</v>
      </c>
      <c r="E1428" s="43"/>
      <c r="F1428" s="43"/>
      <c r="G1428" s="43"/>
      <c r="H1428" s="43"/>
      <c r="I1428" s="43" t="s">
        <v>560</v>
      </c>
      <c r="J1428" s="43" t="s">
        <v>786</v>
      </c>
      <c r="K1428" s="43">
        <v>700002</v>
      </c>
      <c r="L1428" s="43">
        <v>11</v>
      </c>
      <c r="M1428" s="43" t="s">
        <v>495</v>
      </c>
      <c r="N1428" s="53"/>
      <c r="O1428" s="53"/>
      <c r="P1428" s="43" t="str">
        <f>VLOOKUP(K1428,Maestro!J:K,2,0)</f>
        <v>CARBON MOLIDO</v>
      </c>
      <c r="Q1428" s="43" t="str">
        <f>VLOOKUP(P1428,Maestro!E:F,2,0)</f>
        <v>Molienda de Carbón</v>
      </c>
      <c r="R1428" s="43">
        <f>VLOOKUP(P1428,ORD!$A:$C,3,0)</f>
        <v>4</v>
      </c>
      <c r="S1428" t="str">
        <f t="shared" si="38"/>
        <v>7355250325CARGADOR CARBONMolienda de Carbón</v>
      </c>
      <c r="T1428" t="str">
        <f>IFERROR(VLOOKUP(S1428,Maestro!$A:$H,8,0),"Producción")</f>
        <v>Cargador Carbón</v>
      </c>
      <c r="U1428" s="43" t="s">
        <v>182</v>
      </c>
    </row>
    <row r="1429" spans="1:21" x14ac:dyDescent="0.3">
      <c r="A1429" s="43">
        <v>7355250325</v>
      </c>
      <c r="B1429" s="43" t="s">
        <v>490</v>
      </c>
      <c r="C1429" s="49">
        <f>Datos!$S$82*D1429</f>
        <v>42177177.162482113</v>
      </c>
      <c r="D1429" s="50">
        <f>SUM(Datos!$S$461:$S$463)</f>
        <v>6668.3284051355122</v>
      </c>
      <c r="E1429" s="43"/>
      <c r="F1429" s="43"/>
      <c r="G1429" s="43"/>
      <c r="H1429" s="43"/>
      <c r="I1429" s="43" t="s">
        <v>560</v>
      </c>
      <c r="J1429" s="43" t="s">
        <v>786</v>
      </c>
      <c r="K1429" s="43">
        <v>700002</v>
      </c>
      <c r="L1429" s="43">
        <v>12</v>
      </c>
      <c r="M1429" s="43" t="s">
        <v>495</v>
      </c>
      <c r="N1429" s="53"/>
      <c r="O1429" s="53"/>
      <c r="P1429" s="43" t="str">
        <f>VLOOKUP(K1429,Maestro!J:K,2,0)</f>
        <v>CARBON MOLIDO</v>
      </c>
      <c r="Q1429" s="43" t="str">
        <f>VLOOKUP(P1429,Maestro!E:F,2,0)</f>
        <v>Molienda de Carbón</v>
      </c>
      <c r="R1429" s="43">
        <f>VLOOKUP(P1429,ORD!$A:$C,3,0)</f>
        <v>4</v>
      </c>
      <c r="S1429" t="str">
        <f t="shared" si="38"/>
        <v>7355250325CARGADOR CARBONMolienda de Carbón</v>
      </c>
      <c r="T1429" t="str">
        <f>IFERROR(VLOOKUP(S1429,Maestro!$A:$H,8,0),"Producción")</f>
        <v>Cargador Carbón</v>
      </c>
      <c r="U1429" s="43" t="s">
        <v>182</v>
      </c>
    </row>
    <row r="1430" spans="1:21" x14ac:dyDescent="0.3">
      <c r="A1430" s="40">
        <v>7495700001</v>
      </c>
      <c r="B1430" s="40" t="s">
        <v>518</v>
      </c>
      <c r="C1430" s="52">
        <f>Datos!$H$98*Datos!$H$166*D1430+Datos!$H$99*Datos!$H$165*D1430</f>
        <v>16598737.484098218</v>
      </c>
      <c r="D1430" s="49">
        <f>Datos!$H$266</f>
        <v>108900</v>
      </c>
      <c r="E1430" s="58"/>
      <c r="F1430" s="43"/>
      <c r="G1430" s="43"/>
      <c r="H1430" s="43"/>
      <c r="I1430" s="43" t="s">
        <v>587</v>
      </c>
      <c r="J1430" s="43" t="s">
        <v>783</v>
      </c>
      <c r="K1430" s="43">
        <v>700007</v>
      </c>
      <c r="L1430" s="43">
        <v>1</v>
      </c>
      <c r="M1430" s="43" t="s">
        <v>440</v>
      </c>
      <c r="N1430" s="51"/>
      <c r="O1430" s="51"/>
      <c r="P1430" s="43" t="str">
        <f>VLOOKUP(K1430,Maestro!J:K,2,0)</f>
        <v>MEZCLA PREHOMO</v>
      </c>
      <c r="Q1430" s="43" t="str">
        <f>VLOOKUP(P1430,Maestro!E:F,2,0)</f>
        <v>Trituración</v>
      </c>
      <c r="R1430" s="43">
        <f>VLOOKUP(P1430,ORD!$A:$C,3,0)</f>
        <v>1</v>
      </c>
      <c r="S1430" t="str">
        <f t="shared" si="38"/>
        <v>7495700001REGALIASTrituración</v>
      </c>
      <c r="T1430" t="str">
        <f>IFERROR(VLOOKUP(S1430,Maestro!$A:$H,8,0),"Producción")</f>
        <v>Regalías</v>
      </c>
      <c r="U1430" s="43" t="s">
        <v>182</v>
      </c>
    </row>
    <row r="1431" spans="1:21" x14ac:dyDescent="0.3">
      <c r="A1431" s="40">
        <v>7495700001</v>
      </c>
      <c r="B1431" s="40" t="s">
        <v>518</v>
      </c>
      <c r="C1431" s="52">
        <f>Datos!$I$98*Datos!$I$166*D1431+Datos!$I$99*Datos!$I$165*D1431</f>
        <v>16850233.506584555</v>
      </c>
      <c r="D1431" s="49">
        <f>Datos!$I$266</f>
        <v>110550</v>
      </c>
      <c r="E1431" s="58"/>
      <c r="F1431" s="43"/>
      <c r="G1431" s="43"/>
      <c r="H1431" s="43"/>
      <c r="I1431" s="43" t="s">
        <v>587</v>
      </c>
      <c r="J1431" s="43" t="s">
        <v>783</v>
      </c>
      <c r="K1431" s="43">
        <v>700007</v>
      </c>
      <c r="L1431" s="43">
        <v>2</v>
      </c>
      <c r="M1431" s="43" t="s">
        <v>440</v>
      </c>
      <c r="N1431" s="51"/>
      <c r="O1431" s="51"/>
      <c r="P1431" s="43" t="str">
        <f>VLOOKUP(K1431,Maestro!J:K,2,0)</f>
        <v>MEZCLA PREHOMO</v>
      </c>
      <c r="Q1431" s="43" t="str">
        <f>VLOOKUP(P1431,Maestro!E:F,2,0)</f>
        <v>Trituración</v>
      </c>
      <c r="R1431" s="43">
        <f>VLOOKUP(P1431,ORD!$A:$C,3,0)</f>
        <v>1</v>
      </c>
      <c r="S1431" t="str">
        <f t="shared" ref="S1431:S1442" si="39">A1431&amp;J1431&amp;Q1431</f>
        <v>7495700001REGALIASTrituración</v>
      </c>
      <c r="T1431" t="str">
        <f>IFERROR(VLOOKUP(S1431,Maestro!$A:$H,8,0),"Producción")</f>
        <v>Regalías</v>
      </c>
      <c r="U1431" s="43" t="s">
        <v>182</v>
      </c>
    </row>
    <row r="1432" spans="1:21" x14ac:dyDescent="0.3">
      <c r="A1432" s="40">
        <v>7495700001</v>
      </c>
      <c r="B1432" s="40" t="s">
        <v>518</v>
      </c>
      <c r="C1432" s="52">
        <f>Datos!$J$98*Datos!$J$166*D1432+Datos!$J$99*Datos!$J$165*D1432</f>
        <v>12574801.124316832</v>
      </c>
      <c r="D1432" s="49">
        <f>Datos!$J$266</f>
        <v>82500</v>
      </c>
      <c r="E1432" s="58"/>
      <c r="F1432" s="43"/>
      <c r="G1432" s="43"/>
      <c r="H1432" s="43"/>
      <c r="I1432" s="43" t="s">
        <v>587</v>
      </c>
      <c r="J1432" s="43" t="s">
        <v>783</v>
      </c>
      <c r="K1432" s="43">
        <v>700007</v>
      </c>
      <c r="L1432" s="43">
        <v>3</v>
      </c>
      <c r="M1432" s="43" t="s">
        <v>440</v>
      </c>
      <c r="N1432" s="51"/>
      <c r="O1432" s="51"/>
      <c r="P1432" s="43" t="str">
        <f>VLOOKUP(K1432,Maestro!J:K,2,0)</f>
        <v>MEZCLA PREHOMO</v>
      </c>
      <c r="Q1432" s="43" t="str">
        <f>VLOOKUP(P1432,Maestro!E:F,2,0)</f>
        <v>Trituración</v>
      </c>
      <c r="R1432" s="43">
        <f>VLOOKUP(P1432,ORD!$A:$C,3,0)</f>
        <v>1</v>
      </c>
      <c r="S1432" t="str">
        <f t="shared" si="39"/>
        <v>7495700001REGALIASTrituración</v>
      </c>
      <c r="T1432" t="str">
        <f>IFERROR(VLOOKUP(S1432,Maestro!$A:$H,8,0),"Producción")</f>
        <v>Regalías</v>
      </c>
      <c r="U1432" s="43" t="s">
        <v>182</v>
      </c>
    </row>
    <row r="1433" spans="1:21" x14ac:dyDescent="0.3">
      <c r="A1433" s="40">
        <v>7495700001</v>
      </c>
      <c r="B1433" s="40" t="s">
        <v>518</v>
      </c>
      <c r="C1433" s="52">
        <f>Datos!$K$98*Datos!$K$166*D1433+Datos!$K$99*Datos!$K$165*D1433</f>
        <v>12323305.101830494</v>
      </c>
      <c r="D1433" s="49">
        <f>Datos!$K$266</f>
        <v>80850</v>
      </c>
      <c r="E1433" s="58"/>
      <c r="F1433" s="43"/>
      <c r="G1433" s="43"/>
      <c r="H1433" s="43"/>
      <c r="I1433" s="43" t="s">
        <v>587</v>
      </c>
      <c r="J1433" s="43" t="s">
        <v>783</v>
      </c>
      <c r="K1433" s="43">
        <v>700007</v>
      </c>
      <c r="L1433" s="43">
        <v>4</v>
      </c>
      <c r="M1433" s="43" t="s">
        <v>440</v>
      </c>
      <c r="N1433" s="51"/>
      <c r="O1433" s="51"/>
      <c r="P1433" s="43" t="str">
        <f>VLOOKUP(K1433,Maestro!J:K,2,0)</f>
        <v>MEZCLA PREHOMO</v>
      </c>
      <c r="Q1433" s="43" t="str">
        <f>VLOOKUP(P1433,Maestro!E:F,2,0)</f>
        <v>Trituración</v>
      </c>
      <c r="R1433" s="43">
        <f>VLOOKUP(P1433,ORD!$A:$C,3,0)</f>
        <v>1</v>
      </c>
      <c r="S1433" t="str">
        <f t="shared" si="39"/>
        <v>7495700001REGALIASTrituración</v>
      </c>
      <c r="T1433" t="str">
        <f>IFERROR(VLOOKUP(S1433,Maestro!$A:$H,8,0),"Producción")</f>
        <v>Regalías</v>
      </c>
      <c r="U1433" s="43" t="s">
        <v>182</v>
      </c>
    </row>
    <row r="1434" spans="1:21" x14ac:dyDescent="0.3">
      <c r="A1434" s="40">
        <v>7495700001</v>
      </c>
      <c r="B1434" s="40" t="s">
        <v>518</v>
      </c>
      <c r="C1434" s="52">
        <f>Datos!$L$98*Datos!$L$166*D1434+Datos!$L$99*Datos!$L$165*D1434</f>
        <v>18610705.663988911</v>
      </c>
      <c r="D1434" s="49">
        <f>Datos!$L$266</f>
        <v>122100</v>
      </c>
      <c r="E1434" s="58"/>
      <c r="F1434" s="43"/>
      <c r="G1434" s="43"/>
      <c r="H1434" s="43"/>
      <c r="I1434" s="43" t="s">
        <v>587</v>
      </c>
      <c r="J1434" s="43" t="s">
        <v>783</v>
      </c>
      <c r="K1434" s="43">
        <v>700007</v>
      </c>
      <c r="L1434" s="43">
        <v>5</v>
      </c>
      <c r="M1434" s="43" t="s">
        <v>440</v>
      </c>
      <c r="N1434" s="51"/>
      <c r="O1434" s="51"/>
      <c r="P1434" s="43" t="str">
        <f>VLOOKUP(K1434,Maestro!J:K,2,0)</f>
        <v>MEZCLA PREHOMO</v>
      </c>
      <c r="Q1434" s="43" t="str">
        <f>VLOOKUP(P1434,Maestro!E:F,2,0)</f>
        <v>Trituración</v>
      </c>
      <c r="R1434" s="43">
        <f>VLOOKUP(P1434,ORD!$A:$C,3,0)</f>
        <v>1</v>
      </c>
      <c r="S1434" t="str">
        <f t="shared" si="39"/>
        <v>7495700001REGALIASTrituración</v>
      </c>
      <c r="T1434" t="str">
        <f>IFERROR(VLOOKUP(S1434,Maestro!$A:$H,8,0),"Producción")</f>
        <v>Regalías</v>
      </c>
      <c r="U1434" s="43" t="s">
        <v>182</v>
      </c>
    </row>
    <row r="1435" spans="1:21" x14ac:dyDescent="0.3">
      <c r="A1435" s="40">
        <v>7495700001</v>
      </c>
      <c r="B1435" s="40" t="s">
        <v>518</v>
      </c>
      <c r="C1435" s="52">
        <f>Datos!$M$98*Datos!$M$166*D1435+Datos!$M$99*Datos!$M$165*D1435</f>
        <v>8173620.73080594</v>
      </c>
      <c r="D1435" s="49">
        <f>Datos!$M$266</f>
        <v>53625</v>
      </c>
      <c r="E1435" s="58"/>
      <c r="F1435" s="43"/>
      <c r="G1435" s="43"/>
      <c r="H1435" s="43"/>
      <c r="I1435" s="43" t="s">
        <v>587</v>
      </c>
      <c r="J1435" s="43" t="s">
        <v>783</v>
      </c>
      <c r="K1435" s="43">
        <v>700007</v>
      </c>
      <c r="L1435" s="43">
        <v>6</v>
      </c>
      <c r="M1435" s="43" t="s">
        <v>440</v>
      </c>
      <c r="N1435" s="51"/>
      <c r="O1435" s="51"/>
      <c r="P1435" s="43" t="str">
        <f>VLOOKUP(K1435,Maestro!J:K,2,0)</f>
        <v>MEZCLA PREHOMO</v>
      </c>
      <c r="Q1435" s="43" t="str">
        <f>VLOOKUP(P1435,Maestro!E:F,2,0)</f>
        <v>Trituración</v>
      </c>
      <c r="R1435" s="43">
        <f>VLOOKUP(P1435,ORD!$A:$C,3,0)</f>
        <v>1</v>
      </c>
      <c r="S1435" t="str">
        <f t="shared" si="39"/>
        <v>7495700001REGALIASTrituración</v>
      </c>
      <c r="T1435" t="str">
        <f>IFERROR(VLOOKUP(S1435,Maestro!$A:$H,8,0),"Producción")</f>
        <v>Regalías</v>
      </c>
      <c r="U1435" s="43" t="s">
        <v>182</v>
      </c>
    </row>
    <row r="1436" spans="1:21" x14ac:dyDescent="0.3">
      <c r="A1436" s="40">
        <v>7495700001</v>
      </c>
      <c r="B1436" s="40" t="s">
        <v>518</v>
      </c>
      <c r="C1436" s="52">
        <f>Datos!$N$98*Datos!$N$166*D1436+Datos!$N$99*Datos!$N$165*D1436</f>
        <v>15341257.371666536</v>
      </c>
      <c r="D1436" s="49">
        <f>Datos!$N$266</f>
        <v>100650</v>
      </c>
      <c r="E1436" s="58"/>
      <c r="F1436" s="43"/>
      <c r="G1436" s="43"/>
      <c r="H1436" s="43"/>
      <c r="I1436" s="43" t="s">
        <v>587</v>
      </c>
      <c r="J1436" s="43" t="s">
        <v>783</v>
      </c>
      <c r="K1436" s="43">
        <v>700007</v>
      </c>
      <c r="L1436" s="43">
        <v>7</v>
      </c>
      <c r="M1436" s="43" t="s">
        <v>440</v>
      </c>
      <c r="N1436" s="51"/>
      <c r="O1436" s="51"/>
      <c r="P1436" s="43" t="str">
        <f>VLOOKUP(K1436,Maestro!J:K,2,0)</f>
        <v>MEZCLA PREHOMO</v>
      </c>
      <c r="Q1436" s="43" t="str">
        <f>VLOOKUP(P1436,Maestro!E:F,2,0)</f>
        <v>Trituración</v>
      </c>
      <c r="R1436" s="43">
        <f>VLOOKUP(P1436,ORD!$A:$C,3,0)</f>
        <v>1</v>
      </c>
      <c r="S1436" t="str">
        <f t="shared" si="39"/>
        <v>7495700001REGALIASTrituración</v>
      </c>
      <c r="T1436" t="str">
        <f>IFERROR(VLOOKUP(S1436,Maestro!$A:$H,8,0),"Producción")</f>
        <v>Regalías</v>
      </c>
      <c r="U1436" s="43" t="s">
        <v>182</v>
      </c>
    </row>
    <row r="1437" spans="1:21" x14ac:dyDescent="0.3">
      <c r="A1437" s="40">
        <v>7495700001</v>
      </c>
      <c r="B1437" s="40" t="s">
        <v>518</v>
      </c>
      <c r="C1437" s="52">
        <f>Datos!$O$98*Datos!$O$166*D1437+Datos!$O$99*Datos!$O$165*D1437</f>
        <v>18862201.686475247</v>
      </c>
      <c r="D1437" s="49">
        <f>Datos!$O$266</f>
        <v>123750</v>
      </c>
      <c r="E1437" s="58"/>
      <c r="F1437" s="43"/>
      <c r="G1437" s="43"/>
      <c r="H1437" s="43"/>
      <c r="I1437" s="43" t="s">
        <v>587</v>
      </c>
      <c r="J1437" s="43" t="s">
        <v>783</v>
      </c>
      <c r="K1437" s="43">
        <v>700007</v>
      </c>
      <c r="L1437" s="43">
        <v>8</v>
      </c>
      <c r="M1437" s="43" t="s">
        <v>440</v>
      </c>
      <c r="N1437" s="51"/>
      <c r="O1437" s="51"/>
      <c r="P1437" s="43" t="str">
        <f>VLOOKUP(K1437,Maestro!J:K,2,0)</f>
        <v>MEZCLA PREHOMO</v>
      </c>
      <c r="Q1437" s="43" t="str">
        <f>VLOOKUP(P1437,Maestro!E:F,2,0)</f>
        <v>Trituración</v>
      </c>
      <c r="R1437" s="43">
        <f>VLOOKUP(P1437,ORD!$A:$C,3,0)</f>
        <v>1</v>
      </c>
      <c r="S1437" t="str">
        <f t="shared" si="39"/>
        <v>7495700001REGALIASTrituración</v>
      </c>
      <c r="T1437" t="str">
        <f>IFERROR(VLOOKUP(S1437,Maestro!$A:$H,8,0),"Producción")</f>
        <v>Regalías</v>
      </c>
      <c r="U1437" s="43" t="s">
        <v>182</v>
      </c>
    </row>
    <row r="1438" spans="1:21" x14ac:dyDescent="0.3">
      <c r="A1438" s="40">
        <v>7495700001</v>
      </c>
      <c r="B1438" s="40" t="s">
        <v>518</v>
      </c>
      <c r="C1438" s="52">
        <f>Datos!$P$98*Datos!$P$166*D1438+Datos!$P$99*Datos!$P$165*D1438</f>
        <v>14461021.292964358</v>
      </c>
      <c r="D1438" s="49">
        <f>Datos!$P$266</f>
        <v>94875</v>
      </c>
      <c r="E1438" s="58"/>
      <c r="F1438" s="43"/>
      <c r="G1438" s="43"/>
      <c r="H1438" s="43"/>
      <c r="I1438" s="43" t="s">
        <v>587</v>
      </c>
      <c r="J1438" s="43" t="s">
        <v>783</v>
      </c>
      <c r="K1438" s="43">
        <v>700007</v>
      </c>
      <c r="L1438" s="43">
        <v>9</v>
      </c>
      <c r="M1438" s="43" t="s">
        <v>440</v>
      </c>
      <c r="N1438" s="51"/>
      <c r="O1438" s="51"/>
      <c r="P1438" s="43" t="str">
        <f>VLOOKUP(K1438,Maestro!J:K,2,0)</f>
        <v>MEZCLA PREHOMO</v>
      </c>
      <c r="Q1438" s="43" t="str">
        <f>VLOOKUP(P1438,Maestro!E:F,2,0)</f>
        <v>Trituración</v>
      </c>
      <c r="R1438" s="43">
        <f>VLOOKUP(P1438,ORD!$A:$C,3,0)</f>
        <v>1</v>
      </c>
      <c r="S1438" t="str">
        <f t="shared" si="39"/>
        <v>7495700001REGALIASTrituración</v>
      </c>
      <c r="T1438" t="str">
        <f>IFERROR(VLOOKUP(S1438,Maestro!$A:$H,8,0),"Producción")</f>
        <v>Regalías</v>
      </c>
      <c r="U1438" s="43" t="s">
        <v>182</v>
      </c>
    </row>
    <row r="1439" spans="1:21" x14ac:dyDescent="0.3">
      <c r="A1439" s="40">
        <v>7495700001</v>
      </c>
      <c r="B1439" s="40" t="s">
        <v>518</v>
      </c>
      <c r="C1439" s="52">
        <f>Datos!$Q$98*Datos!$Q$166*D1439+Datos!$Q$99*Datos!$Q$165*D1439</f>
        <v>11317321.011885148</v>
      </c>
      <c r="D1439" s="49">
        <f>Datos!$Q$266</f>
        <v>74250</v>
      </c>
      <c r="E1439" s="58"/>
      <c r="F1439" s="43"/>
      <c r="G1439" s="43"/>
      <c r="H1439" s="43"/>
      <c r="I1439" s="43" t="s">
        <v>587</v>
      </c>
      <c r="J1439" s="43" t="s">
        <v>783</v>
      </c>
      <c r="K1439" s="43">
        <v>700007</v>
      </c>
      <c r="L1439" s="43">
        <v>10</v>
      </c>
      <c r="M1439" s="43" t="s">
        <v>440</v>
      </c>
      <c r="N1439" s="51"/>
      <c r="O1439" s="51"/>
      <c r="P1439" s="43" t="str">
        <f>VLOOKUP(K1439,Maestro!J:K,2,0)</f>
        <v>MEZCLA PREHOMO</v>
      </c>
      <c r="Q1439" s="43" t="str">
        <f>VLOOKUP(P1439,Maestro!E:F,2,0)</f>
        <v>Trituración</v>
      </c>
      <c r="R1439" s="43">
        <f>VLOOKUP(P1439,ORD!$A:$C,3,0)</f>
        <v>1</v>
      </c>
      <c r="S1439" t="str">
        <f t="shared" si="39"/>
        <v>7495700001REGALIASTrituración</v>
      </c>
      <c r="T1439" t="str">
        <f>IFERROR(VLOOKUP(S1439,Maestro!$A:$H,8,0),"Producción")</f>
        <v>Regalías</v>
      </c>
      <c r="U1439" s="43" t="s">
        <v>182</v>
      </c>
    </row>
    <row r="1440" spans="1:21" x14ac:dyDescent="0.3">
      <c r="A1440" s="40">
        <v>7495700001</v>
      </c>
      <c r="B1440" s="40" t="s">
        <v>518</v>
      </c>
      <c r="C1440" s="52">
        <f>Datos!$R$98*Datos!$R$166*D1440+Datos!$R$99*Datos!$R$165*D1440</f>
        <v>18107713.619016238</v>
      </c>
      <c r="D1440" s="49">
        <f>Datos!$R$266</f>
        <v>118800</v>
      </c>
      <c r="E1440" s="58"/>
      <c r="F1440" s="43"/>
      <c r="G1440" s="43"/>
      <c r="H1440" s="43"/>
      <c r="I1440" s="43" t="s">
        <v>587</v>
      </c>
      <c r="J1440" s="43" t="s">
        <v>783</v>
      </c>
      <c r="K1440" s="43">
        <v>700007</v>
      </c>
      <c r="L1440" s="43">
        <v>11</v>
      </c>
      <c r="M1440" s="43" t="s">
        <v>440</v>
      </c>
      <c r="N1440" s="51"/>
      <c r="O1440" s="51"/>
      <c r="P1440" s="43" t="str">
        <f>VLOOKUP(K1440,Maestro!J:K,2,0)</f>
        <v>MEZCLA PREHOMO</v>
      </c>
      <c r="Q1440" s="43" t="str">
        <f>VLOOKUP(P1440,Maestro!E:F,2,0)</f>
        <v>Trituración</v>
      </c>
      <c r="R1440" s="43">
        <f>VLOOKUP(P1440,ORD!$A:$C,3,0)</f>
        <v>1</v>
      </c>
      <c r="S1440" t="str">
        <f t="shared" si="39"/>
        <v>7495700001REGALIASTrituración</v>
      </c>
      <c r="T1440" t="str">
        <f>IFERROR(VLOOKUP(S1440,Maestro!$A:$H,8,0),"Producción")</f>
        <v>Regalías</v>
      </c>
      <c r="U1440" s="43" t="s">
        <v>182</v>
      </c>
    </row>
    <row r="1441" spans="1:21" x14ac:dyDescent="0.3">
      <c r="A1441" s="40">
        <v>7495700001</v>
      </c>
      <c r="B1441" s="40" t="s">
        <v>518</v>
      </c>
      <c r="C1441" s="52">
        <f>Datos!$S$98*Datos!$S$166*D1441+Datos!$S$99*Datos!$S$165*D1441</f>
        <v>11545141.803419486</v>
      </c>
      <c r="D1441" s="49">
        <f>Datos!$S$266</f>
        <v>75744.672966655286</v>
      </c>
      <c r="E1441" s="58"/>
      <c r="F1441" s="43"/>
      <c r="G1441" s="43"/>
      <c r="H1441" s="43"/>
      <c r="I1441" s="43" t="s">
        <v>587</v>
      </c>
      <c r="J1441" s="43" t="s">
        <v>783</v>
      </c>
      <c r="K1441" s="43">
        <v>700007</v>
      </c>
      <c r="L1441" s="43">
        <v>12</v>
      </c>
      <c r="M1441" s="43" t="s">
        <v>440</v>
      </c>
      <c r="N1441" s="51"/>
      <c r="O1441" s="51"/>
      <c r="P1441" s="43" t="str">
        <f>VLOOKUP(K1441,Maestro!J:K,2,0)</f>
        <v>MEZCLA PREHOMO</v>
      </c>
      <c r="Q1441" s="43" t="str">
        <f>VLOOKUP(P1441,Maestro!E:F,2,0)</f>
        <v>Trituración</v>
      </c>
      <c r="R1441" s="43">
        <f>VLOOKUP(P1441,ORD!$A:$C,3,0)</f>
        <v>1</v>
      </c>
      <c r="S1441" t="str">
        <f t="shared" si="39"/>
        <v>7495700001REGALIASTrituración</v>
      </c>
      <c r="T1441" t="str">
        <f>IFERROR(VLOOKUP(S1441,Maestro!$A:$H,8,0),"Producción")</f>
        <v>Regalías</v>
      </c>
      <c r="U1441" s="43" t="s">
        <v>182</v>
      </c>
    </row>
    <row r="1442" spans="1:21" x14ac:dyDescent="0.3">
      <c r="A1442" s="40">
        <v>7495700001</v>
      </c>
      <c r="B1442" s="40" t="s">
        <v>518</v>
      </c>
      <c r="C1442" s="52">
        <f>Datos!$H$99*Base!D1442</f>
        <v>5958103.8138891077</v>
      </c>
      <c r="D1442" s="49">
        <f>Datos!$H$269</f>
        <v>50242.574257425731</v>
      </c>
      <c r="E1442" s="58"/>
      <c r="F1442" s="43"/>
      <c r="G1442" s="43"/>
      <c r="H1442" s="43"/>
      <c r="I1442" s="43" t="s">
        <v>587</v>
      </c>
      <c r="J1442" s="43" t="s">
        <v>783</v>
      </c>
      <c r="K1442" s="43">
        <v>700005</v>
      </c>
      <c r="L1442" s="43">
        <v>1</v>
      </c>
      <c r="M1442" s="43" t="s">
        <v>565</v>
      </c>
      <c r="N1442" s="51"/>
      <c r="O1442" s="51"/>
      <c r="P1442" s="43" t="str">
        <f>VLOOKUP(K1442,Maestro!J:K,2,0)</f>
        <v>CALIZA PARA ADICIONES</v>
      </c>
      <c r="Q1442" s="43" t="str">
        <f>VLOOKUP(P1442,Maestro!E:F,2,0)</f>
        <v>Adiciones</v>
      </c>
      <c r="R1442" s="43">
        <v>2</v>
      </c>
      <c r="S1442" t="str">
        <f t="shared" si="39"/>
        <v>7495700001REGALIASAdiciones</v>
      </c>
      <c r="T1442" t="str">
        <f>IFERROR(VLOOKUP(S1442,Maestro!$A:$H,8,0),"Producción")</f>
        <v>Regalías</v>
      </c>
      <c r="U1442" s="43" t="s">
        <v>182</v>
      </c>
    </row>
    <row r="1443" spans="1:21" x14ac:dyDescent="0.3">
      <c r="A1443" s="40">
        <v>7495700001</v>
      </c>
      <c r="B1443" s="40" t="s">
        <v>518</v>
      </c>
      <c r="C1443" s="52">
        <f>Datos!$I$99*Base!D1443</f>
        <v>6218172.7851722762</v>
      </c>
      <c r="D1443" s="49">
        <f>Datos!$I$269</f>
        <v>52435.643564356425</v>
      </c>
      <c r="E1443" s="58"/>
      <c r="F1443" s="43"/>
      <c r="G1443" s="43"/>
      <c r="H1443" s="43"/>
      <c r="I1443" s="43" t="s">
        <v>587</v>
      </c>
      <c r="J1443" s="43" t="s">
        <v>783</v>
      </c>
      <c r="K1443" s="43">
        <v>700005</v>
      </c>
      <c r="L1443" s="43">
        <v>2</v>
      </c>
      <c r="M1443" s="43" t="s">
        <v>565</v>
      </c>
      <c r="N1443" s="51"/>
      <c r="O1443" s="51"/>
      <c r="P1443" s="43" t="str">
        <f>VLOOKUP(K1443,Maestro!J:K,2,0)</f>
        <v>CALIZA PARA ADICIONES</v>
      </c>
      <c r="Q1443" s="43" t="str">
        <f>VLOOKUP(P1443,Maestro!E:F,2,0)</f>
        <v>Adiciones</v>
      </c>
      <c r="R1443" s="43">
        <v>2</v>
      </c>
      <c r="S1443" t="str">
        <f t="shared" ref="S1443:S1454" si="40">A1443&amp;J1443&amp;Q1443</f>
        <v>7495700001REGALIASAdiciones</v>
      </c>
      <c r="T1443" t="str">
        <f>IFERROR(VLOOKUP(S1443,Maestro!$A:$H,8,0),"Producción")</f>
        <v>Regalías</v>
      </c>
      <c r="U1443" s="43" t="s">
        <v>182</v>
      </c>
    </row>
    <row r="1444" spans="1:21" x14ac:dyDescent="0.3">
      <c r="A1444" s="40">
        <v>7495700001</v>
      </c>
      <c r="B1444" s="40" t="s">
        <v>518</v>
      </c>
      <c r="C1444" s="52">
        <f>Datos!$J$99*Base!D1444</f>
        <v>5698504.4931184156</v>
      </c>
      <c r="D1444" s="49">
        <f>Datos!$J$269</f>
        <v>48053.465346534649</v>
      </c>
      <c r="E1444" s="58"/>
      <c r="F1444" s="43"/>
      <c r="G1444" s="43"/>
      <c r="H1444" s="43"/>
      <c r="I1444" s="43" t="s">
        <v>587</v>
      </c>
      <c r="J1444" s="43" t="s">
        <v>783</v>
      </c>
      <c r="K1444" s="43">
        <v>700005</v>
      </c>
      <c r="L1444" s="43">
        <v>3</v>
      </c>
      <c r="M1444" s="43" t="s">
        <v>565</v>
      </c>
      <c r="N1444" s="51"/>
      <c r="O1444" s="51"/>
      <c r="P1444" s="43" t="str">
        <f>VLOOKUP(K1444,Maestro!J:K,2,0)</f>
        <v>CALIZA PARA ADICIONES</v>
      </c>
      <c r="Q1444" s="43" t="str">
        <f>VLOOKUP(P1444,Maestro!E:F,2,0)</f>
        <v>Adiciones</v>
      </c>
      <c r="R1444" s="43">
        <v>2</v>
      </c>
      <c r="S1444" t="str">
        <f t="shared" si="40"/>
        <v>7495700001REGALIASAdiciones</v>
      </c>
      <c r="T1444" t="str">
        <f>IFERROR(VLOOKUP(S1444,Maestro!$A:$H,8,0),"Producción")</f>
        <v>Regalías</v>
      </c>
      <c r="U1444" s="43" t="s">
        <v>182</v>
      </c>
    </row>
    <row r="1445" spans="1:21" x14ac:dyDescent="0.3">
      <c r="A1445" s="40">
        <v>7495700001</v>
      </c>
      <c r="B1445" s="40" t="s">
        <v>518</v>
      </c>
      <c r="C1445" s="52">
        <f>Datos!$K$99*Base!D1445</f>
        <v>5272414.0656752475</v>
      </c>
      <c r="D1445" s="49">
        <f>Datos!$K$269</f>
        <v>44460.396039603962</v>
      </c>
      <c r="E1445" s="58"/>
      <c r="F1445" s="43"/>
      <c r="G1445" s="43"/>
      <c r="H1445" s="43"/>
      <c r="I1445" s="43" t="s">
        <v>587</v>
      </c>
      <c r="J1445" s="43" t="s">
        <v>783</v>
      </c>
      <c r="K1445" s="43">
        <v>700005</v>
      </c>
      <c r="L1445" s="43">
        <v>4</v>
      </c>
      <c r="M1445" s="43" t="s">
        <v>565</v>
      </c>
      <c r="N1445" s="51"/>
      <c r="O1445" s="51"/>
      <c r="P1445" s="43" t="str">
        <f>VLOOKUP(K1445,Maestro!J:K,2,0)</f>
        <v>CALIZA PARA ADICIONES</v>
      </c>
      <c r="Q1445" s="43" t="str">
        <f>VLOOKUP(P1445,Maestro!E:F,2,0)</f>
        <v>Adiciones</v>
      </c>
      <c r="R1445" s="43">
        <v>2</v>
      </c>
      <c r="S1445" t="str">
        <f t="shared" si="40"/>
        <v>7495700001REGALIASAdiciones</v>
      </c>
      <c r="T1445" t="str">
        <f>IFERROR(VLOOKUP(S1445,Maestro!$A:$H,8,0),"Producción")</f>
        <v>Regalías</v>
      </c>
      <c r="U1445" s="43" t="s">
        <v>182</v>
      </c>
    </row>
    <row r="1446" spans="1:21" x14ac:dyDescent="0.3">
      <c r="A1446" s="40">
        <v>7495700001</v>
      </c>
      <c r="B1446" s="40" t="s">
        <v>518</v>
      </c>
      <c r="C1446" s="52">
        <f>Datos!$L$99*Base!D1446</f>
        <v>6544462.4787144559</v>
      </c>
      <c r="D1446" s="49">
        <f>Datos!$L$269</f>
        <v>55187.128712871287</v>
      </c>
      <c r="E1446" s="58"/>
      <c r="F1446" s="43"/>
      <c r="G1446" s="43"/>
      <c r="H1446" s="43"/>
      <c r="I1446" s="43" t="s">
        <v>587</v>
      </c>
      <c r="J1446" s="43" t="s">
        <v>783</v>
      </c>
      <c r="K1446" s="43">
        <v>700005</v>
      </c>
      <c r="L1446" s="43">
        <v>5</v>
      </c>
      <c r="M1446" s="43" t="s">
        <v>565</v>
      </c>
      <c r="N1446" s="51"/>
      <c r="O1446" s="51"/>
      <c r="P1446" s="43" t="str">
        <f>VLOOKUP(K1446,Maestro!J:K,2,0)</f>
        <v>CALIZA PARA ADICIONES</v>
      </c>
      <c r="Q1446" s="43" t="str">
        <f>VLOOKUP(P1446,Maestro!E:F,2,0)</f>
        <v>Adiciones</v>
      </c>
      <c r="R1446" s="43">
        <v>2</v>
      </c>
      <c r="S1446" t="str">
        <f t="shared" si="40"/>
        <v>7495700001REGALIASAdiciones</v>
      </c>
      <c r="T1446" t="str">
        <f>IFERROR(VLOOKUP(S1446,Maestro!$A:$H,8,0),"Producción")</f>
        <v>Regalías</v>
      </c>
      <c r="U1446" s="43" t="s">
        <v>182</v>
      </c>
    </row>
    <row r="1447" spans="1:21" x14ac:dyDescent="0.3">
      <c r="A1447" s="40">
        <v>7495700001</v>
      </c>
      <c r="B1447" s="40" t="s">
        <v>518</v>
      </c>
      <c r="C1447" s="52">
        <f>Datos!$M$99*Base!D1447</f>
        <v>4841274.8952229703</v>
      </c>
      <c r="D1447" s="49">
        <f>Datos!$M$269</f>
        <v>40824.752475247522</v>
      </c>
      <c r="E1447" s="58"/>
      <c r="F1447" s="43"/>
      <c r="G1447" s="43"/>
      <c r="H1447" s="43"/>
      <c r="I1447" s="43" t="s">
        <v>587</v>
      </c>
      <c r="J1447" s="43" t="s">
        <v>783</v>
      </c>
      <c r="K1447" s="43">
        <v>700005</v>
      </c>
      <c r="L1447" s="43">
        <v>6</v>
      </c>
      <c r="M1447" s="43" t="s">
        <v>565</v>
      </c>
      <c r="N1447" s="51"/>
      <c r="O1447" s="51"/>
      <c r="P1447" s="43" t="str">
        <f>VLOOKUP(K1447,Maestro!J:K,2,0)</f>
        <v>CALIZA PARA ADICIONES</v>
      </c>
      <c r="Q1447" s="43" t="str">
        <f>VLOOKUP(P1447,Maestro!E:F,2,0)</f>
        <v>Adiciones</v>
      </c>
      <c r="R1447" s="43">
        <v>2</v>
      </c>
      <c r="S1447" t="str">
        <f t="shared" si="40"/>
        <v>7495700001REGALIASAdiciones</v>
      </c>
      <c r="T1447" t="str">
        <f>IFERROR(VLOOKUP(S1447,Maestro!$A:$H,8,0),"Producción")</f>
        <v>Regalías</v>
      </c>
      <c r="U1447" s="43" t="s">
        <v>182</v>
      </c>
    </row>
    <row r="1448" spans="1:21" x14ac:dyDescent="0.3">
      <c r="A1448" s="40">
        <v>7495700001</v>
      </c>
      <c r="B1448" s="40" t="s">
        <v>518</v>
      </c>
      <c r="C1448" s="52">
        <f>Datos!$N$99*Base!D1448</f>
        <v>6151952.0629132679</v>
      </c>
      <c r="D1448" s="49">
        <f>Datos!$N$269</f>
        <v>51877.227722772281</v>
      </c>
      <c r="E1448" s="58"/>
      <c r="F1448" s="43"/>
      <c r="G1448" s="43"/>
      <c r="H1448" s="43"/>
      <c r="I1448" s="43" t="s">
        <v>587</v>
      </c>
      <c r="J1448" s="43" t="s">
        <v>783</v>
      </c>
      <c r="K1448" s="43">
        <v>700005</v>
      </c>
      <c r="L1448" s="43">
        <v>7</v>
      </c>
      <c r="M1448" s="43" t="s">
        <v>565</v>
      </c>
      <c r="N1448" s="51"/>
      <c r="O1448" s="51"/>
      <c r="P1448" s="43" t="str">
        <f>VLOOKUP(K1448,Maestro!J:K,2,0)</f>
        <v>CALIZA PARA ADICIONES</v>
      </c>
      <c r="Q1448" s="43" t="str">
        <f>VLOOKUP(P1448,Maestro!E:F,2,0)</f>
        <v>Adiciones</v>
      </c>
      <c r="R1448" s="43">
        <v>2</v>
      </c>
      <c r="S1448" t="str">
        <f t="shared" si="40"/>
        <v>7495700001REGALIASAdiciones</v>
      </c>
      <c r="T1448" t="str">
        <f>IFERROR(VLOOKUP(S1448,Maestro!$A:$H,8,0),"Producción")</f>
        <v>Regalías</v>
      </c>
      <c r="U1448" s="43" t="s">
        <v>182</v>
      </c>
    </row>
    <row r="1449" spans="1:21" x14ac:dyDescent="0.3">
      <c r="A1449" s="40">
        <v>7495700001</v>
      </c>
      <c r="B1449" s="40" t="s">
        <v>518</v>
      </c>
      <c r="C1449" s="52">
        <f>Datos!$O$99*Base!D1449</f>
        <v>6638509.9938376229</v>
      </c>
      <c r="D1449" s="49">
        <f>Datos!$O$269</f>
        <v>55980.198019801974</v>
      </c>
      <c r="E1449" s="58"/>
      <c r="F1449" s="43"/>
      <c r="G1449" s="43"/>
      <c r="H1449" s="43"/>
      <c r="I1449" s="43" t="s">
        <v>587</v>
      </c>
      <c r="J1449" s="43" t="s">
        <v>783</v>
      </c>
      <c r="K1449" s="43">
        <v>700005</v>
      </c>
      <c r="L1449" s="43">
        <v>8</v>
      </c>
      <c r="M1449" s="43" t="s">
        <v>565</v>
      </c>
      <c r="N1449" s="51"/>
      <c r="O1449" s="51"/>
      <c r="P1449" s="43" t="str">
        <f>VLOOKUP(K1449,Maestro!J:K,2,0)</f>
        <v>CALIZA PARA ADICIONES</v>
      </c>
      <c r="Q1449" s="43" t="str">
        <f>VLOOKUP(P1449,Maestro!E:F,2,0)</f>
        <v>Adiciones</v>
      </c>
      <c r="R1449" s="43">
        <v>2</v>
      </c>
      <c r="S1449" t="str">
        <f t="shared" si="40"/>
        <v>7495700001REGALIASAdiciones</v>
      </c>
      <c r="T1449" t="str">
        <f>IFERROR(VLOOKUP(S1449,Maestro!$A:$H,8,0),"Producción")</f>
        <v>Regalías</v>
      </c>
      <c r="U1449" s="43" t="s">
        <v>182</v>
      </c>
    </row>
    <row r="1450" spans="1:21" x14ac:dyDescent="0.3">
      <c r="A1450" s="40">
        <v>7495700001</v>
      </c>
      <c r="B1450" s="40" t="s">
        <v>518</v>
      </c>
      <c r="C1450" s="52">
        <f>Datos!$P$99*Base!D1450</f>
        <v>6030312.5801821789</v>
      </c>
      <c r="D1450" s="49">
        <f>Datos!$P$269</f>
        <v>50851.485148514854</v>
      </c>
      <c r="E1450" s="58"/>
      <c r="F1450" s="43"/>
      <c r="G1450" s="43"/>
      <c r="H1450" s="43"/>
      <c r="I1450" s="43" t="s">
        <v>587</v>
      </c>
      <c r="J1450" s="43" t="s">
        <v>783</v>
      </c>
      <c r="K1450" s="43">
        <v>700005</v>
      </c>
      <c r="L1450" s="43">
        <v>9</v>
      </c>
      <c r="M1450" s="43" t="s">
        <v>565</v>
      </c>
      <c r="N1450" s="51"/>
      <c r="O1450" s="51"/>
      <c r="P1450" s="43" t="str">
        <f>VLOOKUP(K1450,Maestro!J:K,2,0)</f>
        <v>CALIZA PARA ADICIONES</v>
      </c>
      <c r="Q1450" s="43" t="str">
        <f>VLOOKUP(P1450,Maestro!E:F,2,0)</f>
        <v>Adiciones</v>
      </c>
      <c r="R1450" s="43">
        <v>2</v>
      </c>
      <c r="S1450" t="str">
        <f t="shared" si="40"/>
        <v>7495700001REGALIASAdiciones</v>
      </c>
      <c r="T1450" t="str">
        <f>IFERROR(VLOOKUP(S1450,Maestro!$A:$H,8,0),"Producción")</f>
        <v>Regalías</v>
      </c>
      <c r="U1450" s="43" t="s">
        <v>182</v>
      </c>
    </row>
    <row r="1451" spans="1:21" x14ac:dyDescent="0.3">
      <c r="A1451" s="40">
        <v>7495700001</v>
      </c>
      <c r="B1451" s="40" t="s">
        <v>518</v>
      </c>
      <c r="C1451" s="52">
        <f>Datos!$Q$99*Base!D1451</f>
        <v>5726331.2859825743</v>
      </c>
      <c r="D1451" s="49">
        <f>Datos!$Q$269</f>
        <v>48288.118811881184</v>
      </c>
      <c r="E1451" s="58"/>
      <c r="F1451" s="43"/>
      <c r="G1451" s="43"/>
      <c r="H1451" s="43"/>
      <c r="I1451" s="43" t="s">
        <v>587</v>
      </c>
      <c r="J1451" s="43" t="s">
        <v>783</v>
      </c>
      <c r="K1451" s="43">
        <v>700005</v>
      </c>
      <c r="L1451" s="43">
        <v>10</v>
      </c>
      <c r="M1451" s="43" t="s">
        <v>565</v>
      </c>
      <c r="N1451" s="51"/>
      <c r="O1451" s="51"/>
      <c r="P1451" s="43" t="str">
        <f>VLOOKUP(K1451,Maestro!J:K,2,0)</f>
        <v>CALIZA PARA ADICIONES</v>
      </c>
      <c r="Q1451" s="43" t="str">
        <f>VLOOKUP(P1451,Maestro!E:F,2,0)</f>
        <v>Adiciones</v>
      </c>
      <c r="R1451" s="43">
        <v>2</v>
      </c>
      <c r="S1451" t="str">
        <f t="shared" si="40"/>
        <v>7495700001REGALIASAdiciones</v>
      </c>
      <c r="T1451" t="str">
        <f>IFERROR(VLOOKUP(S1451,Maestro!$A:$H,8,0),"Producción")</f>
        <v>Regalías</v>
      </c>
      <c r="U1451" s="43" t="s">
        <v>182</v>
      </c>
    </row>
    <row r="1452" spans="1:21" x14ac:dyDescent="0.3">
      <c r="A1452" s="40">
        <v>7495700001</v>
      </c>
      <c r="B1452" s="40" t="s">
        <v>518</v>
      </c>
      <c r="C1452" s="52">
        <f>Datos!$R$99*Base!D1452</f>
        <v>6688410.360788119</v>
      </c>
      <c r="D1452" s="49">
        <f>Datos!$R$269</f>
        <v>56400.990099009898</v>
      </c>
      <c r="E1452" s="58"/>
      <c r="F1452" s="43"/>
      <c r="G1452" s="43"/>
      <c r="H1452" s="43"/>
      <c r="I1452" s="43" t="s">
        <v>587</v>
      </c>
      <c r="J1452" s="43" t="s">
        <v>783</v>
      </c>
      <c r="K1452" s="43">
        <v>700005</v>
      </c>
      <c r="L1452" s="43">
        <v>11</v>
      </c>
      <c r="M1452" s="43" t="s">
        <v>565</v>
      </c>
      <c r="N1452" s="51"/>
      <c r="O1452" s="51"/>
      <c r="P1452" s="43" t="str">
        <f>VLOOKUP(K1452,Maestro!J:K,2,0)</f>
        <v>CALIZA PARA ADICIONES</v>
      </c>
      <c r="Q1452" s="43" t="str">
        <f>VLOOKUP(P1452,Maestro!E:F,2,0)</f>
        <v>Adiciones</v>
      </c>
      <c r="R1452" s="43">
        <v>2</v>
      </c>
      <c r="S1452" t="str">
        <f t="shared" si="40"/>
        <v>7495700001REGALIASAdiciones</v>
      </c>
      <c r="T1452" t="str">
        <f>IFERROR(VLOOKUP(S1452,Maestro!$A:$H,8,0),"Producción")</f>
        <v>Regalías</v>
      </c>
      <c r="U1452" s="43" t="s">
        <v>182</v>
      </c>
    </row>
    <row r="1453" spans="1:21" x14ac:dyDescent="0.3">
      <c r="A1453" s="40">
        <v>7495700001</v>
      </c>
      <c r="B1453" s="40" t="s">
        <v>518</v>
      </c>
      <c r="C1453" s="52">
        <f>Datos!$S$99*Base!D1453</f>
        <v>5637030.9832781693</v>
      </c>
      <c r="D1453" s="49">
        <f>Datos!$S$269</f>
        <v>47535.08106195517</v>
      </c>
      <c r="E1453" s="58"/>
      <c r="F1453" s="43"/>
      <c r="G1453" s="43"/>
      <c r="H1453" s="43"/>
      <c r="I1453" s="43" t="s">
        <v>587</v>
      </c>
      <c r="J1453" s="43" t="s">
        <v>783</v>
      </c>
      <c r="K1453" s="43">
        <v>700005</v>
      </c>
      <c r="L1453" s="43">
        <v>12</v>
      </c>
      <c r="M1453" s="43" t="s">
        <v>565</v>
      </c>
      <c r="N1453" s="51"/>
      <c r="O1453" s="51"/>
      <c r="P1453" s="43" t="str">
        <f>VLOOKUP(K1453,Maestro!J:K,2,0)</f>
        <v>CALIZA PARA ADICIONES</v>
      </c>
      <c r="Q1453" s="43" t="str">
        <f>VLOOKUP(P1453,Maestro!E:F,2,0)</f>
        <v>Adiciones</v>
      </c>
      <c r="R1453" s="43">
        <v>2</v>
      </c>
      <c r="S1453" t="str">
        <f t="shared" si="40"/>
        <v>7495700001REGALIASAdiciones</v>
      </c>
      <c r="T1453" t="str">
        <f>IFERROR(VLOOKUP(S1453,Maestro!$A:$H,8,0),"Producción")</f>
        <v>Regalías</v>
      </c>
      <c r="U1453" s="43" t="s">
        <v>182</v>
      </c>
    </row>
    <row r="1454" spans="1:21" x14ac:dyDescent="0.3">
      <c r="A1454" s="40">
        <v>7355250320</v>
      </c>
      <c r="B1454" s="43" t="s">
        <v>490</v>
      </c>
      <c r="C1454" s="49">
        <f>Datos!$H$85*D1454</f>
        <v>12000000</v>
      </c>
      <c r="D1454" s="52">
        <f>Datos!$H$275</f>
        <v>1578.8742818877511</v>
      </c>
      <c r="E1454" s="43"/>
      <c r="F1454" s="43"/>
      <c r="G1454" s="43"/>
      <c r="H1454" s="43"/>
      <c r="I1454" s="43" t="s">
        <v>560</v>
      </c>
      <c r="J1454" s="40" t="s">
        <v>787</v>
      </c>
      <c r="K1454" s="43">
        <v>700120</v>
      </c>
      <c r="L1454" s="43">
        <v>1</v>
      </c>
      <c r="M1454" s="43" t="s">
        <v>526</v>
      </c>
      <c r="N1454" s="53"/>
      <c r="O1454" s="53"/>
      <c r="P1454" s="43" t="str">
        <f>VLOOKUP(K1454,Maestro!J:K,2,0)</f>
        <v>COMBUSTIBLES ALTERNOS</v>
      </c>
      <c r="Q1454" s="43" t="str">
        <f>VLOOKUP(P1454,Maestro!E:F,2,0)</f>
        <v>COMBUSTIBLES ALTERNOS</v>
      </c>
      <c r="R1454" s="43">
        <f>VLOOKUP(P1454,ORD!$A:$C,3,0)</f>
        <v>20</v>
      </c>
      <c r="S1454" t="str">
        <f t="shared" si="40"/>
        <v>7355250320CARGUE ALTERNOSCOMBUSTIBLES ALTERNOS</v>
      </c>
      <c r="T1454" t="str">
        <f>IFERROR(VLOOKUP(S1454,Maestro!$A:$H,8,0),"Producción")</f>
        <v>Cargue Alternos</v>
      </c>
      <c r="U1454" s="43" t="s">
        <v>182</v>
      </c>
    </row>
    <row r="1455" spans="1:21" x14ac:dyDescent="0.3">
      <c r="A1455" s="40">
        <v>7355250320</v>
      </c>
      <c r="B1455" s="43" t="s">
        <v>490</v>
      </c>
      <c r="C1455" s="49">
        <f>Datos!$I$85*D1455</f>
        <v>12000000</v>
      </c>
      <c r="D1455" s="52">
        <f>Datos!$I$275</f>
        <v>1598.366556972785</v>
      </c>
      <c r="E1455" s="43"/>
      <c r="F1455" s="43"/>
      <c r="G1455" s="43"/>
      <c r="H1455" s="43"/>
      <c r="I1455" s="43" t="s">
        <v>560</v>
      </c>
      <c r="J1455" s="40" t="s">
        <v>787</v>
      </c>
      <c r="K1455" s="43">
        <v>700120</v>
      </c>
      <c r="L1455" s="43">
        <v>2</v>
      </c>
      <c r="M1455" s="43" t="s">
        <v>526</v>
      </c>
      <c r="N1455" s="53"/>
      <c r="O1455" s="53"/>
      <c r="P1455" s="43" t="str">
        <f>VLOOKUP(K1455,Maestro!J:K,2,0)</f>
        <v>COMBUSTIBLES ALTERNOS</v>
      </c>
      <c r="Q1455" s="43" t="str">
        <f>VLOOKUP(P1455,Maestro!E:F,2,0)</f>
        <v>COMBUSTIBLES ALTERNOS</v>
      </c>
      <c r="R1455" s="43">
        <f>VLOOKUP(P1455,ORD!$A:$C,3,0)</f>
        <v>20</v>
      </c>
      <c r="S1455" t="str">
        <f t="shared" ref="S1455:S1465" si="41">A1455&amp;J1455&amp;Q1455</f>
        <v>7355250320CARGUE ALTERNOSCOMBUSTIBLES ALTERNOS</v>
      </c>
      <c r="T1455" t="str">
        <f>IFERROR(VLOOKUP(S1455,Maestro!$A:$H,8,0),"Producción")</f>
        <v>Cargue Alternos</v>
      </c>
      <c r="U1455" s="43" t="s">
        <v>182</v>
      </c>
    </row>
    <row r="1456" spans="1:21" x14ac:dyDescent="0.3">
      <c r="A1456" s="40">
        <v>7355250320</v>
      </c>
      <c r="B1456" s="43" t="s">
        <v>490</v>
      </c>
      <c r="C1456" s="49">
        <f>Datos!$J$85*D1456</f>
        <v>12000000</v>
      </c>
      <c r="D1456" s="52">
        <f>Datos!$J$275</f>
        <v>1111.059679846936</v>
      </c>
      <c r="E1456" s="43"/>
      <c r="F1456" s="43"/>
      <c r="G1456" s="43"/>
      <c r="H1456" s="43"/>
      <c r="I1456" s="43" t="s">
        <v>560</v>
      </c>
      <c r="J1456" s="40" t="s">
        <v>787</v>
      </c>
      <c r="K1456" s="43">
        <v>700120</v>
      </c>
      <c r="L1456" s="43">
        <v>3</v>
      </c>
      <c r="M1456" s="43" t="s">
        <v>526</v>
      </c>
      <c r="N1456" s="53"/>
      <c r="O1456" s="53"/>
      <c r="P1456" s="43" t="str">
        <f>VLOOKUP(K1456,Maestro!J:K,2,0)</f>
        <v>COMBUSTIBLES ALTERNOS</v>
      </c>
      <c r="Q1456" s="43" t="str">
        <f>VLOOKUP(P1456,Maestro!E:F,2,0)</f>
        <v>COMBUSTIBLES ALTERNOS</v>
      </c>
      <c r="R1456" s="43">
        <f>VLOOKUP(P1456,ORD!$A:$C,3,0)</f>
        <v>20</v>
      </c>
      <c r="S1456" t="str">
        <f t="shared" si="41"/>
        <v>7355250320CARGUE ALTERNOSCOMBUSTIBLES ALTERNOS</v>
      </c>
      <c r="T1456" t="str">
        <f>IFERROR(VLOOKUP(S1456,Maestro!$A:$H,8,0),"Producción")</f>
        <v>Cargue Alternos</v>
      </c>
      <c r="U1456" s="43" t="s">
        <v>182</v>
      </c>
    </row>
    <row r="1457" spans="1:21" x14ac:dyDescent="0.3">
      <c r="A1457" s="40">
        <v>7355250320</v>
      </c>
      <c r="B1457" s="43" t="s">
        <v>490</v>
      </c>
      <c r="C1457" s="49">
        <f>Datos!$K$85*D1457</f>
        <v>12000000</v>
      </c>
      <c r="D1457" s="52">
        <f>Datos!$K$275</f>
        <v>1169.5365051020378</v>
      </c>
      <c r="E1457" s="43"/>
      <c r="F1457" s="43"/>
      <c r="G1457" s="43"/>
      <c r="H1457" s="43"/>
      <c r="I1457" s="43" t="s">
        <v>560</v>
      </c>
      <c r="J1457" s="40" t="s">
        <v>787</v>
      </c>
      <c r="K1457" s="43">
        <v>700120</v>
      </c>
      <c r="L1457" s="43">
        <v>4</v>
      </c>
      <c r="M1457" s="43" t="s">
        <v>526</v>
      </c>
      <c r="N1457" s="53"/>
      <c r="O1457" s="53"/>
      <c r="P1457" s="43" t="str">
        <f>VLOOKUP(K1457,Maestro!J:K,2,0)</f>
        <v>COMBUSTIBLES ALTERNOS</v>
      </c>
      <c r="Q1457" s="43" t="str">
        <f>VLOOKUP(P1457,Maestro!E:F,2,0)</f>
        <v>COMBUSTIBLES ALTERNOS</v>
      </c>
      <c r="R1457" s="43">
        <f>VLOOKUP(P1457,ORD!$A:$C,3,0)</f>
        <v>20</v>
      </c>
      <c r="S1457" t="str">
        <f t="shared" si="41"/>
        <v>7355250320CARGUE ALTERNOSCOMBUSTIBLES ALTERNOS</v>
      </c>
      <c r="T1457" t="str">
        <f>IFERROR(VLOOKUP(S1457,Maestro!$A:$H,8,0),"Producción")</f>
        <v>Cargue Alternos</v>
      </c>
      <c r="U1457" s="43" t="s">
        <v>182</v>
      </c>
    </row>
    <row r="1458" spans="1:21" x14ac:dyDescent="0.3">
      <c r="A1458" s="40">
        <v>7355250320</v>
      </c>
      <c r="B1458" s="43" t="s">
        <v>490</v>
      </c>
      <c r="C1458" s="49">
        <f>Datos!$L$85*D1458</f>
        <v>12000000</v>
      </c>
      <c r="D1458" s="52">
        <f>Datos!$L$275</f>
        <v>1773.7970327380904</v>
      </c>
      <c r="E1458" s="43"/>
      <c r="F1458" s="43"/>
      <c r="G1458" s="43"/>
      <c r="H1458" s="43"/>
      <c r="I1458" s="43" t="s">
        <v>560</v>
      </c>
      <c r="J1458" s="40" t="s">
        <v>787</v>
      </c>
      <c r="K1458" s="43">
        <v>700120</v>
      </c>
      <c r="L1458" s="43">
        <v>5</v>
      </c>
      <c r="M1458" s="43" t="s">
        <v>526</v>
      </c>
      <c r="N1458" s="53"/>
      <c r="O1458" s="53"/>
      <c r="P1458" s="43" t="str">
        <f>VLOOKUP(K1458,Maestro!J:K,2,0)</f>
        <v>COMBUSTIBLES ALTERNOS</v>
      </c>
      <c r="Q1458" s="43" t="str">
        <f>VLOOKUP(P1458,Maestro!E:F,2,0)</f>
        <v>COMBUSTIBLES ALTERNOS</v>
      </c>
      <c r="R1458" s="43">
        <f>VLOOKUP(P1458,ORD!$A:$C,3,0)</f>
        <v>20</v>
      </c>
      <c r="S1458" t="str">
        <f t="shared" si="41"/>
        <v>7355250320CARGUE ALTERNOSCOMBUSTIBLES ALTERNOS</v>
      </c>
      <c r="T1458" t="str">
        <f>IFERROR(VLOOKUP(S1458,Maestro!$A:$H,8,0),"Producción")</f>
        <v>Cargue Alternos</v>
      </c>
      <c r="U1458" s="43" t="s">
        <v>182</v>
      </c>
    </row>
    <row r="1459" spans="1:21" x14ac:dyDescent="0.3">
      <c r="A1459" s="40">
        <v>7355250320</v>
      </c>
      <c r="B1459" s="43" t="s">
        <v>490</v>
      </c>
      <c r="C1459" s="49">
        <f>Datos!$M$85*D1459</f>
        <v>12000000</v>
      </c>
      <c r="D1459" s="52">
        <f>Datos!$M$275</f>
        <v>760.1987283163246</v>
      </c>
      <c r="E1459" s="43"/>
      <c r="F1459" s="43"/>
      <c r="G1459" s="43"/>
      <c r="H1459" s="43"/>
      <c r="I1459" s="43" t="s">
        <v>560</v>
      </c>
      <c r="J1459" s="40" t="s">
        <v>787</v>
      </c>
      <c r="K1459" s="43">
        <v>700120</v>
      </c>
      <c r="L1459" s="43">
        <v>6</v>
      </c>
      <c r="M1459" s="43" t="s">
        <v>526</v>
      </c>
      <c r="N1459" s="53"/>
      <c r="O1459" s="53"/>
      <c r="P1459" s="43" t="str">
        <f>VLOOKUP(K1459,Maestro!J:K,2,0)</f>
        <v>COMBUSTIBLES ALTERNOS</v>
      </c>
      <c r="Q1459" s="43" t="str">
        <f>VLOOKUP(P1459,Maestro!E:F,2,0)</f>
        <v>COMBUSTIBLES ALTERNOS</v>
      </c>
      <c r="R1459" s="43">
        <f>VLOOKUP(P1459,ORD!$A:$C,3,0)</f>
        <v>20</v>
      </c>
      <c r="S1459" t="str">
        <f t="shared" si="41"/>
        <v>7355250320CARGUE ALTERNOSCOMBUSTIBLES ALTERNOS</v>
      </c>
      <c r="T1459" t="str">
        <f>IFERROR(VLOOKUP(S1459,Maestro!$A:$H,8,0),"Producción")</f>
        <v>Cargue Alternos</v>
      </c>
      <c r="U1459" s="43" t="s">
        <v>182</v>
      </c>
    </row>
    <row r="1460" spans="1:21" x14ac:dyDescent="0.3">
      <c r="A1460" s="40">
        <v>7355250320</v>
      </c>
      <c r="B1460" s="43" t="s">
        <v>490</v>
      </c>
      <c r="C1460" s="49">
        <f>Datos!$N$85*D1460</f>
        <v>12000000</v>
      </c>
      <c r="D1460" s="52">
        <f>Datos!$N$275</f>
        <v>1461.9206313775471</v>
      </c>
      <c r="E1460" s="43"/>
      <c r="F1460" s="43"/>
      <c r="G1460" s="43"/>
      <c r="H1460" s="43"/>
      <c r="I1460" s="43" t="s">
        <v>560</v>
      </c>
      <c r="J1460" s="40" t="s">
        <v>787</v>
      </c>
      <c r="K1460" s="43">
        <v>700120</v>
      </c>
      <c r="L1460" s="43">
        <v>7</v>
      </c>
      <c r="M1460" s="43" t="s">
        <v>526</v>
      </c>
      <c r="N1460" s="53"/>
      <c r="O1460" s="53"/>
      <c r="P1460" s="43" t="str">
        <f>VLOOKUP(K1460,Maestro!J:K,2,0)</f>
        <v>COMBUSTIBLES ALTERNOS</v>
      </c>
      <c r="Q1460" s="43" t="str">
        <f>VLOOKUP(P1460,Maestro!E:F,2,0)</f>
        <v>COMBUSTIBLES ALTERNOS</v>
      </c>
      <c r="R1460" s="43">
        <f>VLOOKUP(P1460,ORD!$A:$C,3,0)</f>
        <v>20</v>
      </c>
      <c r="S1460" t="str">
        <f t="shared" si="41"/>
        <v>7355250320CARGUE ALTERNOSCOMBUSTIBLES ALTERNOS</v>
      </c>
      <c r="T1460" t="str">
        <f>IFERROR(VLOOKUP(S1460,Maestro!$A:$H,8,0),"Producción")</f>
        <v>Cargue Alternos</v>
      </c>
      <c r="U1460" s="43" t="s">
        <v>182</v>
      </c>
    </row>
    <row r="1461" spans="1:21" x14ac:dyDescent="0.3">
      <c r="A1461" s="40">
        <v>7355250320</v>
      </c>
      <c r="B1461" s="43" t="s">
        <v>490</v>
      </c>
      <c r="C1461" s="49">
        <f>Datos!$O$85*D1461</f>
        <v>12000000</v>
      </c>
      <c r="D1461" s="52">
        <f>Datos!$O$275</f>
        <v>1773.7970327380904</v>
      </c>
      <c r="E1461" s="43"/>
      <c r="F1461" s="43"/>
      <c r="G1461" s="43"/>
      <c r="H1461" s="43"/>
      <c r="I1461" s="43" t="s">
        <v>560</v>
      </c>
      <c r="J1461" s="40" t="s">
        <v>787</v>
      </c>
      <c r="K1461" s="43">
        <v>700120</v>
      </c>
      <c r="L1461" s="43">
        <v>8</v>
      </c>
      <c r="M1461" s="43" t="s">
        <v>526</v>
      </c>
      <c r="N1461" s="53"/>
      <c r="O1461" s="53"/>
      <c r="P1461" s="43" t="str">
        <f>VLOOKUP(K1461,Maestro!J:K,2,0)</f>
        <v>COMBUSTIBLES ALTERNOS</v>
      </c>
      <c r="Q1461" s="43" t="str">
        <f>VLOOKUP(P1461,Maestro!E:F,2,0)</f>
        <v>COMBUSTIBLES ALTERNOS</v>
      </c>
      <c r="R1461" s="43">
        <f>VLOOKUP(P1461,ORD!$A:$C,3,0)</f>
        <v>20</v>
      </c>
      <c r="S1461" t="str">
        <f t="shared" si="41"/>
        <v>7355250320CARGUE ALTERNOSCOMBUSTIBLES ALTERNOS</v>
      </c>
      <c r="T1461" t="str">
        <f>IFERROR(VLOOKUP(S1461,Maestro!$A:$H,8,0),"Producción")</f>
        <v>Cargue Alternos</v>
      </c>
      <c r="U1461" s="43" t="s">
        <v>182</v>
      </c>
    </row>
    <row r="1462" spans="1:21" x14ac:dyDescent="0.3">
      <c r="A1462" s="40">
        <v>7355250320</v>
      </c>
      <c r="B1462" s="43" t="s">
        <v>490</v>
      </c>
      <c r="C1462" s="49">
        <f>Datos!$P$85*D1462</f>
        <v>12000000</v>
      </c>
      <c r="D1462" s="52">
        <f>Datos!$P$275</f>
        <v>1344.9669808673436</v>
      </c>
      <c r="E1462" s="43"/>
      <c r="F1462" s="43"/>
      <c r="G1462" s="43"/>
      <c r="H1462" s="43"/>
      <c r="I1462" s="43" t="s">
        <v>560</v>
      </c>
      <c r="J1462" s="40" t="s">
        <v>787</v>
      </c>
      <c r="K1462" s="43">
        <v>700120</v>
      </c>
      <c r="L1462" s="43">
        <v>9</v>
      </c>
      <c r="M1462" s="43" t="s">
        <v>526</v>
      </c>
      <c r="N1462" s="53"/>
      <c r="O1462" s="53"/>
      <c r="P1462" s="43" t="str">
        <f>VLOOKUP(K1462,Maestro!J:K,2,0)</f>
        <v>COMBUSTIBLES ALTERNOS</v>
      </c>
      <c r="Q1462" s="43" t="str">
        <f>VLOOKUP(P1462,Maestro!E:F,2,0)</f>
        <v>COMBUSTIBLES ALTERNOS</v>
      </c>
      <c r="R1462" s="43">
        <f>VLOOKUP(P1462,ORD!$A:$C,3,0)</f>
        <v>20</v>
      </c>
      <c r="S1462" t="str">
        <f t="shared" si="41"/>
        <v>7355250320CARGUE ALTERNOSCOMBUSTIBLES ALTERNOS</v>
      </c>
      <c r="T1462" t="str">
        <f>IFERROR(VLOOKUP(S1462,Maestro!$A:$H,8,0),"Producción")</f>
        <v>Cargue Alternos</v>
      </c>
      <c r="U1462" s="43" t="s">
        <v>182</v>
      </c>
    </row>
    <row r="1463" spans="1:21" x14ac:dyDescent="0.3">
      <c r="A1463" s="40">
        <v>7355250320</v>
      </c>
      <c r="B1463" s="43" t="s">
        <v>490</v>
      </c>
      <c r="C1463" s="49">
        <f>Datos!$Q$85*D1463</f>
        <v>12000000</v>
      </c>
      <c r="D1463" s="52">
        <f>Datos!$Q$275</f>
        <v>1052.5828545918339</v>
      </c>
      <c r="E1463" s="43"/>
      <c r="F1463" s="43"/>
      <c r="G1463" s="43"/>
      <c r="H1463" s="43"/>
      <c r="I1463" s="43" t="s">
        <v>560</v>
      </c>
      <c r="J1463" s="40" t="s">
        <v>787</v>
      </c>
      <c r="K1463" s="43">
        <v>700120</v>
      </c>
      <c r="L1463" s="43">
        <v>10</v>
      </c>
      <c r="M1463" s="43" t="s">
        <v>526</v>
      </c>
      <c r="N1463" s="53"/>
      <c r="O1463" s="53"/>
      <c r="P1463" s="43" t="str">
        <f>VLOOKUP(K1463,Maestro!J:K,2,0)</f>
        <v>COMBUSTIBLES ALTERNOS</v>
      </c>
      <c r="Q1463" s="43" t="str">
        <f>VLOOKUP(P1463,Maestro!E:F,2,0)</f>
        <v>COMBUSTIBLES ALTERNOS</v>
      </c>
      <c r="R1463" s="43">
        <f>VLOOKUP(P1463,ORD!$A:$C,3,0)</f>
        <v>20</v>
      </c>
      <c r="S1463" t="str">
        <f t="shared" si="41"/>
        <v>7355250320CARGUE ALTERNOSCOMBUSTIBLES ALTERNOS</v>
      </c>
      <c r="T1463" t="str">
        <f>IFERROR(VLOOKUP(S1463,Maestro!$A:$H,8,0),"Producción")</f>
        <v>Cargue Alternos</v>
      </c>
      <c r="U1463" s="43" t="s">
        <v>182</v>
      </c>
    </row>
    <row r="1464" spans="1:21" x14ac:dyDescent="0.3">
      <c r="A1464" s="40">
        <v>7355250320</v>
      </c>
      <c r="B1464" s="43" t="s">
        <v>490</v>
      </c>
      <c r="C1464" s="49">
        <f>Datos!$R$85*D1464</f>
        <v>12000000</v>
      </c>
      <c r="D1464" s="52">
        <f>Datos!$R$275</f>
        <v>1715.320207482989</v>
      </c>
      <c r="E1464" s="43"/>
      <c r="F1464" s="43"/>
      <c r="G1464" s="43"/>
      <c r="H1464" s="43"/>
      <c r="I1464" s="43" t="s">
        <v>560</v>
      </c>
      <c r="J1464" s="40" t="s">
        <v>787</v>
      </c>
      <c r="K1464" s="43">
        <v>700120</v>
      </c>
      <c r="L1464" s="43">
        <v>11</v>
      </c>
      <c r="M1464" s="43" t="s">
        <v>526</v>
      </c>
      <c r="N1464" s="53"/>
      <c r="O1464" s="53"/>
      <c r="P1464" s="43" t="str">
        <f>VLOOKUP(K1464,Maestro!J:K,2,0)</f>
        <v>COMBUSTIBLES ALTERNOS</v>
      </c>
      <c r="Q1464" s="43" t="str">
        <f>VLOOKUP(P1464,Maestro!E:F,2,0)</f>
        <v>COMBUSTIBLES ALTERNOS</v>
      </c>
      <c r="R1464" s="43">
        <f>VLOOKUP(P1464,ORD!$A:$C,3,0)</f>
        <v>20</v>
      </c>
      <c r="S1464" t="str">
        <f t="shared" si="41"/>
        <v>7355250320CARGUE ALTERNOSCOMBUSTIBLES ALTERNOS</v>
      </c>
      <c r="T1464" t="str">
        <f>IFERROR(VLOOKUP(S1464,Maestro!$A:$H,8,0),"Producción")</f>
        <v>Cargue Alternos</v>
      </c>
      <c r="U1464" s="43" t="s">
        <v>182</v>
      </c>
    </row>
    <row r="1465" spans="1:21" x14ac:dyDescent="0.3">
      <c r="A1465" s="40">
        <v>7355250320</v>
      </c>
      <c r="B1465" s="43" t="s">
        <v>490</v>
      </c>
      <c r="C1465" s="49">
        <f>Datos!$S$85*D1465</f>
        <v>12000000</v>
      </c>
      <c r="D1465" s="52">
        <f>Datos!$S$275</f>
        <v>1082.1552446580988</v>
      </c>
      <c r="E1465" s="43"/>
      <c r="F1465" s="43"/>
      <c r="G1465" s="43"/>
      <c r="H1465" s="43"/>
      <c r="I1465" s="43" t="s">
        <v>560</v>
      </c>
      <c r="J1465" s="40" t="s">
        <v>787</v>
      </c>
      <c r="K1465" s="43">
        <v>700120</v>
      </c>
      <c r="L1465" s="43">
        <v>12</v>
      </c>
      <c r="M1465" s="43" t="s">
        <v>526</v>
      </c>
      <c r="N1465" s="53"/>
      <c r="O1465" s="53"/>
      <c r="P1465" s="43" t="str">
        <f>VLOOKUP(K1465,Maestro!J:K,2,0)</f>
        <v>COMBUSTIBLES ALTERNOS</v>
      </c>
      <c r="Q1465" s="43" t="str">
        <f>VLOOKUP(P1465,Maestro!E:F,2,0)</f>
        <v>COMBUSTIBLES ALTERNOS</v>
      </c>
      <c r="R1465" s="43">
        <f>VLOOKUP(P1465,ORD!$A:$C,3,0)</f>
        <v>20</v>
      </c>
      <c r="S1465" t="str">
        <f t="shared" si="41"/>
        <v>7355250320CARGUE ALTERNOSCOMBUSTIBLES ALTERNOS</v>
      </c>
      <c r="T1465" t="str">
        <f>IFERROR(VLOOKUP(S1465,Maestro!$A:$H,8,0),"Producción")</f>
        <v>Cargue Alternos</v>
      </c>
      <c r="U1465" s="43" t="s">
        <v>182</v>
      </c>
    </row>
    <row r="1466" spans="1:21" x14ac:dyDescent="0.3">
      <c r="A1466" s="40">
        <v>7355250321</v>
      </c>
      <c r="B1466" s="43" t="s">
        <v>490</v>
      </c>
      <c r="C1466" s="49">
        <f>Datos!$H$84*D1466</f>
        <v>16933426.67324613</v>
      </c>
      <c r="D1466" s="52">
        <f>Datos!$H$275</f>
        <v>1578.8742818877511</v>
      </c>
      <c r="E1466" s="43"/>
      <c r="F1466" s="43"/>
      <c r="G1466" s="43"/>
      <c r="H1466" s="43"/>
      <c r="I1466" s="43" t="s">
        <v>560</v>
      </c>
      <c r="J1466" s="40" t="s">
        <v>793</v>
      </c>
      <c r="K1466" s="43">
        <v>700120</v>
      </c>
      <c r="L1466" s="43">
        <v>1</v>
      </c>
      <c r="M1466" s="43" t="s">
        <v>526</v>
      </c>
      <c r="N1466" s="53"/>
      <c r="O1466" s="53"/>
      <c r="P1466" s="43" t="str">
        <f>VLOOKUP(K1466,Maestro!J:K,2,0)</f>
        <v>COMBUSTIBLES ALTERNOS</v>
      </c>
      <c r="Q1466" s="43" t="str">
        <f>VLOOKUP(P1466,Maestro!E:F,2,0)</f>
        <v>COMBUSTIBLES ALTERNOS</v>
      </c>
      <c r="R1466" s="43">
        <f>VLOOKUP(P1466,ORD!$A:$C,3,0)</f>
        <v>20</v>
      </c>
      <c r="S1466" t="str">
        <f t="shared" ref="S1466" si="42">A1466&amp;J1466&amp;Q1466</f>
        <v>7355250321DESCARGUE ALTERNOSCOMBUSTIBLES ALTERNOS</v>
      </c>
      <c r="T1466" t="str">
        <f>IFERROR(VLOOKUP(S1466,Maestro!$A:$H,8,0),"Producción")</f>
        <v>Descargue Alternos</v>
      </c>
      <c r="U1466" s="43" t="s">
        <v>182</v>
      </c>
    </row>
    <row r="1467" spans="1:21" x14ac:dyDescent="0.3">
      <c r="A1467" s="40">
        <v>7355250321</v>
      </c>
      <c r="B1467" s="43" t="s">
        <v>490</v>
      </c>
      <c r="C1467" s="49">
        <f>Datos!$I$84*D1467</f>
        <v>17142481.323533118</v>
      </c>
      <c r="D1467" s="52">
        <f>Datos!$I$275</f>
        <v>1598.366556972785</v>
      </c>
      <c r="E1467" s="43"/>
      <c r="F1467" s="43"/>
      <c r="G1467" s="43"/>
      <c r="H1467" s="43"/>
      <c r="I1467" s="43" t="s">
        <v>560</v>
      </c>
      <c r="J1467" s="40" t="s">
        <v>793</v>
      </c>
      <c r="K1467" s="43">
        <v>700120</v>
      </c>
      <c r="L1467" s="43">
        <v>2</v>
      </c>
      <c r="M1467" s="43" t="s">
        <v>526</v>
      </c>
      <c r="N1467" s="53"/>
      <c r="O1467" s="53"/>
      <c r="P1467" s="43" t="str">
        <f>VLOOKUP(K1467,Maestro!J:K,2,0)</f>
        <v>COMBUSTIBLES ALTERNOS</v>
      </c>
      <c r="Q1467" s="43" t="str">
        <f>VLOOKUP(P1467,Maestro!E:F,2,0)</f>
        <v>COMBUSTIBLES ALTERNOS</v>
      </c>
      <c r="R1467" s="43">
        <f>VLOOKUP(P1467,ORD!$A:$C,3,0)</f>
        <v>20</v>
      </c>
      <c r="S1467" t="str">
        <f t="shared" ref="S1467:S1478" si="43">A1467&amp;J1467&amp;Q1467</f>
        <v>7355250321DESCARGUE ALTERNOSCOMBUSTIBLES ALTERNOS</v>
      </c>
      <c r="T1467" t="str">
        <f>IFERROR(VLOOKUP(S1467,Maestro!$A:$H,8,0),"Producción")</f>
        <v>Descargue Alternos</v>
      </c>
      <c r="U1467" s="43" t="s">
        <v>182</v>
      </c>
    </row>
    <row r="1468" spans="1:21" x14ac:dyDescent="0.3">
      <c r="A1468" s="40">
        <v>7355250321</v>
      </c>
      <c r="B1468" s="43" t="s">
        <v>490</v>
      </c>
      <c r="C1468" s="49">
        <f>Datos!$J$84*D1468</f>
        <v>11916115.066358387</v>
      </c>
      <c r="D1468" s="52">
        <f>Datos!$J$275</f>
        <v>1111.059679846936</v>
      </c>
      <c r="E1468" s="43"/>
      <c r="F1468" s="43"/>
      <c r="G1468" s="43"/>
      <c r="H1468" s="43"/>
      <c r="I1468" s="43" t="s">
        <v>560</v>
      </c>
      <c r="J1468" s="40" t="s">
        <v>793</v>
      </c>
      <c r="K1468" s="43">
        <v>700120</v>
      </c>
      <c r="L1468" s="43">
        <v>3</v>
      </c>
      <c r="M1468" s="43" t="s">
        <v>526</v>
      </c>
      <c r="N1468" s="53"/>
      <c r="O1468" s="53"/>
      <c r="P1468" s="43" t="str">
        <f>VLOOKUP(K1468,Maestro!J:K,2,0)</f>
        <v>COMBUSTIBLES ALTERNOS</v>
      </c>
      <c r="Q1468" s="43" t="str">
        <f>VLOOKUP(P1468,Maestro!E:F,2,0)</f>
        <v>COMBUSTIBLES ALTERNOS</v>
      </c>
      <c r="R1468" s="43">
        <f>VLOOKUP(P1468,ORD!$A:$C,3,0)</f>
        <v>20</v>
      </c>
      <c r="S1468" t="str">
        <f t="shared" si="43"/>
        <v>7355250321DESCARGUE ALTERNOSCOMBUSTIBLES ALTERNOS</v>
      </c>
      <c r="T1468" t="str">
        <f>IFERROR(VLOOKUP(S1468,Maestro!$A:$H,8,0),"Producción")</f>
        <v>Descargue Alternos</v>
      </c>
      <c r="U1468" s="43" t="s">
        <v>182</v>
      </c>
    </row>
    <row r="1469" spans="1:21" x14ac:dyDescent="0.3">
      <c r="A1469" s="40">
        <v>7355250321</v>
      </c>
      <c r="B1469" s="43" t="s">
        <v>490</v>
      </c>
      <c r="C1469" s="49">
        <f>Datos!$K$84*D1469</f>
        <v>12543279.017219355</v>
      </c>
      <c r="D1469" s="52">
        <f>Datos!$K$275</f>
        <v>1169.5365051020378</v>
      </c>
      <c r="E1469" s="43"/>
      <c r="F1469" s="43"/>
      <c r="G1469" s="43"/>
      <c r="H1469" s="43"/>
      <c r="I1469" s="43" t="s">
        <v>560</v>
      </c>
      <c r="J1469" s="40" t="s">
        <v>793</v>
      </c>
      <c r="K1469" s="43">
        <v>700120</v>
      </c>
      <c r="L1469" s="43">
        <v>4</v>
      </c>
      <c r="M1469" s="43" t="s">
        <v>526</v>
      </c>
      <c r="N1469" s="53"/>
      <c r="O1469" s="53"/>
      <c r="P1469" s="43" t="str">
        <f>VLOOKUP(K1469,Maestro!J:K,2,0)</f>
        <v>COMBUSTIBLES ALTERNOS</v>
      </c>
      <c r="Q1469" s="43" t="str">
        <f>VLOOKUP(P1469,Maestro!E:F,2,0)</f>
        <v>COMBUSTIBLES ALTERNOS</v>
      </c>
      <c r="R1469" s="43">
        <f>VLOOKUP(P1469,ORD!$A:$C,3,0)</f>
        <v>20</v>
      </c>
      <c r="S1469" t="str">
        <f t="shared" si="43"/>
        <v>7355250321DESCARGUE ALTERNOSCOMBUSTIBLES ALTERNOS</v>
      </c>
      <c r="T1469" t="str">
        <f>IFERROR(VLOOKUP(S1469,Maestro!$A:$H,8,0),"Producción")</f>
        <v>Descargue Alternos</v>
      </c>
      <c r="U1469" s="43" t="s">
        <v>182</v>
      </c>
    </row>
    <row r="1470" spans="1:21" x14ac:dyDescent="0.3">
      <c r="A1470" s="40">
        <v>7355250321</v>
      </c>
      <c r="B1470" s="43" t="s">
        <v>490</v>
      </c>
      <c r="C1470" s="49">
        <f>Datos!$L$84*D1470</f>
        <v>19023973.176116019</v>
      </c>
      <c r="D1470" s="52">
        <f>Datos!$L$275</f>
        <v>1773.7970327380904</v>
      </c>
      <c r="E1470" s="43"/>
      <c r="F1470" s="43"/>
      <c r="G1470" s="43"/>
      <c r="H1470" s="43"/>
      <c r="I1470" s="43" t="s">
        <v>560</v>
      </c>
      <c r="J1470" s="40" t="s">
        <v>793</v>
      </c>
      <c r="K1470" s="43">
        <v>700120</v>
      </c>
      <c r="L1470" s="43">
        <v>5</v>
      </c>
      <c r="M1470" s="43" t="s">
        <v>526</v>
      </c>
      <c r="N1470" s="53"/>
      <c r="O1470" s="53"/>
      <c r="P1470" s="43" t="str">
        <f>VLOOKUP(K1470,Maestro!J:K,2,0)</f>
        <v>COMBUSTIBLES ALTERNOS</v>
      </c>
      <c r="Q1470" s="43" t="str">
        <f>VLOOKUP(P1470,Maestro!E:F,2,0)</f>
        <v>COMBUSTIBLES ALTERNOS</v>
      </c>
      <c r="R1470" s="43">
        <f>VLOOKUP(P1470,ORD!$A:$C,3,0)</f>
        <v>20</v>
      </c>
      <c r="S1470" t="str">
        <f t="shared" si="43"/>
        <v>7355250321DESCARGUE ALTERNOSCOMBUSTIBLES ALTERNOS</v>
      </c>
      <c r="T1470" t="str">
        <f>IFERROR(VLOOKUP(S1470,Maestro!$A:$H,8,0),"Producción")</f>
        <v>Descargue Alternos</v>
      </c>
      <c r="U1470" s="43" t="s">
        <v>182</v>
      </c>
    </row>
    <row r="1471" spans="1:21" x14ac:dyDescent="0.3">
      <c r="A1471" s="40">
        <v>7355250321</v>
      </c>
      <c r="B1471" s="43" t="s">
        <v>490</v>
      </c>
      <c r="C1471" s="49">
        <f>Datos!$M$84*D1471</f>
        <v>8153131.3611925812</v>
      </c>
      <c r="D1471" s="52">
        <f>Datos!$M$275</f>
        <v>760.1987283163246</v>
      </c>
      <c r="E1471" s="43"/>
      <c r="F1471" s="43"/>
      <c r="G1471" s="43"/>
      <c r="H1471" s="43"/>
      <c r="I1471" s="43" t="s">
        <v>560</v>
      </c>
      <c r="J1471" s="40" t="s">
        <v>793</v>
      </c>
      <c r="K1471" s="43">
        <v>700120</v>
      </c>
      <c r="L1471" s="43">
        <v>6</v>
      </c>
      <c r="M1471" s="43" t="s">
        <v>526</v>
      </c>
      <c r="N1471" s="53"/>
      <c r="O1471" s="53"/>
      <c r="P1471" s="43" t="str">
        <f>VLOOKUP(K1471,Maestro!J:K,2,0)</f>
        <v>COMBUSTIBLES ALTERNOS</v>
      </c>
      <c r="Q1471" s="43" t="str">
        <f>VLOOKUP(P1471,Maestro!E:F,2,0)</f>
        <v>COMBUSTIBLES ALTERNOS</v>
      </c>
      <c r="R1471" s="43">
        <f>VLOOKUP(P1471,ORD!$A:$C,3,0)</f>
        <v>20</v>
      </c>
      <c r="S1471" t="str">
        <f t="shared" si="43"/>
        <v>7355250321DESCARGUE ALTERNOSCOMBUSTIBLES ALTERNOS</v>
      </c>
      <c r="T1471" t="str">
        <f>IFERROR(VLOOKUP(S1471,Maestro!$A:$H,8,0),"Producción")</f>
        <v>Descargue Alternos</v>
      </c>
      <c r="U1471" s="43" t="s">
        <v>182</v>
      </c>
    </row>
    <row r="1472" spans="1:21" x14ac:dyDescent="0.3">
      <c r="A1472" s="40">
        <v>7355250321</v>
      </c>
      <c r="B1472" s="43" t="s">
        <v>490</v>
      </c>
      <c r="C1472" s="49">
        <f>Datos!$N$84*D1472</f>
        <v>15679098.771524193</v>
      </c>
      <c r="D1472" s="52">
        <f>Datos!$N$275</f>
        <v>1461.9206313775471</v>
      </c>
      <c r="E1472" s="43"/>
      <c r="F1472" s="43"/>
      <c r="G1472" s="43"/>
      <c r="H1472" s="43"/>
      <c r="I1472" s="43" t="s">
        <v>560</v>
      </c>
      <c r="J1472" s="40" t="s">
        <v>793</v>
      </c>
      <c r="K1472" s="43">
        <v>700120</v>
      </c>
      <c r="L1472" s="43">
        <v>7</v>
      </c>
      <c r="M1472" s="43" t="s">
        <v>526</v>
      </c>
      <c r="N1472" s="53"/>
      <c r="O1472" s="53"/>
      <c r="P1472" s="43" t="str">
        <f>VLOOKUP(K1472,Maestro!J:K,2,0)</f>
        <v>COMBUSTIBLES ALTERNOS</v>
      </c>
      <c r="Q1472" s="43" t="str">
        <f>VLOOKUP(P1472,Maestro!E:F,2,0)</f>
        <v>COMBUSTIBLES ALTERNOS</v>
      </c>
      <c r="R1472" s="43">
        <f>VLOOKUP(P1472,ORD!$A:$C,3,0)</f>
        <v>20</v>
      </c>
      <c r="S1472" t="str">
        <f t="shared" si="43"/>
        <v>7355250321DESCARGUE ALTERNOSCOMBUSTIBLES ALTERNOS</v>
      </c>
      <c r="T1472" t="str">
        <f>IFERROR(VLOOKUP(S1472,Maestro!$A:$H,8,0),"Producción")</f>
        <v>Descargue Alternos</v>
      </c>
      <c r="U1472" s="43" t="s">
        <v>182</v>
      </c>
    </row>
    <row r="1473" spans="1:21" x14ac:dyDescent="0.3">
      <c r="A1473" s="40">
        <v>7355250321</v>
      </c>
      <c r="B1473" s="43" t="s">
        <v>490</v>
      </c>
      <c r="C1473" s="49">
        <f>Datos!$O$84*D1473</f>
        <v>19023973.176116019</v>
      </c>
      <c r="D1473" s="52">
        <f>Datos!$O$275</f>
        <v>1773.7970327380904</v>
      </c>
      <c r="E1473" s="43"/>
      <c r="F1473" s="43"/>
      <c r="G1473" s="43"/>
      <c r="H1473" s="43"/>
      <c r="I1473" s="43" t="s">
        <v>560</v>
      </c>
      <c r="J1473" s="40" t="s">
        <v>793</v>
      </c>
      <c r="K1473" s="43">
        <v>700120</v>
      </c>
      <c r="L1473" s="43">
        <v>8</v>
      </c>
      <c r="M1473" s="43" t="s">
        <v>526</v>
      </c>
      <c r="N1473" s="53"/>
      <c r="O1473" s="53"/>
      <c r="P1473" s="43" t="str">
        <f>VLOOKUP(K1473,Maestro!J:K,2,0)</f>
        <v>COMBUSTIBLES ALTERNOS</v>
      </c>
      <c r="Q1473" s="43" t="str">
        <f>VLOOKUP(P1473,Maestro!E:F,2,0)</f>
        <v>COMBUSTIBLES ALTERNOS</v>
      </c>
      <c r="R1473" s="43">
        <f>VLOOKUP(P1473,ORD!$A:$C,3,0)</f>
        <v>20</v>
      </c>
      <c r="S1473" t="str">
        <f t="shared" si="43"/>
        <v>7355250321DESCARGUE ALTERNOSCOMBUSTIBLES ALTERNOS</v>
      </c>
      <c r="T1473" t="str">
        <f>IFERROR(VLOOKUP(S1473,Maestro!$A:$H,8,0),"Producción")</f>
        <v>Descargue Alternos</v>
      </c>
      <c r="U1473" s="43" t="s">
        <v>182</v>
      </c>
    </row>
    <row r="1474" spans="1:21" x14ac:dyDescent="0.3">
      <c r="A1474" s="40">
        <v>7355250321</v>
      </c>
      <c r="B1474" s="43" t="s">
        <v>490</v>
      </c>
      <c r="C1474" s="49">
        <f>Datos!$P$84*D1474</f>
        <v>14424770.869802261</v>
      </c>
      <c r="D1474" s="52">
        <f>Datos!$P$275</f>
        <v>1344.9669808673436</v>
      </c>
      <c r="E1474" s="43"/>
      <c r="F1474" s="43"/>
      <c r="G1474" s="43"/>
      <c r="H1474" s="43"/>
      <c r="I1474" s="43" t="s">
        <v>560</v>
      </c>
      <c r="J1474" s="40" t="s">
        <v>793</v>
      </c>
      <c r="K1474" s="43">
        <v>700120</v>
      </c>
      <c r="L1474" s="43">
        <v>9</v>
      </c>
      <c r="M1474" s="43" t="s">
        <v>526</v>
      </c>
      <c r="N1474" s="53"/>
      <c r="O1474" s="53"/>
      <c r="P1474" s="43" t="str">
        <f>VLOOKUP(K1474,Maestro!J:K,2,0)</f>
        <v>COMBUSTIBLES ALTERNOS</v>
      </c>
      <c r="Q1474" s="43" t="str">
        <f>VLOOKUP(P1474,Maestro!E:F,2,0)</f>
        <v>COMBUSTIBLES ALTERNOS</v>
      </c>
      <c r="R1474" s="43">
        <f>VLOOKUP(P1474,ORD!$A:$C,3,0)</f>
        <v>20</v>
      </c>
      <c r="S1474" t="str">
        <f t="shared" si="43"/>
        <v>7355250321DESCARGUE ALTERNOSCOMBUSTIBLES ALTERNOS</v>
      </c>
      <c r="T1474" t="str">
        <f>IFERROR(VLOOKUP(S1474,Maestro!$A:$H,8,0),"Producción")</f>
        <v>Descargue Alternos</v>
      </c>
      <c r="U1474" s="43" t="s">
        <v>182</v>
      </c>
    </row>
    <row r="1475" spans="1:21" x14ac:dyDescent="0.3">
      <c r="A1475" s="40">
        <v>7355250321</v>
      </c>
      <c r="B1475" s="43" t="s">
        <v>490</v>
      </c>
      <c r="C1475" s="49">
        <f>Datos!$Q$84*D1475</f>
        <v>11288951.115497418</v>
      </c>
      <c r="D1475" s="52">
        <f>Datos!$Q$275</f>
        <v>1052.5828545918339</v>
      </c>
      <c r="E1475" s="43"/>
      <c r="F1475" s="43"/>
      <c r="G1475" s="43"/>
      <c r="H1475" s="43"/>
      <c r="I1475" s="43" t="s">
        <v>560</v>
      </c>
      <c r="J1475" s="40" t="s">
        <v>793</v>
      </c>
      <c r="K1475" s="43">
        <v>700120</v>
      </c>
      <c r="L1475" s="43">
        <v>10</v>
      </c>
      <c r="M1475" s="43" t="s">
        <v>526</v>
      </c>
      <c r="N1475" s="53"/>
      <c r="O1475" s="53"/>
      <c r="P1475" s="43" t="str">
        <f>VLOOKUP(K1475,Maestro!J:K,2,0)</f>
        <v>COMBUSTIBLES ALTERNOS</v>
      </c>
      <c r="Q1475" s="43" t="str">
        <f>VLOOKUP(P1475,Maestro!E:F,2,0)</f>
        <v>COMBUSTIBLES ALTERNOS</v>
      </c>
      <c r="R1475" s="43">
        <f>VLOOKUP(P1475,ORD!$A:$C,3,0)</f>
        <v>20</v>
      </c>
      <c r="S1475" t="str">
        <f t="shared" si="43"/>
        <v>7355250321DESCARGUE ALTERNOSCOMBUSTIBLES ALTERNOS</v>
      </c>
      <c r="T1475" t="str">
        <f>IFERROR(VLOOKUP(S1475,Maestro!$A:$H,8,0),"Producción")</f>
        <v>Descargue Alternos</v>
      </c>
      <c r="U1475" s="43" t="s">
        <v>182</v>
      </c>
    </row>
    <row r="1476" spans="1:21" x14ac:dyDescent="0.3">
      <c r="A1476" s="40">
        <v>7355250321</v>
      </c>
      <c r="B1476" s="43" t="s">
        <v>490</v>
      </c>
      <c r="C1476" s="49">
        <f>Datos!$R$84*D1476</f>
        <v>18396809.225255057</v>
      </c>
      <c r="D1476" s="52">
        <f>Datos!$R$275</f>
        <v>1715.320207482989</v>
      </c>
      <c r="E1476" s="43"/>
      <c r="F1476" s="43"/>
      <c r="G1476" s="43"/>
      <c r="H1476" s="43"/>
      <c r="I1476" s="43" t="s">
        <v>560</v>
      </c>
      <c r="J1476" s="40" t="s">
        <v>793</v>
      </c>
      <c r="K1476" s="43">
        <v>700120</v>
      </c>
      <c r="L1476" s="43">
        <v>11</v>
      </c>
      <c r="M1476" s="43" t="s">
        <v>526</v>
      </c>
      <c r="N1476" s="53"/>
      <c r="O1476" s="53"/>
      <c r="P1476" s="43" t="str">
        <f>VLOOKUP(K1476,Maestro!J:K,2,0)</f>
        <v>COMBUSTIBLES ALTERNOS</v>
      </c>
      <c r="Q1476" s="43" t="str">
        <f>VLOOKUP(P1476,Maestro!E:F,2,0)</f>
        <v>COMBUSTIBLES ALTERNOS</v>
      </c>
      <c r="R1476" s="43">
        <f>VLOOKUP(P1476,ORD!$A:$C,3,0)</f>
        <v>20</v>
      </c>
      <c r="S1476" t="str">
        <f t="shared" si="43"/>
        <v>7355250321DESCARGUE ALTERNOSCOMBUSTIBLES ALTERNOS</v>
      </c>
      <c r="T1476" t="str">
        <f>IFERROR(VLOOKUP(S1476,Maestro!$A:$H,8,0),"Producción")</f>
        <v>Descargue Alternos</v>
      </c>
      <c r="U1476" s="43" t="s">
        <v>182</v>
      </c>
    </row>
    <row r="1477" spans="1:21" x14ac:dyDescent="0.3">
      <c r="A1477" s="40">
        <v>7355250321</v>
      </c>
      <c r="B1477" s="43" t="s">
        <v>490</v>
      </c>
      <c r="C1477" s="49">
        <f>Datos!$S$84*D1477</f>
        <v>11606114.998958109</v>
      </c>
      <c r="D1477" s="52">
        <f>Datos!$S$275</f>
        <v>1082.1552446580988</v>
      </c>
      <c r="E1477" s="43"/>
      <c r="F1477" s="43"/>
      <c r="G1477" s="43"/>
      <c r="H1477" s="43"/>
      <c r="I1477" s="43" t="s">
        <v>560</v>
      </c>
      <c r="J1477" s="40" t="s">
        <v>793</v>
      </c>
      <c r="K1477" s="43">
        <v>700120</v>
      </c>
      <c r="L1477" s="43">
        <v>12</v>
      </c>
      <c r="M1477" s="43" t="s">
        <v>526</v>
      </c>
      <c r="N1477" s="53"/>
      <c r="O1477" s="53"/>
      <c r="P1477" s="43" t="str">
        <f>VLOOKUP(K1477,Maestro!J:K,2,0)</f>
        <v>COMBUSTIBLES ALTERNOS</v>
      </c>
      <c r="Q1477" s="43" t="str">
        <f>VLOOKUP(P1477,Maestro!E:F,2,0)</f>
        <v>COMBUSTIBLES ALTERNOS</v>
      </c>
      <c r="R1477" s="43">
        <f>VLOOKUP(P1477,ORD!$A:$C,3,0)</f>
        <v>20</v>
      </c>
      <c r="S1477" t="str">
        <f t="shared" si="43"/>
        <v>7355250321DESCARGUE ALTERNOSCOMBUSTIBLES ALTERNOS</v>
      </c>
      <c r="T1477" t="str">
        <f>IFERROR(VLOOKUP(S1477,Maestro!$A:$H,8,0),"Producción")</f>
        <v>Descargue Alternos</v>
      </c>
      <c r="U1477" s="43" t="s">
        <v>182</v>
      </c>
    </row>
    <row r="1478" spans="1:21" x14ac:dyDescent="0.3">
      <c r="A1478" s="43">
        <v>7199990002</v>
      </c>
      <c r="B1478" s="43" t="s">
        <v>438</v>
      </c>
      <c r="C1478" s="50"/>
      <c r="D1478" s="52">
        <f>Datos!$H$275</f>
        <v>1578.8742818877511</v>
      </c>
      <c r="E1478" s="43" t="s">
        <v>556</v>
      </c>
      <c r="F1478" s="43" t="s">
        <v>557</v>
      </c>
      <c r="G1478" s="43" t="s">
        <v>567</v>
      </c>
      <c r="H1478" s="43" t="s">
        <v>568</v>
      </c>
      <c r="I1478" s="43" t="s">
        <v>560</v>
      </c>
      <c r="J1478" s="43" t="s">
        <v>610</v>
      </c>
      <c r="K1478" s="43">
        <v>700001</v>
      </c>
      <c r="L1478" s="43">
        <v>1</v>
      </c>
      <c r="M1478" s="43" t="s">
        <v>526</v>
      </c>
      <c r="N1478" s="51"/>
      <c r="O1478" s="51"/>
      <c r="P1478" s="43" t="str">
        <f>VLOOKUP(K1478,Maestro!J:K,2,0)</f>
        <v>CLINKER</v>
      </c>
      <c r="Q1478" s="43" t="str">
        <f>VLOOKUP(P1478,Maestro!E:F,2,0)</f>
        <v>Clinkerización</v>
      </c>
      <c r="R1478" s="43">
        <f>VLOOKUP(P1478,ORD!$A:$C,3,0)</f>
        <v>5</v>
      </c>
      <c r="S1478" t="str">
        <f t="shared" si="43"/>
        <v>7199990002COMBALTERClinkerización</v>
      </c>
      <c r="T1478" t="str">
        <f>IFERROR(VLOOKUP(S1478,Maestro!$A:$H,8,0),"Producción")</f>
        <v>Combustibles Alternos</v>
      </c>
      <c r="U1478" s="43" t="s">
        <v>182</v>
      </c>
    </row>
    <row r="1479" spans="1:21" x14ac:dyDescent="0.3">
      <c r="A1479" s="43">
        <v>7199990002</v>
      </c>
      <c r="B1479" s="43" t="s">
        <v>438</v>
      </c>
      <c r="C1479" s="50"/>
      <c r="D1479" s="52">
        <f>Datos!$I$275</f>
        <v>1598.366556972785</v>
      </c>
      <c r="E1479" s="43" t="s">
        <v>556</v>
      </c>
      <c r="F1479" s="43" t="s">
        <v>557</v>
      </c>
      <c r="G1479" s="43" t="s">
        <v>567</v>
      </c>
      <c r="H1479" s="43" t="s">
        <v>568</v>
      </c>
      <c r="I1479" s="43" t="s">
        <v>560</v>
      </c>
      <c r="J1479" s="43" t="s">
        <v>610</v>
      </c>
      <c r="K1479" s="43">
        <v>700001</v>
      </c>
      <c r="L1479" s="43">
        <v>2</v>
      </c>
      <c r="M1479" s="43" t="s">
        <v>526</v>
      </c>
      <c r="N1479" s="51"/>
      <c r="O1479" s="51"/>
      <c r="P1479" s="43" t="str">
        <f>VLOOKUP(K1479,Maestro!J:K,2,0)</f>
        <v>CLINKER</v>
      </c>
      <c r="Q1479" s="43" t="str">
        <f>VLOOKUP(P1479,Maestro!E:F,2,0)</f>
        <v>Clinkerización</v>
      </c>
      <c r="R1479" s="43">
        <f>VLOOKUP(P1479,ORD!$A:$C,3,0)</f>
        <v>5</v>
      </c>
      <c r="S1479" t="str">
        <f t="shared" ref="S1479:S1490" si="44">A1479&amp;J1479&amp;Q1479</f>
        <v>7199990002COMBALTERClinkerización</v>
      </c>
      <c r="T1479" t="str">
        <f>IFERROR(VLOOKUP(S1479,Maestro!$A:$H,8,0),"Producción")</f>
        <v>Combustibles Alternos</v>
      </c>
      <c r="U1479" s="43" t="s">
        <v>182</v>
      </c>
    </row>
    <row r="1480" spans="1:21" x14ac:dyDescent="0.3">
      <c r="A1480" s="43">
        <v>7199990002</v>
      </c>
      <c r="B1480" s="43" t="s">
        <v>438</v>
      </c>
      <c r="C1480" s="50"/>
      <c r="D1480" s="52">
        <f>Datos!$J$275</f>
        <v>1111.059679846936</v>
      </c>
      <c r="E1480" s="43" t="s">
        <v>556</v>
      </c>
      <c r="F1480" s="43" t="s">
        <v>557</v>
      </c>
      <c r="G1480" s="43" t="s">
        <v>567</v>
      </c>
      <c r="H1480" s="43" t="s">
        <v>568</v>
      </c>
      <c r="I1480" s="43" t="s">
        <v>560</v>
      </c>
      <c r="J1480" s="43" t="s">
        <v>610</v>
      </c>
      <c r="K1480" s="43">
        <v>700001</v>
      </c>
      <c r="L1480" s="43">
        <v>3</v>
      </c>
      <c r="M1480" s="43" t="s">
        <v>526</v>
      </c>
      <c r="N1480" s="51"/>
      <c r="O1480" s="51"/>
      <c r="P1480" s="43" t="str">
        <f>VLOOKUP(K1480,Maestro!J:K,2,0)</f>
        <v>CLINKER</v>
      </c>
      <c r="Q1480" s="43" t="str">
        <f>VLOOKUP(P1480,Maestro!E:F,2,0)</f>
        <v>Clinkerización</v>
      </c>
      <c r="R1480" s="43">
        <f>VLOOKUP(P1480,ORD!$A:$C,3,0)</f>
        <v>5</v>
      </c>
      <c r="S1480" t="str">
        <f t="shared" si="44"/>
        <v>7199990002COMBALTERClinkerización</v>
      </c>
      <c r="T1480" t="str">
        <f>IFERROR(VLOOKUP(S1480,Maestro!$A:$H,8,0),"Producción")</f>
        <v>Combustibles Alternos</v>
      </c>
      <c r="U1480" s="43" t="s">
        <v>182</v>
      </c>
    </row>
    <row r="1481" spans="1:21" x14ac:dyDescent="0.3">
      <c r="A1481" s="43">
        <v>7199990002</v>
      </c>
      <c r="B1481" s="43" t="s">
        <v>438</v>
      </c>
      <c r="C1481" s="50"/>
      <c r="D1481" s="52">
        <f>Datos!$K$275</f>
        <v>1169.5365051020378</v>
      </c>
      <c r="E1481" s="43" t="s">
        <v>556</v>
      </c>
      <c r="F1481" s="43" t="s">
        <v>557</v>
      </c>
      <c r="G1481" s="43" t="s">
        <v>567</v>
      </c>
      <c r="H1481" s="43" t="s">
        <v>568</v>
      </c>
      <c r="I1481" s="43" t="s">
        <v>560</v>
      </c>
      <c r="J1481" s="43" t="s">
        <v>610</v>
      </c>
      <c r="K1481" s="43">
        <v>700001</v>
      </c>
      <c r="L1481" s="43">
        <v>4</v>
      </c>
      <c r="M1481" s="43" t="s">
        <v>526</v>
      </c>
      <c r="N1481" s="51"/>
      <c r="O1481" s="51"/>
      <c r="P1481" s="43" t="str">
        <f>VLOOKUP(K1481,Maestro!J:K,2,0)</f>
        <v>CLINKER</v>
      </c>
      <c r="Q1481" s="43" t="str">
        <f>VLOOKUP(P1481,Maestro!E:F,2,0)</f>
        <v>Clinkerización</v>
      </c>
      <c r="R1481" s="43">
        <f>VLOOKUP(P1481,ORD!$A:$C,3,0)</f>
        <v>5</v>
      </c>
      <c r="S1481" t="str">
        <f t="shared" si="44"/>
        <v>7199990002COMBALTERClinkerización</v>
      </c>
      <c r="T1481" t="str">
        <f>IFERROR(VLOOKUP(S1481,Maestro!$A:$H,8,0),"Producción")</f>
        <v>Combustibles Alternos</v>
      </c>
      <c r="U1481" s="43" t="s">
        <v>182</v>
      </c>
    </row>
    <row r="1482" spans="1:21" x14ac:dyDescent="0.3">
      <c r="A1482" s="43">
        <v>7199990002</v>
      </c>
      <c r="B1482" s="43" t="s">
        <v>438</v>
      </c>
      <c r="C1482" s="50"/>
      <c r="D1482" s="52">
        <f>Datos!$L$275</f>
        <v>1773.7970327380904</v>
      </c>
      <c r="E1482" s="43" t="s">
        <v>556</v>
      </c>
      <c r="F1482" s="43" t="s">
        <v>557</v>
      </c>
      <c r="G1482" s="43" t="s">
        <v>567</v>
      </c>
      <c r="H1482" s="43" t="s">
        <v>568</v>
      </c>
      <c r="I1482" s="43" t="s">
        <v>560</v>
      </c>
      <c r="J1482" s="43" t="s">
        <v>610</v>
      </c>
      <c r="K1482" s="43">
        <v>700001</v>
      </c>
      <c r="L1482" s="43">
        <v>5</v>
      </c>
      <c r="M1482" s="43" t="s">
        <v>526</v>
      </c>
      <c r="N1482" s="51"/>
      <c r="O1482" s="51"/>
      <c r="P1482" s="43" t="str">
        <f>VLOOKUP(K1482,Maestro!J:K,2,0)</f>
        <v>CLINKER</v>
      </c>
      <c r="Q1482" s="43" t="str">
        <f>VLOOKUP(P1482,Maestro!E:F,2,0)</f>
        <v>Clinkerización</v>
      </c>
      <c r="R1482" s="43">
        <f>VLOOKUP(P1482,ORD!$A:$C,3,0)</f>
        <v>5</v>
      </c>
      <c r="S1482" t="str">
        <f t="shared" si="44"/>
        <v>7199990002COMBALTERClinkerización</v>
      </c>
      <c r="T1482" t="str">
        <f>IFERROR(VLOOKUP(S1482,Maestro!$A:$H,8,0),"Producción")</f>
        <v>Combustibles Alternos</v>
      </c>
      <c r="U1482" s="43" t="s">
        <v>182</v>
      </c>
    </row>
    <row r="1483" spans="1:21" x14ac:dyDescent="0.3">
      <c r="A1483" s="43">
        <v>7199990002</v>
      </c>
      <c r="B1483" s="43" t="s">
        <v>438</v>
      </c>
      <c r="C1483" s="50"/>
      <c r="D1483" s="52">
        <f>Datos!$M$275</f>
        <v>760.1987283163246</v>
      </c>
      <c r="E1483" s="43" t="s">
        <v>556</v>
      </c>
      <c r="F1483" s="43" t="s">
        <v>557</v>
      </c>
      <c r="G1483" s="43" t="s">
        <v>567</v>
      </c>
      <c r="H1483" s="43" t="s">
        <v>568</v>
      </c>
      <c r="I1483" s="43" t="s">
        <v>560</v>
      </c>
      <c r="J1483" s="43" t="s">
        <v>610</v>
      </c>
      <c r="K1483" s="43">
        <v>700001</v>
      </c>
      <c r="L1483" s="43">
        <v>6</v>
      </c>
      <c r="M1483" s="43" t="s">
        <v>526</v>
      </c>
      <c r="N1483" s="51"/>
      <c r="O1483" s="51"/>
      <c r="P1483" s="43" t="str">
        <f>VLOOKUP(K1483,Maestro!J:K,2,0)</f>
        <v>CLINKER</v>
      </c>
      <c r="Q1483" s="43" t="str">
        <f>VLOOKUP(P1483,Maestro!E:F,2,0)</f>
        <v>Clinkerización</v>
      </c>
      <c r="R1483" s="43">
        <f>VLOOKUP(P1483,ORD!$A:$C,3,0)</f>
        <v>5</v>
      </c>
      <c r="S1483" t="str">
        <f t="shared" si="44"/>
        <v>7199990002COMBALTERClinkerización</v>
      </c>
      <c r="T1483" t="str">
        <f>IFERROR(VLOOKUP(S1483,Maestro!$A:$H,8,0),"Producción")</f>
        <v>Combustibles Alternos</v>
      </c>
      <c r="U1483" s="43" t="s">
        <v>182</v>
      </c>
    </row>
    <row r="1484" spans="1:21" x14ac:dyDescent="0.3">
      <c r="A1484" s="43">
        <v>7199990002</v>
      </c>
      <c r="B1484" s="43" t="s">
        <v>438</v>
      </c>
      <c r="C1484" s="50"/>
      <c r="D1484" s="52">
        <f>Datos!$N$275</f>
        <v>1461.9206313775471</v>
      </c>
      <c r="E1484" s="43" t="s">
        <v>556</v>
      </c>
      <c r="F1484" s="43" t="s">
        <v>557</v>
      </c>
      <c r="G1484" s="43" t="s">
        <v>567</v>
      </c>
      <c r="H1484" s="43" t="s">
        <v>568</v>
      </c>
      <c r="I1484" s="43" t="s">
        <v>560</v>
      </c>
      <c r="J1484" s="43" t="s">
        <v>610</v>
      </c>
      <c r="K1484" s="43">
        <v>700001</v>
      </c>
      <c r="L1484" s="43">
        <v>7</v>
      </c>
      <c r="M1484" s="43" t="s">
        <v>526</v>
      </c>
      <c r="N1484" s="51"/>
      <c r="O1484" s="51"/>
      <c r="P1484" s="43" t="str">
        <f>VLOOKUP(K1484,Maestro!J:K,2,0)</f>
        <v>CLINKER</v>
      </c>
      <c r="Q1484" s="43" t="str">
        <f>VLOOKUP(P1484,Maestro!E:F,2,0)</f>
        <v>Clinkerización</v>
      </c>
      <c r="R1484" s="43">
        <f>VLOOKUP(P1484,ORD!$A:$C,3,0)</f>
        <v>5</v>
      </c>
      <c r="S1484" t="str">
        <f t="shared" si="44"/>
        <v>7199990002COMBALTERClinkerización</v>
      </c>
      <c r="T1484" t="str">
        <f>IFERROR(VLOOKUP(S1484,Maestro!$A:$H,8,0),"Producción")</f>
        <v>Combustibles Alternos</v>
      </c>
      <c r="U1484" s="43" t="s">
        <v>182</v>
      </c>
    </row>
    <row r="1485" spans="1:21" x14ac:dyDescent="0.3">
      <c r="A1485" s="43">
        <v>7199990002</v>
      </c>
      <c r="B1485" s="43" t="s">
        <v>438</v>
      </c>
      <c r="C1485" s="50"/>
      <c r="D1485" s="52">
        <f>Datos!$O$275</f>
        <v>1773.7970327380904</v>
      </c>
      <c r="E1485" s="43" t="s">
        <v>556</v>
      </c>
      <c r="F1485" s="43" t="s">
        <v>557</v>
      </c>
      <c r="G1485" s="43" t="s">
        <v>567</v>
      </c>
      <c r="H1485" s="43" t="s">
        <v>568</v>
      </c>
      <c r="I1485" s="43" t="s">
        <v>560</v>
      </c>
      <c r="J1485" s="43" t="s">
        <v>610</v>
      </c>
      <c r="K1485" s="43">
        <v>700001</v>
      </c>
      <c r="L1485" s="43">
        <v>8</v>
      </c>
      <c r="M1485" s="43" t="s">
        <v>526</v>
      </c>
      <c r="N1485" s="51"/>
      <c r="O1485" s="51"/>
      <c r="P1485" s="43" t="str">
        <f>VLOOKUP(K1485,Maestro!J:K,2,0)</f>
        <v>CLINKER</v>
      </c>
      <c r="Q1485" s="43" t="str">
        <f>VLOOKUP(P1485,Maestro!E:F,2,0)</f>
        <v>Clinkerización</v>
      </c>
      <c r="R1485" s="43">
        <f>VLOOKUP(P1485,ORD!$A:$C,3,0)</f>
        <v>5</v>
      </c>
      <c r="S1485" t="str">
        <f t="shared" si="44"/>
        <v>7199990002COMBALTERClinkerización</v>
      </c>
      <c r="T1485" t="str">
        <f>IFERROR(VLOOKUP(S1485,Maestro!$A:$H,8,0),"Producción")</f>
        <v>Combustibles Alternos</v>
      </c>
      <c r="U1485" s="43" t="s">
        <v>182</v>
      </c>
    </row>
    <row r="1486" spans="1:21" x14ac:dyDescent="0.3">
      <c r="A1486" s="43">
        <v>7199990002</v>
      </c>
      <c r="B1486" s="43" t="s">
        <v>438</v>
      </c>
      <c r="C1486" s="50"/>
      <c r="D1486" s="52">
        <f>Datos!$P$275</f>
        <v>1344.9669808673436</v>
      </c>
      <c r="E1486" s="43" t="s">
        <v>556</v>
      </c>
      <c r="F1486" s="43" t="s">
        <v>557</v>
      </c>
      <c r="G1486" s="43" t="s">
        <v>567</v>
      </c>
      <c r="H1486" s="43" t="s">
        <v>568</v>
      </c>
      <c r="I1486" s="43" t="s">
        <v>560</v>
      </c>
      <c r="J1486" s="43" t="s">
        <v>610</v>
      </c>
      <c r="K1486" s="43">
        <v>700001</v>
      </c>
      <c r="L1486" s="43">
        <v>9</v>
      </c>
      <c r="M1486" s="43" t="s">
        <v>526</v>
      </c>
      <c r="N1486" s="51"/>
      <c r="O1486" s="51"/>
      <c r="P1486" s="43" t="str">
        <f>VLOOKUP(K1486,Maestro!J:K,2,0)</f>
        <v>CLINKER</v>
      </c>
      <c r="Q1486" s="43" t="str">
        <f>VLOOKUP(P1486,Maestro!E:F,2,0)</f>
        <v>Clinkerización</v>
      </c>
      <c r="R1486" s="43">
        <f>VLOOKUP(P1486,ORD!$A:$C,3,0)</f>
        <v>5</v>
      </c>
      <c r="S1486" t="str">
        <f t="shared" si="44"/>
        <v>7199990002COMBALTERClinkerización</v>
      </c>
      <c r="T1486" t="str">
        <f>IFERROR(VLOOKUP(S1486,Maestro!$A:$H,8,0),"Producción")</f>
        <v>Combustibles Alternos</v>
      </c>
      <c r="U1486" s="43" t="s">
        <v>182</v>
      </c>
    </row>
    <row r="1487" spans="1:21" x14ac:dyDescent="0.3">
      <c r="A1487" s="43">
        <v>7199990002</v>
      </c>
      <c r="B1487" s="43" t="s">
        <v>438</v>
      </c>
      <c r="C1487" s="50"/>
      <c r="D1487" s="52">
        <f>Datos!$Q$275</f>
        <v>1052.5828545918339</v>
      </c>
      <c r="E1487" s="43" t="s">
        <v>556</v>
      </c>
      <c r="F1487" s="43" t="s">
        <v>557</v>
      </c>
      <c r="G1487" s="43" t="s">
        <v>567</v>
      </c>
      <c r="H1487" s="43" t="s">
        <v>568</v>
      </c>
      <c r="I1487" s="43" t="s">
        <v>560</v>
      </c>
      <c r="J1487" s="43" t="s">
        <v>610</v>
      </c>
      <c r="K1487" s="43">
        <v>700001</v>
      </c>
      <c r="L1487" s="43">
        <v>10</v>
      </c>
      <c r="M1487" s="43" t="s">
        <v>526</v>
      </c>
      <c r="N1487" s="51"/>
      <c r="O1487" s="51"/>
      <c r="P1487" s="43" t="str">
        <f>VLOOKUP(K1487,Maestro!J:K,2,0)</f>
        <v>CLINKER</v>
      </c>
      <c r="Q1487" s="43" t="str">
        <f>VLOOKUP(P1487,Maestro!E:F,2,0)</f>
        <v>Clinkerización</v>
      </c>
      <c r="R1487" s="43">
        <f>VLOOKUP(P1487,ORD!$A:$C,3,0)</f>
        <v>5</v>
      </c>
      <c r="S1487" t="str">
        <f t="shared" si="44"/>
        <v>7199990002COMBALTERClinkerización</v>
      </c>
      <c r="T1487" t="str">
        <f>IFERROR(VLOOKUP(S1487,Maestro!$A:$H,8,0),"Producción")</f>
        <v>Combustibles Alternos</v>
      </c>
      <c r="U1487" s="43" t="s">
        <v>182</v>
      </c>
    </row>
    <row r="1488" spans="1:21" x14ac:dyDescent="0.3">
      <c r="A1488" s="43">
        <v>7199990002</v>
      </c>
      <c r="B1488" s="43" t="s">
        <v>438</v>
      </c>
      <c r="C1488" s="50"/>
      <c r="D1488" s="52">
        <f>Datos!$R$275</f>
        <v>1715.320207482989</v>
      </c>
      <c r="E1488" s="43" t="s">
        <v>556</v>
      </c>
      <c r="F1488" s="43" t="s">
        <v>557</v>
      </c>
      <c r="G1488" s="43" t="s">
        <v>567</v>
      </c>
      <c r="H1488" s="43" t="s">
        <v>568</v>
      </c>
      <c r="I1488" s="43" t="s">
        <v>560</v>
      </c>
      <c r="J1488" s="43" t="s">
        <v>610</v>
      </c>
      <c r="K1488" s="43">
        <v>700001</v>
      </c>
      <c r="L1488" s="43">
        <v>11</v>
      </c>
      <c r="M1488" s="43" t="s">
        <v>526</v>
      </c>
      <c r="N1488" s="51"/>
      <c r="O1488" s="51"/>
      <c r="P1488" s="43" t="str">
        <f>VLOOKUP(K1488,Maestro!J:K,2,0)</f>
        <v>CLINKER</v>
      </c>
      <c r="Q1488" s="43" t="str">
        <f>VLOOKUP(P1488,Maestro!E:F,2,0)</f>
        <v>Clinkerización</v>
      </c>
      <c r="R1488" s="43">
        <f>VLOOKUP(P1488,ORD!$A:$C,3,0)</f>
        <v>5</v>
      </c>
      <c r="S1488" t="str">
        <f t="shared" si="44"/>
        <v>7199990002COMBALTERClinkerización</v>
      </c>
      <c r="T1488" t="str">
        <f>IFERROR(VLOOKUP(S1488,Maestro!$A:$H,8,0),"Producción")</f>
        <v>Combustibles Alternos</v>
      </c>
      <c r="U1488" s="43" t="s">
        <v>182</v>
      </c>
    </row>
    <row r="1489" spans="1:21" x14ac:dyDescent="0.3">
      <c r="A1489" s="43">
        <v>7199990002</v>
      </c>
      <c r="B1489" s="43" t="s">
        <v>438</v>
      </c>
      <c r="C1489" s="50"/>
      <c r="D1489" s="52">
        <f>Datos!$S$275</f>
        <v>1082.1552446580988</v>
      </c>
      <c r="E1489" s="43" t="s">
        <v>556</v>
      </c>
      <c r="F1489" s="43" t="s">
        <v>557</v>
      </c>
      <c r="G1489" s="43" t="s">
        <v>567</v>
      </c>
      <c r="H1489" s="43" t="s">
        <v>568</v>
      </c>
      <c r="I1489" s="43" t="s">
        <v>560</v>
      </c>
      <c r="J1489" s="43" t="s">
        <v>610</v>
      </c>
      <c r="K1489" s="43">
        <v>700001</v>
      </c>
      <c r="L1489" s="43">
        <v>12</v>
      </c>
      <c r="M1489" s="43" t="s">
        <v>526</v>
      </c>
      <c r="N1489" s="51"/>
      <c r="O1489" s="51"/>
      <c r="P1489" s="43" t="str">
        <f>VLOOKUP(K1489,Maestro!J:K,2,0)</f>
        <v>CLINKER</v>
      </c>
      <c r="Q1489" s="43" t="str">
        <f>VLOOKUP(P1489,Maestro!E:F,2,0)</f>
        <v>Clinkerización</v>
      </c>
      <c r="R1489" s="43">
        <f>VLOOKUP(P1489,ORD!$A:$C,3,0)</f>
        <v>5</v>
      </c>
      <c r="S1489" t="str">
        <f t="shared" si="44"/>
        <v>7199990002COMBALTERClinkerización</v>
      </c>
      <c r="T1489" t="str">
        <f>IFERROR(VLOOKUP(S1489,Maestro!$A:$H,8,0),"Producción")</f>
        <v>Combustibles Alternos</v>
      </c>
      <c r="U1489" s="43" t="s">
        <v>182</v>
      </c>
    </row>
    <row r="1490" spans="1:21" x14ac:dyDescent="0.3">
      <c r="A1490" s="43">
        <v>7105400101</v>
      </c>
      <c r="B1490" s="43" t="s">
        <v>535</v>
      </c>
      <c r="C1490" s="50">
        <f>Datos!$H$79*D1490</f>
        <v>384723067.75170606</v>
      </c>
      <c r="D1490" s="56">
        <f>Datos!$H$245</f>
        <v>98751.249313887325</v>
      </c>
      <c r="E1490" s="43" t="s">
        <v>556</v>
      </c>
      <c r="F1490" s="43" t="s">
        <v>557</v>
      </c>
      <c r="G1490" s="43" t="s">
        <v>563</v>
      </c>
      <c r="H1490" s="43" t="s">
        <v>564</v>
      </c>
      <c r="I1490" s="43" t="s">
        <v>560</v>
      </c>
      <c r="J1490" s="41" t="s">
        <v>693</v>
      </c>
      <c r="K1490" s="43">
        <v>700056</v>
      </c>
      <c r="L1490" s="43">
        <v>1</v>
      </c>
      <c r="M1490" s="43" t="s">
        <v>693</v>
      </c>
      <c r="N1490" s="51"/>
      <c r="O1490" s="51"/>
      <c r="P1490" s="43" t="str">
        <f>VLOOKUP(K1490,Maestro!J:K,2,0)</f>
        <v>Cementos</v>
      </c>
      <c r="Q1490" s="43" t="str">
        <f>VLOOKUP(P1490,Maestro!E:F,2,0)</f>
        <v>CEMENTOS</v>
      </c>
      <c r="R1490" s="43">
        <v>21</v>
      </c>
      <c r="S1490" t="str">
        <f t="shared" si="44"/>
        <v>7105400101EMPAQUE Y GRANELCEMENTOS</v>
      </c>
      <c r="T1490" t="str">
        <f>IFERROR(VLOOKUP(S1490,Maestro!$A:$H,8,0),"Producción")</f>
        <v>Empaque y Granel</v>
      </c>
      <c r="U1490" s="43" t="s">
        <v>182</v>
      </c>
    </row>
    <row r="1491" spans="1:21" x14ac:dyDescent="0.3">
      <c r="A1491" s="43">
        <v>7105400101</v>
      </c>
      <c r="B1491" s="43" t="s">
        <v>535</v>
      </c>
      <c r="C1491" s="50">
        <f>Datos!$I$79*D1491</f>
        <v>394760874.85370851</v>
      </c>
      <c r="D1491" s="56">
        <f>Datos!$I$245</f>
        <v>105650.08581010897</v>
      </c>
      <c r="E1491" s="43" t="s">
        <v>556</v>
      </c>
      <c r="F1491" s="43" t="s">
        <v>557</v>
      </c>
      <c r="G1491" s="43" t="s">
        <v>563</v>
      </c>
      <c r="H1491" s="43" t="s">
        <v>564</v>
      </c>
      <c r="I1491" s="43" t="s">
        <v>560</v>
      </c>
      <c r="J1491" s="41" t="s">
        <v>693</v>
      </c>
      <c r="K1491" s="43">
        <v>700056</v>
      </c>
      <c r="L1491" s="43">
        <v>1</v>
      </c>
      <c r="M1491" s="43" t="s">
        <v>693</v>
      </c>
      <c r="N1491" s="51"/>
      <c r="O1491" s="51"/>
      <c r="P1491" s="43" t="str">
        <f>VLOOKUP(K1491,Maestro!J:K,2,0)</f>
        <v>Cementos</v>
      </c>
      <c r="Q1491" s="43" t="str">
        <f>VLOOKUP(P1491,Maestro!E:F,2,0)</f>
        <v>CEMENTOS</v>
      </c>
      <c r="R1491" s="43">
        <v>21</v>
      </c>
      <c r="S1491" t="str">
        <f t="shared" ref="S1491:S1514" si="45">A1491&amp;J1491&amp;Q1491</f>
        <v>7105400101EMPAQUE Y GRANELCEMENTOS</v>
      </c>
      <c r="T1491" t="str">
        <f>IFERROR(VLOOKUP(S1491,Maestro!$A:$H,8,0),"Producción")</f>
        <v>Empaque y Granel</v>
      </c>
      <c r="U1491" s="43" t="s">
        <v>182</v>
      </c>
    </row>
    <row r="1492" spans="1:21" x14ac:dyDescent="0.3">
      <c r="A1492" s="43">
        <v>7105400101</v>
      </c>
      <c r="B1492" s="43" t="s">
        <v>535</v>
      </c>
      <c r="C1492" s="50">
        <f>Datos!$J$79*D1492</f>
        <v>404419205.21004474</v>
      </c>
      <c r="D1492" s="56">
        <f>Datos!$J$245</f>
        <v>112288.11354642251</v>
      </c>
      <c r="E1492" s="43" t="s">
        <v>556</v>
      </c>
      <c r="F1492" s="43" t="s">
        <v>557</v>
      </c>
      <c r="G1492" s="43" t="s">
        <v>563</v>
      </c>
      <c r="H1492" s="43" t="s">
        <v>564</v>
      </c>
      <c r="I1492" s="43" t="s">
        <v>560</v>
      </c>
      <c r="J1492" s="41" t="s">
        <v>693</v>
      </c>
      <c r="K1492" s="43">
        <v>700056</v>
      </c>
      <c r="L1492" s="43">
        <v>1</v>
      </c>
      <c r="M1492" s="43" t="s">
        <v>693</v>
      </c>
      <c r="N1492" s="51"/>
      <c r="O1492" s="51"/>
      <c r="P1492" s="43" t="str">
        <f>VLOOKUP(K1492,Maestro!J:K,2,0)</f>
        <v>Cementos</v>
      </c>
      <c r="Q1492" s="43" t="str">
        <f>VLOOKUP(P1492,Maestro!E:F,2,0)</f>
        <v>CEMENTOS</v>
      </c>
      <c r="R1492" s="43">
        <v>21</v>
      </c>
      <c r="S1492" t="str">
        <f t="shared" si="45"/>
        <v>7105400101EMPAQUE Y GRANELCEMENTOS</v>
      </c>
      <c r="T1492" t="str">
        <f>IFERROR(VLOOKUP(S1492,Maestro!$A:$H,8,0),"Producción")</f>
        <v>Empaque y Granel</v>
      </c>
      <c r="U1492" s="43" t="s">
        <v>182</v>
      </c>
    </row>
    <row r="1493" spans="1:21" x14ac:dyDescent="0.3">
      <c r="A1493" s="43">
        <v>7105400101</v>
      </c>
      <c r="B1493" s="43" t="s">
        <v>535</v>
      </c>
      <c r="C1493" s="50">
        <f>Datos!$K$79*D1493</f>
        <v>394636815.49783951</v>
      </c>
      <c r="D1493" s="56">
        <f>Datos!$K$245</f>
        <v>105564.82164799968</v>
      </c>
      <c r="E1493" s="43" t="s">
        <v>556</v>
      </c>
      <c r="F1493" s="43" t="s">
        <v>557</v>
      </c>
      <c r="G1493" s="43" t="s">
        <v>563</v>
      </c>
      <c r="H1493" s="43" t="s">
        <v>564</v>
      </c>
      <c r="I1493" s="43" t="s">
        <v>560</v>
      </c>
      <c r="J1493" s="41" t="s">
        <v>693</v>
      </c>
      <c r="K1493" s="43">
        <v>700056</v>
      </c>
      <c r="L1493" s="43">
        <v>1</v>
      </c>
      <c r="M1493" s="43" t="s">
        <v>693</v>
      </c>
      <c r="N1493" s="51"/>
      <c r="O1493" s="51"/>
      <c r="P1493" s="43" t="str">
        <f>VLOOKUP(K1493,Maestro!J:K,2,0)</f>
        <v>Cementos</v>
      </c>
      <c r="Q1493" s="43" t="str">
        <f>VLOOKUP(P1493,Maestro!E:F,2,0)</f>
        <v>CEMENTOS</v>
      </c>
      <c r="R1493" s="43">
        <v>21</v>
      </c>
      <c r="S1493" t="str">
        <f t="shared" si="45"/>
        <v>7105400101EMPAQUE Y GRANELCEMENTOS</v>
      </c>
      <c r="T1493" t="str">
        <f>IFERROR(VLOOKUP(S1493,Maestro!$A:$H,8,0),"Producción")</f>
        <v>Empaque y Granel</v>
      </c>
      <c r="U1493" s="43" t="s">
        <v>182</v>
      </c>
    </row>
    <row r="1494" spans="1:21" x14ac:dyDescent="0.3">
      <c r="A1494" s="43">
        <v>7105400101</v>
      </c>
      <c r="B1494" s="43" t="s">
        <v>535</v>
      </c>
      <c r="C1494" s="50">
        <f>Datos!$L$79*D1494</f>
        <v>389805019.19232166</v>
      </c>
      <c r="D1494" s="56">
        <f>Datos!$L$245</f>
        <v>102243.99944489462</v>
      </c>
      <c r="E1494" s="43" t="s">
        <v>556</v>
      </c>
      <c r="F1494" s="43" t="s">
        <v>557</v>
      </c>
      <c r="G1494" s="43" t="s">
        <v>563</v>
      </c>
      <c r="H1494" s="43" t="s">
        <v>564</v>
      </c>
      <c r="I1494" s="43" t="s">
        <v>560</v>
      </c>
      <c r="J1494" s="41" t="s">
        <v>693</v>
      </c>
      <c r="K1494" s="43">
        <v>700056</v>
      </c>
      <c r="L1494" s="43">
        <v>1</v>
      </c>
      <c r="M1494" s="43" t="s">
        <v>693</v>
      </c>
      <c r="N1494" s="51"/>
      <c r="O1494" s="51"/>
      <c r="P1494" s="43" t="str">
        <f>VLOOKUP(K1494,Maestro!J:K,2,0)</f>
        <v>Cementos</v>
      </c>
      <c r="Q1494" s="43" t="str">
        <f>VLOOKUP(P1494,Maestro!E:F,2,0)</f>
        <v>CEMENTOS</v>
      </c>
      <c r="R1494" s="43">
        <v>21</v>
      </c>
      <c r="S1494" t="str">
        <f t="shared" si="45"/>
        <v>7105400101EMPAQUE Y GRANELCEMENTOS</v>
      </c>
      <c r="T1494" t="str">
        <f>IFERROR(VLOOKUP(S1494,Maestro!$A:$H,8,0),"Producción")</f>
        <v>Empaque y Granel</v>
      </c>
      <c r="U1494" s="43" t="s">
        <v>182</v>
      </c>
    </row>
    <row r="1495" spans="1:21" x14ac:dyDescent="0.3">
      <c r="A1495" s="43">
        <v>7105400101</v>
      </c>
      <c r="B1495" s="43" t="s">
        <v>535</v>
      </c>
      <c r="C1495" s="50">
        <f>Datos!$M$79*D1495</f>
        <v>388053842.87083769</v>
      </c>
      <c r="D1495" s="56">
        <f>Datos!$M$245</f>
        <v>101040.44183562727</v>
      </c>
      <c r="E1495" s="43" t="s">
        <v>556</v>
      </c>
      <c r="F1495" s="43" t="s">
        <v>557</v>
      </c>
      <c r="G1495" s="43" t="s">
        <v>563</v>
      </c>
      <c r="H1495" s="43" t="s">
        <v>564</v>
      </c>
      <c r="I1495" s="43" t="s">
        <v>560</v>
      </c>
      <c r="J1495" s="41" t="s">
        <v>693</v>
      </c>
      <c r="K1495" s="43">
        <v>700056</v>
      </c>
      <c r="L1495" s="43">
        <v>1</v>
      </c>
      <c r="M1495" s="43" t="s">
        <v>693</v>
      </c>
      <c r="N1495" s="51"/>
      <c r="O1495" s="51"/>
      <c r="P1495" s="43" t="str">
        <f>VLOOKUP(K1495,Maestro!J:K,2,0)</f>
        <v>Cementos</v>
      </c>
      <c r="Q1495" s="43" t="str">
        <f>VLOOKUP(P1495,Maestro!E:F,2,0)</f>
        <v>CEMENTOS</v>
      </c>
      <c r="R1495" s="43">
        <v>21</v>
      </c>
      <c r="S1495" t="str">
        <f t="shared" si="45"/>
        <v>7105400101EMPAQUE Y GRANELCEMENTOS</v>
      </c>
      <c r="T1495" t="str">
        <f>IFERROR(VLOOKUP(S1495,Maestro!$A:$H,8,0),"Producción")</f>
        <v>Empaque y Granel</v>
      </c>
      <c r="U1495" s="43" t="s">
        <v>182</v>
      </c>
    </row>
    <row r="1496" spans="1:21" x14ac:dyDescent="0.3">
      <c r="A1496" s="43">
        <v>7105400101</v>
      </c>
      <c r="B1496" s="43" t="s">
        <v>535</v>
      </c>
      <c r="C1496" s="50">
        <f>Datos!$N$79*D1496</f>
        <v>413085100.70085746</v>
      </c>
      <c r="D1496" s="56">
        <f>Datos!$N$245</f>
        <v>118244.05546450688</v>
      </c>
      <c r="E1496" s="43" t="s">
        <v>556</v>
      </c>
      <c r="F1496" s="43" t="s">
        <v>557</v>
      </c>
      <c r="G1496" s="43" t="s">
        <v>563</v>
      </c>
      <c r="H1496" s="43" t="s">
        <v>564</v>
      </c>
      <c r="I1496" s="43" t="s">
        <v>560</v>
      </c>
      <c r="J1496" s="41" t="s">
        <v>693</v>
      </c>
      <c r="K1496" s="43">
        <v>700056</v>
      </c>
      <c r="L1496" s="43">
        <v>1</v>
      </c>
      <c r="M1496" s="43" t="s">
        <v>693</v>
      </c>
      <c r="N1496" s="51"/>
      <c r="O1496" s="51"/>
      <c r="P1496" s="43" t="str">
        <f>VLOOKUP(K1496,Maestro!J:K,2,0)</f>
        <v>Cementos</v>
      </c>
      <c r="Q1496" s="43" t="str">
        <f>VLOOKUP(P1496,Maestro!E:F,2,0)</f>
        <v>CEMENTOS</v>
      </c>
      <c r="R1496" s="43">
        <v>21</v>
      </c>
      <c r="S1496" t="str">
        <f t="shared" si="45"/>
        <v>7105400101EMPAQUE Y GRANELCEMENTOS</v>
      </c>
      <c r="T1496" t="str">
        <f>IFERROR(VLOOKUP(S1496,Maestro!$A:$H,8,0),"Producción")</f>
        <v>Empaque y Granel</v>
      </c>
      <c r="U1496" s="43" t="s">
        <v>182</v>
      </c>
    </row>
    <row r="1497" spans="1:21" x14ac:dyDescent="0.3">
      <c r="A1497" s="43">
        <v>7105400101</v>
      </c>
      <c r="B1497" s="43" t="s">
        <v>535</v>
      </c>
      <c r="C1497" s="50">
        <f>Datos!$O$79*D1497</f>
        <v>398337581.76509976</v>
      </c>
      <c r="D1497" s="56">
        <f>Datos!$O$245</f>
        <v>108108.30361862524</v>
      </c>
      <c r="E1497" s="43" t="s">
        <v>556</v>
      </c>
      <c r="F1497" s="43" t="s">
        <v>557</v>
      </c>
      <c r="G1497" s="43" t="s">
        <v>563</v>
      </c>
      <c r="H1497" s="43" t="s">
        <v>564</v>
      </c>
      <c r="I1497" s="43" t="s">
        <v>560</v>
      </c>
      <c r="J1497" s="41" t="s">
        <v>693</v>
      </c>
      <c r="K1497" s="43">
        <v>700056</v>
      </c>
      <c r="L1497" s="43">
        <v>1</v>
      </c>
      <c r="M1497" s="43" t="s">
        <v>693</v>
      </c>
      <c r="N1497" s="51"/>
      <c r="O1497" s="51"/>
      <c r="P1497" s="43" t="str">
        <f>VLOOKUP(K1497,Maestro!J:K,2,0)</f>
        <v>Cementos</v>
      </c>
      <c r="Q1497" s="43" t="str">
        <f>VLOOKUP(P1497,Maestro!E:F,2,0)</f>
        <v>CEMENTOS</v>
      </c>
      <c r="R1497" s="43">
        <v>21</v>
      </c>
      <c r="S1497" t="str">
        <f t="shared" si="45"/>
        <v>7105400101EMPAQUE Y GRANELCEMENTOS</v>
      </c>
      <c r="T1497" t="str">
        <f>IFERROR(VLOOKUP(S1497,Maestro!$A:$H,8,0),"Producción")</f>
        <v>Empaque y Granel</v>
      </c>
      <c r="U1497" s="43" t="s">
        <v>182</v>
      </c>
    </row>
    <row r="1498" spans="1:21" x14ac:dyDescent="0.3">
      <c r="A1498" s="43">
        <v>7105400101</v>
      </c>
      <c r="B1498" s="43" t="s">
        <v>535</v>
      </c>
      <c r="C1498" s="50">
        <f>Datos!$P$79*D1498</f>
        <v>407766308.80225301</v>
      </c>
      <c r="D1498" s="56">
        <f>Datos!$P$245</f>
        <v>114588.52838642821</v>
      </c>
      <c r="E1498" s="43" t="s">
        <v>556</v>
      </c>
      <c r="F1498" s="43" t="s">
        <v>557</v>
      </c>
      <c r="G1498" s="43" t="s">
        <v>563</v>
      </c>
      <c r="H1498" s="43" t="s">
        <v>564</v>
      </c>
      <c r="I1498" s="43" t="s">
        <v>560</v>
      </c>
      <c r="J1498" s="41" t="s">
        <v>693</v>
      </c>
      <c r="K1498" s="43">
        <v>700056</v>
      </c>
      <c r="L1498" s="43">
        <v>1</v>
      </c>
      <c r="M1498" s="43" t="s">
        <v>693</v>
      </c>
      <c r="N1498" s="51"/>
      <c r="O1498" s="51"/>
      <c r="P1498" s="43" t="str">
        <f>VLOOKUP(K1498,Maestro!J:K,2,0)</f>
        <v>Cementos</v>
      </c>
      <c r="Q1498" s="43" t="str">
        <f>VLOOKUP(P1498,Maestro!E:F,2,0)</f>
        <v>CEMENTOS</v>
      </c>
      <c r="R1498" s="43">
        <v>21</v>
      </c>
      <c r="S1498" t="str">
        <f t="shared" si="45"/>
        <v>7105400101EMPAQUE Y GRANELCEMENTOS</v>
      </c>
      <c r="T1498" t="str">
        <f>IFERROR(VLOOKUP(S1498,Maestro!$A:$H,8,0),"Producción")</f>
        <v>Empaque y Granel</v>
      </c>
      <c r="U1498" s="43" t="s">
        <v>182</v>
      </c>
    </row>
    <row r="1499" spans="1:21" x14ac:dyDescent="0.3">
      <c r="A1499" s="43">
        <v>7105400101</v>
      </c>
      <c r="B1499" s="43" t="s">
        <v>535</v>
      </c>
      <c r="C1499" s="50">
        <f>Datos!$Q$79*D1499</f>
        <v>410370976.11549592</v>
      </c>
      <c r="D1499" s="56">
        <f>Datos!$Q$245</f>
        <v>116378.67774260887</v>
      </c>
      <c r="E1499" s="43" t="s">
        <v>556</v>
      </c>
      <c r="F1499" s="43" t="s">
        <v>557</v>
      </c>
      <c r="G1499" s="43" t="s">
        <v>563</v>
      </c>
      <c r="H1499" s="43" t="s">
        <v>564</v>
      </c>
      <c r="I1499" s="43" t="s">
        <v>560</v>
      </c>
      <c r="J1499" s="41" t="s">
        <v>693</v>
      </c>
      <c r="K1499" s="43">
        <v>700056</v>
      </c>
      <c r="L1499" s="43">
        <v>1</v>
      </c>
      <c r="M1499" s="43" t="s">
        <v>693</v>
      </c>
      <c r="N1499" s="51"/>
      <c r="O1499" s="51"/>
      <c r="P1499" s="43" t="str">
        <f>VLOOKUP(K1499,Maestro!J:K,2,0)</f>
        <v>Cementos</v>
      </c>
      <c r="Q1499" s="43" t="str">
        <f>VLOOKUP(P1499,Maestro!E:F,2,0)</f>
        <v>CEMENTOS</v>
      </c>
      <c r="R1499" s="43">
        <v>21</v>
      </c>
      <c r="S1499" t="str">
        <f t="shared" si="45"/>
        <v>7105400101EMPAQUE Y GRANELCEMENTOS</v>
      </c>
      <c r="T1499" t="str">
        <f>IFERROR(VLOOKUP(S1499,Maestro!$A:$H,8,0),"Producción")</f>
        <v>Empaque y Granel</v>
      </c>
      <c r="U1499" s="43" t="s">
        <v>182</v>
      </c>
    </row>
    <row r="1500" spans="1:21" x14ac:dyDescent="0.3">
      <c r="A1500" s="43">
        <v>7105400101</v>
      </c>
      <c r="B1500" s="43" t="s">
        <v>535</v>
      </c>
      <c r="C1500" s="50">
        <f>Datos!$R$79*D1500</f>
        <v>398268316.21711737</v>
      </c>
      <c r="D1500" s="56">
        <f>Datos!$R$245</f>
        <v>108060.69843100851</v>
      </c>
      <c r="E1500" s="43" t="s">
        <v>556</v>
      </c>
      <c r="F1500" s="43" t="s">
        <v>557</v>
      </c>
      <c r="G1500" s="43" t="s">
        <v>563</v>
      </c>
      <c r="H1500" s="43" t="s">
        <v>564</v>
      </c>
      <c r="I1500" s="43" t="s">
        <v>560</v>
      </c>
      <c r="J1500" s="41" t="s">
        <v>693</v>
      </c>
      <c r="K1500" s="43">
        <v>700056</v>
      </c>
      <c r="L1500" s="43">
        <v>1</v>
      </c>
      <c r="M1500" s="43" t="s">
        <v>693</v>
      </c>
      <c r="N1500" s="51"/>
      <c r="O1500" s="51"/>
      <c r="P1500" s="43" t="str">
        <f>VLOOKUP(K1500,Maestro!J:K,2,0)</f>
        <v>Cementos</v>
      </c>
      <c r="Q1500" s="43" t="str">
        <f>VLOOKUP(P1500,Maestro!E:F,2,0)</f>
        <v>CEMENTOS</v>
      </c>
      <c r="R1500" s="43">
        <v>21</v>
      </c>
      <c r="S1500" t="str">
        <f t="shared" si="45"/>
        <v>7105400101EMPAQUE Y GRANELCEMENTOS</v>
      </c>
      <c r="T1500" t="str">
        <f>IFERROR(VLOOKUP(S1500,Maestro!$A:$H,8,0),"Producción")</f>
        <v>Empaque y Granel</v>
      </c>
      <c r="U1500" s="43" t="s">
        <v>182</v>
      </c>
    </row>
    <row r="1501" spans="1:21" x14ac:dyDescent="0.3">
      <c r="A1501" s="43">
        <v>7105400101</v>
      </c>
      <c r="B1501" s="43" t="s">
        <v>535</v>
      </c>
      <c r="C1501" s="50">
        <f>Datos!$S$79*D1501</f>
        <v>399752891.02271849</v>
      </c>
      <c r="D1501" s="56">
        <f>Datos!$S$245</f>
        <v>109081.02475788211</v>
      </c>
      <c r="E1501" s="43" t="s">
        <v>556</v>
      </c>
      <c r="F1501" s="43" t="s">
        <v>557</v>
      </c>
      <c r="G1501" s="43" t="s">
        <v>563</v>
      </c>
      <c r="H1501" s="43" t="s">
        <v>564</v>
      </c>
      <c r="I1501" s="43" t="s">
        <v>560</v>
      </c>
      <c r="J1501" s="41" t="s">
        <v>693</v>
      </c>
      <c r="K1501" s="43">
        <v>700056</v>
      </c>
      <c r="L1501" s="43">
        <v>1</v>
      </c>
      <c r="M1501" s="43" t="s">
        <v>693</v>
      </c>
      <c r="N1501" s="51"/>
      <c r="O1501" s="51"/>
      <c r="P1501" s="43" t="str">
        <f>VLOOKUP(K1501,Maestro!J:K,2,0)</f>
        <v>Cementos</v>
      </c>
      <c r="Q1501" s="43" t="str">
        <f>VLOOKUP(P1501,Maestro!E:F,2,0)</f>
        <v>CEMENTOS</v>
      </c>
      <c r="R1501" s="43">
        <v>21</v>
      </c>
      <c r="S1501" t="str">
        <f t="shared" si="45"/>
        <v>7105400101EMPAQUE Y GRANELCEMENTOS</v>
      </c>
      <c r="T1501" t="str">
        <f>IFERROR(VLOOKUP(S1501,Maestro!$A:$H,8,0),"Producción")</f>
        <v>Empaque y Granel</v>
      </c>
      <c r="U1501" s="43" t="s">
        <v>182</v>
      </c>
    </row>
    <row r="1502" spans="1:21" x14ac:dyDescent="0.3">
      <c r="A1502" s="41">
        <v>7405050003</v>
      </c>
      <c r="B1502" s="43" t="s">
        <v>688</v>
      </c>
      <c r="C1502" s="50">
        <f>Datos!$H$356*D1502</f>
        <v>77227728.852512971</v>
      </c>
      <c r="D1502" s="17">
        <f>Datos!$H$245*Datos!$H$370</f>
        <v>148126.87397083099</v>
      </c>
      <c r="E1502" s="43" t="s">
        <v>556</v>
      </c>
      <c r="F1502" s="43" t="s">
        <v>557</v>
      </c>
      <c r="G1502" s="43" t="s">
        <v>567</v>
      </c>
      <c r="H1502" s="43" t="s">
        <v>568</v>
      </c>
      <c r="I1502" s="43" t="s">
        <v>560</v>
      </c>
      <c r="J1502" s="41" t="s">
        <v>797</v>
      </c>
      <c r="K1502" s="43">
        <v>700056</v>
      </c>
      <c r="L1502" s="43">
        <v>1</v>
      </c>
      <c r="M1502" s="43" t="s">
        <v>695</v>
      </c>
      <c r="N1502" s="51"/>
      <c r="O1502" s="51"/>
      <c r="P1502" s="43" t="str">
        <f>VLOOKUP(K1502,Maestro!J:K,2,0)</f>
        <v>Cementos</v>
      </c>
      <c r="Q1502" s="43" t="str">
        <f>VLOOKUP(P1502,Maestro!E:F,2,0)</f>
        <v>CEMENTOS</v>
      </c>
      <c r="R1502" s="43">
        <v>21</v>
      </c>
      <c r="S1502" t="str">
        <f t="shared" si="45"/>
        <v>7405050003ENERGIACEMENTOS</v>
      </c>
      <c r="T1502" t="str">
        <f>IFERROR(VLOOKUP(S1502,Maestro!$A:$H,8,0),"Producción")</f>
        <v>Energía</v>
      </c>
      <c r="U1502" s="43" t="s">
        <v>182</v>
      </c>
    </row>
    <row r="1503" spans="1:21" x14ac:dyDescent="0.3">
      <c r="A1503" s="41">
        <v>7405050003</v>
      </c>
      <c r="B1503" s="43" t="s">
        <v>688</v>
      </c>
      <c r="C1503" s="50">
        <f>Datos!$I$356*D1503</f>
        <v>82733106.116897002</v>
      </c>
      <c r="D1503" s="17">
        <f>Datos!$I$245*Datos!$I$370</f>
        <v>158475.12871516345</v>
      </c>
      <c r="E1503" s="43" t="s">
        <v>556</v>
      </c>
      <c r="F1503" s="43" t="s">
        <v>557</v>
      </c>
      <c r="G1503" s="43" t="s">
        <v>567</v>
      </c>
      <c r="H1503" s="43" t="s">
        <v>568</v>
      </c>
      <c r="I1503" s="43" t="s">
        <v>560</v>
      </c>
      <c r="J1503" s="41" t="s">
        <v>797</v>
      </c>
      <c r="K1503" s="43">
        <v>700056</v>
      </c>
      <c r="L1503" s="43">
        <v>2</v>
      </c>
      <c r="M1503" s="43" t="s">
        <v>695</v>
      </c>
      <c r="N1503" s="51"/>
      <c r="O1503" s="51"/>
      <c r="P1503" s="43" t="str">
        <f>VLOOKUP(K1503,Maestro!J:K,2,0)</f>
        <v>Cementos</v>
      </c>
      <c r="Q1503" s="43" t="str">
        <f>VLOOKUP(P1503,Maestro!E:F,2,0)</f>
        <v>CEMENTOS</v>
      </c>
      <c r="R1503" s="43">
        <v>21</v>
      </c>
      <c r="S1503" t="str">
        <f t="shared" si="45"/>
        <v>7405050003ENERGIACEMENTOS</v>
      </c>
      <c r="T1503" t="str">
        <f>IFERROR(VLOOKUP(S1503,Maestro!$A:$H,8,0),"Producción")</f>
        <v>Energía</v>
      </c>
      <c r="U1503" s="43" t="s">
        <v>182</v>
      </c>
    </row>
    <row r="1504" spans="1:21" x14ac:dyDescent="0.3">
      <c r="A1504" s="41">
        <v>7405050003</v>
      </c>
      <c r="B1504" s="43" t="s">
        <v>688</v>
      </c>
      <c r="C1504" s="50">
        <f>Datos!$J$356*D1504</f>
        <v>88048612.194053784</v>
      </c>
      <c r="D1504" s="17">
        <f>Datos!$J$245*Datos!$J$370</f>
        <v>168432.17031963376</v>
      </c>
      <c r="E1504" s="43" t="s">
        <v>556</v>
      </c>
      <c r="F1504" s="43" t="s">
        <v>557</v>
      </c>
      <c r="G1504" s="43" t="s">
        <v>567</v>
      </c>
      <c r="H1504" s="43" t="s">
        <v>568</v>
      </c>
      <c r="I1504" s="43" t="s">
        <v>560</v>
      </c>
      <c r="J1504" s="41" t="s">
        <v>797</v>
      </c>
      <c r="K1504" s="43">
        <v>700056</v>
      </c>
      <c r="L1504" s="43">
        <v>3</v>
      </c>
      <c r="M1504" s="43" t="s">
        <v>695</v>
      </c>
      <c r="N1504" s="51"/>
      <c r="O1504" s="51"/>
      <c r="P1504" s="43" t="str">
        <f>VLOOKUP(K1504,Maestro!J:K,2,0)</f>
        <v>Cementos</v>
      </c>
      <c r="Q1504" s="43" t="str">
        <f>VLOOKUP(P1504,Maestro!E:F,2,0)</f>
        <v>CEMENTOS</v>
      </c>
      <c r="R1504" s="43">
        <v>21</v>
      </c>
      <c r="S1504" t="str">
        <f t="shared" si="45"/>
        <v>7405050003ENERGIACEMENTOS</v>
      </c>
      <c r="T1504" t="str">
        <f>IFERROR(VLOOKUP(S1504,Maestro!$A:$H,8,0),"Producción")</f>
        <v>Energía</v>
      </c>
      <c r="U1504" s="43" t="s">
        <v>182</v>
      </c>
    </row>
    <row r="1505" spans="1:21" x14ac:dyDescent="0.3">
      <c r="A1505" s="41">
        <v>7405050003</v>
      </c>
      <c r="B1505" s="43" t="s">
        <v>688</v>
      </c>
      <c r="C1505" s="50">
        <f>Datos!$K$356*D1505</f>
        <v>82887233.377714843</v>
      </c>
      <c r="D1505" s="17">
        <f>Datos!$K$245*Datos!$K$370</f>
        <v>158347.23247199951</v>
      </c>
      <c r="E1505" s="43" t="s">
        <v>556</v>
      </c>
      <c r="F1505" s="43" t="s">
        <v>557</v>
      </c>
      <c r="G1505" s="43" t="s">
        <v>567</v>
      </c>
      <c r="H1505" s="43" t="s">
        <v>568</v>
      </c>
      <c r="I1505" s="43" t="s">
        <v>560</v>
      </c>
      <c r="J1505" s="41" t="s">
        <v>797</v>
      </c>
      <c r="K1505" s="43">
        <v>700056</v>
      </c>
      <c r="L1505" s="43">
        <v>4</v>
      </c>
      <c r="M1505" s="43" t="s">
        <v>695</v>
      </c>
      <c r="N1505" s="51"/>
      <c r="O1505" s="51"/>
      <c r="P1505" s="43" t="str">
        <f>VLOOKUP(K1505,Maestro!J:K,2,0)</f>
        <v>Cementos</v>
      </c>
      <c r="Q1505" s="43" t="str">
        <f>VLOOKUP(P1505,Maestro!E:F,2,0)</f>
        <v>CEMENTOS</v>
      </c>
      <c r="R1505" s="43">
        <v>21</v>
      </c>
      <c r="S1505" t="str">
        <f t="shared" si="45"/>
        <v>7405050003ENERGIACEMENTOS</v>
      </c>
      <c r="T1505" t="str">
        <f>IFERROR(VLOOKUP(S1505,Maestro!$A:$H,8,0),"Producción")</f>
        <v>Energía</v>
      </c>
      <c r="U1505" s="43" t="s">
        <v>182</v>
      </c>
    </row>
    <row r="1506" spans="1:21" x14ac:dyDescent="0.3">
      <c r="A1506" s="41">
        <v>7405050003</v>
      </c>
      <c r="B1506" s="43" t="s">
        <v>688</v>
      </c>
      <c r="C1506" s="50">
        <f>Datos!$L$356*D1506</f>
        <v>80387105.882486001</v>
      </c>
      <c r="D1506" s="17">
        <f>Datos!$L$245*Datos!$L$370</f>
        <v>153365.99916734194</v>
      </c>
      <c r="E1506" s="43" t="s">
        <v>556</v>
      </c>
      <c r="F1506" s="43" t="s">
        <v>557</v>
      </c>
      <c r="G1506" s="43" t="s">
        <v>567</v>
      </c>
      <c r="H1506" s="43" t="s">
        <v>568</v>
      </c>
      <c r="I1506" s="43" t="s">
        <v>560</v>
      </c>
      <c r="J1506" s="41" t="s">
        <v>797</v>
      </c>
      <c r="K1506" s="43">
        <v>700056</v>
      </c>
      <c r="L1506" s="43">
        <v>5</v>
      </c>
      <c r="M1506" s="43" t="s">
        <v>695</v>
      </c>
      <c r="N1506" s="51"/>
      <c r="O1506" s="51"/>
      <c r="P1506" s="43" t="str">
        <f>VLOOKUP(K1506,Maestro!J:K,2,0)</f>
        <v>Cementos</v>
      </c>
      <c r="Q1506" s="43" t="str">
        <f>VLOOKUP(P1506,Maestro!E:F,2,0)</f>
        <v>CEMENTOS</v>
      </c>
      <c r="R1506" s="43">
        <v>21</v>
      </c>
      <c r="S1506" t="str">
        <f t="shared" si="45"/>
        <v>7405050003ENERGIACEMENTOS</v>
      </c>
      <c r="T1506" t="str">
        <f>IFERROR(VLOOKUP(S1506,Maestro!$A:$H,8,0),"Producción")</f>
        <v>Energía</v>
      </c>
      <c r="U1506" s="43" t="s">
        <v>182</v>
      </c>
    </row>
    <row r="1507" spans="1:21" x14ac:dyDescent="0.3">
      <c r="A1507" s="41">
        <v>7405050003</v>
      </c>
      <c r="B1507" s="43" t="s">
        <v>688</v>
      </c>
      <c r="C1507" s="50">
        <f>Datos!$M$356*D1507</f>
        <v>79547105.423219934</v>
      </c>
      <c r="D1507" s="17">
        <f>Datos!$M$245*Datos!$M$370</f>
        <v>151560.66275344091</v>
      </c>
      <c r="E1507" s="43" t="s">
        <v>556</v>
      </c>
      <c r="F1507" s="43" t="s">
        <v>557</v>
      </c>
      <c r="G1507" s="43" t="s">
        <v>567</v>
      </c>
      <c r="H1507" s="43" t="s">
        <v>568</v>
      </c>
      <c r="I1507" s="43" t="s">
        <v>560</v>
      </c>
      <c r="J1507" s="41" t="s">
        <v>797</v>
      </c>
      <c r="K1507" s="43">
        <v>700056</v>
      </c>
      <c r="L1507" s="43">
        <v>6</v>
      </c>
      <c r="M1507" s="43" t="s">
        <v>695</v>
      </c>
      <c r="N1507" s="51"/>
      <c r="O1507" s="51"/>
      <c r="P1507" s="43" t="str">
        <f>VLOOKUP(K1507,Maestro!J:K,2,0)</f>
        <v>Cementos</v>
      </c>
      <c r="Q1507" s="43" t="str">
        <f>VLOOKUP(P1507,Maestro!E:F,2,0)</f>
        <v>CEMENTOS</v>
      </c>
      <c r="R1507" s="43">
        <v>21</v>
      </c>
      <c r="S1507" t="str">
        <f t="shared" si="45"/>
        <v>7405050003ENERGIACEMENTOS</v>
      </c>
      <c r="T1507" t="str">
        <f>IFERROR(VLOOKUP(S1507,Maestro!$A:$H,8,0),"Producción")</f>
        <v>Energía</v>
      </c>
      <c r="U1507" s="43" t="s">
        <v>182</v>
      </c>
    </row>
    <row r="1508" spans="1:21" x14ac:dyDescent="0.3">
      <c r="A1508" s="41">
        <v>7405050003</v>
      </c>
      <c r="B1508" s="43" t="s">
        <v>688</v>
      </c>
      <c r="C1508" s="50">
        <f>Datos!$N$356*D1508</f>
        <v>93215789.648440942</v>
      </c>
      <c r="D1508" s="17">
        <f>Datos!$N$245*Datos!$N$370</f>
        <v>177366.08319676033</v>
      </c>
      <c r="E1508" s="43" t="s">
        <v>556</v>
      </c>
      <c r="F1508" s="43" t="s">
        <v>557</v>
      </c>
      <c r="G1508" s="43" t="s">
        <v>567</v>
      </c>
      <c r="H1508" s="43" t="s">
        <v>568</v>
      </c>
      <c r="I1508" s="43" t="s">
        <v>560</v>
      </c>
      <c r="J1508" s="41" t="s">
        <v>797</v>
      </c>
      <c r="K1508" s="43">
        <v>700056</v>
      </c>
      <c r="L1508" s="43">
        <v>7</v>
      </c>
      <c r="M1508" s="43" t="s">
        <v>695</v>
      </c>
      <c r="N1508" s="51"/>
      <c r="O1508" s="51"/>
      <c r="P1508" s="43" t="str">
        <f>VLOOKUP(K1508,Maestro!J:K,2,0)</f>
        <v>Cementos</v>
      </c>
      <c r="Q1508" s="43" t="str">
        <f>VLOOKUP(P1508,Maestro!E:F,2,0)</f>
        <v>CEMENTOS</v>
      </c>
      <c r="R1508" s="43">
        <v>21</v>
      </c>
      <c r="S1508" t="str">
        <f t="shared" si="45"/>
        <v>7405050003ENERGIACEMENTOS</v>
      </c>
      <c r="T1508" t="str">
        <f>IFERROR(VLOOKUP(S1508,Maestro!$A:$H,8,0),"Producción")</f>
        <v>Energía</v>
      </c>
      <c r="U1508" s="43" t="s">
        <v>182</v>
      </c>
    </row>
    <row r="1509" spans="1:21" x14ac:dyDescent="0.3">
      <c r="A1509" s="41">
        <v>7405050003</v>
      </c>
      <c r="B1509" s="43" t="s">
        <v>688</v>
      </c>
      <c r="C1509" s="50">
        <f>Datos!$O$356*D1509</f>
        <v>85339615.646246165</v>
      </c>
      <c r="D1509" s="17">
        <f>Datos!$O$245*Datos!$O$370</f>
        <v>162162.45542793785</v>
      </c>
      <c r="E1509" s="43" t="s">
        <v>556</v>
      </c>
      <c r="F1509" s="43" t="s">
        <v>557</v>
      </c>
      <c r="G1509" s="43" t="s">
        <v>567</v>
      </c>
      <c r="H1509" s="43" t="s">
        <v>568</v>
      </c>
      <c r="I1509" s="43" t="s">
        <v>560</v>
      </c>
      <c r="J1509" s="41" t="s">
        <v>797</v>
      </c>
      <c r="K1509" s="43">
        <v>700056</v>
      </c>
      <c r="L1509" s="43">
        <v>8</v>
      </c>
      <c r="M1509" s="43" t="s">
        <v>695</v>
      </c>
      <c r="N1509" s="51"/>
      <c r="O1509" s="51"/>
      <c r="P1509" s="43" t="str">
        <f>VLOOKUP(K1509,Maestro!J:K,2,0)</f>
        <v>Cementos</v>
      </c>
      <c r="Q1509" s="43" t="str">
        <f>VLOOKUP(P1509,Maestro!E:F,2,0)</f>
        <v>CEMENTOS</v>
      </c>
      <c r="R1509" s="43">
        <v>21</v>
      </c>
      <c r="S1509" t="str">
        <f t="shared" si="45"/>
        <v>7405050003ENERGIACEMENTOS</v>
      </c>
      <c r="T1509" t="str">
        <f>IFERROR(VLOOKUP(S1509,Maestro!$A:$H,8,0),"Producción")</f>
        <v>Energía</v>
      </c>
      <c r="U1509" s="43" t="s">
        <v>182</v>
      </c>
    </row>
    <row r="1510" spans="1:21" x14ac:dyDescent="0.3">
      <c r="A1510" s="41">
        <v>7405050003</v>
      </c>
      <c r="B1510" s="43" t="s">
        <v>688</v>
      </c>
      <c r="C1510" s="50">
        <f>Datos!$P$356*D1510</f>
        <v>90576320.959048524</v>
      </c>
      <c r="D1510" s="17">
        <f>Datos!$P$245*Datos!$P$370</f>
        <v>171882.79257964232</v>
      </c>
      <c r="E1510" s="43" t="s">
        <v>556</v>
      </c>
      <c r="F1510" s="43" t="s">
        <v>557</v>
      </c>
      <c r="G1510" s="43" t="s">
        <v>567</v>
      </c>
      <c r="H1510" s="43" t="s">
        <v>568</v>
      </c>
      <c r="I1510" s="43" t="s">
        <v>560</v>
      </c>
      <c r="J1510" s="41" t="s">
        <v>797</v>
      </c>
      <c r="K1510" s="43">
        <v>700056</v>
      </c>
      <c r="L1510" s="43">
        <v>9</v>
      </c>
      <c r="M1510" s="43" t="s">
        <v>695</v>
      </c>
      <c r="N1510" s="51"/>
      <c r="O1510" s="51"/>
      <c r="P1510" s="43" t="str">
        <f>VLOOKUP(K1510,Maestro!J:K,2,0)</f>
        <v>Cementos</v>
      </c>
      <c r="Q1510" s="43" t="str">
        <f>VLOOKUP(P1510,Maestro!E:F,2,0)</f>
        <v>CEMENTOS</v>
      </c>
      <c r="R1510" s="43">
        <v>21</v>
      </c>
      <c r="S1510" t="str">
        <f t="shared" si="45"/>
        <v>7405050003ENERGIACEMENTOS</v>
      </c>
      <c r="T1510" t="str">
        <f>IFERROR(VLOOKUP(S1510,Maestro!$A:$H,8,0),"Producción")</f>
        <v>Energía</v>
      </c>
      <c r="U1510" s="43" t="s">
        <v>182</v>
      </c>
    </row>
    <row r="1511" spans="1:21" x14ac:dyDescent="0.3">
      <c r="A1511" s="41">
        <v>7405050003</v>
      </c>
      <c r="B1511" s="43" t="s">
        <v>688</v>
      </c>
      <c r="C1511" s="50">
        <f>Datos!$Q$356*D1511</f>
        <v>92114775.620818943</v>
      </c>
      <c r="D1511" s="17">
        <f>Datos!$Q$245*Datos!$Q$370</f>
        <v>174568.01661391329</v>
      </c>
      <c r="E1511" s="43" t="s">
        <v>556</v>
      </c>
      <c r="F1511" s="43" t="s">
        <v>557</v>
      </c>
      <c r="G1511" s="43" t="s">
        <v>567</v>
      </c>
      <c r="H1511" s="43" t="s">
        <v>568</v>
      </c>
      <c r="I1511" s="43" t="s">
        <v>560</v>
      </c>
      <c r="J1511" s="41" t="s">
        <v>797</v>
      </c>
      <c r="K1511" s="43">
        <v>700056</v>
      </c>
      <c r="L1511" s="43">
        <v>10</v>
      </c>
      <c r="M1511" s="43" t="s">
        <v>695</v>
      </c>
      <c r="N1511" s="51"/>
      <c r="O1511" s="51"/>
      <c r="P1511" s="43" t="str">
        <f>VLOOKUP(K1511,Maestro!J:K,2,0)</f>
        <v>Cementos</v>
      </c>
      <c r="Q1511" s="43" t="str">
        <f>VLOOKUP(P1511,Maestro!E:F,2,0)</f>
        <v>CEMENTOS</v>
      </c>
      <c r="R1511" s="43">
        <v>21</v>
      </c>
      <c r="S1511" t="str">
        <f t="shared" si="45"/>
        <v>7405050003ENERGIACEMENTOS</v>
      </c>
      <c r="T1511" t="str">
        <f>IFERROR(VLOOKUP(S1511,Maestro!$A:$H,8,0),"Producción")</f>
        <v>Energía</v>
      </c>
      <c r="U1511" s="43" t="s">
        <v>182</v>
      </c>
    </row>
    <row r="1512" spans="1:21" x14ac:dyDescent="0.3">
      <c r="A1512" s="41">
        <v>7405050003</v>
      </c>
      <c r="B1512" s="43" t="s">
        <v>688</v>
      </c>
      <c r="C1512" s="50">
        <f>Datos!$R$356*D1512</f>
        <v>85645872.169860631</v>
      </c>
      <c r="D1512" s="17">
        <f>Datos!$R$245*Datos!$R$370</f>
        <v>162091.04764651277</v>
      </c>
      <c r="E1512" s="43" t="s">
        <v>556</v>
      </c>
      <c r="F1512" s="43" t="s">
        <v>557</v>
      </c>
      <c r="G1512" s="43" t="s">
        <v>567</v>
      </c>
      <c r="H1512" s="43" t="s">
        <v>568</v>
      </c>
      <c r="I1512" s="43" t="s">
        <v>560</v>
      </c>
      <c r="J1512" s="41" t="s">
        <v>797</v>
      </c>
      <c r="K1512" s="43">
        <v>700056</v>
      </c>
      <c r="L1512" s="43">
        <v>11</v>
      </c>
      <c r="M1512" s="43" t="s">
        <v>695</v>
      </c>
      <c r="N1512" s="51"/>
      <c r="O1512" s="51"/>
      <c r="P1512" s="43" t="str">
        <f>VLOOKUP(K1512,Maestro!J:K,2,0)</f>
        <v>Cementos</v>
      </c>
      <c r="Q1512" s="43" t="str">
        <f>VLOOKUP(P1512,Maestro!E:F,2,0)</f>
        <v>CEMENTOS</v>
      </c>
      <c r="R1512" s="43">
        <v>21</v>
      </c>
      <c r="S1512" t="str">
        <f t="shared" si="45"/>
        <v>7405050003ENERGIACEMENTOS</v>
      </c>
      <c r="T1512" t="str">
        <f>IFERROR(VLOOKUP(S1512,Maestro!$A:$H,8,0),"Producción")</f>
        <v>Energía</v>
      </c>
      <c r="U1512" s="43" t="s">
        <v>182</v>
      </c>
    </row>
    <row r="1513" spans="1:21" x14ac:dyDescent="0.3">
      <c r="A1513" s="41">
        <v>7405050003</v>
      </c>
      <c r="B1513" s="43" t="s">
        <v>688</v>
      </c>
      <c r="C1513" s="50">
        <f>Datos!$S$356*D1513</f>
        <v>86570734.436244965</v>
      </c>
      <c r="D1513" s="17">
        <f>Datos!$S$245*Datos!$S$370</f>
        <v>163621.53713682317</v>
      </c>
      <c r="E1513" s="43" t="s">
        <v>556</v>
      </c>
      <c r="F1513" s="43" t="s">
        <v>557</v>
      </c>
      <c r="G1513" s="43" t="s">
        <v>567</v>
      </c>
      <c r="H1513" s="43" t="s">
        <v>568</v>
      </c>
      <c r="I1513" s="43" t="s">
        <v>560</v>
      </c>
      <c r="J1513" s="41" t="s">
        <v>797</v>
      </c>
      <c r="K1513" s="43">
        <v>700056</v>
      </c>
      <c r="L1513" s="43">
        <v>12</v>
      </c>
      <c r="M1513" s="43" t="s">
        <v>695</v>
      </c>
      <c r="N1513" s="51"/>
      <c r="O1513" s="51"/>
      <c r="P1513" s="43" t="str">
        <f>VLOOKUP(K1513,Maestro!J:K,2,0)</f>
        <v>Cementos</v>
      </c>
      <c r="Q1513" s="43" t="str">
        <f>VLOOKUP(P1513,Maestro!E:F,2,0)</f>
        <v>CEMENTOS</v>
      </c>
      <c r="R1513" s="43">
        <v>21</v>
      </c>
      <c r="S1513" t="str">
        <f t="shared" si="45"/>
        <v>7405050003ENERGIACEMENTOS</v>
      </c>
      <c r="T1513" t="str">
        <f>IFERROR(VLOOKUP(S1513,Maestro!$A:$H,8,0),"Producción")</f>
        <v>Energía</v>
      </c>
      <c r="U1513" s="43" t="s">
        <v>182</v>
      </c>
    </row>
    <row r="1514" spans="1:21" x14ac:dyDescent="0.3">
      <c r="A1514" s="43">
        <v>7999999995</v>
      </c>
      <c r="B1514" s="43" t="s">
        <v>566</v>
      </c>
      <c r="C1514" s="50"/>
      <c r="D1514" s="56">
        <f>-Datos!$H$245</f>
        <v>-98751.249313887325</v>
      </c>
      <c r="E1514" s="43" t="s">
        <v>581</v>
      </c>
      <c r="F1514" s="43" t="s">
        <v>557</v>
      </c>
      <c r="G1514" s="43" t="s">
        <v>585</v>
      </c>
      <c r="H1514" s="43" t="s">
        <v>586</v>
      </c>
      <c r="I1514" s="43" t="s">
        <v>560</v>
      </c>
      <c r="J1514" s="43" t="s">
        <v>814</v>
      </c>
      <c r="K1514" s="43">
        <v>700056</v>
      </c>
      <c r="L1514" s="43">
        <v>1</v>
      </c>
      <c r="M1514" s="43" t="s">
        <v>695</v>
      </c>
      <c r="N1514" s="51"/>
      <c r="O1514" s="51"/>
      <c r="P1514" s="43" t="str">
        <f>VLOOKUP(K1514,Maestro!J:K,2,0)</f>
        <v>Cementos</v>
      </c>
      <c r="Q1514" s="43" t="str">
        <f>VLOOKUP(P1514,Maestro!E:F,2,0)</f>
        <v>CEMENTOS</v>
      </c>
      <c r="R1514" s="43">
        <f>VLOOKUP(P1514,ORD!$A:$C,3,0)</f>
        <v>21</v>
      </c>
      <c r="S1514" t="str">
        <f t="shared" si="45"/>
        <v>7999999995PRODUCCIONCEMENTOS</v>
      </c>
      <c r="T1514" t="str">
        <f>IFERROR(VLOOKUP(S1514,Maestro!$A:$H,8,0),"Producción")</f>
        <v>Producción</v>
      </c>
      <c r="U1514" s="43" t="s">
        <v>182</v>
      </c>
    </row>
    <row r="1515" spans="1:21" x14ac:dyDescent="0.3">
      <c r="A1515" s="43">
        <v>7999999995</v>
      </c>
      <c r="B1515" s="43" t="s">
        <v>566</v>
      </c>
      <c r="C1515" s="50"/>
      <c r="D1515" s="56">
        <f>-Datos!$I$245</f>
        <v>-105650.08581010897</v>
      </c>
      <c r="E1515" s="43" t="s">
        <v>581</v>
      </c>
      <c r="F1515" s="43" t="s">
        <v>557</v>
      </c>
      <c r="G1515" s="43" t="s">
        <v>585</v>
      </c>
      <c r="H1515" s="43" t="s">
        <v>586</v>
      </c>
      <c r="I1515" s="43" t="s">
        <v>560</v>
      </c>
      <c r="J1515" s="43" t="s">
        <v>814</v>
      </c>
      <c r="K1515" s="43">
        <v>700056</v>
      </c>
      <c r="L1515" s="43">
        <v>1</v>
      </c>
      <c r="M1515" s="43" t="s">
        <v>695</v>
      </c>
      <c r="N1515" s="51"/>
      <c r="O1515" s="51"/>
      <c r="P1515" s="43" t="str">
        <f>VLOOKUP(K1515,Maestro!J:K,2,0)</f>
        <v>Cementos</v>
      </c>
      <c r="Q1515" s="43" t="str">
        <f>VLOOKUP(P1515,Maestro!E:F,2,0)</f>
        <v>CEMENTOS</v>
      </c>
      <c r="R1515" s="43">
        <f>VLOOKUP(P1515,ORD!$A:$C,3,0)</f>
        <v>21</v>
      </c>
      <c r="S1515" t="str">
        <f t="shared" ref="S1515:S1525" si="46">A1515&amp;J1515&amp;Q1515</f>
        <v>7999999995PRODUCCIONCEMENTOS</v>
      </c>
      <c r="T1515" t="str">
        <f>IFERROR(VLOOKUP(S1515,Maestro!$A:$H,8,0),"Producción")</f>
        <v>Producción</v>
      </c>
      <c r="U1515" s="43" t="s">
        <v>182</v>
      </c>
    </row>
    <row r="1516" spans="1:21" x14ac:dyDescent="0.3">
      <c r="A1516" s="43">
        <v>7999999995</v>
      </c>
      <c r="B1516" s="43" t="s">
        <v>566</v>
      </c>
      <c r="C1516" s="50"/>
      <c r="D1516" s="56">
        <f>-Datos!$J$245</f>
        <v>-112288.11354642251</v>
      </c>
      <c r="E1516" s="43" t="s">
        <v>581</v>
      </c>
      <c r="F1516" s="43" t="s">
        <v>557</v>
      </c>
      <c r="G1516" s="43" t="s">
        <v>585</v>
      </c>
      <c r="H1516" s="43" t="s">
        <v>586</v>
      </c>
      <c r="I1516" s="43" t="s">
        <v>560</v>
      </c>
      <c r="J1516" s="43" t="s">
        <v>814</v>
      </c>
      <c r="K1516" s="43">
        <v>700056</v>
      </c>
      <c r="L1516" s="43">
        <v>1</v>
      </c>
      <c r="M1516" s="43" t="s">
        <v>695</v>
      </c>
      <c r="N1516" s="51"/>
      <c r="O1516" s="51"/>
      <c r="P1516" s="43" t="str">
        <f>VLOOKUP(K1516,Maestro!J:K,2,0)</f>
        <v>Cementos</v>
      </c>
      <c r="Q1516" s="43" t="str">
        <f>VLOOKUP(P1516,Maestro!E:F,2,0)</f>
        <v>CEMENTOS</v>
      </c>
      <c r="R1516" s="43">
        <f>VLOOKUP(P1516,ORD!$A:$C,3,0)</f>
        <v>21</v>
      </c>
      <c r="S1516" t="str">
        <f t="shared" si="46"/>
        <v>7999999995PRODUCCIONCEMENTOS</v>
      </c>
      <c r="T1516" t="str">
        <f>IFERROR(VLOOKUP(S1516,Maestro!$A:$H,8,0),"Producción")</f>
        <v>Producción</v>
      </c>
      <c r="U1516" s="43" t="s">
        <v>182</v>
      </c>
    </row>
    <row r="1517" spans="1:21" x14ac:dyDescent="0.3">
      <c r="A1517" s="43">
        <v>7999999995</v>
      </c>
      <c r="B1517" s="43" t="s">
        <v>566</v>
      </c>
      <c r="C1517" s="50"/>
      <c r="D1517" s="56">
        <f>-Datos!$K$245</f>
        <v>-105564.82164799968</v>
      </c>
      <c r="E1517" s="43" t="s">
        <v>581</v>
      </c>
      <c r="F1517" s="43" t="s">
        <v>557</v>
      </c>
      <c r="G1517" s="43" t="s">
        <v>585</v>
      </c>
      <c r="H1517" s="43" t="s">
        <v>586</v>
      </c>
      <c r="I1517" s="43" t="s">
        <v>560</v>
      </c>
      <c r="J1517" s="43" t="s">
        <v>814</v>
      </c>
      <c r="K1517" s="43">
        <v>700056</v>
      </c>
      <c r="L1517" s="43">
        <v>1</v>
      </c>
      <c r="M1517" s="43" t="s">
        <v>695</v>
      </c>
      <c r="N1517" s="51"/>
      <c r="O1517" s="51"/>
      <c r="P1517" s="43" t="str">
        <f>VLOOKUP(K1517,Maestro!J:K,2,0)</f>
        <v>Cementos</v>
      </c>
      <c r="Q1517" s="43" t="str">
        <f>VLOOKUP(P1517,Maestro!E:F,2,0)</f>
        <v>CEMENTOS</v>
      </c>
      <c r="R1517" s="43">
        <f>VLOOKUP(P1517,ORD!$A:$C,3,0)</f>
        <v>21</v>
      </c>
      <c r="S1517" t="str">
        <f t="shared" si="46"/>
        <v>7999999995PRODUCCIONCEMENTOS</v>
      </c>
      <c r="T1517" t="str">
        <f>IFERROR(VLOOKUP(S1517,Maestro!$A:$H,8,0),"Producción")</f>
        <v>Producción</v>
      </c>
      <c r="U1517" s="43" t="s">
        <v>182</v>
      </c>
    </row>
    <row r="1518" spans="1:21" x14ac:dyDescent="0.3">
      <c r="A1518" s="43">
        <v>7999999995</v>
      </c>
      <c r="B1518" s="43" t="s">
        <v>566</v>
      </c>
      <c r="C1518" s="50"/>
      <c r="D1518" s="56">
        <f>-Datos!$L$245</f>
        <v>-102243.99944489462</v>
      </c>
      <c r="E1518" s="43" t="s">
        <v>581</v>
      </c>
      <c r="F1518" s="43" t="s">
        <v>557</v>
      </c>
      <c r="G1518" s="43" t="s">
        <v>585</v>
      </c>
      <c r="H1518" s="43" t="s">
        <v>586</v>
      </c>
      <c r="I1518" s="43" t="s">
        <v>560</v>
      </c>
      <c r="J1518" s="43" t="s">
        <v>814</v>
      </c>
      <c r="K1518" s="43">
        <v>700056</v>
      </c>
      <c r="L1518" s="43">
        <v>1</v>
      </c>
      <c r="M1518" s="43" t="s">
        <v>695</v>
      </c>
      <c r="N1518" s="51"/>
      <c r="O1518" s="51"/>
      <c r="P1518" s="43" t="str">
        <f>VLOOKUP(K1518,Maestro!J:K,2,0)</f>
        <v>Cementos</v>
      </c>
      <c r="Q1518" s="43" t="str">
        <f>VLOOKUP(P1518,Maestro!E:F,2,0)</f>
        <v>CEMENTOS</v>
      </c>
      <c r="R1518" s="43">
        <f>VLOOKUP(P1518,ORD!$A:$C,3,0)</f>
        <v>21</v>
      </c>
      <c r="S1518" t="str">
        <f t="shared" si="46"/>
        <v>7999999995PRODUCCIONCEMENTOS</v>
      </c>
      <c r="T1518" t="str">
        <f>IFERROR(VLOOKUP(S1518,Maestro!$A:$H,8,0),"Producción")</f>
        <v>Producción</v>
      </c>
      <c r="U1518" s="43" t="s">
        <v>182</v>
      </c>
    </row>
    <row r="1519" spans="1:21" x14ac:dyDescent="0.3">
      <c r="A1519" s="43">
        <v>7999999995</v>
      </c>
      <c r="B1519" s="43" t="s">
        <v>566</v>
      </c>
      <c r="C1519" s="50"/>
      <c r="D1519" s="56">
        <f>-Datos!$M$245</f>
        <v>-101040.44183562727</v>
      </c>
      <c r="E1519" s="43" t="s">
        <v>581</v>
      </c>
      <c r="F1519" s="43" t="s">
        <v>557</v>
      </c>
      <c r="G1519" s="43" t="s">
        <v>585</v>
      </c>
      <c r="H1519" s="43" t="s">
        <v>586</v>
      </c>
      <c r="I1519" s="43" t="s">
        <v>560</v>
      </c>
      <c r="J1519" s="43" t="s">
        <v>814</v>
      </c>
      <c r="K1519" s="43">
        <v>700056</v>
      </c>
      <c r="L1519" s="43">
        <v>1</v>
      </c>
      <c r="M1519" s="43" t="s">
        <v>695</v>
      </c>
      <c r="N1519" s="51"/>
      <c r="O1519" s="51"/>
      <c r="P1519" s="43" t="str">
        <f>VLOOKUP(K1519,Maestro!J:K,2,0)</f>
        <v>Cementos</v>
      </c>
      <c r="Q1519" s="43" t="str">
        <f>VLOOKUP(P1519,Maestro!E:F,2,0)</f>
        <v>CEMENTOS</v>
      </c>
      <c r="R1519" s="43">
        <f>VLOOKUP(P1519,ORD!$A:$C,3,0)</f>
        <v>21</v>
      </c>
      <c r="S1519" t="str">
        <f t="shared" si="46"/>
        <v>7999999995PRODUCCIONCEMENTOS</v>
      </c>
      <c r="T1519" t="str">
        <f>IFERROR(VLOOKUP(S1519,Maestro!$A:$H,8,0),"Producción")</f>
        <v>Producción</v>
      </c>
      <c r="U1519" s="43" t="s">
        <v>182</v>
      </c>
    </row>
    <row r="1520" spans="1:21" x14ac:dyDescent="0.3">
      <c r="A1520" s="43">
        <v>7999999995</v>
      </c>
      <c r="B1520" s="43" t="s">
        <v>566</v>
      </c>
      <c r="C1520" s="50"/>
      <c r="D1520" s="56">
        <f>-Datos!$N$245</f>
        <v>-118244.05546450688</v>
      </c>
      <c r="E1520" s="43" t="s">
        <v>581</v>
      </c>
      <c r="F1520" s="43" t="s">
        <v>557</v>
      </c>
      <c r="G1520" s="43" t="s">
        <v>585</v>
      </c>
      <c r="H1520" s="43" t="s">
        <v>586</v>
      </c>
      <c r="I1520" s="43" t="s">
        <v>560</v>
      </c>
      <c r="J1520" s="43" t="s">
        <v>814</v>
      </c>
      <c r="K1520" s="43">
        <v>700056</v>
      </c>
      <c r="L1520" s="43">
        <v>1</v>
      </c>
      <c r="M1520" s="43" t="s">
        <v>695</v>
      </c>
      <c r="N1520" s="51"/>
      <c r="O1520" s="51"/>
      <c r="P1520" s="43" t="str">
        <f>VLOOKUP(K1520,Maestro!J:K,2,0)</f>
        <v>Cementos</v>
      </c>
      <c r="Q1520" s="43" t="str">
        <f>VLOOKUP(P1520,Maestro!E:F,2,0)</f>
        <v>CEMENTOS</v>
      </c>
      <c r="R1520" s="43">
        <f>VLOOKUP(P1520,ORD!$A:$C,3,0)</f>
        <v>21</v>
      </c>
      <c r="S1520" t="str">
        <f t="shared" si="46"/>
        <v>7999999995PRODUCCIONCEMENTOS</v>
      </c>
      <c r="T1520" t="str">
        <f>IFERROR(VLOOKUP(S1520,Maestro!$A:$H,8,0),"Producción")</f>
        <v>Producción</v>
      </c>
      <c r="U1520" s="43" t="s">
        <v>182</v>
      </c>
    </row>
    <row r="1521" spans="1:21" x14ac:dyDescent="0.3">
      <c r="A1521" s="43">
        <v>7999999995</v>
      </c>
      <c r="B1521" s="43" t="s">
        <v>566</v>
      </c>
      <c r="C1521" s="50"/>
      <c r="D1521" s="56">
        <f>-Datos!$O$245</f>
        <v>-108108.30361862524</v>
      </c>
      <c r="E1521" s="43" t="s">
        <v>581</v>
      </c>
      <c r="F1521" s="43" t="s">
        <v>557</v>
      </c>
      <c r="G1521" s="43" t="s">
        <v>585</v>
      </c>
      <c r="H1521" s="43" t="s">
        <v>586</v>
      </c>
      <c r="I1521" s="43" t="s">
        <v>560</v>
      </c>
      <c r="J1521" s="43" t="s">
        <v>814</v>
      </c>
      <c r="K1521" s="43">
        <v>700056</v>
      </c>
      <c r="L1521" s="43">
        <v>1</v>
      </c>
      <c r="M1521" s="43" t="s">
        <v>695</v>
      </c>
      <c r="N1521" s="51"/>
      <c r="O1521" s="51"/>
      <c r="P1521" s="43" t="str">
        <f>VLOOKUP(K1521,Maestro!J:K,2,0)</f>
        <v>Cementos</v>
      </c>
      <c r="Q1521" s="43" t="str">
        <f>VLOOKUP(P1521,Maestro!E:F,2,0)</f>
        <v>CEMENTOS</v>
      </c>
      <c r="R1521" s="43">
        <f>VLOOKUP(P1521,ORD!$A:$C,3,0)</f>
        <v>21</v>
      </c>
      <c r="S1521" t="str">
        <f t="shared" si="46"/>
        <v>7999999995PRODUCCIONCEMENTOS</v>
      </c>
      <c r="T1521" t="str">
        <f>IFERROR(VLOOKUP(S1521,Maestro!$A:$H,8,0),"Producción")</f>
        <v>Producción</v>
      </c>
      <c r="U1521" s="43" t="s">
        <v>182</v>
      </c>
    </row>
    <row r="1522" spans="1:21" x14ac:dyDescent="0.3">
      <c r="A1522" s="43">
        <v>7999999995</v>
      </c>
      <c r="B1522" s="43" t="s">
        <v>566</v>
      </c>
      <c r="C1522" s="50"/>
      <c r="D1522" s="56">
        <f>-Datos!$P$245</f>
        <v>-114588.52838642821</v>
      </c>
      <c r="E1522" s="43" t="s">
        <v>581</v>
      </c>
      <c r="F1522" s="43" t="s">
        <v>557</v>
      </c>
      <c r="G1522" s="43" t="s">
        <v>585</v>
      </c>
      <c r="H1522" s="43" t="s">
        <v>586</v>
      </c>
      <c r="I1522" s="43" t="s">
        <v>560</v>
      </c>
      <c r="J1522" s="43" t="s">
        <v>814</v>
      </c>
      <c r="K1522" s="43">
        <v>700056</v>
      </c>
      <c r="L1522" s="43">
        <v>1</v>
      </c>
      <c r="M1522" s="43" t="s">
        <v>695</v>
      </c>
      <c r="N1522" s="51"/>
      <c r="O1522" s="51"/>
      <c r="P1522" s="43" t="str">
        <f>VLOOKUP(K1522,Maestro!J:K,2,0)</f>
        <v>Cementos</v>
      </c>
      <c r="Q1522" s="43" t="str">
        <f>VLOOKUP(P1522,Maestro!E:F,2,0)</f>
        <v>CEMENTOS</v>
      </c>
      <c r="R1522" s="43">
        <f>VLOOKUP(P1522,ORD!$A:$C,3,0)</f>
        <v>21</v>
      </c>
      <c r="S1522" t="str">
        <f t="shared" si="46"/>
        <v>7999999995PRODUCCIONCEMENTOS</v>
      </c>
      <c r="T1522" t="str">
        <f>IFERROR(VLOOKUP(S1522,Maestro!$A:$H,8,0),"Producción")</f>
        <v>Producción</v>
      </c>
      <c r="U1522" s="43" t="s">
        <v>182</v>
      </c>
    </row>
    <row r="1523" spans="1:21" x14ac:dyDescent="0.3">
      <c r="A1523" s="43">
        <v>7999999995</v>
      </c>
      <c r="B1523" s="43" t="s">
        <v>566</v>
      </c>
      <c r="C1523" s="50"/>
      <c r="D1523" s="56">
        <f>-Datos!$Q$245</f>
        <v>-116378.67774260887</v>
      </c>
      <c r="E1523" s="43" t="s">
        <v>581</v>
      </c>
      <c r="F1523" s="43" t="s">
        <v>557</v>
      </c>
      <c r="G1523" s="43" t="s">
        <v>585</v>
      </c>
      <c r="H1523" s="43" t="s">
        <v>586</v>
      </c>
      <c r="I1523" s="43" t="s">
        <v>560</v>
      </c>
      <c r="J1523" s="43" t="s">
        <v>814</v>
      </c>
      <c r="K1523" s="43">
        <v>700056</v>
      </c>
      <c r="L1523" s="43">
        <v>1</v>
      </c>
      <c r="M1523" s="43" t="s">
        <v>695</v>
      </c>
      <c r="N1523" s="51"/>
      <c r="O1523" s="51"/>
      <c r="P1523" s="43" t="str">
        <f>VLOOKUP(K1523,Maestro!J:K,2,0)</f>
        <v>Cementos</v>
      </c>
      <c r="Q1523" s="43" t="str">
        <f>VLOOKUP(P1523,Maestro!E:F,2,0)</f>
        <v>CEMENTOS</v>
      </c>
      <c r="R1523" s="43">
        <f>VLOOKUP(P1523,ORD!$A:$C,3,0)</f>
        <v>21</v>
      </c>
      <c r="S1523" t="str">
        <f t="shared" si="46"/>
        <v>7999999995PRODUCCIONCEMENTOS</v>
      </c>
      <c r="T1523" t="str">
        <f>IFERROR(VLOOKUP(S1523,Maestro!$A:$H,8,0),"Producción")</f>
        <v>Producción</v>
      </c>
      <c r="U1523" s="43" t="s">
        <v>182</v>
      </c>
    </row>
    <row r="1524" spans="1:21" x14ac:dyDescent="0.3">
      <c r="A1524" s="43">
        <v>7999999995</v>
      </c>
      <c r="B1524" s="43" t="s">
        <v>566</v>
      </c>
      <c r="C1524" s="50"/>
      <c r="D1524" s="56">
        <f>-Datos!$R$245</f>
        <v>-108060.69843100851</v>
      </c>
      <c r="E1524" s="43" t="s">
        <v>581</v>
      </c>
      <c r="F1524" s="43" t="s">
        <v>557</v>
      </c>
      <c r="G1524" s="43" t="s">
        <v>585</v>
      </c>
      <c r="H1524" s="43" t="s">
        <v>586</v>
      </c>
      <c r="I1524" s="43" t="s">
        <v>560</v>
      </c>
      <c r="J1524" s="43" t="s">
        <v>814</v>
      </c>
      <c r="K1524" s="43">
        <v>700056</v>
      </c>
      <c r="L1524" s="43">
        <v>1</v>
      </c>
      <c r="M1524" s="43" t="s">
        <v>695</v>
      </c>
      <c r="N1524" s="51"/>
      <c r="O1524" s="51"/>
      <c r="P1524" s="43" t="str">
        <f>VLOOKUP(K1524,Maestro!J:K,2,0)</f>
        <v>Cementos</v>
      </c>
      <c r="Q1524" s="43" t="str">
        <f>VLOOKUP(P1524,Maestro!E:F,2,0)</f>
        <v>CEMENTOS</v>
      </c>
      <c r="R1524" s="43">
        <f>VLOOKUP(P1524,ORD!$A:$C,3,0)</f>
        <v>21</v>
      </c>
      <c r="S1524" t="str">
        <f t="shared" si="46"/>
        <v>7999999995PRODUCCIONCEMENTOS</v>
      </c>
      <c r="T1524" t="str">
        <f>IFERROR(VLOOKUP(S1524,Maestro!$A:$H,8,0),"Producción")</f>
        <v>Producción</v>
      </c>
      <c r="U1524" s="43" t="s">
        <v>182</v>
      </c>
    </row>
    <row r="1525" spans="1:21" x14ac:dyDescent="0.3">
      <c r="A1525" s="43">
        <v>7999999995</v>
      </c>
      <c r="B1525" s="43" t="s">
        <v>566</v>
      </c>
      <c r="C1525" s="50"/>
      <c r="D1525" s="56">
        <f>-Datos!$S$245</f>
        <v>-109081.02475788211</v>
      </c>
      <c r="E1525" s="43" t="s">
        <v>581</v>
      </c>
      <c r="F1525" s="43" t="s">
        <v>557</v>
      </c>
      <c r="G1525" s="43" t="s">
        <v>585</v>
      </c>
      <c r="H1525" s="43" t="s">
        <v>586</v>
      </c>
      <c r="I1525" s="43" t="s">
        <v>560</v>
      </c>
      <c r="J1525" s="43" t="s">
        <v>814</v>
      </c>
      <c r="K1525" s="43">
        <v>700056</v>
      </c>
      <c r="L1525" s="43">
        <v>1</v>
      </c>
      <c r="M1525" s="43" t="s">
        <v>695</v>
      </c>
      <c r="N1525" s="51"/>
      <c r="O1525" s="51"/>
      <c r="P1525" s="43" t="str">
        <f>VLOOKUP(K1525,Maestro!J:K,2,0)</f>
        <v>Cementos</v>
      </c>
      <c r="Q1525" s="43" t="str">
        <f>VLOOKUP(P1525,Maestro!E:F,2,0)</f>
        <v>CEMENTOS</v>
      </c>
      <c r="R1525" s="43">
        <f>VLOOKUP(P1525,ORD!$A:$C,3,0)</f>
        <v>21</v>
      </c>
      <c r="S1525" t="str">
        <f t="shared" si="46"/>
        <v>7999999995PRODUCCIONCEMENTOS</v>
      </c>
      <c r="T1525" t="str">
        <f>IFERROR(VLOOKUP(S1525,Maestro!$A:$H,8,0),"Producción")</f>
        <v>Producción</v>
      </c>
      <c r="U1525" s="43" t="s">
        <v>182</v>
      </c>
    </row>
  </sheetData>
  <autoFilter ref="A1:U1525" xr:uid="{E40431F3-47D8-4C20-A97B-C1CF78BD0EDA}"/>
  <pageMargins left="0.7" right="0.7" top="0.75" bottom="0.75" header="0.3" footer="0.3"/>
  <ignoredErrors>
    <ignoredError sqref="D459:D492" formula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DD1853-169A-4516-BE9F-B69744F558F6}">
  <dimension ref="A1:N125"/>
  <sheetViews>
    <sheetView workbookViewId="0">
      <selection activeCell="AH25" sqref="AH25"/>
    </sheetView>
  </sheetViews>
  <sheetFormatPr baseColWidth="10" defaultColWidth="11.44140625" defaultRowHeight="14.4" x14ac:dyDescent="0.3"/>
  <cols>
    <col min="1" max="1" width="11.6640625" style="40" bestFit="1" customWidth="1"/>
    <col min="2" max="2" width="24" style="40" bestFit="1" customWidth="1"/>
    <col min="3" max="3" width="25" style="40" bestFit="1" customWidth="1"/>
    <col min="4" max="4" width="12.44140625" style="40" bestFit="1" customWidth="1"/>
    <col min="5" max="5" width="16.109375" style="40" bestFit="1" customWidth="1"/>
    <col min="6" max="6" width="13.33203125" style="40" bestFit="1" customWidth="1"/>
    <col min="7" max="7" width="12.6640625" style="40" bestFit="1" customWidth="1"/>
    <col min="8" max="9" width="11.44140625" style="40"/>
    <col min="10" max="10" width="26.44140625" style="61" bestFit="1" customWidth="1"/>
    <col min="11" max="11" width="25" style="61" bestFit="1" customWidth="1"/>
    <col min="12" max="12" width="12.44140625" style="61" bestFit="1" customWidth="1"/>
    <col min="13" max="13" width="16.109375" style="61" bestFit="1" customWidth="1"/>
    <col min="14" max="14" width="13.33203125" style="61" bestFit="1" customWidth="1"/>
    <col min="15" max="16384" width="11.44140625" style="40"/>
  </cols>
  <sheetData>
    <row r="1" spans="1:14" x14ac:dyDescent="0.3">
      <c r="A1" s="37" t="s">
        <v>550</v>
      </c>
      <c r="B1" t="s">
        <v>429</v>
      </c>
      <c r="D1" s="60"/>
      <c r="J1" s="37" t="s">
        <v>436</v>
      </c>
      <c r="K1" t="s">
        <v>429</v>
      </c>
    </row>
    <row r="2" spans="1:14" x14ac:dyDescent="0.3">
      <c r="D2" s="62"/>
      <c r="G2" s="63"/>
      <c r="H2" s="62"/>
      <c r="I2" s="62"/>
      <c r="J2" s="37" t="s">
        <v>435</v>
      </c>
      <c r="K2" t="s">
        <v>429</v>
      </c>
    </row>
    <row r="3" spans="1:14" x14ac:dyDescent="0.3">
      <c r="A3" s="37" t="s">
        <v>436</v>
      </c>
      <c r="B3" s="37" t="s">
        <v>435</v>
      </c>
      <c r="C3" s="37" t="s">
        <v>52</v>
      </c>
      <c r="D3" t="s">
        <v>612</v>
      </c>
      <c r="E3" t="s">
        <v>613</v>
      </c>
      <c r="F3" t="s">
        <v>614</v>
      </c>
      <c r="J3" s="43"/>
      <c r="K3" s="43"/>
      <c r="L3" s="43"/>
      <c r="M3" s="43"/>
      <c r="N3" s="43"/>
    </row>
    <row r="4" spans="1:14" x14ac:dyDescent="0.3">
      <c r="A4">
        <v>1</v>
      </c>
      <c r="B4" t="s">
        <v>441</v>
      </c>
      <c r="C4" t="s">
        <v>3</v>
      </c>
      <c r="D4" s="17">
        <v>238400.87259702737</v>
      </c>
      <c r="E4" s="17">
        <v>2532567352.4138994</v>
      </c>
      <c r="F4" s="17">
        <v>10623.146319999998</v>
      </c>
      <c r="H4" s="64"/>
      <c r="J4" s="37" t="s">
        <v>555</v>
      </c>
      <c r="K4" s="37" t="s">
        <v>52</v>
      </c>
      <c r="L4" t="s">
        <v>612</v>
      </c>
      <c r="M4" t="s">
        <v>613</v>
      </c>
      <c r="N4" t="s">
        <v>614</v>
      </c>
    </row>
    <row r="5" spans="1:14" x14ac:dyDescent="0.3">
      <c r="A5"/>
      <c r="B5"/>
      <c r="C5" t="s">
        <v>2</v>
      </c>
      <c r="D5" s="17">
        <v>908193.80036962801</v>
      </c>
      <c r="E5" s="17">
        <v>12694852619.712898</v>
      </c>
      <c r="F5" s="17">
        <v>13978.131776</v>
      </c>
      <c r="G5" s="62"/>
      <c r="H5" s="64"/>
      <c r="J5" t="s">
        <v>182</v>
      </c>
      <c r="K5" t="s">
        <v>3</v>
      </c>
      <c r="L5" s="17">
        <v>238400.87259702737</v>
      </c>
      <c r="M5" s="17">
        <v>2532567352.4138994</v>
      </c>
      <c r="N5" s="17">
        <v>10623.146319999998</v>
      </c>
    </row>
    <row r="6" spans="1:14" x14ac:dyDescent="0.3">
      <c r="A6"/>
      <c r="B6"/>
      <c r="C6" t="s">
        <v>611</v>
      </c>
      <c r="D6" s="17">
        <v>-1146594.6729666553</v>
      </c>
      <c r="E6" s="17">
        <v>0</v>
      </c>
      <c r="F6" s="17">
        <v>0</v>
      </c>
      <c r="G6" s="62"/>
      <c r="J6"/>
      <c r="K6" t="s">
        <v>2</v>
      </c>
      <c r="L6" s="17">
        <v>1761940.119690018</v>
      </c>
      <c r="M6" s="17">
        <v>21111603809.218212</v>
      </c>
      <c r="N6" s="17">
        <v>11982.021167060106</v>
      </c>
    </row>
    <row r="7" spans="1:14" x14ac:dyDescent="0.3">
      <c r="A7"/>
      <c r="B7"/>
      <c r="C7" t="s">
        <v>520</v>
      </c>
      <c r="D7" s="17">
        <v>1146594.6729666553</v>
      </c>
      <c r="E7" s="17">
        <v>1035961976.2310181</v>
      </c>
      <c r="F7" s="17">
        <v>903.51193901033002</v>
      </c>
      <c r="G7" s="62"/>
      <c r="H7" s="64"/>
      <c r="J7"/>
      <c r="K7" t="s">
        <v>391</v>
      </c>
      <c r="L7" s="17">
        <v>347555.54604691261</v>
      </c>
      <c r="M7" s="17">
        <v>0</v>
      </c>
      <c r="N7" s="17">
        <v>0</v>
      </c>
    </row>
    <row r="8" spans="1:14" x14ac:dyDescent="0.3">
      <c r="A8"/>
      <c r="B8"/>
      <c r="C8" t="s">
        <v>51</v>
      </c>
      <c r="D8" s="17">
        <v>1146594.6729666553</v>
      </c>
      <c r="E8" s="17">
        <v>423280950.04525697</v>
      </c>
      <c r="F8" s="17">
        <v>369.16354141963348</v>
      </c>
      <c r="G8" s="62"/>
      <c r="J8"/>
      <c r="K8" t="s">
        <v>454</v>
      </c>
      <c r="L8" s="17">
        <v>101742.72959799769</v>
      </c>
      <c r="M8" s="17">
        <v>34210282307.30175</v>
      </c>
      <c r="N8" s="17">
        <v>336243.01650321571</v>
      </c>
    </row>
    <row r="9" spans="1:14" x14ac:dyDescent="0.3">
      <c r="A9"/>
      <c r="B9"/>
      <c r="C9" t="s">
        <v>267</v>
      </c>
      <c r="D9" s="17">
        <v>1456175.2346676523</v>
      </c>
      <c r="E9" s="17">
        <v>764701680.56258631</v>
      </c>
      <c r="F9" s="17">
        <v>525.14399528097783</v>
      </c>
      <c r="I9" s="65"/>
      <c r="J9"/>
      <c r="K9" t="s">
        <v>457</v>
      </c>
      <c r="L9" s="17">
        <v>95434.680362921819</v>
      </c>
      <c r="M9" s="17">
        <v>0</v>
      </c>
      <c r="N9" s="17">
        <v>0</v>
      </c>
    </row>
    <row r="10" spans="1:14" x14ac:dyDescent="0.3">
      <c r="A10"/>
      <c r="B10"/>
      <c r="C10" t="s">
        <v>485</v>
      </c>
      <c r="D10" s="17">
        <v>1146594.6729666553</v>
      </c>
      <c r="E10" s="17">
        <v>174766060.39705193</v>
      </c>
      <c r="F10" s="17">
        <v>152.42183180990097</v>
      </c>
      <c r="H10" s="60"/>
      <c r="I10" s="65"/>
      <c r="J10"/>
      <c r="K10" t="s">
        <v>182</v>
      </c>
      <c r="L10" s="17">
        <v>825956.50274254079</v>
      </c>
      <c r="M10" s="17">
        <v>0</v>
      </c>
      <c r="N10" s="17">
        <v>0</v>
      </c>
    </row>
    <row r="11" spans="1:14" x14ac:dyDescent="0.3">
      <c r="A11">
        <v>2</v>
      </c>
      <c r="B11" t="s">
        <v>471</v>
      </c>
      <c r="C11" t="s">
        <v>2</v>
      </c>
      <c r="D11" s="17">
        <v>602137.06125997496</v>
      </c>
      <c r="E11" s="17">
        <v>8416751189.5053148</v>
      </c>
      <c r="F11" s="17">
        <v>13978.131776</v>
      </c>
      <c r="H11" s="60"/>
      <c r="J11"/>
      <c r="K11" t="s">
        <v>459</v>
      </c>
      <c r="L11" s="17">
        <v>1336232.1742634156</v>
      </c>
      <c r="M11" s="17">
        <v>0</v>
      </c>
      <c r="N11" s="17">
        <v>0</v>
      </c>
    </row>
    <row r="12" spans="1:14" x14ac:dyDescent="0.3">
      <c r="A12"/>
      <c r="B12"/>
      <c r="C12" t="s">
        <v>611</v>
      </c>
      <c r="D12" s="17">
        <v>-602137.06125997496</v>
      </c>
      <c r="E12" s="17">
        <v>0</v>
      </c>
      <c r="F12" s="17">
        <v>0</v>
      </c>
      <c r="J12"/>
      <c r="K12" t="s">
        <v>54</v>
      </c>
      <c r="L12" s="17">
        <v>35775.540842953109</v>
      </c>
      <c r="M12" s="17">
        <v>10083725078.234013</v>
      </c>
      <c r="N12" s="17">
        <v>281860.87032197183</v>
      </c>
    </row>
    <row r="13" spans="1:14" x14ac:dyDescent="0.3">
      <c r="A13"/>
      <c r="B13"/>
      <c r="C13" t="s">
        <v>520</v>
      </c>
      <c r="D13" s="17">
        <v>602137.06125997496</v>
      </c>
      <c r="E13" s="17">
        <v>544038023.76898193</v>
      </c>
      <c r="F13" s="17">
        <v>903.51193901033014</v>
      </c>
      <c r="H13" s="65"/>
      <c r="J13"/>
      <c r="K13" t="s">
        <v>53</v>
      </c>
      <c r="L13" s="17">
        <v>1144170.1941176453</v>
      </c>
      <c r="M13" s="17">
        <v>0</v>
      </c>
      <c r="N13" s="17">
        <v>0</v>
      </c>
    </row>
    <row r="14" spans="1:14" x14ac:dyDescent="0.3">
      <c r="A14"/>
      <c r="B14"/>
      <c r="C14" t="s">
        <v>51</v>
      </c>
      <c r="D14" s="17">
        <v>602137.06125997496</v>
      </c>
      <c r="E14" s="17">
        <v>222287049.95474309</v>
      </c>
      <c r="F14" s="17">
        <v>369.16354141963336</v>
      </c>
      <c r="H14" s="66"/>
      <c r="J14"/>
      <c r="K14" t="s">
        <v>611</v>
      </c>
      <c r="L14" s="17">
        <v>-25558259.083611425</v>
      </c>
      <c r="M14" s="17">
        <v>0</v>
      </c>
      <c r="N14" s="17">
        <v>0</v>
      </c>
    </row>
    <row r="15" spans="1:14" x14ac:dyDescent="0.3">
      <c r="A15"/>
      <c r="B15"/>
      <c r="C15" t="s">
        <v>267</v>
      </c>
      <c r="D15" s="17">
        <v>764714.0678001683</v>
      </c>
      <c r="E15" s="17">
        <v>401661547.78258771</v>
      </c>
      <c r="F15" s="17">
        <v>525.24409409393547</v>
      </c>
      <c r="J15"/>
      <c r="K15" t="s">
        <v>57</v>
      </c>
      <c r="L15" s="17">
        <v>71664.583178252986</v>
      </c>
      <c r="M15" s="17">
        <v>16671008639.334284</v>
      </c>
      <c r="N15" s="17">
        <v>232625.48807223362</v>
      </c>
    </row>
    <row r="16" spans="1:14" x14ac:dyDescent="0.3">
      <c r="A16"/>
      <c r="B16"/>
      <c r="C16" t="s">
        <v>485</v>
      </c>
      <c r="D16" s="17">
        <v>602137.06125997496</v>
      </c>
      <c r="E16" s="17">
        <v>71405479.798774406</v>
      </c>
      <c r="F16" s="17">
        <v>118.5867544</v>
      </c>
      <c r="J16"/>
      <c r="K16" t="s">
        <v>469</v>
      </c>
      <c r="L16" s="17">
        <v>92101.88809115802</v>
      </c>
      <c r="M16" s="17">
        <v>0</v>
      </c>
      <c r="N16" s="17">
        <v>0</v>
      </c>
    </row>
    <row r="17" spans="1:14" x14ac:dyDescent="0.3">
      <c r="A17">
        <v>3</v>
      </c>
      <c r="B17" t="s">
        <v>446</v>
      </c>
      <c r="C17" t="s">
        <v>2</v>
      </c>
      <c r="D17" s="17">
        <v>251609.25806041522</v>
      </c>
      <c r="E17" s="17">
        <v>0</v>
      </c>
      <c r="F17" s="17">
        <v>0</v>
      </c>
      <c r="J17"/>
      <c r="K17" t="s">
        <v>413</v>
      </c>
      <c r="L17" s="17">
        <v>19242063.399555162</v>
      </c>
      <c r="M17" s="17">
        <v>19054949087.475101</v>
      </c>
      <c r="N17" s="17">
        <v>990.27576678266291</v>
      </c>
    </row>
    <row r="18" spans="1:14" x14ac:dyDescent="0.3">
      <c r="A18"/>
      <c r="B18"/>
      <c r="C18" t="s">
        <v>54</v>
      </c>
      <c r="D18" s="17">
        <v>35775.540842953109</v>
      </c>
      <c r="E18" s="17">
        <v>10083725078.234013</v>
      </c>
      <c r="F18" s="17">
        <v>281860.87032197183</v>
      </c>
      <c r="J18"/>
      <c r="K18" t="s">
        <v>465</v>
      </c>
      <c r="L18" s="17">
        <v>787665.77385136904</v>
      </c>
      <c r="M18" s="17">
        <v>0</v>
      </c>
      <c r="N18" s="17">
        <v>0</v>
      </c>
    </row>
    <row r="19" spans="1:14" x14ac:dyDescent="0.3">
      <c r="A19"/>
      <c r="B19"/>
      <c r="C19" t="s">
        <v>53</v>
      </c>
      <c r="D19" s="17">
        <v>1144170.1941176453</v>
      </c>
      <c r="E19" s="17">
        <v>0</v>
      </c>
      <c r="F19" s="17">
        <v>0</v>
      </c>
      <c r="G19" s="65"/>
      <c r="J19"/>
      <c r="K19" t="s">
        <v>461</v>
      </c>
      <c r="L19" s="17">
        <v>1364000</v>
      </c>
      <c r="M19" s="17">
        <v>768000000</v>
      </c>
      <c r="N19" s="17">
        <v>563.04985337243397</v>
      </c>
    </row>
    <row r="20" spans="1:14" x14ac:dyDescent="0.3">
      <c r="A20"/>
      <c r="B20"/>
      <c r="C20" t="s">
        <v>611</v>
      </c>
      <c r="D20" s="17">
        <v>-1376342.9684394465</v>
      </c>
      <c r="E20" s="17">
        <v>0</v>
      </c>
      <c r="F20" s="17">
        <v>0</v>
      </c>
      <c r="J20"/>
      <c r="K20" t="s">
        <v>491</v>
      </c>
      <c r="L20" s="17">
        <v>1376342.9684394465</v>
      </c>
      <c r="M20" s="17">
        <v>230000000</v>
      </c>
      <c r="N20" s="17">
        <v>167.10951069178878</v>
      </c>
    </row>
    <row r="21" spans="1:14" x14ac:dyDescent="0.3">
      <c r="A21"/>
      <c r="B21"/>
      <c r="C21" t="s">
        <v>491</v>
      </c>
      <c r="D21" s="17">
        <v>1376342.9684394465</v>
      </c>
      <c r="E21" s="17">
        <v>230000000</v>
      </c>
      <c r="F21" s="17">
        <v>167.10951069178878</v>
      </c>
      <c r="J21"/>
      <c r="K21" t="s">
        <v>497</v>
      </c>
      <c r="L21" s="17">
        <v>856559.08606629202</v>
      </c>
      <c r="M21" s="17">
        <v>0</v>
      </c>
      <c r="N21" s="17">
        <v>0</v>
      </c>
    </row>
    <row r="22" spans="1:14" x14ac:dyDescent="0.3">
      <c r="A22"/>
      <c r="B22"/>
      <c r="C22" t="s">
        <v>492</v>
      </c>
      <c r="D22" s="17">
        <v>1376342.9684394465</v>
      </c>
      <c r="E22" s="17">
        <v>164999999.99999997</v>
      </c>
      <c r="F22" s="17">
        <v>119.88290984410932</v>
      </c>
      <c r="J22"/>
      <c r="K22" t="s">
        <v>498</v>
      </c>
      <c r="L22" s="17">
        <v>856559.08606629202</v>
      </c>
      <c r="M22" s="17">
        <v>158000000</v>
      </c>
      <c r="N22" s="17">
        <v>184.45896210804054</v>
      </c>
    </row>
    <row r="23" spans="1:14" x14ac:dyDescent="0.3">
      <c r="A23"/>
      <c r="B23"/>
      <c r="C23" t="s">
        <v>493</v>
      </c>
      <c r="D23" s="17">
        <v>1376342.9684394465</v>
      </c>
      <c r="E23" s="17">
        <v>686387844.99999988</v>
      </c>
      <c r="F23" s="17">
        <v>498.70407357713628</v>
      </c>
      <c r="J23"/>
      <c r="K23" t="s">
        <v>502</v>
      </c>
      <c r="L23" s="17">
        <v>856559.08606629202</v>
      </c>
      <c r="M23" s="17">
        <v>1082101107</v>
      </c>
      <c r="N23" s="17">
        <v>1263.3116904631754</v>
      </c>
    </row>
    <row r="24" spans="1:14" x14ac:dyDescent="0.3">
      <c r="A24"/>
      <c r="B24"/>
      <c r="C24" t="s">
        <v>267</v>
      </c>
      <c r="D24" s="17">
        <v>20782778.823435642</v>
      </c>
      <c r="E24" s="17">
        <v>10913976546.072063</v>
      </c>
      <c r="F24" s="17">
        <v>525.14520020609314</v>
      </c>
      <c r="J24"/>
      <c r="K24" t="s">
        <v>503</v>
      </c>
      <c r="L24" s="17">
        <v>856559.08606629202</v>
      </c>
      <c r="M24" s="17">
        <v>3084131389.0000005</v>
      </c>
      <c r="N24" s="17">
        <v>3600.6055380998073</v>
      </c>
    </row>
    <row r="25" spans="1:14" x14ac:dyDescent="0.3">
      <c r="A25">
        <v>4</v>
      </c>
      <c r="B25" t="s">
        <v>453</v>
      </c>
      <c r="C25" t="s">
        <v>454</v>
      </c>
      <c r="D25" s="17">
        <v>101742.72959799769</v>
      </c>
      <c r="E25" s="17">
        <v>34210282307.30175</v>
      </c>
      <c r="F25" s="17">
        <v>336243.01650321571</v>
      </c>
      <c r="J25"/>
      <c r="K25" t="s">
        <v>32</v>
      </c>
      <c r="L25" s="17">
        <v>0</v>
      </c>
      <c r="M25" s="17">
        <v>0</v>
      </c>
      <c r="N25" s="17">
        <v>0</v>
      </c>
    </row>
    <row r="26" spans="1:14" x14ac:dyDescent="0.3">
      <c r="A26"/>
      <c r="B26"/>
      <c r="C26" t="s">
        <v>611</v>
      </c>
      <c r="D26" s="17">
        <v>-95434.680362921819</v>
      </c>
      <c r="E26" s="17">
        <v>0</v>
      </c>
      <c r="F26" s="17">
        <v>0</v>
      </c>
      <c r="J26"/>
      <c r="K26" t="s">
        <v>488</v>
      </c>
      <c r="L26" s="17">
        <v>33980.720383574648</v>
      </c>
      <c r="M26" s="17">
        <v>0</v>
      </c>
      <c r="N26" s="17">
        <v>0</v>
      </c>
    </row>
    <row r="27" spans="1:14" x14ac:dyDescent="0.3">
      <c r="A27"/>
      <c r="B27"/>
      <c r="C27" t="s">
        <v>496</v>
      </c>
      <c r="D27" s="17">
        <v>20348.545919599535</v>
      </c>
      <c r="E27" s="17">
        <v>177032349.50051594</v>
      </c>
      <c r="F27" s="17">
        <v>8699.9999999999982</v>
      </c>
      <c r="J27"/>
      <c r="K27" t="s">
        <v>492</v>
      </c>
      <c r="L27" s="17">
        <v>1376342.9684394465</v>
      </c>
      <c r="M27" s="17">
        <v>164999999.99999997</v>
      </c>
      <c r="N27" s="17">
        <v>119.88290984410932</v>
      </c>
    </row>
    <row r="28" spans="1:14" x14ac:dyDescent="0.3">
      <c r="A28"/>
      <c r="B28"/>
      <c r="C28" t="s">
        <v>494</v>
      </c>
      <c r="D28" s="17">
        <v>95434.680362921819</v>
      </c>
      <c r="E28" s="17">
        <v>361600000</v>
      </c>
      <c r="F28" s="17">
        <v>3788.9790024433137</v>
      </c>
      <c r="G28" s="62"/>
      <c r="J28"/>
      <c r="K28" t="s">
        <v>499</v>
      </c>
      <c r="L28" s="17">
        <v>856559.08606629202</v>
      </c>
      <c r="M28" s="17">
        <v>0</v>
      </c>
      <c r="N28" s="17">
        <v>0</v>
      </c>
    </row>
    <row r="29" spans="1:14" x14ac:dyDescent="0.3">
      <c r="A29"/>
      <c r="B29"/>
      <c r="C29" t="s">
        <v>123</v>
      </c>
      <c r="D29" s="17">
        <v>95434.680362921819</v>
      </c>
      <c r="E29" s="17">
        <v>425982625.20000011</v>
      </c>
      <c r="F29" s="17">
        <v>4463.6040439393819</v>
      </c>
      <c r="G29" s="62"/>
      <c r="J29"/>
      <c r="K29" t="s">
        <v>504</v>
      </c>
      <c r="L29" s="17">
        <v>1300000</v>
      </c>
      <c r="M29" s="17">
        <v>1979243051.6382835</v>
      </c>
      <c r="N29" s="17">
        <v>1522.494655106372</v>
      </c>
    </row>
    <row r="30" spans="1:14" x14ac:dyDescent="0.3">
      <c r="A30"/>
      <c r="B30"/>
      <c r="C30" t="s">
        <v>267</v>
      </c>
      <c r="D30" s="17">
        <v>2672171.0501618106</v>
      </c>
      <c r="E30" s="17">
        <v>1403267905.316731</v>
      </c>
      <c r="F30" s="17">
        <v>525.14149692316948</v>
      </c>
      <c r="J30"/>
      <c r="K30" t="s">
        <v>493</v>
      </c>
      <c r="L30" s="17">
        <v>1376342.9684394465</v>
      </c>
      <c r="M30" s="17">
        <v>686387844.99999988</v>
      </c>
      <c r="N30" s="17">
        <v>498.70407357713628</v>
      </c>
    </row>
    <row r="31" spans="1:14" x14ac:dyDescent="0.3">
      <c r="A31"/>
      <c r="B31"/>
      <c r="C31" t="s">
        <v>37</v>
      </c>
      <c r="D31" s="17">
        <v>101742.72959799769</v>
      </c>
      <c r="E31" s="17">
        <v>643522764.70733535</v>
      </c>
      <c r="F31" s="17">
        <v>6324.9999999999991</v>
      </c>
      <c r="J31"/>
      <c r="K31" t="s">
        <v>496</v>
      </c>
      <c r="L31" s="17">
        <v>20348.545919599535</v>
      </c>
      <c r="M31" s="17">
        <v>177032349.50051594</v>
      </c>
      <c r="N31" s="17">
        <v>8699.9999999999982</v>
      </c>
    </row>
    <row r="32" spans="1:14" x14ac:dyDescent="0.3">
      <c r="A32">
        <v>5</v>
      </c>
      <c r="B32" t="s">
        <v>456</v>
      </c>
      <c r="C32" t="s">
        <v>457</v>
      </c>
      <c r="D32" s="17">
        <v>95434.680362921819</v>
      </c>
      <c r="E32" s="17">
        <v>0</v>
      </c>
      <c r="F32" s="17">
        <v>0</v>
      </c>
      <c r="J32"/>
      <c r="K32" t="s">
        <v>500</v>
      </c>
      <c r="L32" s="17">
        <v>30000</v>
      </c>
      <c r="M32" s="17">
        <v>184800000</v>
      </c>
      <c r="N32" s="17">
        <v>6160</v>
      </c>
    </row>
    <row r="33" spans="1:14" x14ac:dyDescent="0.3">
      <c r="A33"/>
      <c r="B33"/>
      <c r="C33" t="s">
        <v>459</v>
      </c>
      <c r="D33" s="17">
        <v>1336232.1742634156</v>
      </c>
      <c r="E33" s="17">
        <v>0</v>
      </c>
      <c r="F33" s="17">
        <v>0</v>
      </c>
      <c r="J33"/>
      <c r="K33" t="s">
        <v>505</v>
      </c>
      <c r="L33" s="17">
        <v>0</v>
      </c>
      <c r="M33" s="17">
        <v>0</v>
      </c>
      <c r="N33" s="17">
        <v>0</v>
      </c>
    </row>
    <row r="34" spans="1:14" x14ac:dyDescent="0.3">
      <c r="A34"/>
      <c r="B34"/>
      <c r="C34" t="s">
        <v>611</v>
      </c>
      <c r="D34" s="17">
        <v>-856559.08606629202</v>
      </c>
      <c r="E34" s="17">
        <v>0</v>
      </c>
      <c r="F34" s="17">
        <v>0</v>
      </c>
      <c r="J34"/>
      <c r="K34" t="s">
        <v>501</v>
      </c>
      <c r="L34" s="17">
        <v>0</v>
      </c>
      <c r="M34" s="17">
        <v>0</v>
      </c>
      <c r="N34" s="17">
        <v>0</v>
      </c>
    </row>
    <row r="35" spans="1:14" x14ac:dyDescent="0.3">
      <c r="A35"/>
      <c r="B35"/>
      <c r="C35" t="s">
        <v>461</v>
      </c>
      <c r="D35" s="17">
        <v>64000</v>
      </c>
      <c r="E35" s="17">
        <v>768000000</v>
      </c>
      <c r="F35" s="17">
        <v>12000</v>
      </c>
      <c r="J35"/>
      <c r="K35" t="s">
        <v>494</v>
      </c>
      <c r="L35" s="17">
        <v>95434.680362921819</v>
      </c>
      <c r="M35" s="17">
        <v>361600000</v>
      </c>
      <c r="N35" s="17">
        <v>3788.9790024433137</v>
      </c>
    </row>
    <row r="36" spans="1:14" x14ac:dyDescent="0.3">
      <c r="A36"/>
      <c r="B36"/>
      <c r="C36" t="s">
        <v>497</v>
      </c>
      <c r="D36" s="17">
        <v>856559.08606629202</v>
      </c>
      <c r="E36" s="17">
        <v>0</v>
      </c>
      <c r="F36" s="17">
        <v>0</v>
      </c>
      <c r="J36"/>
      <c r="K36" t="s">
        <v>520</v>
      </c>
      <c r="L36" s="17">
        <v>1748731.7342266303</v>
      </c>
      <c r="M36" s="17">
        <v>1579999999.9999998</v>
      </c>
      <c r="N36" s="17">
        <v>903.51193901033002</v>
      </c>
    </row>
    <row r="37" spans="1:14" x14ac:dyDescent="0.3">
      <c r="A37"/>
      <c r="B37"/>
      <c r="C37" t="s">
        <v>498</v>
      </c>
      <c r="D37" s="17">
        <v>856559.08606629202</v>
      </c>
      <c r="E37" s="17">
        <v>158000000</v>
      </c>
      <c r="F37" s="17">
        <v>184.45896210804054</v>
      </c>
      <c r="J37"/>
      <c r="K37" t="s">
        <v>525</v>
      </c>
      <c r="L37" s="17">
        <v>0</v>
      </c>
      <c r="M37" s="17">
        <v>0</v>
      </c>
      <c r="N37" s="17">
        <v>0</v>
      </c>
    </row>
    <row r="38" spans="1:14" x14ac:dyDescent="0.3">
      <c r="A38"/>
      <c r="B38"/>
      <c r="C38" t="s">
        <v>502</v>
      </c>
      <c r="D38" s="17">
        <v>856559.08606629202</v>
      </c>
      <c r="E38" s="17">
        <v>1082101107</v>
      </c>
      <c r="F38" s="17">
        <v>1263.3116904631754</v>
      </c>
      <c r="J38"/>
      <c r="K38" t="s">
        <v>41</v>
      </c>
      <c r="L38" s="17">
        <v>13374.90791696003</v>
      </c>
      <c r="M38" s="17">
        <v>4256293507.0566196</v>
      </c>
      <c r="N38" s="17">
        <v>318229.74285000004</v>
      </c>
    </row>
    <row r="39" spans="1:14" x14ac:dyDescent="0.3">
      <c r="A39"/>
      <c r="B39"/>
      <c r="C39" t="s">
        <v>503</v>
      </c>
      <c r="D39" s="17">
        <v>856559.08606629202</v>
      </c>
      <c r="E39" s="17">
        <v>3084131389.0000005</v>
      </c>
      <c r="F39" s="17">
        <v>3600.6055380998073</v>
      </c>
      <c r="J39"/>
      <c r="K39" t="s">
        <v>534</v>
      </c>
      <c r="L39" s="17">
        <v>3047.6678196197972</v>
      </c>
      <c r="M39" s="17">
        <v>970446320.34120178</v>
      </c>
      <c r="N39" s="17">
        <v>318422.60304545489</v>
      </c>
    </row>
    <row r="40" spans="1:14" x14ac:dyDescent="0.3">
      <c r="A40"/>
      <c r="B40"/>
      <c r="C40" t="s">
        <v>499</v>
      </c>
      <c r="D40" s="17">
        <v>856559.08606629202</v>
      </c>
      <c r="E40" s="17">
        <v>0</v>
      </c>
      <c r="F40" s="17">
        <v>0</v>
      </c>
      <c r="G40" s="62"/>
      <c r="J40"/>
      <c r="K40" t="s">
        <v>537</v>
      </c>
      <c r="L40" s="17">
        <v>633.12956368617427</v>
      </c>
      <c r="M40" s="17">
        <v>2783465488.6073494</v>
      </c>
      <c r="N40" s="17">
        <v>4396360.0000000009</v>
      </c>
    </row>
    <row r="41" spans="1:14" x14ac:dyDescent="0.3">
      <c r="A41"/>
      <c r="B41"/>
      <c r="C41" t="s">
        <v>500</v>
      </c>
      <c r="D41" s="17">
        <v>30000</v>
      </c>
      <c r="E41" s="17">
        <v>184800000</v>
      </c>
      <c r="F41" s="17">
        <v>6160</v>
      </c>
      <c r="J41"/>
      <c r="K41" t="s">
        <v>58</v>
      </c>
      <c r="L41" s="17">
        <v>24762.361021759571</v>
      </c>
      <c r="M41" s="17">
        <v>2602030238.0787988</v>
      </c>
      <c r="N41" s="17">
        <v>105080.05419161372</v>
      </c>
    </row>
    <row r="42" spans="1:14" x14ac:dyDescent="0.3">
      <c r="A42"/>
      <c r="B42"/>
      <c r="C42" t="s">
        <v>501</v>
      </c>
      <c r="D42" s="17">
        <v>0</v>
      </c>
      <c r="E42" s="17">
        <v>0</v>
      </c>
      <c r="F42" s="17">
        <v>0</v>
      </c>
      <c r="J42"/>
      <c r="K42" t="s">
        <v>540</v>
      </c>
      <c r="L42" s="17">
        <v>38133.407557398277</v>
      </c>
      <c r="M42" s="17">
        <v>0</v>
      </c>
      <c r="N42" s="17">
        <v>0</v>
      </c>
    </row>
    <row r="43" spans="1:14" x14ac:dyDescent="0.3">
      <c r="A43"/>
      <c r="B43"/>
      <c r="C43" t="s">
        <v>525</v>
      </c>
      <c r="D43" s="17">
        <v>16422.575736579827</v>
      </c>
      <c r="E43" s="17">
        <v>0</v>
      </c>
      <c r="F43" s="17">
        <v>0</v>
      </c>
      <c r="J43"/>
      <c r="K43" t="s">
        <v>530</v>
      </c>
      <c r="L43" s="17">
        <v>0</v>
      </c>
      <c r="M43" s="17">
        <v>0</v>
      </c>
      <c r="N43" s="17">
        <v>0</v>
      </c>
    </row>
    <row r="44" spans="1:14" x14ac:dyDescent="0.3">
      <c r="A44"/>
      <c r="B44"/>
      <c r="C44" t="s">
        <v>267</v>
      </c>
      <c r="D44" s="17">
        <v>26296363.942235168</v>
      </c>
      <c r="E44" s="17">
        <v>13809375938.102903</v>
      </c>
      <c r="F44" s="17">
        <v>525.14393124607477</v>
      </c>
      <c r="J44"/>
      <c r="K44" t="s">
        <v>92</v>
      </c>
      <c r="L44" s="17">
        <v>0</v>
      </c>
      <c r="M44" s="17">
        <v>0</v>
      </c>
      <c r="N44" s="17">
        <v>0</v>
      </c>
    </row>
    <row r="45" spans="1:14" x14ac:dyDescent="0.3">
      <c r="A45">
        <v>6</v>
      </c>
      <c r="B45" t="s">
        <v>465</v>
      </c>
      <c r="C45" t="s">
        <v>391</v>
      </c>
      <c r="D45" s="17">
        <v>320127.80328930769</v>
      </c>
      <c r="E45" s="17">
        <v>0</v>
      </c>
      <c r="F45" s="17">
        <v>0</v>
      </c>
      <c r="J45"/>
      <c r="K45" t="s">
        <v>51</v>
      </c>
      <c r="L45" s="17">
        <v>1748731.7342266303</v>
      </c>
      <c r="M45" s="17">
        <v>645568000.00000012</v>
      </c>
      <c r="N45" s="17">
        <v>369.16354141963348</v>
      </c>
    </row>
    <row r="46" spans="1:14" x14ac:dyDescent="0.3">
      <c r="A46"/>
      <c r="B46"/>
      <c r="C46" t="s">
        <v>182</v>
      </c>
      <c r="D46" s="17">
        <v>429214.25771049922</v>
      </c>
      <c r="E46" s="17">
        <v>0</v>
      </c>
      <c r="F46" s="17">
        <v>0</v>
      </c>
      <c r="J46"/>
      <c r="K46" t="s">
        <v>123</v>
      </c>
      <c r="L46" s="17">
        <v>95434.680362921819</v>
      </c>
      <c r="M46" s="17">
        <v>425982625.20000011</v>
      </c>
      <c r="N46" s="17">
        <v>4463.6040439393819</v>
      </c>
    </row>
    <row r="47" spans="1:14" x14ac:dyDescent="0.3">
      <c r="A47"/>
      <c r="B47"/>
      <c r="C47" t="s">
        <v>611</v>
      </c>
      <c r="D47" s="17">
        <v>-825412.03405865235</v>
      </c>
      <c r="E47" s="17">
        <v>0</v>
      </c>
      <c r="F47" s="17">
        <v>0</v>
      </c>
      <c r="J47"/>
      <c r="K47" t="s">
        <v>267</v>
      </c>
      <c r="L47" s="17">
        <v>95524304.164892048</v>
      </c>
      <c r="M47" s="17">
        <v>50169823533.836899</v>
      </c>
      <c r="N47" s="17">
        <v>525.20480491786475</v>
      </c>
    </row>
    <row r="48" spans="1:14" x14ac:dyDescent="0.3">
      <c r="A48"/>
      <c r="B48"/>
      <c r="C48" t="s">
        <v>57</v>
      </c>
      <c r="D48" s="17">
        <v>33877.138490259058</v>
      </c>
      <c r="E48" s="17">
        <v>7880699661.0513582</v>
      </c>
      <c r="F48" s="17">
        <v>232625.89499161369</v>
      </c>
      <c r="J48"/>
      <c r="K48" t="s">
        <v>37</v>
      </c>
      <c r="L48" s="17">
        <v>101742.72959799769</v>
      </c>
      <c r="M48" s="17">
        <v>643522764.70733535</v>
      </c>
      <c r="N48" s="17">
        <v>6324.9999999999991</v>
      </c>
    </row>
    <row r="49" spans="1:14" x14ac:dyDescent="0.3">
      <c r="A49"/>
      <c r="B49"/>
      <c r="C49" t="s">
        <v>461</v>
      </c>
      <c r="D49" s="17">
        <v>825412.03405865235</v>
      </c>
      <c r="E49" s="17">
        <v>0</v>
      </c>
      <c r="F49" s="17">
        <v>0</v>
      </c>
      <c r="J49"/>
      <c r="K49" t="s">
        <v>485</v>
      </c>
      <c r="L49" s="17">
        <v>1748731.7342266303</v>
      </c>
      <c r="M49" s="17">
        <v>246171540.19582632</v>
      </c>
      <c r="N49" s="17">
        <v>140.77147190600661</v>
      </c>
    </row>
    <row r="50" spans="1:14" x14ac:dyDescent="0.3">
      <c r="A50"/>
      <c r="B50"/>
      <c r="C50" t="s">
        <v>32</v>
      </c>
      <c r="D50" s="17">
        <v>0</v>
      </c>
      <c r="E50" s="17">
        <v>0</v>
      </c>
      <c r="F50" s="17">
        <v>0</v>
      </c>
      <c r="J50"/>
      <c r="K50" t="s">
        <v>691</v>
      </c>
      <c r="L50" s="17">
        <v>16422.575736579827</v>
      </c>
      <c r="M50" s="17">
        <v>144000000</v>
      </c>
      <c r="N50" s="17">
        <v>8768.417470546523</v>
      </c>
    </row>
    <row r="51" spans="1:14" x14ac:dyDescent="0.3">
      <c r="A51"/>
      <c r="B51"/>
      <c r="C51" t="s">
        <v>504</v>
      </c>
      <c r="D51" s="17">
        <v>825412.03405865235</v>
      </c>
      <c r="E51" s="17">
        <v>1270834884.3894646</v>
      </c>
      <c r="F51" s="17">
        <v>1539.636971538461</v>
      </c>
      <c r="J51"/>
      <c r="K51" t="s">
        <v>692</v>
      </c>
      <c r="L51" s="17">
        <v>16422.575736579827</v>
      </c>
      <c r="M51" s="17">
        <v>176132124.77481866</v>
      </c>
      <c r="N51" s="17">
        <v>10725</v>
      </c>
    </row>
    <row r="52" spans="1:14" x14ac:dyDescent="0.3">
      <c r="A52"/>
      <c r="B52"/>
      <c r="C52" t="s">
        <v>505</v>
      </c>
      <c r="D52" s="17">
        <v>0</v>
      </c>
      <c r="E52" s="17">
        <v>0</v>
      </c>
      <c r="F52" s="17">
        <v>0</v>
      </c>
      <c r="J52"/>
      <c r="K52" t="s">
        <v>392</v>
      </c>
      <c r="L52" s="17">
        <v>1300000.0000000002</v>
      </c>
      <c r="M52" s="17">
        <v>4783980000</v>
      </c>
      <c r="N52" s="17">
        <v>3679.9846153846147</v>
      </c>
    </row>
    <row r="53" spans="1:14" x14ac:dyDescent="0.3">
      <c r="A53"/>
      <c r="B53"/>
      <c r="C53" t="s">
        <v>537</v>
      </c>
      <c r="D53" s="17">
        <v>412.70601702932618</v>
      </c>
      <c r="E53" s="17">
        <v>1814404225.0270488</v>
      </c>
      <c r="F53" s="17">
        <v>4396360.0000000009</v>
      </c>
      <c r="J53" t="s">
        <v>427</v>
      </c>
      <c r="K53" t="s">
        <v>427</v>
      </c>
      <c r="L53" s="17">
        <v>0</v>
      </c>
      <c r="M53" s="17">
        <v>0</v>
      </c>
      <c r="N53" s="17">
        <v>0</v>
      </c>
    </row>
    <row r="54" spans="1:14" x14ac:dyDescent="0.3">
      <c r="A54"/>
      <c r="B54"/>
      <c r="C54" t="s">
        <v>58</v>
      </c>
      <c r="D54" s="17">
        <v>24762.361021759571</v>
      </c>
      <c r="E54" s="17">
        <v>2602030238.0787988</v>
      </c>
      <c r="F54" s="17">
        <v>105080.05419161372</v>
      </c>
      <c r="J54" t="s">
        <v>428</v>
      </c>
      <c r="K54"/>
      <c r="L54" s="17">
        <v>114158506.60652728</v>
      </c>
      <c r="M54" s="17">
        <v>181967848158.91492</v>
      </c>
      <c r="N54" s="17">
        <v>1593.9928925849363</v>
      </c>
    </row>
    <row r="55" spans="1:14" x14ac:dyDescent="0.3">
      <c r="A55"/>
      <c r="B55"/>
      <c r="C55" t="s">
        <v>540</v>
      </c>
      <c r="D55" s="17">
        <v>24886.172826868362</v>
      </c>
      <c r="E55" s="17">
        <v>0</v>
      </c>
      <c r="F55" s="17">
        <v>0</v>
      </c>
      <c r="J55"/>
      <c r="K55"/>
      <c r="L55"/>
      <c r="M55"/>
      <c r="N55"/>
    </row>
    <row r="56" spans="1:14" x14ac:dyDescent="0.3">
      <c r="A56"/>
      <c r="B56"/>
      <c r="C56" t="s">
        <v>267</v>
      </c>
      <c r="D56" s="17">
        <v>21213089.275307361</v>
      </c>
      <c r="E56" s="17">
        <v>11142821047.155279</v>
      </c>
      <c r="F56" s="17">
        <v>525.28044843170676</v>
      </c>
      <c r="J56"/>
      <c r="K56"/>
      <c r="L56"/>
      <c r="M56"/>
      <c r="N56"/>
    </row>
    <row r="57" spans="1:14" x14ac:dyDescent="0.3">
      <c r="A57">
        <v>7</v>
      </c>
      <c r="B57" t="s">
        <v>469</v>
      </c>
      <c r="C57" t="s">
        <v>391</v>
      </c>
      <c r="D57" s="17">
        <v>27427.742757604967</v>
      </c>
      <c r="E57" s="17">
        <v>0</v>
      </c>
      <c r="F57" s="17">
        <v>0</v>
      </c>
      <c r="J57"/>
      <c r="K57"/>
      <c r="L57"/>
      <c r="M57"/>
      <c r="N57"/>
    </row>
    <row r="58" spans="1:14" x14ac:dyDescent="0.3">
      <c r="A58"/>
      <c r="B58"/>
      <c r="C58" t="s">
        <v>182</v>
      </c>
      <c r="D58" s="17">
        <v>365903.08745036786</v>
      </c>
      <c r="E58" s="17">
        <v>0</v>
      </c>
      <c r="F58" s="17">
        <v>0</v>
      </c>
      <c r="J58"/>
      <c r="K58"/>
      <c r="L58"/>
      <c r="M58"/>
      <c r="N58"/>
    </row>
    <row r="59" spans="1:14" x14ac:dyDescent="0.3">
      <c r="A59"/>
      <c r="B59"/>
      <c r="C59" t="s">
        <v>611</v>
      </c>
      <c r="D59" s="17">
        <v>-440847.09331369615</v>
      </c>
      <c r="E59" s="17">
        <v>0</v>
      </c>
      <c r="F59" s="17">
        <v>0</v>
      </c>
      <c r="J59"/>
      <c r="K59"/>
      <c r="L59"/>
      <c r="M59"/>
      <c r="N59"/>
    </row>
    <row r="60" spans="1:14" x14ac:dyDescent="0.3">
      <c r="A60"/>
      <c r="B60"/>
      <c r="C60" t="s">
        <v>57</v>
      </c>
      <c r="D60" s="17">
        <v>34846.846660399766</v>
      </c>
      <c r="E60" s="17">
        <v>8106253525.3473873</v>
      </c>
      <c r="F60" s="17">
        <v>232625.16704443729</v>
      </c>
      <c r="J60"/>
      <c r="K60"/>
      <c r="L60"/>
      <c r="M60"/>
      <c r="N60"/>
    </row>
    <row r="61" spans="1:14" x14ac:dyDescent="0.3">
      <c r="A61"/>
      <c r="B61"/>
      <c r="C61" t="s">
        <v>461</v>
      </c>
      <c r="D61" s="17">
        <v>440847.09331369615</v>
      </c>
      <c r="E61" s="17">
        <v>0</v>
      </c>
      <c r="F61" s="17">
        <v>0</v>
      </c>
      <c r="J61"/>
      <c r="K61"/>
      <c r="L61"/>
      <c r="M61"/>
      <c r="N61"/>
    </row>
    <row r="62" spans="1:14" x14ac:dyDescent="0.3">
      <c r="A62"/>
      <c r="B62"/>
      <c r="C62" t="s">
        <v>32</v>
      </c>
      <c r="D62" s="17">
        <v>0</v>
      </c>
      <c r="E62" s="17">
        <v>0</v>
      </c>
      <c r="F62" s="17">
        <v>0</v>
      </c>
      <c r="J62"/>
      <c r="K62"/>
      <c r="L62"/>
      <c r="M62"/>
      <c r="N62"/>
    </row>
    <row r="63" spans="1:14" x14ac:dyDescent="0.3">
      <c r="A63"/>
      <c r="B63"/>
      <c r="C63" t="s">
        <v>504</v>
      </c>
      <c r="D63" s="17">
        <v>440847.09331369615</v>
      </c>
      <c r="E63" s="17">
        <v>658043827.11617219</v>
      </c>
      <c r="F63" s="17">
        <v>1492.6804261538457</v>
      </c>
      <c r="J63"/>
      <c r="K63"/>
      <c r="L63"/>
      <c r="M63"/>
      <c r="N63"/>
    </row>
    <row r="64" spans="1:14" x14ac:dyDescent="0.3">
      <c r="A64"/>
      <c r="B64"/>
      <c r="C64" t="s">
        <v>505</v>
      </c>
      <c r="D64" s="17">
        <v>0</v>
      </c>
      <c r="E64" s="17">
        <v>0</v>
      </c>
      <c r="F64" s="17">
        <v>0</v>
      </c>
      <c r="J64"/>
      <c r="K64"/>
      <c r="L64"/>
      <c r="M64"/>
      <c r="N64"/>
    </row>
    <row r="65" spans="1:14" x14ac:dyDescent="0.3">
      <c r="A65"/>
      <c r="B65"/>
      <c r="C65" t="s">
        <v>537</v>
      </c>
      <c r="D65" s="17">
        <v>220.42354665684806</v>
      </c>
      <c r="E65" s="17">
        <v>969061263.58030081</v>
      </c>
      <c r="F65" s="17">
        <v>4396360.0000000009</v>
      </c>
      <c r="J65"/>
      <c r="K65"/>
      <c r="L65"/>
      <c r="M65"/>
      <c r="N65"/>
    </row>
    <row r="66" spans="1:14" x14ac:dyDescent="0.3">
      <c r="A66"/>
      <c r="B66"/>
      <c r="C66" t="s">
        <v>58</v>
      </c>
      <c r="D66" s="17">
        <v>0</v>
      </c>
      <c r="E66" s="17">
        <v>0</v>
      </c>
      <c r="F66" s="17">
        <v>0</v>
      </c>
      <c r="J66"/>
      <c r="K66"/>
      <c r="L66"/>
      <c r="M66"/>
      <c r="N66"/>
    </row>
    <row r="67" spans="1:14" x14ac:dyDescent="0.3">
      <c r="A67"/>
      <c r="B67"/>
      <c r="C67" t="s">
        <v>540</v>
      </c>
      <c r="D67" s="17">
        <v>13247.234730529908</v>
      </c>
      <c r="E67" s="17">
        <v>0</v>
      </c>
      <c r="F67" s="17">
        <v>0</v>
      </c>
      <c r="J67"/>
      <c r="K67"/>
      <c r="L67"/>
      <c r="M67"/>
      <c r="N67"/>
    </row>
    <row r="68" spans="1:14" x14ac:dyDescent="0.3">
      <c r="A68"/>
      <c r="B68"/>
      <c r="C68" t="s">
        <v>267</v>
      </c>
      <c r="D68" s="17">
        <v>15253309.428653887</v>
      </c>
      <c r="E68" s="17">
        <v>8012241423.5872726</v>
      </c>
      <c r="F68" s="17">
        <v>525.27888856276604</v>
      </c>
      <c r="J68"/>
      <c r="K68"/>
      <c r="L68"/>
      <c r="M68"/>
      <c r="N68"/>
    </row>
    <row r="69" spans="1:14" x14ac:dyDescent="0.3">
      <c r="A69">
        <v>8</v>
      </c>
      <c r="B69" t="s">
        <v>477</v>
      </c>
      <c r="C69" t="s">
        <v>611</v>
      </c>
      <c r="D69" s="17">
        <v>-14943953.55708394</v>
      </c>
      <c r="E69" s="17">
        <v>0</v>
      </c>
      <c r="F69" s="17">
        <v>0</v>
      </c>
      <c r="J69"/>
      <c r="K69"/>
      <c r="L69"/>
      <c r="M69"/>
      <c r="N69"/>
    </row>
    <row r="70" spans="1:14" x14ac:dyDescent="0.3">
      <c r="A70"/>
      <c r="B70"/>
      <c r="C70" t="s">
        <v>413</v>
      </c>
      <c r="D70" s="17">
        <v>15242832.628225619</v>
      </c>
      <c r="E70" s="17">
        <v>15254989345.861853</v>
      </c>
      <c r="F70" s="17">
        <v>1000.7975366477306</v>
      </c>
      <c r="J70"/>
      <c r="K70"/>
      <c r="L70"/>
      <c r="M70"/>
      <c r="N70"/>
    </row>
    <row r="71" spans="1:14" x14ac:dyDescent="0.3">
      <c r="A71"/>
      <c r="B71"/>
      <c r="C71" t="s">
        <v>465</v>
      </c>
      <c r="D71" s="17">
        <v>747197.6778541971</v>
      </c>
      <c r="E71" s="17">
        <v>0</v>
      </c>
      <c r="F71" s="17">
        <v>0</v>
      </c>
      <c r="J71"/>
      <c r="K71"/>
      <c r="L71"/>
      <c r="M71"/>
      <c r="N71"/>
    </row>
    <row r="72" spans="1:14" x14ac:dyDescent="0.3">
      <c r="A72"/>
      <c r="B72"/>
      <c r="C72" t="s">
        <v>267</v>
      </c>
      <c r="D72" s="17">
        <v>764714.0678001683</v>
      </c>
      <c r="E72" s="17">
        <v>401661547.78258771</v>
      </c>
      <c r="F72" s="17">
        <v>525.24409409393547</v>
      </c>
      <c r="J72"/>
      <c r="K72"/>
      <c r="L72"/>
      <c r="M72"/>
      <c r="N72"/>
    </row>
    <row r="73" spans="1:14" x14ac:dyDescent="0.3">
      <c r="A73">
        <v>9</v>
      </c>
      <c r="B73" t="s">
        <v>481</v>
      </c>
      <c r="C73" t="s">
        <v>611</v>
      </c>
      <c r="D73" s="17">
        <v>-778038.59295208869</v>
      </c>
      <c r="E73" s="17">
        <v>0</v>
      </c>
      <c r="F73" s="17">
        <v>0</v>
      </c>
      <c r="J73"/>
      <c r="K73"/>
      <c r="L73"/>
      <c r="M73"/>
      <c r="N73"/>
    </row>
    <row r="74" spans="1:14" x14ac:dyDescent="0.3">
      <c r="A74"/>
      <c r="B74"/>
      <c r="C74" t="s">
        <v>413</v>
      </c>
      <c r="D74" s="17">
        <v>793599.36481113045</v>
      </c>
      <c r="E74" s="17">
        <v>774857370.18031693</v>
      </c>
      <c r="F74" s="17">
        <v>976.38355641164867</v>
      </c>
      <c r="J74"/>
      <c r="K74"/>
      <c r="L74"/>
      <c r="M74"/>
      <c r="N74"/>
    </row>
    <row r="75" spans="1:14" x14ac:dyDescent="0.3">
      <c r="A75"/>
      <c r="B75"/>
      <c r="C75" t="s">
        <v>465</v>
      </c>
      <c r="D75" s="17">
        <v>33066.640200463764</v>
      </c>
      <c r="E75" s="17">
        <v>0</v>
      </c>
      <c r="F75" s="17">
        <v>0</v>
      </c>
      <c r="J75"/>
      <c r="K75"/>
      <c r="L75"/>
      <c r="M75"/>
      <c r="N75"/>
    </row>
    <row r="76" spans="1:14" x14ac:dyDescent="0.3">
      <c r="A76"/>
      <c r="B76"/>
      <c r="C76" t="s">
        <v>267</v>
      </c>
      <c r="D76" s="17">
        <v>764714.0678001683</v>
      </c>
      <c r="E76" s="17">
        <v>401661547.78258771</v>
      </c>
      <c r="F76" s="17">
        <v>525.24409409393547</v>
      </c>
      <c r="J76"/>
      <c r="K76"/>
      <c r="L76"/>
      <c r="M76"/>
      <c r="N76"/>
    </row>
    <row r="77" spans="1:14" x14ac:dyDescent="0.3">
      <c r="A77">
        <v>10</v>
      </c>
      <c r="B77" t="s">
        <v>483</v>
      </c>
      <c r="C77" t="s">
        <v>611</v>
      </c>
      <c r="D77" s="17">
        <v>-296058.23186833085</v>
      </c>
      <c r="E77" s="17">
        <v>0</v>
      </c>
      <c r="F77" s="17">
        <v>0</v>
      </c>
      <c r="J77"/>
      <c r="K77"/>
      <c r="L77"/>
      <c r="M77"/>
      <c r="N77"/>
    </row>
    <row r="78" spans="1:14" x14ac:dyDescent="0.3">
      <c r="A78"/>
      <c r="B78"/>
      <c r="C78" t="s">
        <v>413</v>
      </c>
      <c r="D78" s="17">
        <v>301979.39650569751</v>
      </c>
      <c r="E78" s="17">
        <v>225090450.43648827</v>
      </c>
      <c r="F78" s="17">
        <v>745.38347000187287</v>
      </c>
      <c r="J78"/>
      <c r="K78"/>
      <c r="L78"/>
      <c r="M78"/>
      <c r="N78"/>
    </row>
    <row r="79" spans="1:14" x14ac:dyDescent="0.3">
      <c r="A79"/>
      <c r="B79"/>
      <c r="C79" t="s">
        <v>465</v>
      </c>
      <c r="D79" s="17">
        <v>7401.4557967082728</v>
      </c>
      <c r="E79" s="17">
        <v>0</v>
      </c>
      <c r="F79" s="17">
        <v>0</v>
      </c>
      <c r="J79"/>
      <c r="K79"/>
      <c r="L79"/>
      <c r="M79"/>
      <c r="N79"/>
    </row>
    <row r="80" spans="1:14" x14ac:dyDescent="0.3">
      <c r="A80"/>
      <c r="B80"/>
      <c r="C80" t="s">
        <v>267</v>
      </c>
      <c r="D80" s="17">
        <v>764714.0678001683</v>
      </c>
      <c r="E80" s="17">
        <v>401661547.78258771</v>
      </c>
      <c r="F80" s="17">
        <v>525.24409409393547</v>
      </c>
      <c r="J80"/>
      <c r="K80"/>
      <c r="L80"/>
      <c r="M80"/>
      <c r="N80"/>
    </row>
    <row r="81" spans="1:14" x14ac:dyDescent="0.3">
      <c r="A81">
        <v>11</v>
      </c>
      <c r="B81" t="s">
        <v>473</v>
      </c>
      <c r="C81" t="s">
        <v>611</v>
      </c>
      <c r="D81" s="17">
        <v>-2167103.2492037183</v>
      </c>
      <c r="E81" s="17">
        <v>0</v>
      </c>
      <c r="F81" s="17">
        <v>0</v>
      </c>
      <c r="J81"/>
      <c r="K81"/>
      <c r="L81"/>
      <c r="M81"/>
      <c r="N81"/>
    </row>
    <row r="82" spans="1:14" x14ac:dyDescent="0.3">
      <c r="A82"/>
      <c r="B82"/>
      <c r="C82" t="s">
        <v>469</v>
      </c>
      <c r="D82" s="17">
        <v>92101.88809115802</v>
      </c>
      <c r="E82" s="17">
        <v>0</v>
      </c>
      <c r="F82" s="17">
        <v>0</v>
      </c>
      <c r="J82"/>
      <c r="K82"/>
      <c r="L82"/>
      <c r="M82"/>
      <c r="N82"/>
    </row>
    <row r="83" spans="1:14" x14ac:dyDescent="0.3">
      <c r="A83"/>
      <c r="B83"/>
      <c r="C83" t="s">
        <v>413</v>
      </c>
      <c r="D83" s="17">
        <v>2210445.3141877926</v>
      </c>
      <c r="E83" s="17">
        <v>2007561892.3877304</v>
      </c>
      <c r="F83" s="17">
        <v>908.21604113078456</v>
      </c>
      <c r="J83"/>
      <c r="K83"/>
      <c r="L83"/>
      <c r="M83"/>
      <c r="N83"/>
    </row>
    <row r="84" spans="1:14" x14ac:dyDescent="0.3">
      <c r="A84"/>
      <c r="B84"/>
      <c r="C84" t="s">
        <v>267</v>
      </c>
      <c r="D84" s="17">
        <v>764714.0678001683</v>
      </c>
      <c r="E84" s="17">
        <v>401661547.78258771</v>
      </c>
      <c r="F84" s="17">
        <v>525.24409409393547</v>
      </c>
      <c r="J84"/>
      <c r="K84"/>
      <c r="L84"/>
      <c r="M84"/>
      <c r="N84"/>
    </row>
    <row r="85" spans="1:14" x14ac:dyDescent="0.3">
      <c r="A85">
        <v>14</v>
      </c>
      <c r="B85" t="s">
        <v>487</v>
      </c>
      <c r="C85" t="s">
        <v>611</v>
      </c>
      <c r="D85" s="17">
        <v>-679614.4076714929</v>
      </c>
      <c r="E85" s="17">
        <v>0</v>
      </c>
      <c r="F85" s="17">
        <v>0</v>
      </c>
    </row>
    <row r="86" spans="1:14" x14ac:dyDescent="0.3">
      <c r="A86"/>
      <c r="B86"/>
      <c r="C86" t="s">
        <v>413</v>
      </c>
      <c r="D86" s="17">
        <v>693206.69582492276</v>
      </c>
      <c r="E86" s="17">
        <v>792450028.60871053</v>
      </c>
      <c r="F86" s="17">
        <v>1143.1655715120974</v>
      </c>
    </row>
    <row r="87" spans="1:14" x14ac:dyDescent="0.3">
      <c r="A87"/>
      <c r="B87"/>
      <c r="C87" t="s">
        <v>488</v>
      </c>
      <c r="D87" s="17">
        <v>33980.720383574648</v>
      </c>
      <c r="E87" s="17">
        <v>0</v>
      </c>
      <c r="F87" s="17">
        <v>0</v>
      </c>
    </row>
    <row r="88" spans="1:14" x14ac:dyDescent="0.3">
      <c r="A88"/>
      <c r="B88"/>
      <c r="C88" t="s">
        <v>267</v>
      </c>
      <c r="D88" s="17">
        <v>764714.0678001683</v>
      </c>
      <c r="E88" s="17">
        <v>401661547.78258771</v>
      </c>
      <c r="F88" s="17">
        <v>525.24409409393547</v>
      </c>
    </row>
    <row r="89" spans="1:14" x14ac:dyDescent="0.3">
      <c r="A89">
        <v>15</v>
      </c>
      <c r="B89" t="s">
        <v>488</v>
      </c>
      <c r="C89" t="s">
        <v>391</v>
      </c>
      <c r="D89" s="17">
        <v>0</v>
      </c>
      <c r="E89" s="17">
        <v>0</v>
      </c>
      <c r="F89" s="17">
        <v>0</v>
      </c>
    </row>
    <row r="90" spans="1:14" x14ac:dyDescent="0.3">
      <c r="A90"/>
      <c r="B90"/>
      <c r="C90" t="s">
        <v>182</v>
      </c>
      <c r="D90" s="17">
        <v>0</v>
      </c>
      <c r="E90" s="17">
        <v>0</v>
      </c>
      <c r="F90" s="17">
        <v>0</v>
      </c>
    </row>
    <row r="91" spans="1:14" x14ac:dyDescent="0.3">
      <c r="A91"/>
      <c r="B91"/>
      <c r="C91" t="s">
        <v>611</v>
      </c>
      <c r="D91" s="17">
        <v>0</v>
      </c>
      <c r="E91" s="17">
        <v>0</v>
      </c>
      <c r="F91" s="17">
        <v>0</v>
      </c>
    </row>
    <row r="92" spans="1:14" x14ac:dyDescent="0.3">
      <c r="A92"/>
      <c r="B92"/>
      <c r="C92" t="s">
        <v>57</v>
      </c>
      <c r="D92" s="17">
        <v>0</v>
      </c>
      <c r="E92" s="17">
        <v>0</v>
      </c>
      <c r="F92" s="17">
        <v>0</v>
      </c>
    </row>
    <row r="93" spans="1:14" x14ac:dyDescent="0.3">
      <c r="A93"/>
      <c r="B93"/>
      <c r="C93" t="s">
        <v>461</v>
      </c>
      <c r="D93" s="17">
        <v>0</v>
      </c>
      <c r="E93" s="17">
        <v>0</v>
      </c>
      <c r="F93" s="17">
        <v>0</v>
      </c>
    </row>
    <row r="94" spans="1:14" x14ac:dyDescent="0.3">
      <c r="A94"/>
      <c r="B94"/>
      <c r="C94" t="s">
        <v>32</v>
      </c>
      <c r="D94" s="17">
        <v>0</v>
      </c>
      <c r="E94" s="17">
        <v>0</v>
      </c>
      <c r="F94" s="17">
        <v>0</v>
      </c>
    </row>
    <row r="95" spans="1:14" x14ac:dyDescent="0.3">
      <c r="A95"/>
      <c r="B95"/>
      <c r="C95" t="s">
        <v>504</v>
      </c>
      <c r="D95" s="17">
        <v>0</v>
      </c>
      <c r="E95" s="17">
        <v>0</v>
      </c>
      <c r="F95" s="17">
        <v>0</v>
      </c>
    </row>
    <row r="96" spans="1:14" x14ac:dyDescent="0.3">
      <c r="A96">
        <v>16</v>
      </c>
      <c r="B96" t="s">
        <v>178</v>
      </c>
      <c r="C96" t="s">
        <v>391</v>
      </c>
      <c r="D96" s="17">
        <v>0</v>
      </c>
      <c r="E96" s="17">
        <v>0</v>
      </c>
      <c r="F96" s="17">
        <v>0</v>
      </c>
    </row>
    <row r="97" spans="1:6" x14ac:dyDescent="0.3">
      <c r="A97"/>
      <c r="B97"/>
      <c r="C97" t="s">
        <v>182</v>
      </c>
      <c r="D97" s="17">
        <v>30839.15758167368</v>
      </c>
      <c r="E97" s="17">
        <v>0</v>
      </c>
      <c r="F97" s="17">
        <v>0</v>
      </c>
    </row>
    <row r="98" spans="1:6" x14ac:dyDescent="0.3">
      <c r="A98"/>
      <c r="B98"/>
      <c r="C98" t="s">
        <v>611</v>
      </c>
      <c r="D98" s="17">
        <v>-33740.872627651726</v>
      </c>
      <c r="E98" s="17">
        <v>0</v>
      </c>
      <c r="F98" s="17">
        <v>0</v>
      </c>
    </row>
    <row r="99" spans="1:6" x14ac:dyDescent="0.3">
      <c r="A99"/>
      <c r="B99"/>
      <c r="C99" t="s">
        <v>57</v>
      </c>
      <c r="D99" s="17">
        <v>2940.5980275941538</v>
      </c>
      <c r="E99" s="17">
        <v>684055452.93554235</v>
      </c>
      <c r="F99" s="17">
        <v>232624.60442279538</v>
      </c>
    </row>
    <row r="100" spans="1:6" x14ac:dyDescent="0.3">
      <c r="A100"/>
      <c r="B100"/>
      <c r="C100" t="s">
        <v>461</v>
      </c>
      <c r="D100" s="17">
        <v>33740.872627651726</v>
      </c>
      <c r="E100" s="17">
        <v>0</v>
      </c>
      <c r="F100" s="17">
        <v>0</v>
      </c>
    </row>
    <row r="101" spans="1:6" x14ac:dyDescent="0.3">
      <c r="A101"/>
      <c r="B101"/>
      <c r="C101" t="s">
        <v>32</v>
      </c>
      <c r="D101" s="17">
        <v>0</v>
      </c>
      <c r="E101" s="17">
        <v>0</v>
      </c>
      <c r="F101" s="17">
        <v>0</v>
      </c>
    </row>
    <row r="102" spans="1:6" x14ac:dyDescent="0.3">
      <c r="A102"/>
      <c r="B102"/>
      <c r="C102" t="s">
        <v>504</v>
      </c>
      <c r="D102" s="17">
        <v>33740.872627651726</v>
      </c>
      <c r="E102" s="17">
        <v>50364340.132645816</v>
      </c>
      <c r="F102" s="17">
        <v>1492.6804261538459</v>
      </c>
    </row>
    <row r="103" spans="1:6" x14ac:dyDescent="0.3">
      <c r="A103"/>
      <c r="B103"/>
      <c r="C103" t="s">
        <v>505</v>
      </c>
      <c r="D103" s="17">
        <v>0</v>
      </c>
      <c r="E103" s="17">
        <v>0</v>
      </c>
      <c r="F103" s="17">
        <v>0</v>
      </c>
    </row>
    <row r="104" spans="1:6" x14ac:dyDescent="0.3">
      <c r="A104"/>
      <c r="B104"/>
      <c r="C104" t="s">
        <v>537</v>
      </c>
      <c r="D104" s="17">
        <v>0</v>
      </c>
      <c r="E104" s="17">
        <v>0</v>
      </c>
      <c r="F104" s="17">
        <v>0</v>
      </c>
    </row>
    <row r="105" spans="1:6" x14ac:dyDescent="0.3">
      <c r="A105"/>
      <c r="B105"/>
      <c r="C105" t="s">
        <v>58</v>
      </c>
      <c r="D105" s="17">
        <v>0</v>
      </c>
      <c r="E105" s="17">
        <v>0</v>
      </c>
      <c r="F105" s="17">
        <v>0</v>
      </c>
    </row>
    <row r="106" spans="1:6" x14ac:dyDescent="0.3">
      <c r="A106"/>
      <c r="B106"/>
      <c r="C106" t="s">
        <v>540</v>
      </c>
      <c r="D106" s="17">
        <v>0</v>
      </c>
      <c r="E106" s="17">
        <v>0</v>
      </c>
      <c r="F106" s="17">
        <v>0</v>
      </c>
    </row>
    <row r="107" spans="1:6" x14ac:dyDescent="0.3">
      <c r="A107"/>
      <c r="B107"/>
      <c r="C107" t="s">
        <v>267</v>
      </c>
      <c r="D107" s="17">
        <v>1174182.3674422801</v>
      </c>
      <c r="E107" s="17">
        <v>616732291.75566673</v>
      </c>
      <c r="F107" s="17">
        <v>525.24404117828294</v>
      </c>
    </row>
    <row r="108" spans="1:6" x14ac:dyDescent="0.3">
      <c r="A108">
        <v>19</v>
      </c>
      <c r="B108" t="s">
        <v>521</v>
      </c>
      <c r="C108" t="s">
        <v>611</v>
      </c>
      <c r="D108" s="17">
        <v>0</v>
      </c>
      <c r="E108" s="17">
        <v>0</v>
      </c>
      <c r="F108" s="17">
        <v>0</v>
      </c>
    </row>
    <row r="109" spans="1:6" x14ac:dyDescent="0.3">
      <c r="A109"/>
      <c r="B109"/>
      <c r="C109" t="s">
        <v>469</v>
      </c>
      <c r="D109" s="17">
        <v>0</v>
      </c>
      <c r="E109" s="17">
        <v>0</v>
      </c>
      <c r="F109" s="17">
        <v>0</v>
      </c>
    </row>
    <row r="110" spans="1:6" x14ac:dyDescent="0.3">
      <c r="A110"/>
      <c r="B110"/>
      <c r="C110" t="s">
        <v>413</v>
      </c>
      <c r="D110" s="17">
        <v>0</v>
      </c>
      <c r="E110" s="17">
        <v>0</v>
      </c>
      <c r="F110" s="17">
        <v>0</v>
      </c>
    </row>
    <row r="111" spans="1:6" x14ac:dyDescent="0.3">
      <c r="A111">
        <v>20</v>
      </c>
      <c r="B111" t="s">
        <v>526</v>
      </c>
      <c r="C111" t="s">
        <v>611</v>
      </c>
      <c r="D111" s="17">
        <v>-16422.575736579827</v>
      </c>
      <c r="E111" s="17">
        <v>0</v>
      </c>
      <c r="F111" s="17">
        <v>0</v>
      </c>
    </row>
    <row r="112" spans="1:6" x14ac:dyDescent="0.3">
      <c r="A112"/>
      <c r="B112"/>
      <c r="C112" t="s">
        <v>525</v>
      </c>
      <c r="D112" s="17">
        <v>-16422.575736579827</v>
      </c>
      <c r="E112" s="17">
        <v>0</v>
      </c>
      <c r="F112" s="17">
        <v>0</v>
      </c>
    </row>
    <row r="113" spans="1:6" x14ac:dyDescent="0.3">
      <c r="A113"/>
      <c r="B113"/>
      <c r="C113" t="s">
        <v>41</v>
      </c>
      <c r="D113" s="17">
        <v>13374.90791696003</v>
      </c>
      <c r="E113" s="17">
        <v>4256293507.0566196</v>
      </c>
      <c r="F113" s="17">
        <v>318229.74285000004</v>
      </c>
    </row>
    <row r="114" spans="1:6" x14ac:dyDescent="0.3">
      <c r="A114"/>
      <c r="B114"/>
      <c r="C114" t="s">
        <v>534</v>
      </c>
      <c r="D114" s="17">
        <v>3047.6678196197972</v>
      </c>
      <c r="E114" s="17">
        <v>970446320.34120178</v>
      </c>
      <c r="F114" s="17">
        <v>318422.60304545489</v>
      </c>
    </row>
    <row r="115" spans="1:6" x14ac:dyDescent="0.3">
      <c r="A115"/>
      <c r="B115"/>
      <c r="C115" t="s">
        <v>530</v>
      </c>
      <c r="D115" s="17">
        <v>0</v>
      </c>
      <c r="E115" s="17">
        <v>0</v>
      </c>
      <c r="F115" s="17">
        <v>0</v>
      </c>
    </row>
    <row r="116" spans="1:6" x14ac:dyDescent="0.3">
      <c r="A116"/>
      <c r="B116"/>
      <c r="C116" t="s">
        <v>92</v>
      </c>
      <c r="D116" s="17">
        <v>0</v>
      </c>
      <c r="E116" s="17">
        <v>0</v>
      </c>
      <c r="F116" s="17">
        <v>0</v>
      </c>
    </row>
    <row r="117" spans="1:6" x14ac:dyDescent="0.3">
      <c r="A117"/>
      <c r="B117"/>
      <c r="C117" t="s">
        <v>267</v>
      </c>
      <c r="D117" s="17">
        <v>137949.63618727057</v>
      </c>
      <c r="E117" s="17">
        <v>72443414.261349022</v>
      </c>
      <c r="F117" s="17">
        <v>525.14393124607454</v>
      </c>
    </row>
    <row r="118" spans="1:6" x14ac:dyDescent="0.3">
      <c r="A118"/>
      <c r="B118"/>
      <c r="C118" t="s">
        <v>691</v>
      </c>
      <c r="D118" s="17">
        <v>16422.575736579827</v>
      </c>
      <c r="E118" s="17">
        <v>144000000</v>
      </c>
      <c r="F118" s="17">
        <v>8768.417470546523</v>
      </c>
    </row>
    <row r="119" spans="1:6" x14ac:dyDescent="0.3">
      <c r="A119"/>
      <c r="B119"/>
      <c r="C119" t="s">
        <v>692</v>
      </c>
      <c r="D119" s="17">
        <v>16422.575736579827</v>
      </c>
      <c r="E119" s="17">
        <v>176132124.77481866</v>
      </c>
      <c r="F119" s="17">
        <v>10725</v>
      </c>
    </row>
    <row r="120" spans="1:6" x14ac:dyDescent="0.3">
      <c r="A120">
        <v>21</v>
      </c>
      <c r="B120" t="s">
        <v>695</v>
      </c>
      <c r="C120" t="s">
        <v>611</v>
      </c>
      <c r="D120" s="17">
        <v>-1300000.0000000002</v>
      </c>
      <c r="E120" s="17">
        <v>0</v>
      </c>
      <c r="F120" s="17">
        <v>0</v>
      </c>
    </row>
    <row r="121" spans="1:6" x14ac:dyDescent="0.3">
      <c r="A121"/>
      <c r="B121"/>
      <c r="C121" t="s">
        <v>267</v>
      </c>
      <c r="D121" s="17">
        <v>1950000.0000000002</v>
      </c>
      <c r="E121" s="17">
        <v>1024294000.3275447</v>
      </c>
      <c r="F121" s="17">
        <v>525.27897452694594</v>
      </c>
    </row>
    <row r="122" spans="1:6" x14ac:dyDescent="0.3">
      <c r="A122"/>
      <c r="B122"/>
      <c r="C122" t="s">
        <v>392</v>
      </c>
      <c r="D122" s="17">
        <v>1300000.0000000002</v>
      </c>
      <c r="E122" s="17">
        <v>4783980000</v>
      </c>
      <c r="F122" s="17">
        <v>3679.9846153846147</v>
      </c>
    </row>
    <row r="123" spans="1:6" x14ac:dyDescent="0.3">
      <c r="A123" t="s">
        <v>427</v>
      </c>
      <c r="B123" t="s">
        <v>427</v>
      </c>
      <c r="C123" t="s">
        <v>427</v>
      </c>
      <c r="D123" s="17">
        <v>0</v>
      </c>
      <c r="E123" s="17">
        <v>0</v>
      </c>
      <c r="F123" s="17">
        <v>0</v>
      </c>
    </row>
    <row r="124" spans="1:6" x14ac:dyDescent="0.3">
      <c r="A124" t="s">
        <v>428</v>
      </c>
      <c r="B124"/>
      <c r="C124"/>
      <c r="D124" s="17">
        <v>114158506.6065273</v>
      </c>
      <c r="E124" s="17">
        <v>181967848158.91498</v>
      </c>
      <c r="F124" s="17">
        <v>1593.9928925849404</v>
      </c>
    </row>
    <row r="125" spans="1:6" x14ac:dyDescent="0.3">
      <c r="A125"/>
      <c r="B125"/>
      <c r="C125"/>
      <c r="D125"/>
      <c r="E125"/>
      <c r="F125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DA29BF-207C-44CF-A408-49FA8B5B24EF}">
  <dimension ref="A1:AA269"/>
  <sheetViews>
    <sheetView topLeftCell="A233" zoomScale="60" zoomScaleNormal="60" workbookViewId="0">
      <selection activeCell="A233" sqref="A233"/>
    </sheetView>
  </sheetViews>
  <sheetFormatPr baseColWidth="10" defaultColWidth="7.44140625" defaultRowHeight="23.4" x14ac:dyDescent="0.45"/>
  <cols>
    <col min="1" max="2" width="7.44140625" style="67"/>
    <col min="3" max="3" width="3.44140625" style="67" bestFit="1" customWidth="1"/>
    <col min="4" max="4" width="11.5546875" style="67" bestFit="1" customWidth="1"/>
    <col min="5" max="5" width="41.44140625" style="67" bestFit="1" customWidth="1"/>
    <col min="6" max="6" width="42.109375" style="67" bestFit="1" customWidth="1"/>
    <col min="7" max="7" width="14.88671875" style="67" bestFit="1" customWidth="1"/>
    <col min="8" max="8" width="29.21875" style="67" bestFit="1" customWidth="1"/>
    <col min="9" max="9" width="25.33203125" style="67" bestFit="1" customWidth="1"/>
    <col min="10" max="10" width="14.77734375" style="67" bestFit="1" customWidth="1"/>
    <col min="11" max="11" width="9.88671875" style="67" customWidth="1"/>
    <col min="12" max="12" width="41.44140625" style="67" bestFit="1" customWidth="1"/>
    <col min="13" max="13" width="40.109375" style="67" bestFit="1" customWidth="1"/>
    <col min="14" max="14" width="14.88671875" style="67" bestFit="1" customWidth="1"/>
    <col min="15" max="15" width="29.21875" style="67" bestFit="1" customWidth="1"/>
    <col min="16" max="16" width="18.6640625" style="67" bestFit="1" customWidth="1"/>
    <col min="17" max="20" width="14.77734375" style="67" bestFit="1" customWidth="1"/>
    <col min="21" max="24" width="7.44140625" style="67"/>
    <col min="25" max="25" width="30.6640625" style="67" bestFit="1" customWidth="1"/>
    <col min="26" max="27" width="14.77734375" style="67" bestFit="1" customWidth="1"/>
    <col min="28" max="16384" width="7.44140625" style="67"/>
  </cols>
  <sheetData>
    <row r="1" spans="1:27" x14ac:dyDescent="0.45">
      <c r="G1" s="68"/>
      <c r="H1" s="69"/>
      <c r="L1" s="70"/>
      <c r="N1" s="70"/>
    </row>
    <row r="2" spans="1:27" x14ac:dyDescent="0.45">
      <c r="E2" s="72"/>
      <c r="G2" s="73"/>
      <c r="H2" s="69"/>
      <c r="I2" s="69"/>
      <c r="L2" s="70"/>
      <c r="M2" s="73"/>
      <c r="N2" s="73"/>
      <c r="O2" s="74"/>
    </row>
    <row r="3" spans="1:27" x14ac:dyDescent="0.45">
      <c r="I3" s="73"/>
    </row>
    <row r="4" spans="1:27" x14ac:dyDescent="0.45">
      <c r="E4" s="348" t="s">
        <v>615</v>
      </c>
      <c r="F4" s="349"/>
      <c r="G4" s="349"/>
      <c r="H4" s="349"/>
      <c r="I4" s="350"/>
      <c r="L4" s="351" t="s">
        <v>616</v>
      </c>
      <c r="M4" s="351"/>
      <c r="N4" s="351"/>
      <c r="O4" s="351"/>
      <c r="P4" s="351"/>
      <c r="R4" s="352" t="s">
        <v>617</v>
      </c>
      <c r="S4" s="352"/>
      <c r="T4" s="352"/>
    </row>
    <row r="5" spans="1:27" x14ac:dyDescent="0.45">
      <c r="D5" s="69"/>
      <c r="E5" s="67" t="s">
        <v>618</v>
      </c>
      <c r="F5" s="69">
        <f>I15*I10+I25*I19+I37*(I30+I31+I32)+I46*I43+I75*(I73+I72+I69)+I84*(I91+I107+I168)</f>
        <v>9348748404</v>
      </c>
      <c r="J5" s="75"/>
      <c r="L5" s="73"/>
      <c r="O5" s="75"/>
    </row>
    <row r="6" spans="1:27" x14ac:dyDescent="0.45">
      <c r="D6" s="76" t="s">
        <v>619</v>
      </c>
      <c r="E6" s="76" t="s">
        <v>435</v>
      </c>
      <c r="F6" s="76" t="s">
        <v>52</v>
      </c>
      <c r="G6" s="77" t="s">
        <v>620</v>
      </c>
      <c r="H6" s="77" t="s">
        <v>621</v>
      </c>
      <c r="I6" s="77" t="s">
        <v>395</v>
      </c>
      <c r="K6" s="76" t="s">
        <v>619</v>
      </c>
      <c r="L6" s="76" t="s">
        <v>435</v>
      </c>
      <c r="M6" s="76" t="s">
        <v>52</v>
      </c>
      <c r="N6" s="77" t="s">
        <v>620</v>
      </c>
      <c r="O6" s="77" t="s">
        <v>621</v>
      </c>
      <c r="P6" s="77" t="s">
        <v>395</v>
      </c>
      <c r="R6" s="77" t="s">
        <v>622</v>
      </c>
      <c r="S6" s="77" t="s">
        <v>623</v>
      </c>
      <c r="T6" s="77" t="s">
        <v>395</v>
      </c>
    </row>
    <row r="7" spans="1:27" x14ac:dyDescent="0.45">
      <c r="D7" s="78">
        <v>1</v>
      </c>
      <c r="E7" s="79" t="s">
        <v>441</v>
      </c>
      <c r="F7" s="80" t="s">
        <v>3</v>
      </c>
      <c r="G7" s="81">
        <f>IFERROR(GETPIVOTDATA(" Cantidad",TD!$A$3,"Proceso",$E$7,"ORD",$D$7,"Tipo",F7)/GETPIVOTDATA(" Cantidad",TD!$A$3,"Proceso",$E$7,"ORD",$D$7,"Tipo","Producción")*-1,0)</f>
        <v>0.20792079207920794</v>
      </c>
      <c r="H7" s="82">
        <f>IFERROR(GETPIVOTDATA("Suma de Costo",TD!$A$3,"Proceso",$E$7,"ORD",$D$7,"Tipo",F7),0)</f>
        <v>10623.146319999998</v>
      </c>
      <c r="I7" s="82">
        <f t="shared" ref="I7:I12" si="0">H7*G7</f>
        <v>2208.7729972277225</v>
      </c>
      <c r="J7" s="75"/>
      <c r="K7" s="78">
        <v>1</v>
      </c>
      <c r="L7" s="79" t="s">
        <v>441</v>
      </c>
      <c r="M7" s="80" t="s">
        <v>3</v>
      </c>
      <c r="N7" s="81">
        <v>0.21731512742639097</v>
      </c>
      <c r="O7" s="82">
        <v>10136.590000000002</v>
      </c>
      <c r="P7" s="82">
        <f t="shared" ref="P7:P13" si="1">N7*O7</f>
        <v>2202.8343475190809</v>
      </c>
      <c r="Q7" s="75"/>
      <c r="R7" s="82">
        <f t="shared" ref="R7:R13" si="2">+(O7-H7)*N7</f>
        <v>-105.736048680915</v>
      </c>
      <c r="S7" s="82">
        <f t="shared" ref="S7:S13" si="3">+(N7-G7)*H7</f>
        <v>99.797398972273371</v>
      </c>
      <c r="T7" s="82">
        <f t="shared" ref="T7:T13" si="4">+P7-I7</f>
        <v>-5.9386497086416057</v>
      </c>
      <c r="U7" s="71"/>
      <c r="V7" s="70"/>
      <c r="Y7" s="71"/>
      <c r="Z7" s="71"/>
      <c r="AA7" s="74"/>
    </row>
    <row r="8" spans="1:27" x14ac:dyDescent="0.45">
      <c r="D8" s="83"/>
      <c r="E8" s="79"/>
      <c r="F8" s="80" t="s">
        <v>2</v>
      </c>
      <c r="G8" s="81">
        <f>IFERROR(GETPIVOTDATA(" Cantidad",TD!$A$3,"Proceso","Trituración","ORD",1,"Tipo",F8)/GETPIVOTDATA(" Cantidad",TD!$A$3,"Proceso","Trituración","ORD",1,"Tipo","Producción")*-1,0)</f>
        <v>0.79207920792079212</v>
      </c>
      <c r="H8" s="82">
        <f>IFERROR(GETPIVOTDATA("Suma de Costo",TD!$A$3,"Proceso",$E$7,"ORD",$D$7,"Tipo",F8),0)</f>
        <v>13978.131776</v>
      </c>
      <c r="I8" s="82">
        <f t="shared" si="0"/>
        <v>11071.787545346535</v>
      </c>
      <c r="J8" s="75"/>
      <c r="K8" s="83"/>
      <c r="L8" s="79"/>
      <c r="M8" s="80" t="s">
        <v>2</v>
      </c>
      <c r="N8" s="81">
        <v>0.78268487257360908</v>
      </c>
      <c r="O8" s="82">
        <v>13349.966091516106</v>
      </c>
      <c r="P8" s="82">
        <f t="shared" si="1"/>
        <v>10448.816509200286</v>
      </c>
      <c r="Q8" s="75"/>
      <c r="R8" s="82">
        <f t="shared" si="2"/>
        <v>-491.65577871539085</v>
      </c>
      <c r="S8" s="82">
        <f t="shared" si="3"/>
        <v>-131.31525743085919</v>
      </c>
      <c r="T8" s="82">
        <f t="shared" si="4"/>
        <v>-622.97103614624939</v>
      </c>
      <c r="V8" s="70"/>
      <c r="Y8" s="73"/>
      <c r="AA8" s="74"/>
    </row>
    <row r="9" spans="1:27" x14ac:dyDescent="0.45">
      <c r="A9" s="84"/>
      <c r="D9" s="83"/>
      <c r="E9" s="79"/>
      <c r="F9" s="80" t="s">
        <v>267</v>
      </c>
      <c r="G9" s="85">
        <f>GETPIVOTDATA(" Cantidad",TD!$A$3,"Proceso","Trituración","ORD",1,"Tipo",F9)/((GETPIVOTDATA(" Cantidad",TD!$A$3,"Proceso","Trituración","ORD",1,"Tipo","Producción"))*-1)</f>
        <v>1.27</v>
      </c>
      <c r="H9" s="86">
        <f>IFERROR(GETPIVOTDATA("Suma de Costo",TD!$A$3,"Proceso",$E$7,"ORD",$D$7,"Tipo",F9),0)</f>
        <v>525.14399528097783</v>
      </c>
      <c r="I9" s="82">
        <f t="shared" si="0"/>
        <v>666.93287400684187</v>
      </c>
      <c r="J9" s="75"/>
      <c r="K9" s="83"/>
      <c r="L9" s="79"/>
      <c r="M9" s="80" t="s">
        <v>267</v>
      </c>
      <c r="N9" s="87">
        <v>1.2925727340036359</v>
      </c>
      <c r="O9" s="88">
        <v>485.33891128999591</v>
      </c>
      <c r="P9" s="82">
        <f t="shared" si="1"/>
        <v>627.33584348445811</v>
      </c>
      <c r="Q9" s="75"/>
      <c r="R9" s="82">
        <f t="shared" si="2"/>
        <v>-51.450966241467867</v>
      </c>
      <c r="S9" s="82">
        <f t="shared" si="3"/>
        <v>11.853935719084143</v>
      </c>
      <c r="T9" s="82">
        <f t="shared" si="4"/>
        <v>-39.597030522383761</v>
      </c>
      <c r="V9" s="70"/>
      <c r="Y9" s="89"/>
      <c r="Z9" s="69"/>
      <c r="AA9" s="74"/>
    </row>
    <row r="10" spans="1:27" x14ac:dyDescent="0.45">
      <c r="A10" s="84"/>
      <c r="C10" s="84" t="s">
        <v>624</v>
      </c>
      <c r="D10" s="83"/>
      <c r="E10" s="90"/>
      <c r="F10" s="80" t="s">
        <v>520</v>
      </c>
      <c r="G10" s="85">
        <f>IFERROR(GETPIVOTDATA(" Cantidad",TD!$A$3,"Proceso","Trituración","ORD",1,"Tipo",F10)/GETPIVOTDATA(" Cantidad",TD!$A$3,"Proceso","Trituración","ORD",1,"Tipo","Producción")*-1,0)</f>
        <v>1</v>
      </c>
      <c r="H10" s="86">
        <f>IFERROR(GETPIVOTDATA("Suma de Costo",TD!$A$3,"Proceso",$E$7,"ORD",$D$7,"Tipo",F10),0)</f>
        <v>903.51193901033002</v>
      </c>
      <c r="I10" s="82">
        <f t="shared" si="0"/>
        <v>903.51193901033002</v>
      </c>
      <c r="J10" s="75"/>
      <c r="K10" s="83"/>
      <c r="L10" s="90"/>
      <c r="M10" s="80" t="s">
        <v>520</v>
      </c>
      <c r="N10" s="85">
        <v>1</v>
      </c>
      <c r="O10" s="88">
        <v>477.1706286414892</v>
      </c>
      <c r="P10" s="82">
        <f t="shared" si="1"/>
        <v>477.1706286414892</v>
      </c>
      <c r="Q10" s="75"/>
      <c r="R10" s="82">
        <f t="shared" si="2"/>
        <v>-426.34131036884082</v>
      </c>
      <c r="S10" s="82">
        <f t="shared" si="3"/>
        <v>0</v>
      </c>
      <c r="T10" s="82">
        <f t="shared" si="4"/>
        <v>-426.34131036884082</v>
      </c>
      <c r="V10" s="70"/>
      <c r="Z10" s="69"/>
      <c r="AA10" s="74"/>
    </row>
    <row r="11" spans="1:27" x14ac:dyDescent="0.45">
      <c r="A11" s="84"/>
      <c r="C11" s="84"/>
      <c r="D11" s="83"/>
      <c r="E11" s="90"/>
      <c r="F11" s="80" t="s">
        <v>51</v>
      </c>
      <c r="G11" s="85">
        <f>IFERROR(GETPIVOTDATA(" Cantidad",TD!$A$3,"Proceso","Trituración","ORD",1,"Tipo",F11)/GETPIVOTDATA(" Cantidad",TD!$A$3,"Proceso","Trituración","ORD",1,"Tipo","Producción")*-1,0)</f>
        <v>1</v>
      </c>
      <c r="H11" s="86">
        <f>IFERROR(GETPIVOTDATA("Suma de Costo",TD!$A$3,"Proceso",$E$7,"ORD",$D$7,"Tipo",F11),0)</f>
        <v>369.16354141963348</v>
      </c>
      <c r="I11" s="82">
        <f t="shared" si="0"/>
        <v>369.16354141963348</v>
      </c>
      <c r="J11" s="75"/>
      <c r="K11" s="83"/>
      <c r="L11" s="90"/>
      <c r="M11" s="80" t="s">
        <v>51</v>
      </c>
      <c r="N11" s="85">
        <v>0</v>
      </c>
      <c r="O11" s="82">
        <v>0</v>
      </c>
      <c r="P11" s="82">
        <f t="shared" si="1"/>
        <v>0</v>
      </c>
      <c r="Q11" s="75"/>
      <c r="R11" s="82">
        <f t="shared" si="2"/>
        <v>0</v>
      </c>
      <c r="S11" s="82">
        <f t="shared" si="3"/>
        <v>-369.16354141963348</v>
      </c>
      <c r="T11" s="82">
        <f t="shared" si="4"/>
        <v>-369.16354141963348</v>
      </c>
      <c r="V11" s="70"/>
      <c r="Z11" s="69"/>
      <c r="AA11" s="74"/>
    </row>
    <row r="12" spans="1:27" x14ac:dyDescent="0.45">
      <c r="A12" s="84"/>
      <c r="C12" s="84"/>
      <c r="D12" s="83"/>
      <c r="E12" s="90"/>
      <c r="F12" s="80" t="s">
        <v>625</v>
      </c>
      <c r="G12" s="85">
        <v>1</v>
      </c>
      <c r="H12" s="86">
        <f>(IFERROR(GETPIVOTDATA("Suma de Costo",TD!$A$3,"Proceso",$E$7,"ORD",$D$7,"Tipo",F12),0))</f>
        <v>0</v>
      </c>
      <c r="I12" s="82">
        <f t="shared" si="0"/>
        <v>0</v>
      </c>
      <c r="J12" s="75"/>
      <c r="K12" s="83"/>
      <c r="L12" s="90"/>
      <c r="M12" s="80" t="s">
        <v>625</v>
      </c>
      <c r="N12" s="85">
        <v>1</v>
      </c>
      <c r="O12" s="91">
        <v>0</v>
      </c>
      <c r="P12" s="82">
        <f t="shared" si="1"/>
        <v>0</v>
      </c>
      <c r="Q12" s="75"/>
      <c r="R12" s="82">
        <f t="shared" si="2"/>
        <v>0</v>
      </c>
      <c r="S12" s="82">
        <f t="shared" si="3"/>
        <v>0</v>
      </c>
      <c r="T12" s="82">
        <f t="shared" si="4"/>
        <v>0</v>
      </c>
      <c r="V12" s="70"/>
      <c r="AA12" s="74"/>
    </row>
    <row r="13" spans="1:27" x14ac:dyDescent="0.45">
      <c r="D13" s="83"/>
      <c r="E13" s="92"/>
      <c r="F13" s="80" t="s">
        <v>485</v>
      </c>
      <c r="G13" s="85">
        <v>1</v>
      </c>
      <c r="H13" s="82">
        <f>(IFERROR(GETPIVOTDATA("Suma de Costo",TD!$A$3,"Proceso",$E$7,"ORD",$D$7,"Tipo",F13),0))</f>
        <v>152.42183180990097</v>
      </c>
      <c r="I13" s="85">
        <f>H13*G13</f>
        <v>152.42183180990097</v>
      </c>
      <c r="J13" s="75"/>
      <c r="K13" s="83"/>
      <c r="L13" s="92"/>
      <c r="M13" s="80" t="s">
        <v>485</v>
      </c>
      <c r="N13" s="85">
        <v>1</v>
      </c>
      <c r="O13" s="82">
        <v>146.6226985915828</v>
      </c>
      <c r="P13" s="82">
        <f t="shared" si="1"/>
        <v>146.6226985915828</v>
      </c>
      <c r="Q13" s="75"/>
      <c r="R13" s="93">
        <f t="shared" si="2"/>
        <v>-5.7991332183181612</v>
      </c>
      <c r="S13" s="93">
        <f t="shared" si="3"/>
        <v>0</v>
      </c>
      <c r="T13" s="93">
        <f t="shared" si="4"/>
        <v>-5.7991332183181612</v>
      </c>
      <c r="V13" s="70"/>
      <c r="Y13" s="73"/>
      <c r="AA13" s="74"/>
    </row>
    <row r="14" spans="1:27" x14ac:dyDescent="0.45">
      <c r="D14" s="94"/>
      <c r="E14" s="95" t="s">
        <v>626</v>
      </c>
      <c r="F14" s="95"/>
      <c r="G14" s="96"/>
      <c r="H14" s="96"/>
      <c r="I14" s="97">
        <f>SUM(I7:I13)</f>
        <v>15372.590728820964</v>
      </c>
      <c r="J14" s="75"/>
      <c r="K14" s="94"/>
      <c r="L14" s="95" t="s">
        <v>626</v>
      </c>
      <c r="M14" s="95"/>
      <c r="N14" s="96"/>
      <c r="O14" s="96"/>
      <c r="P14" s="97">
        <f>SUM(P7:P13)</f>
        <v>13902.780027436898</v>
      </c>
      <c r="Q14" s="75"/>
      <c r="R14" s="97">
        <f>+SUM(R7:R13)</f>
        <v>-1080.983237224933</v>
      </c>
      <c r="S14" s="97">
        <f>+SUM(S7:S13)</f>
        <v>-388.82746415913516</v>
      </c>
      <c r="T14" s="97">
        <f>+SUM(T7:T13)</f>
        <v>-1469.8107013840672</v>
      </c>
      <c r="U14" s="69"/>
    </row>
    <row r="15" spans="1:27" x14ac:dyDescent="0.45">
      <c r="D15" s="98"/>
      <c r="E15" s="99" t="s">
        <v>627</v>
      </c>
      <c r="F15" s="99"/>
      <c r="G15" s="100"/>
      <c r="H15" s="100"/>
      <c r="I15" s="101">
        <f>IFERROR(GETPIVOTDATA(" Cantidad",TD!$A$3,"Proceso",E7,"ORD",D7,"Tipo","Producción")*-1,0)</f>
        <v>1146594.6729666553</v>
      </c>
      <c r="K15" s="98"/>
      <c r="L15" s="99" t="s">
        <v>627</v>
      </c>
      <c r="M15" s="99"/>
      <c r="N15" s="100"/>
      <c r="O15" s="100"/>
      <c r="P15" s="101">
        <v>1234040.875</v>
      </c>
      <c r="Q15" s="75"/>
      <c r="R15" s="101"/>
      <c r="S15" s="101"/>
      <c r="T15" s="101"/>
    </row>
    <row r="16" spans="1:27" x14ac:dyDescent="0.45">
      <c r="G16" s="69"/>
      <c r="H16" s="70"/>
      <c r="I16" s="70"/>
      <c r="L16" s="69"/>
      <c r="M16" s="69"/>
      <c r="N16" s="69"/>
      <c r="O16" s="70"/>
      <c r="P16" s="70"/>
      <c r="Q16" s="75"/>
    </row>
    <row r="17" spans="1:22" x14ac:dyDescent="0.45">
      <c r="D17" s="76" t="s">
        <v>628</v>
      </c>
      <c r="E17" s="76" t="s">
        <v>435</v>
      </c>
      <c r="F17" s="76" t="s">
        <v>52</v>
      </c>
      <c r="G17" s="77" t="s">
        <v>620</v>
      </c>
      <c r="H17" s="77" t="s">
        <v>621</v>
      </c>
      <c r="I17" s="77" t="s">
        <v>395</v>
      </c>
      <c r="K17" s="76" t="s">
        <v>619</v>
      </c>
      <c r="L17" s="76" t="s">
        <v>435</v>
      </c>
      <c r="M17" s="76" t="s">
        <v>52</v>
      </c>
      <c r="N17" s="77" t="s">
        <v>620</v>
      </c>
      <c r="O17" s="77" t="s">
        <v>621</v>
      </c>
      <c r="P17" s="77" t="s">
        <v>395</v>
      </c>
      <c r="Q17" s="75"/>
      <c r="R17" s="77" t="s">
        <v>622</v>
      </c>
      <c r="S17" s="77" t="s">
        <v>623</v>
      </c>
      <c r="T17" s="77" t="s">
        <v>395</v>
      </c>
    </row>
    <row r="18" spans="1:22" x14ac:dyDescent="0.45">
      <c r="D18" s="78">
        <v>2</v>
      </c>
      <c r="E18" s="79" t="s">
        <v>471</v>
      </c>
      <c r="F18" s="80" t="s">
        <v>2</v>
      </c>
      <c r="G18" s="85">
        <f>IFERROR(GETPIVOTDATA(" Cantidad",TD!$A$3,"Proceso",$E$18,"ORD",$D$18,"Tipo",F18)/GETPIVOTDATA(" Cantidad",TD!$A$3,"Proceso",$E$18,"ORD",$D$18,"Tipo","Producción")*-1,0)</f>
        <v>1</v>
      </c>
      <c r="H18" s="82">
        <f>IFERROR(GETPIVOTDATA("Suma de Costo",TD!$A$3,"Proceso",$E$18,"ORD",$D$18,"Tipo",F18),0)</f>
        <v>13978.131776</v>
      </c>
      <c r="I18" s="82">
        <f>H18*G18</f>
        <v>13978.131776</v>
      </c>
      <c r="J18" s="75"/>
      <c r="K18" s="78">
        <v>2</v>
      </c>
      <c r="L18" s="79" t="s">
        <v>471</v>
      </c>
      <c r="M18" s="80" t="s">
        <v>2</v>
      </c>
      <c r="N18" s="85">
        <v>1</v>
      </c>
      <c r="O18" s="82">
        <v>13868.79126901877</v>
      </c>
      <c r="P18" s="82">
        <f t="shared" ref="P18:P23" si="5">N18*O18</f>
        <v>13868.79126901877</v>
      </c>
      <c r="Q18" s="75"/>
      <c r="R18" s="82">
        <f t="shared" ref="R18:R23" si="6">+(O18-H18)*N18</f>
        <v>-109.34050698123065</v>
      </c>
      <c r="S18" s="82">
        <f t="shared" ref="S18:S23" si="7">+(N18-G18)*H18</f>
        <v>0</v>
      </c>
      <c r="T18" s="82">
        <f t="shared" ref="T18:T23" si="8">+P18-I18</f>
        <v>-109.34050698123065</v>
      </c>
      <c r="U18" s="71"/>
      <c r="V18" s="70"/>
    </row>
    <row r="19" spans="1:22" x14ac:dyDescent="0.45">
      <c r="A19" s="84"/>
      <c r="C19" s="84" t="s">
        <v>624</v>
      </c>
      <c r="D19" s="102"/>
      <c r="E19" s="79"/>
      <c r="F19" s="80" t="s">
        <v>520</v>
      </c>
      <c r="G19" s="85">
        <f>IFERROR(GETPIVOTDATA(" Cantidad",TD!$A$3,"Proceso",$E$18,"ORD",$D$18,"Tipo",F19)/GETPIVOTDATA(" Cantidad",TD!$A$3,"Proceso",$E$18,"ORD",$D$18,"Tipo","Producción")*-1,0)</f>
        <v>1</v>
      </c>
      <c r="H19" s="86">
        <f>IFERROR(GETPIVOTDATA("Suma de Costo",TD!$A$3,"Proceso",$E$18,"ORD",$D$18,"Tipo",F19),0)</f>
        <v>903.51193901033014</v>
      </c>
      <c r="I19" s="82">
        <f t="shared" ref="I19:I23" si="9">H19*G19</f>
        <v>903.51193901033014</v>
      </c>
      <c r="J19" s="75"/>
      <c r="K19" s="102"/>
      <c r="L19" s="79"/>
      <c r="M19" s="80" t="s">
        <v>520</v>
      </c>
      <c r="N19" s="85">
        <v>1</v>
      </c>
      <c r="O19" s="103">
        <v>477.1706286414892</v>
      </c>
      <c r="P19" s="82">
        <f t="shared" si="5"/>
        <v>477.1706286414892</v>
      </c>
      <c r="Q19" s="75"/>
      <c r="R19" s="82">
        <f t="shared" si="6"/>
        <v>-426.34131036884094</v>
      </c>
      <c r="S19" s="82">
        <f t="shared" si="7"/>
        <v>0</v>
      </c>
      <c r="T19" s="82">
        <f t="shared" si="8"/>
        <v>-426.34131036884094</v>
      </c>
      <c r="V19" s="70"/>
    </row>
    <row r="20" spans="1:22" x14ac:dyDescent="0.45">
      <c r="A20" s="84"/>
      <c r="C20" s="84"/>
      <c r="D20" s="102"/>
      <c r="E20" s="79"/>
      <c r="F20" s="80" t="s">
        <v>51</v>
      </c>
      <c r="G20" s="85">
        <f>IFERROR(GETPIVOTDATA(" Cantidad",TD!$A$3,"Proceso",$E$18,"ORD",$D$18,"Tipo",F20)/GETPIVOTDATA(" Cantidad",TD!$A$3,"Proceso",$E$18,"ORD",$D$18,"Tipo","Producción")*-1,0)</f>
        <v>1</v>
      </c>
      <c r="H20" s="82">
        <f>IFERROR(GETPIVOTDATA("Suma de Costo",TD!$A$3,"Proceso",$E$18,"ORD",$D$18,"Tipo",F20),0)</f>
        <v>369.16354141963336</v>
      </c>
      <c r="I20" s="82">
        <f t="shared" si="9"/>
        <v>369.16354141963336</v>
      </c>
      <c r="J20" s="75"/>
      <c r="K20" s="102"/>
      <c r="L20" s="79"/>
      <c r="M20" s="80" t="s">
        <v>51</v>
      </c>
      <c r="N20" s="85">
        <v>0</v>
      </c>
      <c r="O20" s="82">
        <v>0</v>
      </c>
      <c r="P20" s="82">
        <f t="shared" si="5"/>
        <v>0</v>
      </c>
      <c r="Q20" s="75"/>
      <c r="R20" s="82">
        <f t="shared" si="6"/>
        <v>0</v>
      </c>
      <c r="S20" s="82">
        <f t="shared" si="7"/>
        <v>-369.16354141963336</v>
      </c>
      <c r="T20" s="82">
        <f t="shared" si="8"/>
        <v>-369.16354141963336</v>
      </c>
      <c r="V20" s="70"/>
    </row>
    <row r="21" spans="1:22" x14ac:dyDescent="0.45">
      <c r="A21" s="84"/>
      <c r="C21" s="84"/>
      <c r="D21" s="102"/>
      <c r="E21" s="79"/>
      <c r="F21" s="80" t="s">
        <v>625</v>
      </c>
      <c r="G21" s="85">
        <f>IFERROR(GETPIVOTDATA(" Cantidad",TD!$A$3,"Proceso","Trituración","ORD",1,"Tipo",F21)/GETPIVOTDATA(" Cantidad",TD!$A$3,"Proceso","Trituración","ORD",1,"Tipo","Producción")*-1,0)*0+1</f>
        <v>1</v>
      </c>
      <c r="H21" s="86">
        <f>(IFERROR(GETPIVOTDATA("Suma de Costo",TD!$A$3,"Proceso",$E$18,"ORD",$D$18,"Tipo",F21),0))</f>
        <v>0</v>
      </c>
      <c r="I21" s="82">
        <f t="shared" si="9"/>
        <v>0</v>
      </c>
      <c r="J21" s="75"/>
      <c r="K21" s="102"/>
      <c r="L21" s="79"/>
      <c r="M21" s="80" t="s">
        <v>625</v>
      </c>
      <c r="N21" s="85">
        <v>1</v>
      </c>
      <c r="O21" s="91">
        <v>0</v>
      </c>
      <c r="P21" s="82">
        <f t="shared" si="5"/>
        <v>0</v>
      </c>
      <c r="Q21" s="75"/>
      <c r="R21" s="82">
        <f t="shared" si="6"/>
        <v>0</v>
      </c>
      <c r="S21" s="82">
        <f t="shared" si="7"/>
        <v>0</v>
      </c>
      <c r="T21" s="82">
        <f t="shared" si="8"/>
        <v>0</v>
      </c>
      <c r="V21" s="70"/>
    </row>
    <row r="22" spans="1:22" x14ac:dyDescent="0.45">
      <c r="A22" s="84"/>
      <c r="C22" s="84"/>
      <c r="D22" s="102"/>
      <c r="E22" s="79"/>
      <c r="F22" s="80" t="s">
        <v>485</v>
      </c>
      <c r="G22" s="85">
        <f>IFERROR(GETPIVOTDATA(" Cantidad",TD!$A$3,"Proceso","Trituración","ORD",1,"Tipo",F22)/GETPIVOTDATA(" Cantidad",TD!$A$3,"Proceso","Trituración","ORD",1,"Tipo","Producción")*-1,0)*0+1</f>
        <v>1</v>
      </c>
      <c r="H22" s="82">
        <f>(IFERROR(GETPIVOTDATA("Suma de Costo",TD!$A$3,"Proceso",$E$18,"ORD",$D$18,"Tipo",F22),0))</f>
        <v>118.5867544</v>
      </c>
      <c r="I22" s="82">
        <f>H22*G22</f>
        <v>118.5867544</v>
      </c>
      <c r="J22" s="75"/>
      <c r="K22" s="102"/>
      <c r="L22" s="79"/>
      <c r="M22" s="80" t="s">
        <v>485</v>
      </c>
      <c r="N22" s="85">
        <v>1</v>
      </c>
      <c r="O22" s="82">
        <v>113.59304331650982</v>
      </c>
      <c r="P22" s="82">
        <f t="shared" si="5"/>
        <v>113.59304331650982</v>
      </c>
      <c r="Q22" s="75"/>
      <c r="R22" s="82">
        <f t="shared" si="6"/>
        <v>-4.993711083490183</v>
      </c>
      <c r="S22" s="82">
        <f t="shared" si="7"/>
        <v>0</v>
      </c>
      <c r="T22" s="82">
        <f t="shared" si="8"/>
        <v>-4.993711083490183</v>
      </c>
      <c r="V22" s="70"/>
    </row>
    <row r="23" spans="1:22" x14ac:dyDescent="0.45">
      <c r="A23" s="84"/>
      <c r="D23" s="83"/>
      <c r="E23" s="79"/>
      <c r="F23" s="80" t="s">
        <v>267</v>
      </c>
      <c r="G23" s="85">
        <f>GETPIVOTDATA(" Cantidad",TD!$A$3,"Proceso","Adiciones","ORD",2,"Tipo",F23)/((GETPIVOTDATA(" Cantidad",TD!$A$3,"Proceso","Adiciones","ORD",2,"Tipo","Producción"))*-1)</f>
        <v>1.2700000000000002</v>
      </c>
      <c r="H23" s="86">
        <f>IFERROR(GETPIVOTDATA("Suma de Costo",TD!$A$3,"Proceso",$E$18,"ORD",$D$18,"Tipo",F23),0)</f>
        <v>525.24409409393547</v>
      </c>
      <c r="I23" s="82">
        <f t="shared" si="9"/>
        <v>667.05999949929821</v>
      </c>
      <c r="J23" s="75"/>
      <c r="K23" s="83"/>
      <c r="L23" s="79"/>
      <c r="M23" s="80" t="s">
        <v>267</v>
      </c>
      <c r="N23" s="87">
        <v>1.2925727340036359</v>
      </c>
      <c r="O23" s="88">
        <v>485.33891128999591</v>
      </c>
      <c r="P23" s="82">
        <f t="shared" si="5"/>
        <v>627.33584348445811</v>
      </c>
      <c r="Q23" s="75"/>
      <c r="R23" s="82">
        <f t="shared" si="6"/>
        <v>-51.580351237803043</v>
      </c>
      <c r="S23" s="82">
        <f t="shared" si="7"/>
        <v>11.856195222962999</v>
      </c>
      <c r="T23" s="82">
        <f t="shared" si="8"/>
        <v>-39.724156014840105</v>
      </c>
      <c r="V23" s="70"/>
    </row>
    <row r="24" spans="1:22" x14ac:dyDescent="0.45">
      <c r="D24" s="94"/>
      <c r="E24" s="95" t="s">
        <v>629</v>
      </c>
      <c r="F24" s="95"/>
      <c r="G24" s="96"/>
      <c r="H24" s="96"/>
      <c r="I24" s="97">
        <f>SUM(I18:I23)</f>
        <v>16036.454010329262</v>
      </c>
      <c r="J24" s="75"/>
      <c r="K24" s="94"/>
      <c r="L24" s="95" t="s">
        <v>629</v>
      </c>
      <c r="M24" s="95"/>
      <c r="N24" s="96"/>
      <c r="O24" s="96"/>
      <c r="P24" s="97">
        <f>SUM(P18:P23)</f>
        <v>15086.890784461226</v>
      </c>
      <c r="Q24" s="75"/>
      <c r="R24" s="97">
        <f>+SUM(R18:R23)</f>
        <v>-592.25587967136482</v>
      </c>
      <c r="S24" s="97">
        <f>+SUM(S18:S23)</f>
        <v>-357.30734619667038</v>
      </c>
      <c r="T24" s="97">
        <f>+SUM(T18:T23)</f>
        <v>-949.56322586803526</v>
      </c>
      <c r="U24" s="69"/>
    </row>
    <row r="25" spans="1:22" x14ac:dyDescent="0.45">
      <c r="D25" s="98"/>
      <c r="E25" s="99" t="s">
        <v>627</v>
      </c>
      <c r="F25" s="99"/>
      <c r="G25" s="100"/>
      <c r="H25" s="100"/>
      <c r="I25" s="101">
        <f>IFERROR(GETPIVOTDATA(" Cantidad",TD!$A$3,"Proceso",E18,"ORD",D18,"Tipo","Producción")*-1,0)</f>
        <v>602137.06125997496</v>
      </c>
      <c r="K25" s="98"/>
      <c r="L25" s="99" t="s">
        <v>627</v>
      </c>
      <c r="M25" s="99"/>
      <c r="N25" s="100"/>
      <c r="O25" s="100"/>
      <c r="P25" s="101">
        <v>484054.625</v>
      </c>
      <c r="Q25" s="75"/>
      <c r="R25" s="101"/>
      <c r="S25" s="101"/>
      <c r="T25" s="101"/>
    </row>
    <row r="26" spans="1:22" x14ac:dyDescent="0.45">
      <c r="E26" s="104"/>
      <c r="F26" s="73"/>
      <c r="G26" s="105"/>
      <c r="H26" s="70"/>
      <c r="I26" s="71"/>
      <c r="L26" s="69"/>
      <c r="M26" s="73"/>
      <c r="N26" s="69"/>
      <c r="O26" s="70"/>
      <c r="P26" s="71"/>
      <c r="Q26" s="75"/>
    </row>
    <row r="27" spans="1:22" x14ac:dyDescent="0.45">
      <c r="D27" s="76" t="s">
        <v>630</v>
      </c>
      <c r="E27" s="76" t="s">
        <v>435</v>
      </c>
      <c r="F27" s="76" t="s">
        <v>52</v>
      </c>
      <c r="G27" s="77" t="s">
        <v>620</v>
      </c>
      <c r="H27" s="77" t="s">
        <v>621</v>
      </c>
      <c r="I27" s="77" t="s">
        <v>395</v>
      </c>
      <c r="K27" s="76" t="s">
        <v>630</v>
      </c>
      <c r="L27" s="76" t="s">
        <v>435</v>
      </c>
      <c r="M27" s="76" t="s">
        <v>52</v>
      </c>
      <c r="N27" s="77" t="s">
        <v>620</v>
      </c>
      <c r="O27" s="77" t="s">
        <v>621</v>
      </c>
      <c r="P27" s="77" t="s">
        <v>395</v>
      </c>
      <c r="Q27" s="75"/>
      <c r="R27" s="77" t="s">
        <v>622</v>
      </c>
      <c r="S27" s="77" t="s">
        <v>623</v>
      </c>
      <c r="T27" s="77" t="s">
        <v>395</v>
      </c>
    </row>
    <row r="28" spans="1:22" x14ac:dyDescent="0.45">
      <c r="D28" s="78">
        <v>3</v>
      </c>
      <c r="E28" s="79" t="s">
        <v>446</v>
      </c>
      <c r="F28" s="80" t="s">
        <v>53</v>
      </c>
      <c r="G28" s="85">
        <f>IFERROR(GETPIVOTDATA(" Cantidad",TD!$A$3,"Proceso",$E$28,"ORD",$D$28,"Tipo",F28)/GETPIVOTDATA(" Cantidad",TD!$A$3,"Proceso",$E$28,"ORD",$D$28,"Tipo","Producción")*-1,0)</f>
        <v>0.83131183168316825</v>
      </c>
      <c r="H28" s="82">
        <f>I14</f>
        <v>15372.590728820964</v>
      </c>
      <c r="I28" s="82">
        <f t="shared" ref="I28:I35" si="10">H28*G28</f>
        <v>12779.416556491846</v>
      </c>
      <c r="J28" s="75"/>
      <c r="K28" s="78">
        <v>3</v>
      </c>
      <c r="L28" s="79" t="s">
        <v>446</v>
      </c>
      <c r="M28" s="80" t="s">
        <v>53</v>
      </c>
      <c r="N28" s="81">
        <v>0.89170298656038816</v>
      </c>
      <c r="O28" s="106">
        <f>P14</f>
        <v>13902.780027436898</v>
      </c>
      <c r="P28" s="82">
        <f t="shared" ref="P28:P35" si="11">N28*O28</f>
        <v>12397.150471957597</v>
      </c>
      <c r="Q28" s="75"/>
      <c r="R28" s="82">
        <f t="shared" ref="R28:R35" si="12">+(O28-H28)*N28</f>
        <v>-1310.63459210259</v>
      </c>
      <c r="S28" s="82">
        <f t="shared" ref="S28:S35" si="13">+(N28-G28)*H28</f>
        <v>928.36850756834167</v>
      </c>
      <c r="T28" s="82">
        <f t="shared" ref="T28:T35" si="14">+P28-I28</f>
        <v>-382.26608453424888</v>
      </c>
      <c r="U28" s="71"/>
      <c r="V28" s="70"/>
    </row>
    <row r="29" spans="1:22" x14ac:dyDescent="0.45">
      <c r="D29" s="83"/>
      <c r="E29" s="79"/>
      <c r="F29" s="80" t="s">
        <v>2</v>
      </c>
      <c r="G29" s="81">
        <f>IFERROR(GETPIVOTDATA(" Cantidad",TD!$A$3,"Proceso",$E$28,"ORD",$D$28,"Tipo",F29)/GETPIVOTDATA(" Cantidad",TD!$A$3,"Proceso",$E$28,"ORD",$D$28,"Tipo","Producción")*-1,0)</f>
        <v>0.18281</v>
      </c>
      <c r="H29" s="82">
        <f>+I24</f>
        <v>16036.454010329262</v>
      </c>
      <c r="I29" s="82">
        <f t="shared" si="10"/>
        <v>2931.6241576282923</v>
      </c>
      <c r="J29" s="75"/>
      <c r="K29" s="83"/>
      <c r="L29" s="79"/>
      <c r="M29" s="80" t="s">
        <v>2</v>
      </c>
      <c r="N29" s="107">
        <v>0.12118480253419782</v>
      </c>
      <c r="O29" s="88">
        <f>P24</f>
        <v>15086.890784461226</v>
      </c>
      <c r="P29" s="82">
        <f t="shared" si="11"/>
        <v>1828.3018805699426</v>
      </c>
      <c r="Q29" s="75"/>
      <c r="R29" s="82">
        <f t="shared" si="12"/>
        <v>-115.07263202055384</v>
      </c>
      <c r="S29" s="82">
        <f t="shared" si="13"/>
        <v>-988.24964503779609</v>
      </c>
      <c r="T29" s="82">
        <f t="shared" si="14"/>
        <v>-1103.3222770583498</v>
      </c>
      <c r="V29" s="70"/>
    </row>
    <row r="30" spans="1:22" x14ac:dyDescent="0.45">
      <c r="D30" s="83"/>
      <c r="E30" s="108"/>
      <c r="F30" s="80" t="s">
        <v>491</v>
      </c>
      <c r="G30" s="85">
        <f>IFERROR(GETPIVOTDATA(" Cantidad",TD!$A$3,"Proceso",$E$28,"ORD",$D$28,"Tipo",F30)/GETPIVOTDATA(" Cantidad",TD!$A$3,"Proceso",$E$28,"ORD",$D$28,"Tipo","Producción")*-1,0)</f>
        <v>1</v>
      </c>
      <c r="H30" s="82">
        <f>IFERROR(GETPIVOTDATA("Suma de Costo",TD!$A$3,"Proceso",$E$28,"ORD",$D$28,"Tipo",F30),0)</f>
        <v>167.10951069178878</v>
      </c>
      <c r="I30" s="82">
        <f t="shared" si="10"/>
        <v>167.10951069178878</v>
      </c>
      <c r="J30" s="75"/>
      <c r="K30" s="83"/>
      <c r="L30" s="108"/>
      <c r="M30" s="80" t="s">
        <v>491</v>
      </c>
      <c r="N30" s="85">
        <v>1</v>
      </c>
      <c r="O30" s="109">
        <v>397.8958117762491</v>
      </c>
      <c r="P30" s="82">
        <f t="shared" si="11"/>
        <v>397.8958117762491</v>
      </c>
      <c r="Q30" s="75"/>
      <c r="R30" s="82">
        <f t="shared" si="12"/>
        <v>230.78630108446032</v>
      </c>
      <c r="S30" s="82">
        <f t="shared" si="13"/>
        <v>0</v>
      </c>
      <c r="T30" s="82">
        <f t="shared" si="14"/>
        <v>230.78630108446032</v>
      </c>
      <c r="V30" s="70"/>
    </row>
    <row r="31" spans="1:22" x14ac:dyDescent="0.45">
      <c r="D31" s="83"/>
      <c r="E31" s="110"/>
      <c r="F31" s="80" t="s">
        <v>492</v>
      </c>
      <c r="G31" s="85">
        <f>IFERROR(GETPIVOTDATA(" Cantidad",TD!$A$3,"Proceso",$E$28,"ORD",$D$28,"Tipo",F31)/GETPIVOTDATA(" Cantidad",TD!$A$3,"Proceso",$E$28,"ORD",$D$28,"Tipo","Producción")*-1,0)</f>
        <v>1</v>
      </c>
      <c r="H31" s="82">
        <f>IFERROR(GETPIVOTDATA("Suma de Costo",TD!$A$3,"Proceso",$E$28,"ORD",$D$28,"Tipo",F31),0)</f>
        <v>119.88290984410932</v>
      </c>
      <c r="I31" s="82">
        <f t="shared" si="10"/>
        <v>119.88290984410932</v>
      </c>
      <c r="J31" s="75"/>
      <c r="K31" s="83"/>
      <c r="L31" s="110"/>
      <c r="M31" s="80" t="s">
        <v>492</v>
      </c>
      <c r="N31" s="85">
        <v>1</v>
      </c>
      <c r="O31" s="109">
        <v>305.60178703213978</v>
      </c>
      <c r="P31" s="82">
        <f t="shared" si="11"/>
        <v>305.60178703213978</v>
      </c>
      <c r="Q31" s="75"/>
      <c r="R31" s="82">
        <f t="shared" si="12"/>
        <v>185.71887718803046</v>
      </c>
      <c r="S31" s="82">
        <f t="shared" si="13"/>
        <v>0</v>
      </c>
      <c r="T31" s="82">
        <f t="shared" si="14"/>
        <v>185.71887718803046</v>
      </c>
      <c r="V31" s="70"/>
    </row>
    <row r="32" spans="1:22" x14ac:dyDescent="0.45">
      <c r="D32" s="83"/>
      <c r="E32" s="110"/>
      <c r="F32" s="80" t="s">
        <v>493</v>
      </c>
      <c r="G32" s="85">
        <f>IFERROR(GETPIVOTDATA(" Cantidad",TD!$A$3,"Proceso",$E$28,"ORD",$D$28,"Tipo",F32)/GETPIVOTDATA(" Cantidad",TD!$A$3,"Proceso",$E$28,"ORD",$D$28,"Tipo","Producción")*-1,0)</f>
        <v>1</v>
      </c>
      <c r="H32" s="82">
        <f>IFERROR(GETPIVOTDATA("Suma de Costo",TD!$A$3,"Proceso",$E$28,"ORD",$D$28,"Tipo",F32),0)</f>
        <v>498.70407357713628</v>
      </c>
      <c r="I32" s="82">
        <f t="shared" si="10"/>
        <v>498.70407357713628</v>
      </c>
      <c r="J32" s="75"/>
      <c r="K32" s="83"/>
      <c r="L32" s="110"/>
      <c r="M32" s="80" t="s">
        <v>493</v>
      </c>
      <c r="N32" s="85">
        <v>1</v>
      </c>
      <c r="O32" s="109">
        <v>205.58665707388559</v>
      </c>
      <c r="P32" s="82">
        <f t="shared" si="11"/>
        <v>205.58665707388559</v>
      </c>
      <c r="Q32" s="75"/>
      <c r="R32" s="82">
        <f t="shared" si="12"/>
        <v>-293.11741650325069</v>
      </c>
      <c r="S32" s="82">
        <f t="shared" si="13"/>
        <v>0</v>
      </c>
      <c r="T32" s="82">
        <f t="shared" si="14"/>
        <v>-293.11741650325069</v>
      </c>
      <c r="V32" s="70"/>
    </row>
    <row r="33" spans="4:27" x14ac:dyDescent="0.45">
      <c r="D33" s="83"/>
      <c r="E33" s="90"/>
      <c r="F33" s="80" t="s">
        <v>267</v>
      </c>
      <c r="G33" s="122">
        <f>GETPIVOTDATA(" Cantidad",TD!$A$3,"Proceso","Molienda de  Crudo","ORD",3,"Tipo",F33)/((GETPIVOTDATA(" Cantidad",TD!$A$3,"Proceso","Molienda de  Crudo","ORD",3,"Tipo","Producción"))*-1)</f>
        <v>15.1</v>
      </c>
      <c r="H33" s="86">
        <f>IFERROR(GETPIVOTDATA("Suma de Costo",TD!$A$3,"Proceso",$E$28,"ORD",$D$28,"Tipo",F33),0)</f>
        <v>525.14520020609314</v>
      </c>
      <c r="I33" s="82">
        <f t="shared" si="10"/>
        <v>7929.6925231120058</v>
      </c>
      <c r="J33" s="75"/>
      <c r="K33" s="83"/>
      <c r="L33" s="90"/>
      <c r="M33" s="80" t="s">
        <v>267</v>
      </c>
      <c r="N33" s="111">
        <v>15.261171576488865</v>
      </c>
      <c r="O33" s="88">
        <v>485.33891128999591</v>
      </c>
      <c r="P33" s="82">
        <f t="shared" si="11"/>
        <v>7406.8403979429359</v>
      </c>
      <c r="Q33" s="75"/>
      <c r="R33" s="82">
        <f t="shared" si="12"/>
        <v>-607.49060497184678</v>
      </c>
      <c r="S33" s="82">
        <f t="shared" si="13"/>
        <v>84.638479802776686</v>
      </c>
      <c r="T33" s="82">
        <f t="shared" si="14"/>
        <v>-522.85212516906995</v>
      </c>
      <c r="V33" s="70"/>
    </row>
    <row r="34" spans="4:27" x14ac:dyDescent="0.45">
      <c r="D34" s="83"/>
      <c r="E34" s="90"/>
      <c r="F34" s="80" t="s">
        <v>631</v>
      </c>
      <c r="G34" s="81">
        <v>0</v>
      </c>
      <c r="H34" s="82">
        <v>0</v>
      </c>
      <c r="I34" s="82">
        <f t="shared" si="10"/>
        <v>0</v>
      </c>
      <c r="J34" s="75"/>
      <c r="K34" s="83"/>
      <c r="L34" s="90"/>
      <c r="M34" s="80" t="s">
        <v>631</v>
      </c>
      <c r="N34" s="81">
        <v>0</v>
      </c>
      <c r="O34" s="82">
        <v>0</v>
      </c>
      <c r="P34" s="82">
        <f t="shared" si="11"/>
        <v>0</v>
      </c>
      <c r="Q34" s="75"/>
      <c r="R34" s="82">
        <f t="shared" si="12"/>
        <v>0</v>
      </c>
      <c r="S34" s="82">
        <f t="shared" si="13"/>
        <v>0</v>
      </c>
      <c r="T34" s="82">
        <f t="shared" si="14"/>
        <v>0</v>
      </c>
      <c r="V34" s="70"/>
    </row>
    <row r="35" spans="4:27" x14ac:dyDescent="0.45">
      <c r="D35" s="83"/>
      <c r="E35" s="90"/>
      <c r="F35" s="80" t="s">
        <v>54</v>
      </c>
      <c r="G35" s="112">
        <f>IFERROR(GETPIVOTDATA(" Cantidad",TD!$A$3,"Proceso",$E$28,"ORD",$D$28,"Tipo",F35)/GETPIVOTDATA(" Cantidad",TD!$A$3,"Proceso",$E$28,"ORD",$D$28,"Tipo","Producción")*-1,0)</f>
        <v>2.5993187499999994E-2</v>
      </c>
      <c r="H35" s="82">
        <f>IFERROR(GETPIVOTDATA("Suma de Costo",TD!$A$3,"Proceso",$E$28,"ORD",$D$28,"Tipo",F35),0)</f>
        <v>281860.87032197183</v>
      </c>
      <c r="I35" s="82">
        <f t="shared" si="10"/>
        <v>7326.4624511921975</v>
      </c>
      <c r="J35" s="75"/>
      <c r="K35" s="83"/>
      <c r="L35" s="90"/>
      <c r="M35" s="80" t="s">
        <v>54</v>
      </c>
      <c r="N35" s="113">
        <v>2.5414903005915358E-2</v>
      </c>
      <c r="O35" s="114">
        <v>256211.06522061556</v>
      </c>
      <c r="P35" s="82">
        <f t="shared" si="11"/>
        <v>6511.5793716241978</v>
      </c>
      <c r="Q35" s="75"/>
      <c r="R35" s="82">
        <f t="shared" si="12"/>
        <v>-651.88730877160242</v>
      </c>
      <c r="S35" s="82">
        <f t="shared" si="13"/>
        <v>-162.99577079639673</v>
      </c>
      <c r="T35" s="82">
        <f t="shared" si="14"/>
        <v>-814.88307956799963</v>
      </c>
      <c r="V35" s="70"/>
      <c r="AA35" s="74">
        <f t="shared" ref="AA35" si="15">Z35-Y35</f>
        <v>0</v>
      </c>
    </row>
    <row r="36" spans="4:27" x14ac:dyDescent="0.45">
      <c r="D36" s="94"/>
      <c r="E36" s="95" t="s">
        <v>632</v>
      </c>
      <c r="F36" s="95"/>
      <c r="G36" s="96"/>
      <c r="H36" s="96"/>
      <c r="I36" s="97">
        <f>SUM(I28:I35)</f>
        <v>31752.892182537373</v>
      </c>
      <c r="J36" s="75"/>
      <c r="K36" s="94"/>
      <c r="L36" s="95" t="s">
        <v>632</v>
      </c>
      <c r="M36" s="95"/>
      <c r="N36" s="96" t="s">
        <v>633</v>
      </c>
      <c r="O36" s="96"/>
      <c r="P36" s="97">
        <f>SUM(P28:P35)</f>
        <v>29052.956377976945</v>
      </c>
      <c r="Q36" s="75"/>
      <c r="R36" s="97">
        <f>+SUM(R28:R35)</f>
        <v>-2561.6973760973528</v>
      </c>
      <c r="S36" s="97">
        <f>+SUM(S28:S35)</f>
        <v>-138.23842846307446</v>
      </c>
      <c r="T36" s="97">
        <f>+SUM(T28:T35)</f>
        <v>-2699.9358045604281</v>
      </c>
      <c r="U36" s="69"/>
    </row>
    <row r="37" spans="4:27" x14ac:dyDescent="0.45">
      <c r="D37" s="98"/>
      <c r="E37" s="99"/>
      <c r="F37" s="99"/>
      <c r="G37" s="100"/>
      <c r="H37" s="100"/>
      <c r="I37" s="101">
        <f>IFERROR(GETPIVOTDATA(" Cantidad",TD!$A$3,"Proceso",E28,"ORD",D28,"Tipo","Producción")*-1,0)</f>
        <v>1376342.9684394465</v>
      </c>
      <c r="K37" s="98"/>
      <c r="L37" s="99"/>
      <c r="M37" s="99"/>
      <c r="N37" s="100"/>
      <c r="O37" s="100"/>
      <c r="P37" s="101">
        <v>1413903.1375</v>
      </c>
      <c r="Q37" s="75"/>
      <c r="R37" s="101"/>
      <c r="S37" s="101"/>
      <c r="T37" s="101"/>
    </row>
    <row r="38" spans="4:27" x14ac:dyDescent="0.45">
      <c r="E38" s="115"/>
      <c r="F38" s="116"/>
      <c r="G38" s="117"/>
      <c r="H38" s="115"/>
      <c r="I38" s="71"/>
      <c r="L38" s="115"/>
      <c r="M38" s="116"/>
      <c r="N38" s="70"/>
      <c r="O38" s="115"/>
      <c r="P38" s="71"/>
      <c r="Q38" s="75"/>
    </row>
    <row r="39" spans="4:27" x14ac:dyDescent="0.45">
      <c r="D39" s="76" t="s">
        <v>634</v>
      </c>
      <c r="E39" s="76" t="s">
        <v>435</v>
      </c>
      <c r="F39" s="76" t="s">
        <v>52</v>
      </c>
      <c r="G39" s="77" t="s">
        <v>620</v>
      </c>
      <c r="H39" s="77" t="s">
        <v>621</v>
      </c>
      <c r="I39" s="77" t="s">
        <v>395</v>
      </c>
      <c r="K39" s="76" t="s">
        <v>634</v>
      </c>
      <c r="L39" s="76" t="s">
        <v>435</v>
      </c>
      <c r="M39" s="76" t="s">
        <v>52</v>
      </c>
      <c r="N39" s="77" t="s">
        <v>620</v>
      </c>
      <c r="O39" s="77" t="s">
        <v>621</v>
      </c>
      <c r="P39" s="77" t="s">
        <v>395</v>
      </c>
      <c r="Q39" s="75"/>
      <c r="R39" s="77" t="s">
        <v>622</v>
      </c>
      <c r="S39" s="77" t="s">
        <v>623</v>
      </c>
      <c r="T39" s="77" t="s">
        <v>395</v>
      </c>
    </row>
    <row r="40" spans="4:27" x14ac:dyDescent="0.45">
      <c r="D40" s="78">
        <v>4</v>
      </c>
      <c r="E40" s="79" t="s">
        <v>453</v>
      </c>
      <c r="F40" s="80" t="s">
        <v>454</v>
      </c>
      <c r="G40" s="112">
        <f>IFERROR(GETPIVOTDATA(" Cantidad",TD!$A$3,"Proceso",$E$40,"ORD",$D$40,"Tipo",F40)/GETPIVOTDATA(" Cantidad",TD!$A$3,"Proceso",$E$40,"ORD",$D$40,"Tipo","Producción")*-1,0)</f>
        <v>1.0660980810234544</v>
      </c>
      <c r="H40" s="118">
        <f>IFERROR(GETPIVOTDATA("Suma de Costo",TD!$A$3,"Proceso",$E$40,"ORD",$D$40,"Tipo",F40),0)+IFERROR(GETPIVOTDATA("Suma de Costo",TD!$A$3,"Proceso",$E$40,"ORD",$D$40,"Tipo","Desatasque De Carbón"),0)</f>
        <v>340706.62054715509</v>
      </c>
      <c r="I40" s="85">
        <f>H40*G40</f>
        <v>363226.67435730825</v>
      </c>
      <c r="J40" s="75"/>
      <c r="K40" s="78">
        <v>4</v>
      </c>
      <c r="L40" s="79" t="s">
        <v>453</v>
      </c>
      <c r="M40" s="80" t="s">
        <v>454</v>
      </c>
      <c r="N40" s="107">
        <v>1.0943443633677923</v>
      </c>
      <c r="O40" s="119">
        <v>251126.2213000287</v>
      </c>
      <c r="P40" s="82">
        <f t="shared" ref="P40:P44" si="16">N40*O40</f>
        <v>274818.56477353926</v>
      </c>
      <c r="Q40" s="75"/>
      <c r="R40" s="82">
        <f>+(O40-H40)*N40</f>
        <v>-98031.804984329196</v>
      </c>
      <c r="S40" s="82">
        <f>+(N40-G40)*H40</f>
        <v>9623.6954005601401</v>
      </c>
      <c r="T40" s="82">
        <f>+P40-I40</f>
        <v>-88408.109583768994</v>
      </c>
      <c r="V40" s="70"/>
    </row>
    <row r="41" spans="4:27" x14ac:dyDescent="0.45">
      <c r="D41" s="102"/>
      <c r="E41" s="79"/>
      <c r="F41" s="80" t="s">
        <v>496</v>
      </c>
      <c r="G41" s="120">
        <f>IFERROR(GETPIVOTDATA(" Cantidad",TD!$A$3,"Proceso",$E$40,"ORD",$D$40,"Tipo",F41),0)/IFERROR(GETPIVOTDATA(" Cantidad",TD!$A$3,"Proceso",E40,"ORD",D40,"Tipo","Producción")*-1,0)</f>
        <v>0.21321961620469085</v>
      </c>
      <c r="H41" s="86">
        <f>IFERROR(GETPIVOTDATA("Suma de Costo",TD!$A$3,"Proceso",$E$40,"ORD",$D$40,"Tipo",F41),0)</f>
        <v>8699.9999999999982</v>
      </c>
      <c r="I41" s="85">
        <f t="shared" ref="I41:I44" si="17">H41*G41</f>
        <v>1855.0106609808099</v>
      </c>
      <c r="J41" s="75"/>
      <c r="K41" s="102"/>
      <c r="L41" s="79"/>
      <c r="M41" s="80" t="s">
        <v>496</v>
      </c>
      <c r="N41" s="121">
        <v>0.27679131704618715</v>
      </c>
      <c r="O41" s="88">
        <v>7508.980328532456</v>
      </c>
      <c r="P41" s="82">
        <f t="shared" si="16"/>
        <v>2078.4205548084096</v>
      </c>
      <c r="Q41" s="75"/>
      <c r="R41" s="82">
        <f>+(O41-H41)*N41</f>
        <v>-329.6639034934181</v>
      </c>
      <c r="S41" s="82">
        <f>+(N41-G41)*H41</f>
        <v>553.07379732101765</v>
      </c>
      <c r="T41" s="82">
        <f>+P41-I41</f>
        <v>223.40989382759972</v>
      </c>
      <c r="V41" s="70"/>
    </row>
    <row r="42" spans="4:27" x14ac:dyDescent="0.45">
      <c r="D42" s="102"/>
      <c r="E42" s="79"/>
      <c r="F42" s="80" t="s">
        <v>37</v>
      </c>
      <c r="G42" s="122">
        <f>IFERROR(GETPIVOTDATA(" Cantidad",TD!$A$3,"Proceso",$E$40,"ORD",$D$40,"Tipo",F40),0)/IFERROR(GETPIVOTDATA(" Cantidad",TD!$A$3,"Proceso",E40,"ORD",D40,"Tipo","Producción")*-1,0)</f>
        <v>1.0660980810234544</v>
      </c>
      <c r="H42" s="86">
        <f>IFERROR(GETPIVOTDATA("Suma de Costo",TD!$A$3,"Proceso",$E$40,"ORD",$D$40,"Tipo",F42),0)</f>
        <v>6324.9999999999991</v>
      </c>
      <c r="I42" s="85">
        <f t="shared" si="17"/>
        <v>6743.0703624733478</v>
      </c>
      <c r="J42" s="75"/>
      <c r="K42" s="102"/>
      <c r="L42" s="79"/>
      <c r="M42" s="80" t="s">
        <v>37</v>
      </c>
      <c r="N42" s="121">
        <v>1.0710660596177222</v>
      </c>
      <c r="O42" s="88">
        <v>7209.7752010525119</v>
      </c>
      <c r="P42" s="82">
        <f t="shared" si="16"/>
        <v>7722.1455153208844</v>
      </c>
      <c r="Q42" s="75"/>
      <c r="R42" s="82">
        <f>+(O42-H42)*N42</f>
        <v>947.65268823879273</v>
      </c>
      <c r="S42" s="82">
        <f>+(N42-G42)*H42</f>
        <v>31.422464608743741</v>
      </c>
      <c r="T42" s="82">
        <f>+P42-I42</f>
        <v>979.07515284753663</v>
      </c>
      <c r="V42" s="70"/>
    </row>
    <row r="43" spans="4:27" x14ac:dyDescent="0.45">
      <c r="D43" s="83"/>
      <c r="E43" s="79"/>
      <c r="F43" s="80" t="s">
        <v>494</v>
      </c>
      <c r="G43" s="122">
        <f>IFERROR(GETPIVOTDATA(" Cantidad",TD!$A$3,"Proceso",$E$40,"ORD",$D$40,"Tipo",F43)/GETPIVOTDATA(" Cantidad",TD!$A$3,"Proceso",$E$40,"ORD",$D$40,"Tipo","Producción")*-1,0)</f>
        <v>1</v>
      </c>
      <c r="H43" s="86">
        <f>IFERROR(GETPIVOTDATA("Suma de Costo",TD!$A$3,"Proceso",$E$40,"ORD",$D$40,"Tipo",F43),0)</f>
        <v>3788.9790024433137</v>
      </c>
      <c r="I43" s="175">
        <f t="shared" si="17"/>
        <v>3788.9790024433137</v>
      </c>
      <c r="J43" s="75"/>
      <c r="K43" s="83"/>
      <c r="L43" s="79"/>
      <c r="M43" s="80" t="s">
        <v>491</v>
      </c>
      <c r="N43" s="122">
        <v>1</v>
      </c>
      <c r="O43" s="109">
        <v>1034.9866238849668</v>
      </c>
      <c r="P43" s="82">
        <f t="shared" si="16"/>
        <v>1034.9866238849668</v>
      </c>
      <c r="Q43" s="75"/>
      <c r="R43" s="82">
        <f>+(O43-H43)*N43</f>
        <v>-2753.9923785583469</v>
      </c>
      <c r="S43" s="82">
        <f>+(N43-G43)*H43</f>
        <v>0</v>
      </c>
      <c r="T43" s="82">
        <f>+P43-I43</f>
        <v>-2753.9923785583469</v>
      </c>
      <c r="V43" s="70"/>
    </row>
    <row r="44" spans="4:27" x14ac:dyDescent="0.45">
      <c r="D44" s="83"/>
      <c r="E44" s="92"/>
      <c r="F44" s="80" t="s">
        <v>267</v>
      </c>
      <c r="G44" s="122">
        <f>GETPIVOTDATA(" Cantidad",TD!$A$3,"Proceso","Molienda de Carbón","ORD",4,"Tipo",F44)/((GETPIVOTDATA(" Cantidad",TD!$A$3,"Proceso","Molienda de Carbón","ORD",4,"Tipo","Producción"))*-1)</f>
        <v>27.999999999999996</v>
      </c>
      <c r="H44" s="86">
        <f>IFERROR(GETPIVOTDATA("Suma de Costo",TD!$A$3,"Proceso",$E$40,"ORD",$D$40,"Tipo",F44),0)</f>
        <v>525.14149692316948</v>
      </c>
      <c r="I44" s="85">
        <f t="shared" si="17"/>
        <v>14703.961913848743</v>
      </c>
      <c r="J44" s="75"/>
      <c r="K44" s="83"/>
      <c r="L44" s="92"/>
      <c r="M44" s="80" t="s">
        <v>267</v>
      </c>
      <c r="N44" s="122">
        <v>34.33979555636116</v>
      </c>
      <c r="O44" s="88">
        <v>485.33891128999591</v>
      </c>
      <c r="P44" s="82">
        <f t="shared" si="16"/>
        <v>16666.438989245366</v>
      </c>
      <c r="Q44" s="75"/>
      <c r="R44" s="82">
        <f>+(O44-H44)*N44</f>
        <v>-1366.8126532577387</v>
      </c>
      <c r="S44" s="82">
        <f>+(N44-G44)*H44</f>
        <v>3329.2897286543598</v>
      </c>
      <c r="T44" s="82">
        <f>+P44-I44</f>
        <v>1962.4770753966222</v>
      </c>
      <c r="V44" s="70"/>
    </row>
    <row r="45" spans="4:27" x14ac:dyDescent="0.45">
      <c r="D45" s="94"/>
      <c r="E45" s="95" t="s">
        <v>635</v>
      </c>
      <c r="F45" s="95"/>
      <c r="G45" s="96"/>
      <c r="H45" s="96"/>
      <c r="I45" s="97">
        <f>SUM(I40:I44)</f>
        <v>390317.69629705453</v>
      </c>
      <c r="J45" s="75"/>
      <c r="K45" s="94"/>
      <c r="L45" s="95" t="s">
        <v>635</v>
      </c>
      <c r="M45" s="95"/>
      <c r="N45" s="96"/>
      <c r="O45" s="96"/>
      <c r="P45" s="97">
        <f>SUM(P40:P44)</f>
        <v>302320.55645679892</v>
      </c>
      <c r="Q45" s="75"/>
      <c r="R45" s="97">
        <f>+SUM(R40:R44)</f>
        <v>-101534.62123139991</v>
      </c>
      <c r="S45" s="97">
        <f>+SUM(S40:S44)</f>
        <v>13537.481391144262</v>
      </c>
      <c r="T45" s="97">
        <f>+SUM(T40:T44)</f>
        <v>-87997.139840255579</v>
      </c>
      <c r="U45" s="69"/>
      <c r="Y45" s="69"/>
      <c r="AA45" s="74">
        <f t="shared" ref="AA45" si="18">Z45-Y45</f>
        <v>0</v>
      </c>
    </row>
    <row r="46" spans="4:27" x14ac:dyDescent="0.45">
      <c r="D46" s="98"/>
      <c r="E46" s="99"/>
      <c r="F46" s="99"/>
      <c r="G46" s="100"/>
      <c r="H46" s="100"/>
      <c r="I46" s="101">
        <f>IFERROR(GETPIVOTDATA(" Cantidad",TD!$A$3,"Proceso",E40,"ORD",D40,"Tipo","Producción")*-1,0)</f>
        <v>95434.680362921819</v>
      </c>
      <c r="K46" s="98"/>
      <c r="L46" s="99"/>
      <c r="M46" s="99"/>
      <c r="N46" s="100"/>
      <c r="O46" s="100"/>
      <c r="P46" s="101">
        <v>124970.89999999998</v>
      </c>
      <c r="Q46" s="75"/>
      <c r="R46" s="101"/>
      <c r="S46" s="101"/>
      <c r="T46" s="101"/>
    </row>
    <row r="47" spans="4:27" x14ac:dyDescent="0.45">
      <c r="E47" s="123"/>
      <c r="F47" s="69"/>
      <c r="G47" s="73"/>
      <c r="H47" s="73"/>
      <c r="I47" s="73"/>
      <c r="L47" s="69"/>
      <c r="M47" s="75"/>
      <c r="N47" s="124"/>
      <c r="O47" s="73"/>
      <c r="P47" s="73"/>
      <c r="Q47" s="71"/>
    </row>
    <row r="48" spans="4:27" x14ac:dyDescent="0.45">
      <c r="D48" s="98" t="s">
        <v>636</v>
      </c>
      <c r="E48" s="76" t="s">
        <v>435</v>
      </c>
      <c r="F48" s="76" t="s">
        <v>52</v>
      </c>
      <c r="G48" s="77" t="s">
        <v>620</v>
      </c>
      <c r="H48" s="77" t="s">
        <v>621</v>
      </c>
      <c r="I48" s="77" t="s">
        <v>395</v>
      </c>
      <c r="K48" s="98"/>
      <c r="L48" s="76" t="s">
        <v>435</v>
      </c>
      <c r="M48" s="76" t="s">
        <v>52</v>
      </c>
      <c r="N48" s="77" t="s">
        <v>620</v>
      </c>
      <c r="O48" s="77" t="s">
        <v>621</v>
      </c>
      <c r="P48" s="77" t="s">
        <v>395</v>
      </c>
      <c r="Q48" s="75"/>
      <c r="R48" s="77" t="s">
        <v>622</v>
      </c>
      <c r="S48" s="77" t="s">
        <v>623</v>
      </c>
      <c r="T48" s="77" t="s">
        <v>395</v>
      </c>
    </row>
    <row r="49" spans="4:27" x14ac:dyDescent="0.45">
      <c r="D49" s="98">
        <v>20</v>
      </c>
      <c r="E49" s="79" t="s">
        <v>525</v>
      </c>
      <c r="F49" s="80" t="s">
        <v>41</v>
      </c>
      <c r="G49" s="125">
        <f>IFERROR(GETPIVOTDATA(" Cantidad",TD!$A$3,"Proceso",$E$49,"ORD",$D$49,"Tipo",F49)/GETPIVOTDATA(" Cantidad",TD!$A$3,"Proceso",$E$49,"ORD",$D$49,"Tipo","Producción")*-1,0)</f>
        <v>0.81442205726405092</v>
      </c>
      <c r="H49" s="82">
        <f>IFERROR(GETPIVOTDATA("Suma de Costo",TD!$A$3,"Proceso",$E$49,"ORD",$D$49,"Tipo",F49),0)</f>
        <v>318229.74285000004</v>
      </c>
      <c r="I49" s="82">
        <f>H49*G49</f>
        <v>259173.32185450694</v>
      </c>
      <c r="J49" s="353"/>
      <c r="K49" s="98"/>
      <c r="L49" s="79" t="s">
        <v>525</v>
      </c>
      <c r="M49" s="80" t="s">
        <v>41</v>
      </c>
      <c r="N49" s="126">
        <v>0.425236485348364</v>
      </c>
      <c r="O49" s="88">
        <v>293738.62451650272</v>
      </c>
      <c r="P49" s="82">
        <f t="shared" ref="P49:P57" si="19">N49*O49</f>
        <v>124908.3803004604</v>
      </c>
      <c r="Q49" s="75"/>
      <c r="R49" s="82">
        <f t="shared" ref="R49:R57" si="20">+(O49-H49)*N49</f>
        <v>-10414.517082387281</v>
      </c>
      <c r="S49" s="82">
        <f t="shared" ref="S49:S57" si="21">+(N49-G49)*H49</f>
        <v>-123850.42447165925</v>
      </c>
      <c r="T49" s="82">
        <f t="shared" ref="T49:T57" si="22">+P49-I49</f>
        <v>-134264.94155404653</v>
      </c>
      <c r="V49" s="70"/>
    </row>
    <row r="50" spans="4:27" x14ac:dyDescent="0.45">
      <c r="D50" s="98"/>
      <c r="E50" s="79"/>
      <c r="F50" s="80" t="s">
        <v>534</v>
      </c>
      <c r="G50" s="125">
        <f>IFERROR(GETPIVOTDATA(" Cantidad",TD!$A$3,"Proceso",$E$49,"ORD",$D$49,"Tipo",F50)/GETPIVOTDATA(" Cantidad",TD!$A$3,"Proceso",$E$49,"ORD",$D$49,"Tipo","Producción")*-1,0)</f>
        <v>0.18557794273594905</v>
      </c>
      <c r="H50" s="82">
        <f>IFERROR(GETPIVOTDATA("Suma de Costo",TD!$A$3,"Proceso",$E$49,"ORD",$D$49,"Tipo",F50),0)</f>
        <v>318422.60304545489</v>
      </c>
      <c r="I50" s="82">
        <f t="shared" ref="I50:I57" si="23">H50*G50</f>
        <v>59092.211593801265</v>
      </c>
      <c r="J50" s="353"/>
      <c r="K50" s="98"/>
      <c r="L50" s="79"/>
      <c r="M50" s="80" t="s">
        <v>534</v>
      </c>
      <c r="N50" s="126">
        <v>0.37053385157694657</v>
      </c>
      <c r="O50" s="88">
        <v>338940.44367497752</v>
      </c>
      <c r="P50" s="82">
        <f t="shared" si="19"/>
        <v>125588.90805008855</v>
      </c>
      <c r="Q50" s="75"/>
      <c r="R50" s="82">
        <f t="shared" si="20"/>
        <v>7602.5545144989819</v>
      </c>
      <c r="S50" s="82">
        <f t="shared" si="21"/>
        <v>58894.141941788293</v>
      </c>
      <c r="T50" s="82">
        <f t="shared" si="22"/>
        <v>66496.696456287289</v>
      </c>
      <c r="V50" s="70"/>
    </row>
    <row r="51" spans="4:27" x14ac:dyDescent="0.45">
      <c r="D51" s="98"/>
      <c r="E51" s="79"/>
      <c r="F51" s="80" t="s">
        <v>637</v>
      </c>
      <c r="G51" s="125">
        <v>0</v>
      </c>
      <c r="H51" s="82">
        <v>0</v>
      </c>
      <c r="I51" s="82">
        <f t="shared" si="23"/>
        <v>0</v>
      </c>
      <c r="J51" s="353"/>
      <c r="K51" s="98"/>
      <c r="L51" s="79"/>
      <c r="M51" s="80" t="s">
        <v>637</v>
      </c>
      <c r="N51" s="112">
        <v>6.3860476061902871E-2</v>
      </c>
      <c r="O51" s="82">
        <v>248821.45628683933</v>
      </c>
      <c r="P51" s="82">
        <f t="shared" si="19"/>
        <v>15889.856652893515</v>
      </c>
      <c r="Q51" s="75"/>
      <c r="R51" s="82">
        <f t="shared" si="20"/>
        <v>15889.856652893515</v>
      </c>
      <c r="S51" s="82">
        <f t="shared" si="21"/>
        <v>0</v>
      </c>
      <c r="T51" s="82">
        <f t="shared" si="22"/>
        <v>15889.856652893515</v>
      </c>
      <c r="V51" s="70"/>
    </row>
    <row r="52" spans="4:27" x14ac:dyDescent="0.45">
      <c r="D52" s="98"/>
      <c r="E52" s="79"/>
      <c r="F52" s="80" t="s">
        <v>530</v>
      </c>
      <c r="G52" s="125">
        <f>IFERROR(GETPIVOTDATA(" Cantidad",TD!$A$3,"Proceso",$E$49,"ORD",$D$49,"Tipo",F52)/GETPIVOTDATA(" Cantidad",TD!$A$3,"Proceso",$E$49,"ORD",$D$49,"Tipo","Producción")*-1,0)</f>
        <v>0</v>
      </c>
      <c r="H52" s="82">
        <f>IFERROR(GETPIVOTDATA("Suma de Costo",TD!$A$3,"Proceso",$E$49,"ORD",$D$49,"Tipo",F52),0)</f>
        <v>0</v>
      </c>
      <c r="I52" s="82">
        <f t="shared" si="23"/>
        <v>0</v>
      </c>
      <c r="J52" s="353"/>
      <c r="K52" s="98"/>
      <c r="L52" s="79"/>
      <c r="M52" s="80" t="s">
        <v>530</v>
      </c>
      <c r="N52" s="126">
        <f>0.140369187012787/2</f>
        <v>7.01845935063935E-2</v>
      </c>
      <c r="O52" s="88">
        <v>332985.22090870753</v>
      </c>
      <c r="P52" s="82">
        <f t="shared" si="19"/>
        <v>23370.432373114279</v>
      </c>
      <c r="Q52" s="75"/>
      <c r="R52" s="82">
        <f t="shared" si="20"/>
        <v>23370.432373114279</v>
      </c>
      <c r="S52" s="82">
        <f t="shared" si="21"/>
        <v>0</v>
      </c>
      <c r="T52" s="82">
        <f t="shared" si="22"/>
        <v>23370.432373114279</v>
      </c>
      <c r="V52" s="70"/>
    </row>
    <row r="53" spans="4:27" x14ac:dyDescent="0.45">
      <c r="D53" s="98"/>
      <c r="E53" s="79"/>
      <c r="F53" s="80" t="s">
        <v>92</v>
      </c>
      <c r="G53" s="125">
        <f>IFERROR(GETPIVOTDATA(" Cantidad",TD!$A$3,"Proceso",$E$49,"ORD",$D$49,"Tipo",F53)/GETPIVOTDATA(" Cantidad",TD!$A$3,"Proceso",$E$49,"ORD",$D$49,"Tipo","Producción")*-1,0)</f>
        <v>0</v>
      </c>
      <c r="H53" s="82">
        <f>IFERROR(GETPIVOTDATA("Suma de Costo",TD!$A$3,"Proceso",$E$49,"ORD",$D$49,"Tipo",F53),0)</f>
        <v>0</v>
      </c>
      <c r="I53" s="82">
        <f t="shared" si="23"/>
        <v>0</v>
      </c>
      <c r="J53" s="353"/>
      <c r="K53" s="98"/>
      <c r="L53" s="79"/>
      <c r="M53" s="80" t="s">
        <v>92</v>
      </c>
      <c r="N53" s="126">
        <f>0.140369187012787/2</f>
        <v>7.01845935063935E-2</v>
      </c>
      <c r="O53" s="88">
        <v>332985.22090870753</v>
      </c>
      <c r="P53" s="82">
        <f t="shared" si="19"/>
        <v>23370.432373114279</v>
      </c>
      <c r="Q53" s="75"/>
      <c r="R53" s="82">
        <f t="shared" si="20"/>
        <v>23370.432373114279</v>
      </c>
      <c r="S53" s="82">
        <f t="shared" si="21"/>
        <v>0</v>
      </c>
      <c r="T53" s="82">
        <f t="shared" si="22"/>
        <v>23370.432373114279</v>
      </c>
      <c r="V53" s="70"/>
    </row>
    <row r="54" spans="4:27" x14ac:dyDescent="0.45">
      <c r="D54" s="98"/>
      <c r="E54" s="79"/>
      <c r="F54" s="80" t="s">
        <v>507</v>
      </c>
      <c r="G54" s="122">
        <f>IFERROR(GETPIVOTDATA(" Cantidad",TD!$A$3,"Proceso",$E$49,"ORD",$D$49,"Tipo","Cargue Alternos")/GETPIVOTDATA(" Cantidad",TD!$A$3,"Proceso",$E$49,"ORD",$D$49,"Tipo","Producción")*-1,0)</f>
        <v>1</v>
      </c>
      <c r="H54" s="82">
        <f>IFERROR(GETPIVOTDATA("Suma de Costo",TD!$A$3,"Proceso",$E$49,"ORD",$D$49,"Tipo","Cargue Alternos"),0)</f>
        <v>8768.417470546523</v>
      </c>
      <c r="I54" s="82">
        <f t="shared" si="23"/>
        <v>8768.417470546523</v>
      </c>
      <c r="J54" s="75"/>
      <c r="K54" s="98"/>
      <c r="L54" s="79"/>
      <c r="M54" s="80" t="s">
        <v>507</v>
      </c>
      <c r="N54" s="122">
        <v>1</v>
      </c>
      <c r="O54" s="88">
        <v>5481.4314718214528</v>
      </c>
      <c r="P54" s="82">
        <f t="shared" si="19"/>
        <v>5481.4314718214528</v>
      </c>
      <c r="Q54" s="75"/>
      <c r="R54" s="82">
        <f t="shared" si="20"/>
        <v>-3286.9859987250702</v>
      </c>
      <c r="S54" s="82">
        <f t="shared" si="21"/>
        <v>0</v>
      </c>
      <c r="T54" s="82">
        <f t="shared" si="22"/>
        <v>-3286.9859987250702</v>
      </c>
      <c r="V54" s="70"/>
    </row>
    <row r="55" spans="4:27" x14ac:dyDescent="0.45">
      <c r="D55" s="98"/>
      <c r="E55" s="79"/>
      <c r="F55" s="80" t="s">
        <v>638</v>
      </c>
      <c r="G55" s="122">
        <f>IFERROR(GETPIVOTDATA(" Cantidad",TD!$A$3,"Proceso",$E$49,"ORD",$D$49,"Tipo","Descargue Alternos")/GETPIVOTDATA(" Cantidad",TD!$A$3,"Proceso",$E$49,"ORD",$D$49,"Tipo","Producción")*-1,0)</f>
        <v>1</v>
      </c>
      <c r="H55" s="82">
        <f>IFERROR(GETPIVOTDATA("Suma de Costo",TD!$A$3,"Proceso",$E$49,"ORD",$D$49,"Tipo","Descargue Alternos"),0)</f>
        <v>10725</v>
      </c>
      <c r="I55" s="82">
        <f>H55*G55</f>
        <v>10725</v>
      </c>
      <c r="J55" s="75"/>
      <c r="K55" s="98"/>
      <c r="L55" s="79"/>
      <c r="M55" s="80" t="s">
        <v>638</v>
      </c>
      <c r="N55" s="122">
        <v>1</v>
      </c>
      <c r="O55" s="88">
        <v>4364.669635618151</v>
      </c>
      <c r="P55" s="82">
        <f t="shared" si="19"/>
        <v>4364.669635618151</v>
      </c>
      <c r="Q55" s="75"/>
      <c r="R55" s="82">
        <f t="shared" si="20"/>
        <v>-6360.330364381849</v>
      </c>
      <c r="S55" s="82">
        <f t="shared" si="21"/>
        <v>0</v>
      </c>
      <c r="T55" s="82">
        <f t="shared" si="22"/>
        <v>-6360.330364381849</v>
      </c>
      <c r="V55" s="70"/>
    </row>
    <row r="56" spans="4:27" x14ac:dyDescent="0.45">
      <c r="D56" s="98"/>
      <c r="E56" s="79"/>
      <c r="F56" s="80" t="s">
        <v>267</v>
      </c>
      <c r="G56" s="122">
        <f>GETPIVOTDATA(" Cantidad",TD!$A$3,"Proceso","Combustibles Alternos","ORD",20,"Tipo",F56)/((GETPIVOTDATA(" Cantidad",TD!$A$3,"Proceso","Combustibles Alternos","ORD",20,"Tipo","Producción"))*-1)</f>
        <v>8.4000000000000021</v>
      </c>
      <c r="H56" s="86">
        <f>IFERROR(GETPIVOTDATA("Suma de Costo",TD!$A$3,"Proceso",$E$49,"ORD",$D$49,"Tipo",F56),0)</f>
        <v>525.14393124607454</v>
      </c>
      <c r="I56" s="82">
        <f t="shared" si="23"/>
        <v>4411.2090224670274</v>
      </c>
      <c r="J56" s="75"/>
      <c r="K56" s="98"/>
      <c r="L56" s="79"/>
      <c r="M56" s="80" t="s">
        <v>267</v>
      </c>
      <c r="N56" s="121">
        <v>7.835765081655663</v>
      </c>
      <c r="O56" s="88">
        <v>485.33891128999591</v>
      </c>
      <c r="P56" s="82">
        <f t="shared" si="19"/>
        <v>3803.0016938549252</v>
      </c>
      <c r="Q56" s="75"/>
      <c r="R56" s="82">
        <f t="shared" si="20"/>
        <v>-311.90278544644781</v>
      </c>
      <c r="S56" s="82">
        <f t="shared" si="21"/>
        <v>-296.30454316565414</v>
      </c>
      <c r="T56" s="82">
        <f t="shared" si="22"/>
        <v>-608.20732861210217</v>
      </c>
      <c r="V56" s="70"/>
    </row>
    <row r="57" spans="4:27" x14ac:dyDescent="0.45">
      <c r="D57" s="98"/>
      <c r="E57" s="79"/>
      <c r="F57" s="80" t="s">
        <v>639</v>
      </c>
      <c r="G57" s="122">
        <v>1</v>
      </c>
      <c r="H57" s="82">
        <v>0</v>
      </c>
      <c r="I57" s="82">
        <f t="shared" si="23"/>
        <v>0</v>
      </c>
      <c r="J57" s="75"/>
      <c r="K57" s="98"/>
      <c r="L57" s="79"/>
      <c r="M57" s="80" t="s">
        <v>639</v>
      </c>
      <c r="N57" s="122">
        <v>1</v>
      </c>
      <c r="O57" s="88">
        <v>0</v>
      </c>
      <c r="P57" s="82">
        <f t="shared" si="19"/>
        <v>0</v>
      </c>
      <c r="Q57" s="75"/>
      <c r="R57" s="82">
        <f t="shared" si="20"/>
        <v>0</v>
      </c>
      <c r="S57" s="82">
        <f t="shared" si="21"/>
        <v>0</v>
      </c>
      <c r="T57" s="82">
        <f t="shared" si="22"/>
        <v>0</v>
      </c>
      <c r="V57" s="70"/>
    </row>
    <row r="58" spans="4:27" x14ac:dyDescent="0.45">
      <c r="D58" s="98"/>
      <c r="E58" s="99" t="s">
        <v>640</v>
      </c>
      <c r="F58" s="99"/>
      <c r="G58" s="100"/>
      <c r="H58" s="100"/>
      <c r="I58" s="101">
        <f>SUM(I49:I57)</f>
        <v>342170.1599413217</v>
      </c>
      <c r="J58" s="75"/>
      <c r="K58" s="98"/>
      <c r="L58" s="99" t="s">
        <v>640</v>
      </c>
      <c r="M58" s="99"/>
      <c r="N58" s="100"/>
      <c r="O58" s="100"/>
      <c r="P58" s="101">
        <f>SUM(P49:P57)</f>
        <v>326777.11255096557</v>
      </c>
      <c r="Q58" s="75"/>
      <c r="R58" s="97">
        <f>+SUM(R53:R57)</f>
        <v>13411.213224560912</v>
      </c>
      <c r="S58" s="97">
        <f>+SUM(S53:S57)</f>
        <v>-296.30454316565414</v>
      </c>
      <c r="T58" s="97">
        <f>+SUM(T53:T57)</f>
        <v>13114.908681395256</v>
      </c>
      <c r="Y58" s="69"/>
      <c r="AA58" s="74">
        <f t="shared" ref="AA58" si="24">Z58-Y58</f>
        <v>0</v>
      </c>
    </row>
    <row r="59" spans="4:27" x14ac:dyDescent="0.45">
      <c r="D59" s="98"/>
      <c r="E59" s="99"/>
      <c r="F59" s="99"/>
      <c r="G59" s="100"/>
      <c r="H59" s="100"/>
      <c r="I59" s="101">
        <f>IFERROR(GETPIVOTDATA(" Cantidad",TD!$A$3,"Proceso",E49,"ORD",D49,"Tipo","Combustibles Alternos")*-1,0)</f>
        <v>16422.575736579827</v>
      </c>
      <c r="K59" s="98"/>
      <c r="L59" s="99"/>
      <c r="M59" s="99"/>
      <c r="N59" s="100"/>
      <c r="O59" s="100"/>
      <c r="P59" s="101">
        <v>14853.021124999997</v>
      </c>
      <c r="Q59" s="75"/>
      <c r="R59" s="101"/>
      <c r="S59" s="101"/>
      <c r="T59" s="101"/>
    </row>
    <row r="60" spans="4:27" x14ac:dyDescent="0.45">
      <c r="E60" s="117"/>
      <c r="F60" s="68"/>
      <c r="G60" s="68"/>
      <c r="H60" s="73"/>
      <c r="I60" s="73"/>
      <c r="L60" s="70"/>
      <c r="M60" s="68"/>
      <c r="O60" s="73"/>
      <c r="P60" s="70"/>
      <c r="Q60" s="75"/>
      <c r="S60" s="69"/>
    </row>
    <row r="61" spans="4:27" x14ac:dyDescent="0.45">
      <c r="D61" s="76" t="s">
        <v>641</v>
      </c>
      <c r="E61" s="76" t="s">
        <v>435</v>
      </c>
      <c r="F61" s="76" t="s">
        <v>52</v>
      </c>
      <c r="G61" s="77" t="s">
        <v>620</v>
      </c>
      <c r="H61" s="77" t="s">
        <v>621</v>
      </c>
      <c r="I61" s="77" t="s">
        <v>395</v>
      </c>
      <c r="K61" s="76" t="s">
        <v>641</v>
      </c>
      <c r="L61" s="76" t="s">
        <v>435</v>
      </c>
      <c r="M61" s="76" t="s">
        <v>52</v>
      </c>
      <c r="N61" s="77" t="s">
        <v>620</v>
      </c>
      <c r="O61" s="77" t="s">
        <v>621</v>
      </c>
      <c r="P61" s="77" t="s">
        <v>395</v>
      </c>
      <c r="Q61" s="75"/>
      <c r="R61" s="77" t="s">
        <v>622</v>
      </c>
      <c r="S61" s="77" t="s">
        <v>623</v>
      </c>
      <c r="T61" s="77" t="s">
        <v>395</v>
      </c>
    </row>
    <row r="62" spans="4:27" x14ac:dyDescent="0.45">
      <c r="D62" s="78">
        <v>5</v>
      </c>
      <c r="E62" s="79" t="s">
        <v>456</v>
      </c>
      <c r="F62" s="80" t="s">
        <v>459</v>
      </c>
      <c r="G62" s="81">
        <f>IFERROR(GETPIVOTDATA(" Cantidad",TD!$A$3,"Proceso",$E$62,"ORD",$D$62,"Tipo",F62)/GETPIVOTDATA(" Cantidad",TD!$A$3,"Proceso",$E$62,"ORD",$D$62,"Tipo","Producción")*-1,0)</f>
        <v>1.56</v>
      </c>
      <c r="H62" s="82">
        <f>I36</f>
        <v>31752.892182537373</v>
      </c>
      <c r="I62" s="82">
        <f>H62*G62</f>
        <v>49534.511804758302</v>
      </c>
      <c r="J62" s="75"/>
      <c r="K62" s="78">
        <v>5</v>
      </c>
      <c r="L62" s="79" t="s">
        <v>456</v>
      </c>
      <c r="M62" s="80" t="s">
        <v>459</v>
      </c>
      <c r="N62" s="85">
        <v>1.5600004502344813</v>
      </c>
      <c r="O62" s="88">
        <f>P36</f>
        <v>29052.956377976945</v>
      </c>
      <c r="P62" s="82">
        <f t="shared" ref="P62:P73" si="25">N62*O62</f>
        <v>45322.625030286777</v>
      </c>
      <c r="Q62" s="75"/>
      <c r="R62" s="82">
        <f t="shared" ref="R62:R73" si="26">+(O62-H62)*N62</f>
        <v>-4211.9010707184634</v>
      </c>
      <c r="S62" s="82">
        <f t="shared" ref="S62:S73" si="27">+(N62-G62)*H62</f>
        <v>1.429624694008462E-2</v>
      </c>
      <c r="T62" s="82">
        <f t="shared" ref="T62:T73" si="28">+P62-I62</f>
        <v>-4211.8867744715244</v>
      </c>
      <c r="V62" s="70"/>
    </row>
    <row r="63" spans="4:27" x14ac:dyDescent="0.45">
      <c r="D63" s="83"/>
      <c r="E63" s="79"/>
      <c r="F63" s="80" t="s">
        <v>457</v>
      </c>
      <c r="G63" s="81">
        <f>IFERROR(GETPIVOTDATA(" Cantidad",TD!$A$3,"Proceso",$E$62,"ORD",$D$62,"Tipo",F63)/GETPIVOTDATA(" Cantidad",TD!$A$3,"Proceso",$E$62,"ORD",$D$62,"Tipo","Producción")*-1,0)</f>
        <v>0.11141634233453897</v>
      </c>
      <c r="H63" s="82">
        <f>I45</f>
        <v>390317.69629705453</v>
      </c>
      <c r="I63" s="82">
        <f t="shared" ref="I63:I73" si="29">H63*G63</f>
        <v>43487.770069861239</v>
      </c>
      <c r="J63" s="75"/>
      <c r="K63" s="83"/>
      <c r="L63" s="79"/>
      <c r="M63" s="80" t="s">
        <v>457</v>
      </c>
      <c r="N63" s="81">
        <v>0.1315494537949963</v>
      </c>
      <c r="O63" s="88">
        <f>P45</f>
        <v>302320.55645679892</v>
      </c>
      <c r="P63" s="82">
        <f t="shared" si="25"/>
        <v>39770.104072891241</v>
      </c>
      <c r="Q63" s="75"/>
      <c r="R63" s="82">
        <f t="shared" si="26"/>
        <v>-11575.975681507532</v>
      </c>
      <c r="S63" s="82">
        <f t="shared" si="27"/>
        <v>7858.3096845375339</v>
      </c>
      <c r="T63" s="82">
        <f t="shared" si="28"/>
        <v>-3717.6659969699977</v>
      </c>
      <c r="V63" s="70"/>
    </row>
    <row r="64" spans="4:27" x14ac:dyDescent="0.45">
      <c r="D64" s="83"/>
      <c r="E64" s="79"/>
      <c r="F64" s="80" t="s">
        <v>525</v>
      </c>
      <c r="G64" s="81">
        <f>IFERROR(GETPIVOTDATA(" Cantidad",TD!$A$3,"Proceso",$E$62,"ORD",$D$62,"Tipo",F64)/GETPIVOTDATA(" Cantidad",TD!$A$3,"Proceso",$E$62,"ORD",$D$62,"Tipo","Producción")*-1,0)</f>
        <v>1.9172729591836735E-2</v>
      </c>
      <c r="H64" s="82">
        <f>I58</f>
        <v>342170.1599413217</v>
      </c>
      <c r="I64" s="82">
        <f t="shared" si="29"/>
        <v>6560.3359509504871</v>
      </c>
      <c r="J64" s="75"/>
      <c r="K64" s="83"/>
      <c r="L64" s="79"/>
      <c r="M64" s="80" t="s">
        <v>642</v>
      </c>
      <c r="N64" s="107">
        <v>1.6480648537255217E-2</v>
      </c>
      <c r="O64" s="88">
        <f>P58</f>
        <v>326777.11255096557</v>
      </c>
      <c r="P64" s="82">
        <f t="shared" si="25"/>
        <v>5385.4987419715544</v>
      </c>
      <c r="Q64" s="75"/>
      <c r="R64" s="82">
        <f t="shared" si="26"/>
        <v>-253.68740395777309</v>
      </c>
      <c r="S64" s="82">
        <f t="shared" si="27"/>
        <v>-921.14980502116032</v>
      </c>
      <c r="T64" s="82">
        <f t="shared" si="28"/>
        <v>-1174.8372089789327</v>
      </c>
      <c r="V64" s="70"/>
    </row>
    <row r="65" spans="4:27" x14ac:dyDescent="0.45">
      <c r="D65" s="83"/>
      <c r="E65" s="79"/>
      <c r="F65" s="80" t="s">
        <v>497</v>
      </c>
      <c r="G65" s="85">
        <f>IFERROR(GETPIVOTDATA(" Cantidad",TD!$A$3,"Proceso",$E$62,"ORD",$D$62,"Tipo",F65)/GETPIVOTDATA(" Cantidad",TD!$A$3,"Proceso",$E$62,"ORD",$D$62,"Tipo","Producción")*-1,0)</f>
        <v>1</v>
      </c>
      <c r="H65" s="82">
        <f>IFERROR(GETPIVOTDATA("Suma de Costo",TD!$A$3,"Proceso",$E$62,"ORD",$D$62,"Tipo",F65),0)</f>
        <v>0</v>
      </c>
      <c r="I65" s="82">
        <f t="shared" si="29"/>
        <v>0</v>
      </c>
      <c r="J65" s="75"/>
      <c r="K65" s="83"/>
      <c r="L65" s="79"/>
      <c r="M65" s="80" t="s">
        <v>497</v>
      </c>
      <c r="N65" s="85">
        <v>1</v>
      </c>
      <c r="O65" s="82">
        <v>0</v>
      </c>
      <c r="P65" s="82">
        <f t="shared" si="25"/>
        <v>0</v>
      </c>
      <c r="Q65" s="75"/>
      <c r="R65" s="82">
        <f t="shared" si="26"/>
        <v>0</v>
      </c>
      <c r="S65" s="82">
        <f t="shared" si="27"/>
        <v>0</v>
      </c>
      <c r="T65" s="82">
        <f t="shared" si="28"/>
        <v>0</v>
      </c>
      <c r="V65" s="70"/>
    </row>
    <row r="66" spans="4:27" x14ac:dyDescent="0.45">
      <c r="D66" s="83"/>
      <c r="E66" s="90"/>
      <c r="F66" s="80" t="s">
        <v>267</v>
      </c>
      <c r="G66" s="122">
        <f>GETPIVOTDATA(" Cantidad",TD!$A$3,"Proceso","Clinkerización","ORD",5,"Tipo",F66)/((GETPIVOTDATA(" Cantidad",TD!$A$3,"Proceso","Clinkerización","ORD",5,"Tipo","Producción"))*-1)</f>
        <v>30.700000000000003</v>
      </c>
      <c r="H66" s="86">
        <f>IFERROR(GETPIVOTDATA("Suma de Costo",TD!$A$3,"Proceso",$E$62,"ORD",$D$62,"Tipo",F66),0)</f>
        <v>525.14393124607477</v>
      </c>
      <c r="I66" s="82">
        <f t="shared" si="29"/>
        <v>16121.918689254497</v>
      </c>
      <c r="J66" s="75"/>
      <c r="K66" s="83"/>
      <c r="L66" s="90"/>
      <c r="M66" s="80" t="s">
        <v>267</v>
      </c>
      <c r="N66" s="128">
        <v>31.830555656244851</v>
      </c>
      <c r="O66" s="88">
        <v>485.33891128999591</v>
      </c>
      <c r="P66" s="82">
        <f t="shared" si="25"/>
        <v>15448.607227957496</v>
      </c>
      <c r="Q66" s="75"/>
      <c r="R66" s="82">
        <f t="shared" si="26"/>
        <v>-1267.0159031099054</v>
      </c>
      <c r="S66" s="82">
        <f t="shared" si="27"/>
        <v>593.70444181290543</v>
      </c>
      <c r="T66" s="82">
        <f t="shared" si="28"/>
        <v>-673.31146129700028</v>
      </c>
      <c r="V66" s="70"/>
    </row>
    <row r="67" spans="4:27" x14ac:dyDescent="0.45">
      <c r="D67" s="83"/>
      <c r="E67" s="90"/>
      <c r="F67" s="80" t="s">
        <v>500</v>
      </c>
      <c r="G67" s="85">
        <f>IFERROR(GETPIVOTDATA(" Cantidad",TD!$A$3,"Proceso",$E$62,"ORD",$D$62,"Tipo",F67)/GETPIVOTDATA(" Cantidad",TD!$A$3,"Proceso",$E$62,"ORD",$D$62,"Tipo","Producción")*-1,0)</f>
        <v>3.5023853564817825E-2</v>
      </c>
      <c r="H67" s="82">
        <f>IFERROR(GETPIVOTDATA("Suma de Costo",TD!$A$3,"Proceso",$E$62,"ORD",$D$62,"Tipo",F67),0)</f>
        <v>6160</v>
      </c>
      <c r="I67" s="82">
        <f t="shared" si="29"/>
        <v>215.7469379592778</v>
      </c>
      <c r="J67" s="75"/>
      <c r="K67" s="83"/>
      <c r="L67" s="90"/>
      <c r="M67" s="80" t="s">
        <v>500</v>
      </c>
      <c r="N67" s="85">
        <v>4.1532854165611435E-2</v>
      </c>
      <c r="O67" s="82">
        <v>7256.0684612767145</v>
      </c>
      <c r="P67" s="82">
        <f t="shared" si="25"/>
        <v>301.36523321789832</v>
      </c>
      <c r="Q67" s="75"/>
      <c r="R67" s="82">
        <f t="shared" si="26"/>
        <v>45.522851557731911</v>
      </c>
      <c r="S67" s="82">
        <f t="shared" si="27"/>
        <v>40.095443700888637</v>
      </c>
      <c r="T67" s="82">
        <f t="shared" si="28"/>
        <v>85.61829525862052</v>
      </c>
      <c r="V67" s="70"/>
      <c r="Y67" s="69"/>
      <c r="AA67" s="74">
        <f t="shared" ref="AA67" si="30">Z67-Y67</f>
        <v>0</v>
      </c>
    </row>
    <row r="68" spans="4:27" x14ac:dyDescent="0.45">
      <c r="D68" s="83"/>
      <c r="E68" s="90"/>
      <c r="F68" s="80" t="s">
        <v>499</v>
      </c>
      <c r="G68" s="85">
        <f>IFERROR(GETPIVOTDATA(" Cantidad",TD!$A$3,"Proceso",$E$62,"ORD",$D$62,"Tipo",F68)/GETPIVOTDATA(" Cantidad",TD!$A$3,"Proceso",$E$62,"ORD",$D$62,"Tipo","Producción")*-1,0)</f>
        <v>1</v>
      </c>
      <c r="H68" s="82">
        <f>IFERROR(GETPIVOTDATA("Suma de Costo",TD!$A$3,"Proceso",$E$62,"ORD",$D$62,"Tipo",F68),0)</f>
        <v>0</v>
      </c>
      <c r="I68" s="82">
        <f t="shared" si="29"/>
        <v>0</v>
      </c>
      <c r="J68" s="75"/>
      <c r="K68" s="83"/>
      <c r="L68" s="90"/>
      <c r="M68" s="80" t="s">
        <v>499</v>
      </c>
      <c r="N68" s="85">
        <v>1</v>
      </c>
      <c r="O68" s="82">
        <v>0</v>
      </c>
      <c r="P68" s="82">
        <f t="shared" si="25"/>
        <v>0</v>
      </c>
      <c r="Q68" s="75"/>
      <c r="R68" s="82">
        <f t="shared" si="26"/>
        <v>0</v>
      </c>
      <c r="S68" s="82">
        <f t="shared" si="27"/>
        <v>0</v>
      </c>
      <c r="T68" s="82">
        <f t="shared" si="28"/>
        <v>0</v>
      </c>
      <c r="V68" s="70"/>
    </row>
    <row r="69" spans="4:27" x14ac:dyDescent="0.45">
      <c r="D69" s="83"/>
      <c r="E69" s="90"/>
      <c r="F69" s="80" t="s">
        <v>498</v>
      </c>
      <c r="G69" s="85">
        <f>IFERROR(GETPIVOTDATA(" Cantidad",TD!$A$3,"Proceso",$E$62,"ORD",$D$62,"Tipo",F69)/GETPIVOTDATA(" Cantidad",TD!$A$3,"Proceso",$E$62,"ORD",$D$62,"Tipo","Producción")*-1,0)</f>
        <v>1</v>
      </c>
      <c r="H69" s="82">
        <f>IFERROR(GETPIVOTDATA("Suma de Costo",TD!$A$3,"Proceso",$E$62,"ORD",$D$62,"Tipo",F69),0)</f>
        <v>184.45896210804054</v>
      </c>
      <c r="I69" s="82">
        <f t="shared" si="29"/>
        <v>184.45896210804054</v>
      </c>
      <c r="J69" s="75"/>
      <c r="K69" s="83"/>
      <c r="L69" s="90"/>
      <c r="M69" s="80" t="s">
        <v>498</v>
      </c>
      <c r="N69" s="85">
        <v>1</v>
      </c>
      <c r="O69" s="109">
        <v>52.46097268484602</v>
      </c>
      <c r="P69" s="82">
        <f t="shared" si="25"/>
        <v>52.46097268484602</v>
      </c>
      <c r="Q69" s="75"/>
      <c r="R69" s="82">
        <f t="shared" si="26"/>
        <v>-131.99798942319453</v>
      </c>
      <c r="S69" s="82">
        <f t="shared" si="27"/>
        <v>0</v>
      </c>
      <c r="T69" s="82">
        <f t="shared" si="28"/>
        <v>-131.99798942319453</v>
      </c>
      <c r="V69" s="70"/>
    </row>
    <row r="70" spans="4:27" x14ac:dyDescent="0.45">
      <c r="D70" s="83"/>
      <c r="E70" s="90"/>
      <c r="F70" s="80" t="s">
        <v>501</v>
      </c>
      <c r="G70" s="85">
        <f>IFERROR(GETPIVOTDATA("Suma de Costo",TD!$A$3,"Proceso",$E$62,"ORD",$D$62,"Tipo",F70),0)</f>
        <v>0</v>
      </c>
      <c r="H70" s="82">
        <f>IFERROR(GETPIVOTDATA("Suma de Costo",TD!$A$3,"Proceso",$E$62,"ORD",$D$62,"Tipo",F70),0)</f>
        <v>0</v>
      </c>
      <c r="I70" s="82">
        <f t="shared" si="29"/>
        <v>0</v>
      </c>
      <c r="J70" s="75"/>
      <c r="K70" s="83"/>
      <c r="L70" s="90"/>
      <c r="M70" s="80" t="s">
        <v>501</v>
      </c>
      <c r="N70" s="85">
        <v>0.14633443344005884</v>
      </c>
      <c r="O70" s="82">
        <v>13.795096597131735</v>
      </c>
      <c r="P70" s="82">
        <f t="shared" si="25"/>
        <v>2.0186976447921561</v>
      </c>
      <c r="Q70" s="75"/>
      <c r="R70" s="82">
        <f t="shared" si="26"/>
        <v>2.0186976447921561</v>
      </c>
      <c r="S70" s="82">
        <f t="shared" si="27"/>
        <v>0</v>
      </c>
      <c r="T70" s="82">
        <f t="shared" si="28"/>
        <v>2.0186976447921561</v>
      </c>
      <c r="V70" s="70"/>
    </row>
    <row r="71" spans="4:27" x14ac:dyDescent="0.45">
      <c r="D71" s="83"/>
      <c r="E71" s="90"/>
      <c r="F71" s="80" t="s">
        <v>461</v>
      </c>
      <c r="G71" s="85">
        <f>IFERROR(GETPIVOTDATA(" Cantidad",TD!$A$3,"Proceso",$E$62,"ORD",$D$62,"Tipo",F71)/GETPIVOTDATA(" Cantidad",TD!$A$3,"Proceso",$E$62,"ORD",$D$62,"Tipo","Producción")*-1,0)</f>
        <v>7.4717554271611364E-2</v>
      </c>
      <c r="H71" s="82">
        <f>IFERROR(GETPIVOTDATA("Suma de Costo",TD!$A$3,"Proceso",$E$62,"ORD",$D$62,"Tipo",F71),0)</f>
        <v>12000</v>
      </c>
      <c r="I71" s="82">
        <f t="shared" si="29"/>
        <v>896.61065125933635</v>
      </c>
      <c r="J71" s="75"/>
      <c r="K71" s="83"/>
      <c r="L71" s="90"/>
      <c r="M71" s="80" t="s">
        <v>461</v>
      </c>
      <c r="N71" s="129">
        <v>0.12853227052826224</v>
      </c>
      <c r="O71" s="88">
        <v>8663.0042401421924</v>
      </c>
      <c r="P71" s="82">
        <f t="shared" si="25"/>
        <v>1113.4756045814393</v>
      </c>
      <c r="Q71" s="75"/>
      <c r="R71" s="82">
        <f t="shared" si="26"/>
        <v>-428.91164175770774</v>
      </c>
      <c r="S71" s="82">
        <f t="shared" si="27"/>
        <v>645.77659507981059</v>
      </c>
      <c r="T71" s="82">
        <f t="shared" si="28"/>
        <v>216.86495332210291</v>
      </c>
      <c r="V71" s="70"/>
      <c r="Y71" s="69"/>
      <c r="AA71" s="74">
        <f t="shared" ref="AA71:AA72" si="31">Z71-Y71</f>
        <v>0</v>
      </c>
    </row>
    <row r="72" spans="4:27" x14ac:dyDescent="0.45">
      <c r="D72" s="83"/>
      <c r="E72" s="90"/>
      <c r="F72" s="80" t="s">
        <v>502</v>
      </c>
      <c r="G72" s="85">
        <f>IFERROR(GETPIVOTDATA(" Cantidad",TD!$A$3,"Proceso",$E$62,"ORD",$D$62,"Tipo",F72)/GETPIVOTDATA(" Cantidad",TD!$A$3,"Proceso",$E$62,"ORD",$D$62,"Tipo","Producción")*-1,0)</f>
        <v>1</v>
      </c>
      <c r="H72" s="82">
        <f>IFERROR(GETPIVOTDATA("Suma de Costo",TD!$A$3,"Proceso",$E$62,"ORD",$D$62,"Tipo",F72),0)</f>
        <v>1263.3116904631754</v>
      </c>
      <c r="I72" s="82">
        <f t="shared" si="29"/>
        <v>1263.3116904631754</v>
      </c>
      <c r="J72" s="75"/>
      <c r="K72" s="83"/>
      <c r="L72" s="90"/>
      <c r="M72" s="80" t="s">
        <v>502</v>
      </c>
      <c r="N72" s="85">
        <v>1</v>
      </c>
      <c r="O72" s="109">
        <v>3045.2609360411361</v>
      </c>
      <c r="P72" s="82">
        <f t="shared" si="25"/>
        <v>3045.2609360411361</v>
      </c>
      <c r="Q72" s="75"/>
      <c r="R72" s="82">
        <f t="shared" si="26"/>
        <v>1781.9492455779607</v>
      </c>
      <c r="S72" s="82">
        <f t="shared" si="27"/>
        <v>0</v>
      </c>
      <c r="T72" s="82">
        <f t="shared" si="28"/>
        <v>1781.9492455779607</v>
      </c>
      <c r="V72" s="70"/>
      <c r="Y72" s="73"/>
      <c r="AA72" s="74">
        <f t="shared" si="31"/>
        <v>0</v>
      </c>
    </row>
    <row r="73" spans="4:27" x14ac:dyDescent="0.45">
      <c r="D73" s="83"/>
      <c r="E73" s="90"/>
      <c r="F73" s="80" t="s">
        <v>503</v>
      </c>
      <c r="G73" s="85">
        <f>IFERROR(GETPIVOTDATA(" Cantidad",TD!$A$3,"Proceso",$E$62,"ORD",$D$62,"Tipo",F73)/GETPIVOTDATA(" Cantidad",TD!$A$3,"Proceso",$E$62,"ORD",$D$62,"Tipo","Producción")*-1,0)</f>
        <v>1</v>
      </c>
      <c r="H73" s="82">
        <f>IFERROR(GETPIVOTDATA("Suma de Costo",TD!$A$3,"Proceso",$E$62,"ORD",$D$62,"Tipo",F73),0)</f>
        <v>3600.6055380998073</v>
      </c>
      <c r="I73" s="82">
        <f t="shared" si="29"/>
        <v>3600.6055380998073</v>
      </c>
      <c r="J73" s="75"/>
      <c r="K73" s="83"/>
      <c r="L73" s="90"/>
      <c r="M73" s="80" t="s">
        <v>503</v>
      </c>
      <c r="N73" s="85">
        <v>1</v>
      </c>
      <c r="O73" s="109">
        <v>3021.5659286372629</v>
      </c>
      <c r="P73" s="82">
        <f t="shared" si="25"/>
        <v>3021.5659286372629</v>
      </c>
      <c r="Q73" s="75"/>
      <c r="R73" s="82">
        <f t="shared" si="26"/>
        <v>-579.03960946254438</v>
      </c>
      <c r="S73" s="82">
        <f t="shared" si="27"/>
        <v>0</v>
      </c>
      <c r="T73" s="82">
        <f t="shared" si="28"/>
        <v>-579.03960946254438</v>
      </c>
      <c r="V73" s="70"/>
      <c r="Y73" s="69"/>
      <c r="AA73" s="74">
        <f t="shared" ref="AA73" si="32">Z73-Y73</f>
        <v>0</v>
      </c>
    </row>
    <row r="74" spans="4:27" x14ac:dyDescent="0.45">
      <c r="D74" s="94"/>
      <c r="E74" s="95" t="s">
        <v>643</v>
      </c>
      <c r="F74" s="95"/>
      <c r="G74" s="96"/>
      <c r="H74" s="96"/>
      <c r="I74" s="97">
        <f>SUM(I62:I73)</f>
        <v>121865.27029471415</v>
      </c>
      <c r="J74" s="75"/>
      <c r="K74" s="94"/>
      <c r="L74" s="95" t="s">
        <v>643</v>
      </c>
      <c r="M74" s="95"/>
      <c r="N74" s="96"/>
      <c r="O74" s="96"/>
      <c r="P74" s="97">
        <f>SUM(P62:P73)</f>
        <v>113462.98244591446</v>
      </c>
      <c r="Q74" s="75"/>
      <c r="R74" s="97">
        <f>+SUM(R62:R73)</f>
        <v>-16619.038505156634</v>
      </c>
      <c r="S74" s="97">
        <f>+SUM(S62:S73)</f>
        <v>8216.7506563569186</v>
      </c>
      <c r="T74" s="97">
        <f>+SUM(T62:T73)</f>
        <v>-8402.2878487997168</v>
      </c>
      <c r="U74" s="130"/>
    </row>
    <row r="75" spans="4:27" x14ac:dyDescent="0.45">
      <c r="D75" s="98"/>
      <c r="E75" s="99"/>
      <c r="F75" s="99"/>
      <c r="G75" s="100"/>
      <c r="H75" s="100"/>
      <c r="I75" s="101">
        <f>IFERROR(GETPIVOTDATA(" Cantidad",TD!$A$3,"Proceso",E62,"ORD",D62,"Tipo","Producción")*-1,0)</f>
        <v>856559.08606629202</v>
      </c>
      <c r="K75" s="98"/>
      <c r="L75" s="99"/>
      <c r="M75" s="99"/>
      <c r="N75" s="100"/>
      <c r="O75" s="100"/>
      <c r="P75" s="101">
        <v>887315.42500000005</v>
      </c>
      <c r="Q75" s="75"/>
      <c r="R75" s="101"/>
      <c r="S75" s="101"/>
      <c r="T75" s="101"/>
      <c r="Y75" s="69"/>
    </row>
    <row r="76" spans="4:27" x14ac:dyDescent="0.45">
      <c r="E76" s="105"/>
      <c r="F76" s="68"/>
      <c r="G76" s="161"/>
      <c r="H76" s="168"/>
      <c r="I76" s="171"/>
      <c r="L76" s="170"/>
      <c r="M76" s="172"/>
      <c r="N76" s="173"/>
      <c r="O76" s="168"/>
      <c r="P76" s="171"/>
      <c r="Q76" s="162"/>
    </row>
    <row r="77" spans="4:27" x14ac:dyDescent="0.45">
      <c r="D77" s="76" t="s">
        <v>644</v>
      </c>
      <c r="E77" s="76" t="s">
        <v>435</v>
      </c>
      <c r="F77" s="76" t="s">
        <v>52</v>
      </c>
      <c r="G77" s="77" t="s">
        <v>620</v>
      </c>
      <c r="H77" s="77" t="s">
        <v>621</v>
      </c>
      <c r="I77" s="77" t="s">
        <v>395</v>
      </c>
      <c r="K77" s="76" t="s">
        <v>644</v>
      </c>
      <c r="L77" s="76" t="s">
        <v>435</v>
      </c>
      <c r="M77" s="76" t="s">
        <v>52</v>
      </c>
      <c r="N77" s="77" t="s">
        <v>620</v>
      </c>
      <c r="O77" s="77" t="s">
        <v>621</v>
      </c>
      <c r="P77" s="77" t="s">
        <v>395</v>
      </c>
      <c r="Q77" s="75"/>
      <c r="R77" s="77" t="s">
        <v>622</v>
      </c>
      <c r="S77" s="77" t="s">
        <v>623</v>
      </c>
      <c r="T77" s="77" t="s">
        <v>395</v>
      </c>
    </row>
    <row r="78" spans="4:27" x14ac:dyDescent="0.45">
      <c r="D78" s="78">
        <v>6</v>
      </c>
      <c r="E78" s="79" t="s">
        <v>465</v>
      </c>
      <c r="F78" s="80" t="s">
        <v>182</v>
      </c>
      <c r="G78" s="81">
        <f>IFERROR(GETPIVOTDATA(" Cantidad",TD!$A$3,"Proceso",$E$78,"ORD",$D$78,"Tipo",F78)/GETPIVOTDATA(" Cantidad",TD!$A$3,"Proceso",$E$78,"ORD",$D$78,"Tipo","Producción")*-1,0)</f>
        <v>0.52</v>
      </c>
      <c r="H78" s="82">
        <f>I74</f>
        <v>121865.27029471415</v>
      </c>
      <c r="I78" s="82">
        <f t="shared" ref="I78:I89" si="33">H78*G78</f>
        <v>63369.940553251363</v>
      </c>
      <c r="J78" s="75"/>
      <c r="K78" s="78">
        <v>6</v>
      </c>
      <c r="L78" s="79" t="s">
        <v>465</v>
      </c>
      <c r="M78" s="80" t="s">
        <v>182</v>
      </c>
      <c r="N78" s="112">
        <v>0.53491329209909511</v>
      </c>
      <c r="O78" s="88">
        <f>P74</f>
        <v>113462.98244591446</v>
      </c>
      <c r="P78" s="82">
        <f t="shared" ref="P78:P89" si="34">N78*O78</f>
        <v>60692.857471525938</v>
      </c>
      <c r="Q78" s="75"/>
      <c r="R78" s="82">
        <f t="shared" ref="R78:R89" si="35">+(O78-H78)*N78</f>
        <v>-4494.4954543656677</v>
      </c>
      <c r="S78" s="82">
        <f t="shared" ref="S78:S89" si="36">+(N78-G78)*H78</f>
        <v>1817.4123726402479</v>
      </c>
      <c r="T78" s="82">
        <f t="shared" ref="T78:T89" si="37">+P78-I78</f>
        <v>-2677.0830817254246</v>
      </c>
      <c r="U78" s="89"/>
    </row>
    <row r="79" spans="4:27" x14ac:dyDescent="0.45">
      <c r="D79" s="83"/>
      <c r="E79" s="79"/>
      <c r="F79" s="80" t="s">
        <v>391</v>
      </c>
      <c r="G79" s="81">
        <f>IFERROR(GETPIVOTDATA(" Cantidad",TD!$A$3,"Proceso",$E$78,"ORD",$D$78,"Tipo",F79)/GETPIVOTDATA(" Cantidad",TD!$A$3,"Proceso",$E$78,"ORD",$D$78,"Tipo","Producción")*-1,0)</f>
        <v>0.38783999999999996</v>
      </c>
      <c r="H79" s="82">
        <f>+I24</f>
        <v>16036.454010329262</v>
      </c>
      <c r="I79" s="82">
        <f t="shared" si="33"/>
        <v>6219.5783233661004</v>
      </c>
      <c r="J79" s="75"/>
      <c r="K79" s="83"/>
      <c r="L79" s="79"/>
      <c r="M79" s="80" t="s">
        <v>391</v>
      </c>
      <c r="N79" s="131">
        <v>0.37435213985870258</v>
      </c>
      <c r="O79" s="88">
        <f>P24</f>
        <v>15086.890784461226</v>
      </c>
      <c r="P79" s="82">
        <f t="shared" si="34"/>
        <v>5647.8098489776003</v>
      </c>
      <c r="Q79" s="75"/>
      <c r="R79" s="82">
        <f t="shared" si="35"/>
        <v>-355.47102553483188</v>
      </c>
      <c r="S79" s="82">
        <f t="shared" si="36"/>
        <v>-216.29744885366858</v>
      </c>
      <c r="T79" s="82">
        <f t="shared" si="37"/>
        <v>-571.76847438850018</v>
      </c>
      <c r="U79" s="89"/>
    </row>
    <row r="80" spans="4:27" x14ac:dyDescent="0.45">
      <c r="D80" s="83"/>
      <c r="E80" s="79"/>
      <c r="F80" s="80" t="s">
        <v>537</v>
      </c>
      <c r="G80" s="112">
        <f>IFERROR(GETPIVOTDATA(" Cantidad",TD!$A$3,"Proceso",$E$78,"ORD",$D$78,"Tipo",F80)/GETPIVOTDATA(" Cantidad",TD!$A$3,"Proceso",$E$78,"ORD",$D$78,"Tipo","Producción")*-1,0)</f>
        <v>5.0000000000000001E-4</v>
      </c>
      <c r="H80" s="82">
        <f>IFERROR(GETPIVOTDATA("Suma de Costo",TD!$A$3,"Proceso",$E$78,"ORD",$D$78,"Tipo",F80),0)</f>
        <v>4396360.0000000009</v>
      </c>
      <c r="I80" s="82">
        <f t="shared" si="33"/>
        <v>2198.1800000000003</v>
      </c>
      <c r="J80" s="75"/>
      <c r="K80" s="83"/>
      <c r="L80" s="79"/>
      <c r="M80" s="80" t="s">
        <v>537</v>
      </c>
      <c r="N80" s="132">
        <v>5.0303888950006131E-4</v>
      </c>
      <c r="O80" s="88">
        <v>4014954.4513995093</v>
      </c>
      <c r="P80" s="82">
        <f t="shared" si="34"/>
        <v>2019.6782286253372</v>
      </c>
      <c r="Q80" s="75"/>
      <c r="R80" s="82">
        <f t="shared" si="35"/>
        <v>-191.86182361715296</v>
      </c>
      <c r="S80" s="82">
        <f t="shared" si="36"/>
        <v>13.360052242489507</v>
      </c>
      <c r="T80" s="82">
        <f t="shared" si="37"/>
        <v>-178.50177137466312</v>
      </c>
      <c r="U80" s="89"/>
    </row>
    <row r="81" spans="3:25" x14ac:dyDescent="0.45">
      <c r="D81" s="83"/>
      <c r="E81" s="79"/>
      <c r="F81" s="80" t="s">
        <v>58</v>
      </c>
      <c r="G81" s="112">
        <f>IFERROR(GETPIVOTDATA(" Cantidad",TD!$A$3,"Proceso",$E$78,"ORD",$D$78,"Tipo",F81)/GETPIVOTDATA(" Cantidad",TD!$A$3,"Proceso",$E$78,"ORD",$D$78,"Tipo","Producción")*-1,0)</f>
        <v>0.03</v>
      </c>
      <c r="H81" s="82">
        <f>IFERROR(GETPIVOTDATA("Suma de Costo",TD!$A$3,"Proceso",$E$78,"ORD",$D$78,"Tipo",F81),0)</f>
        <v>105080.05419161372</v>
      </c>
      <c r="I81" s="82">
        <f t="shared" si="33"/>
        <v>3152.4016257484113</v>
      </c>
      <c r="J81" s="75"/>
      <c r="K81" s="83"/>
      <c r="L81" s="79"/>
      <c r="M81" s="80" t="s">
        <v>58</v>
      </c>
      <c r="N81" s="81">
        <v>2.8487187525302118E-2</v>
      </c>
      <c r="O81" s="88">
        <v>109078.75807676019</v>
      </c>
      <c r="P81" s="82">
        <f t="shared" si="34"/>
        <v>3107.3470363597307</v>
      </c>
      <c r="Q81" s="75"/>
      <c r="R81" s="82">
        <f t="shared" si="35"/>
        <v>113.91182743432178</v>
      </c>
      <c r="S81" s="82">
        <f t="shared" si="36"/>
        <v>-158.96641682300253</v>
      </c>
      <c r="T81" s="82">
        <f t="shared" si="37"/>
        <v>-45.054589388680597</v>
      </c>
      <c r="U81" s="89"/>
    </row>
    <row r="82" spans="3:25" x14ac:dyDescent="0.45">
      <c r="D82" s="83"/>
      <c r="E82" s="79"/>
      <c r="F82" s="80" t="s">
        <v>540</v>
      </c>
      <c r="G82" s="81">
        <f>IFERROR(GETPIVOTDATA(" Cantidad",TD!$A$3,"Proceso",$E$78,"ORD",$D$78,"Tipo",F82)/GETPIVOTDATA(" Cantidad",TD!$A$3,"Proceso",$E$78,"ORD",$D$78,"Tipo","Producción")*-1,0)</f>
        <v>3.0149999999999993E-2</v>
      </c>
      <c r="H82" s="82">
        <f>I36</f>
        <v>31752.892182537373</v>
      </c>
      <c r="I82" s="82">
        <f t="shared" si="33"/>
        <v>957.34969930350155</v>
      </c>
      <c r="J82" s="75"/>
      <c r="K82" s="83"/>
      <c r="L82" s="79"/>
      <c r="M82" s="80" t="s">
        <v>540</v>
      </c>
      <c r="N82" s="81">
        <v>2.4946179717197554E-2</v>
      </c>
      <c r="O82" s="88">
        <f>P36</f>
        <v>29052.956377976945</v>
      </c>
      <c r="P82" s="82">
        <f t="shared" si="34"/>
        <v>724.76027112091379</v>
      </c>
      <c r="Q82" s="75"/>
      <c r="R82" s="82">
        <f t="shared" si="35"/>
        <v>-67.353083805460798</v>
      </c>
      <c r="S82" s="82">
        <f t="shared" si="36"/>
        <v>-165.23634437712698</v>
      </c>
      <c r="T82" s="82">
        <f t="shared" si="37"/>
        <v>-232.58942818258777</v>
      </c>
      <c r="U82" s="89"/>
    </row>
    <row r="83" spans="3:25" x14ac:dyDescent="0.45">
      <c r="C83" s="84" t="s">
        <v>624</v>
      </c>
      <c r="D83" s="83"/>
      <c r="E83" s="79"/>
      <c r="F83" s="80" t="s">
        <v>491</v>
      </c>
      <c r="G83" s="85">
        <f>IFERROR(GETPIVOTDATA(" Cantidad",TD!$A$3,"Proceso",$E$78,"ORD",$D$78,"Tipo",F83)/GETPIVOTDATA(" Cantidad",TD!$A$3,"Proceso",$E$78,"ORD",$D$78,"Tipo","Producción")*-1,0)</f>
        <v>0</v>
      </c>
      <c r="H83" s="82">
        <f>IFERROR(GETPIVOTDATA("Suma de Costo",TD!$A$3,"Proceso",$E$78,"ORD",$D$78,"Tipo",F83),0)</f>
        <v>0</v>
      </c>
      <c r="I83" s="82">
        <f t="shared" si="33"/>
        <v>0</v>
      </c>
      <c r="J83" s="75"/>
      <c r="K83" s="83"/>
      <c r="L83" s="79"/>
      <c r="M83" s="80" t="s">
        <v>491</v>
      </c>
      <c r="N83" s="85">
        <v>0</v>
      </c>
      <c r="O83" s="82">
        <v>0</v>
      </c>
      <c r="P83" s="82">
        <f t="shared" si="34"/>
        <v>0</v>
      </c>
      <c r="Q83" s="75"/>
      <c r="R83" s="82">
        <f t="shared" si="35"/>
        <v>0</v>
      </c>
      <c r="S83" s="82">
        <f t="shared" si="36"/>
        <v>0</v>
      </c>
      <c r="T83" s="82">
        <f t="shared" si="37"/>
        <v>0</v>
      </c>
    </row>
    <row r="84" spans="3:25" x14ac:dyDescent="0.45">
      <c r="C84" s="84"/>
      <c r="D84" s="83"/>
      <c r="E84" s="90"/>
      <c r="F84" s="80" t="s">
        <v>504</v>
      </c>
      <c r="G84" s="85">
        <v>1</v>
      </c>
      <c r="H84" s="82">
        <f>IFERROR(GETPIVOTDATA("Suma de Costo",TD!$A$3,"Proceso",$E$78,"ORD",$D$78,"Tipo",F84),0)</f>
        <v>1539.636971538461</v>
      </c>
      <c r="I84" s="82">
        <f t="shared" si="33"/>
        <v>1539.636971538461</v>
      </c>
      <c r="J84" s="75"/>
      <c r="K84" s="83"/>
      <c r="L84" s="90"/>
      <c r="M84" s="80" t="s">
        <v>504</v>
      </c>
      <c r="N84" s="85">
        <v>1</v>
      </c>
      <c r="O84" s="109">
        <v>1117.2995875639574</v>
      </c>
      <c r="P84" s="82">
        <f t="shared" si="34"/>
        <v>1117.2995875639574</v>
      </c>
      <c r="Q84" s="75"/>
      <c r="R84" s="82">
        <f t="shared" si="35"/>
        <v>-422.33738397450361</v>
      </c>
      <c r="S84" s="82">
        <f t="shared" si="36"/>
        <v>0</v>
      </c>
      <c r="T84" s="82">
        <f t="shared" si="37"/>
        <v>-422.33738397450361</v>
      </c>
    </row>
    <row r="85" spans="3:25" x14ac:dyDescent="0.45">
      <c r="D85" s="83"/>
      <c r="E85" s="90"/>
      <c r="F85" s="80" t="s">
        <v>267</v>
      </c>
      <c r="G85" s="122">
        <f>GETPIVOTDATA(" Cantidad",TD!$A$3,"Proceso","Cemento UG","ORD",6,"Tipo",F85)/((GETPIVOTDATA(" Cantidad",TD!$A$3,"Proceso","Cemento UG","ORD",6,"Tipo","Producción"))*-1)</f>
        <v>25.699999999999996</v>
      </c>
      <c r="H85" s="86">
        <f>IFERROR(GETPIVOTDATA("Suma de Costo",TD!$A$3,"Proceso",$E$78,"ORD",$D$78,"Tipo",F85),0)</f>
        <v>525.28044843170676</v>
      </c>
      <c r="I85" s="82">
        <f t="shared" si="33"/>
        <v>13499.707524694861</v>
      </c>
      <c r="J85" s="75"/>
      <c r="K85" s="83"/>
      <c r="L85" s="90"/>
      <c r="M85" s="80" t="s">
        <v>267</v>
      </c>
      <c r="N85" s="128">
        <v>26.405728162478216</v>
      </c>
      <c r="O85" s="88">
        <v>485.33891128999591</v>
      </c>
      <c r="P85" s="82">
        <f t="shared" si="34"/>
        <v>12815.727358196762</v>
      </c>
      <c r="Q85" s="75"/>
      <c r="R85" s="82">
        <f t="shared" si="35"/>
        <v>-1054.685372155544</v>
      </c>
      <c r="S85" s="82">
        <f t="shared" si="36"/>
        <v>370.70520565744374</v>
      </c>
      <c r="T85" s="82">
        <f t="shared" si="37"/>
        <v>-683.9801664980987</v>
      </c>
    </row>
    <row r="86" spans="3:25" x14ac:dyDescent="0.45">
      <c r="D86" s="83"/>
      <c r="E86" s="90"/>
      <c r="F86" s="80" t="s">
        <v>461</v>
      </c>
      <c r="G86" s="85">
        <f>IFERROR(GETPIVOTDATA(" Cantidad",TD!$A$3,"Proceso",$E$78,"ORD",$D$78,"Tipo",F86)/GETPIVOTDATA(" Cantidad",TD!$A$3,"Proceso",$E$78,"ORD",$D$78,"Tipo","Producción")*-1,0)</f>
        <v>1</v>
      </c>
      <c r="H86" s="82">
        <f>IFERROR(GETPIVOTDATA("Suma de Costo",TD!$A$3,"Proceso",$E$78,"ORD",$D$78,"Tipo",F86),0)</f>
        <v>0</v>
      </c>
      <c r="I86" s="82">
        <f t="shared" si="33"/>
        <v>0</v>
      </c>
      <c r="J86" s="75"/>
      <c r="K86" s="83"/>
      <c r="L86" s="90"/>
      <c r="M86" s="80" t="s">
        <v>461</v>
      </c>
      <c r="N86" s="85">
        <v>0</v>
      </c>
      <c r="O86" s="82">
        <v>0</v>
      </c>
      <c r="P86" s="82">
        <f t="shared" si="34"/>
        <v>0</v>
      </c>
      <c r="Q86" s="75"/>
      <c r="R86" s="82">
        <f t="shared" si="35"/>
        <v>0</v>
      </c>
      <c r="S86" s="82">
        <f t="shared" si="36"/>
        <v>0</v>
      </c>
      <c r="T86" s="82">
        <f t="shared" si="37"/>
        <v>0</v>
      </c>
    </row>
    <row r="87" spans="3:25" x14ac:dyDescent="0.45">
      <c r="D87" s="83"/>
      <c r="E87" s="90"/>
      <c r="F87" s="80" t="s">
        <v>32</v>
      </c>
      <c r="G87" s="81">
        <f>IFERROR(GETPIVOTDATA(" Cantidad",TD!$A$3,"Proceso",$E$78,"ORD",$D$78,"Tipo",F87)/GETPIVOTDATA(" Cantidad",TD!$A$3,"Proceso",$E$78,"ORD",$D$78,"Tipo","Producción")*-1,0)</f>
        <v>0</v>
      </c>
      <c r="H87" s="82">
        <f>IFERROR(GETPIVOTDATA("Suma de Costo",TD!$A$3,"Proceso",$E$78,"ORD",$D$78,"Tipo",F87),0)</f>
        <v>0</v>
      </c>
      <c r="I87" s="82">
        <f t="shared" si="33"/>
        <v>0</v>
      </c>
      <c r="J87" s="75"/>
      <c r="K87" s="83"/>
      <c r="L87" s="90"/>
      <c r="M87" s="80" t="s">
        <v>32</v>
      </c>
      <c r="N87" s="81">
        <v>0</v>
      </c>
      <c r="O87" s="82">
        <v>0</v>
      </c>
      <c r="P87" s="82">
        <f t="shared" si="34"/>
        <v>0</v>
      </c>
      <c r="Q87" s="75"/>
      <c r="R87" s="82">
        <f t="shared" si="35"/>
        <v>0</v>
      </c>
      <c r="S87" s="82">
        <f t="shared" si="36"/>
        <v>0</v>
      </c>
      <c r="T87" s="82">
        <f t="shared" si="37"/>
        <v>0</v>
      </c>
    </row>
    <row r="88" spans="3:25" x14ac:dyDescent="0.45">
      <c r="D88" s="83"/>
      <c r="E88" s="90"/>
      <c r="F88" s="80" t="s">
        <v>505</v>
      </c>
      <c r="G88" s="81">
        <f>IFERROR(GETPIVOTDATA(" Cantidad",TD!$A$3,"Proceso",$E$78,"ORD",$D$78,"Tipo",F88)/GETPIVOTDATA(" Cantidad",TD!$A$3,"Proceso",$E$78,"ORD",$D$78,"Tipo","Producción")*-1,0)</f>
        <v>0</v>
      </c>
      <c r="H88" s="82">
        <f>IFERROR(GETPIVOTDATA("Suma de Costo",TD!$A$3,"Proceso",$E$78,"ORD",$D$78,"Tipo",F88),0)</f>
        <v>0</v>
      </c>
      <c r="I88" s="82">
        <f t="shared" si="33"/>
        <v>0</v>
      </c>
      <c r="J88" s="75"/>
      <c r="K88" s="83"/>
      <c r="L88" s="90"/>
      <c r="M88" s="80" t="s">
        <v>505</v>
      </c>
      <c r="N88" s="81">
        <v>0</v>
      </c>
      <c r="O88" s="82">
        <v>0</v>
      </c>
      <c r="P88" s="82">
        <f t="shared" si="34"/>
        <v>0</v>
      </c>
      <c r="Q88" s="75"/>
      <c r="R88" s="82">
        <f t="shared" si="35"/>
        <v>0</v>
      </c>
      <c r="S88" s="82">
        <f t="shared" si="36"/>
        <v>0</v>
      </c>
      <c r="T88" s="82">
        <f t="shared" si="37"/>
        <v>0</v>
      </c>
    </row>
    <row r="89" spans="3:25" x14ac:dyDescent="0.45">
      <c r="D89" s="83"/>
      <c r="E89" s="90"/>
      <c r="F89" s="80" t="s">
        <v>57</v>
      </c>
      <c r="G89" s="81">
        <f>IFERROR(GETPIVOTDATA(" Cantidad",TD!$A$3,"Proceso",$E$78,"ORD",$D$78,"Tipo",F89)/GETPIVOTDATA(" Cantidad",TD!$A$3,"Proceso",$E$78,"ORD",$D$78,"Tipo","Producción")*-1,0)</f>
        <v>4.1042700000000008E-2</v>
      </c>
      <c r="H89" s="82">
        <f>IFERROR(GETPIVOTDATA("Suma de Costo",TD!$A$3,"Proceso",$E$78,"ORD",$D$78,"Tipo",F89),0)</f>
        <v>232625.89499161369</v>
      </c>
      <c r="I89" s="82">
        <f t="shared" si="33"/>
        <v>9547.5948203723055</v>
      </c>
      <c r="J89" s="75"/>
      <c r="K89" s="83"/>
      <c r="L89" s="90"/>
      <c r="M89" s="80" t="s">
        <v>57</v>
      </c>
      <c r="N89" s="131">
        <v>4.4430291231297186E-2</v>
      </c>
      <c r="O89" s="88">
        <v>220009.05860218199</v>
      </c>
      <c r="P89" s="82">
        <f t="shared" si="34"/>
        <v>9775.0665472184755</v>
      </c>
      <c r="Q89" s="75"/>
      <c r="R89" s="82">
        <f t="shared" si="35"/>
        <v>-560.56971520007858</v>
      </c>
      <c r="S89" s="82">
        <f t="shared" si="36"/>
        <v>788.04144204624868</v>
      </c>
      <c r="T89" s="82">
        <f t="shared" si="37"/>
        <v>227.47172684616999</v>
      </c>
    </row>
    <row r="90" spans="3:25" x14ac:dyDescent="0.45">
      <c r="D90" s="94"/>
      <c r="E90" s="95" t="s">
        <v>645</v>
      </c>
      <c r="F90" s="95"/>
      <c r="G90" s="96"/>
      <c r="H90" s="96"/>
      <c r="I90" s="97">
        <f>SUM(I78:I89)</f>
        <v>100484.38951827504</v>
      </c>
      <c r="J90" s="75"/>
      <c r="K90" s="94"/>
      <c r="L90" s="95" t="s">
        <v>645</v>
      </c>
      <c r="M90" s="95"/>
      <c r="N90" s="96"/>
      <c r="O90" s="96"/>
      <c r="P90" s="97">
        <f>SUM(P78:P89)</f>
        <v>95900.546349588723</v>
      </c>
      <c r="Q90" s="75"/>
      <c r="R90" s="97">
        <f>+SUM(R78:R89)</f>
        <v>-7032.8620312189187</v>
      </c>
      <c r="S90" s="97">
        <f>+SUM(S78:S89)</f>
        <v>2449.0188625326318</v>
      </c>
      <c r="T90" s="97">
        <f>+SUM(T78:T89)</f>
        <v>-4583.8431686862878</v>
      </c>
      <c r="U90" s="130"/>
    </row>
    <row r="91" spans="3:25" x14ac:dyDescent="0.45">
      <c r="D91" s="98"/>
      <c r="E91" s="99"/>
      <c r="F91" s="99"/>
      <c r="G91" s="100"/>
      <c r="H91" s="100"/>
      <c r="I91" s="101">
        <f>IFERROR(GETPIVOTDATA(" Cantidad",TD!$A$3,"Proceso",E78,"ORD",D78,"Tipo","Producción")*-1,0)</f>
        <v>825412.03405865235</v>
      </c>
      <c r="J91" s="133"/>
      <c r="K91" s="98"/>
      <c r="L91" s="99"/>
      <c r="M91" s="99"/>
      <c r="N91" s="100"/>
      <c r="O91" s="100"/>
      <c r="P91" s="101">
        <v>770686.4</v>
      </c>
      <c r="Q91" s="75"/>
      <c r="R91" s="101"/>
      <c r="S91" s="101"/>
      <c r="T91" s="101"/>
      <c r="Y91" s="67">
        <f>P91/(P91+P107+P168)</f>
        <v>0.62450122508465222</v>
      </c>
    </row>
    <row r="92" spans="3:25" x14ac:dyDescent="0.45">
      <c r="F92" s="161"/>
      <c r="G92" s="105"/>
      <c r="H92" s="168"/>
      <c r="I92" s="162">
        <f>I168/(I91+I107+I168)</f>
        <v>2.5954517405885939E-2</v>
      </c>
      <c r="M92" s="69"/>
      <c r="N92" s="105"/>
      <c r="O92" s="168"/>
      <c r="P92" s="169"/>
      <c r="Q92" s="170"/>
      <c r="Y92" s="67">
        <f>P107/(P91+P107+P168)</f>
        <v>0.34095485892476429</v>
      </c>
    </row>
    <row r="93" spans="3:25" x14ac:dyDescent="0.45">
      <c r="D93" s="76" t="s">
        <v>644</v>
      </c>
      <c r="E93" s="76" t="s">
        <v>435</v>
      </c>
      <c r="F93" s="76" t="s">
        <v>52</v>
      </c>
      <c r="G93" s="77" t="s">
        <v>620</v>
      </c>
      <c r="H93" s="77" t="s">
        <v>621</v>
      </c>
      <c r="I93" s="77" t="s">
        <v>395</v>
      </c>
      <c r="K93" s="76" t="s">
        <v>644</v>
      </c>
      <c r="L93" s="76" t="s">
        <v>435</v>
      </c>
      <c r="M93" s="76" t="s">
        <v>52</v>
      </c>
      <c r="N93" s="77" t="s">
        <v>620</v>
      </c>
      <c r="O93" s="77" t="s">
        <v>621</v>
      </c>
      <c r="P93" s="77" t="s">
        <v>395</v>
      </c>
      <c r="Q93" s="75"/>
      <c r="R93" s="77" t="s">
        <v>622</v>
      </c>
      <c r="S93" s="77" t="s">
        <v>623</v>
      </c>
      <c r="T93" s="77" t="s">
        <v>395</v>
      </c>
      <c r="Y93" s="67">
        <f>P168/(P91+P107+P168)</f>
        <v>3.4543915990583575E-2</v>
      </c>
    </row>
    <row r="94" spans="3:25" x14ac:dyDescent="0.45">
      <c r="D94" s="78">
        <v>7</v>
      </c>
      <c r="E94" s="79" t="s">
        <v>469</v>
      </c>
      <c r="F94" s="80" t="s">
        <v>182</v>
      </c>
      <c r="G94" s="134">
        <f>IFERROR(GETPIVOTDATA(" Cantidad",TD!$A$3,"Proceso",$E$94,"ORD",$D$94,"Tipo",F94)/GETPIVOTDATA(" Cantidad",TD!$A$3,"Proceso",$E$94,"ORD",$D$94,"Tipo","Producción")*-1,0)</f>
        <v>0.83000000000000018</v>
      </c>
      <c r="H94" s="82">
        <f>+I74</f>
        <v>121865.27029471415</v>
      </c>
      <c r="I94" s="82">
        <f t="shared" ref="I94:I105" si="38">H94*G94</f>
        <v>101148.17434461277</v>
      </c>
      <c r="J94" s="75"/>
      <c r="K94" s="78">
        <v>7</v>
      </c>
      <c r="L94" s="79" t="s">
        <v>469</v>
      </c>
      <c r="M94" s="80" t="s">
        <v>182</v>
      </c>
      <c r="N94" s="135">
        <v>0.83470232756697382</v>
      </c>
      <c r="O94" s="88">
        <f>P74</f>
        <v>113462.98244591446</v>
      </c>
      <c r="P94" s="82">
        <f t="shared" ref="P94:P105" si="39">N94*O94</f>
        <v>94707.815540295487</v>
      </c>
      <c r="Q94" s="75"/>
      <c r="R94" s="82">
        <f>+(O94-H94)*N94</f>
        <v>-7013.4092242808056</v>
      </c>
      <c r="S94" s="82">
        <f>+(N94-G94)*H94</f>
        <v>573.05041996352827</v>
      </c>
      <c r="T94" s="82">
        <f>+P94-I94</f>
        <v>-6440.3588043172786</v>
      </c>
      <c r="X94" s="136"/>
      <c r="Y94" s="69"/>
    </row>
    <row r="95" spans="3:25" x14ac:dyDescent="0.45">
      <c r="D95" s="83"/>
      <c r="E95" s="79"/>
      <c r="F95" s="80" t="s">
        <v>391</v>
      </c>
      <c r="G95" s="112">
        <f>IFERROR(GETPIVOTDATA(" Cantidad",TD!$A$3,"Proceso",$E$94,"ORD",$D$94,"Tipo",F95)/GETPIVOTDATA(" Cantidad",TD!$A$3,"Proceso",$E$94,"ORD",$D$94,"Tipo","Producción")*-1,0)</f>
        <v>6.2216000000000105E-2</v>
      </c>
      <c r="H95" s="82">
        <f>+I24</f>
        <v>16036.454010329262</v>
      </c>
      <c r="I95" s="82">
        <f t="shared" si="38"/>
        <v>997.72402270664702</v>
      </c>
      <c r="J95" s="75"/>
      <c r="K95" s="83"/>
      <c r="L95" s="79"/>
      <c r="M95" s="80" t="s">
        <v>391</v>
      </c>
      <c r="N95" s="107">
        <v>6.114640952535505E-2</v>
      </c>
      <c r="O95" s="88">
        <f>P24</f>
        <v>15086.890784461226</v>
      </c>
      <c r="P95" s="82">
        <f t="shared" si="39"/>
        <v>922.50920237097125</v>
      </c>
      <c r="Q95" s="75"/>
      <c r="R95" s="82">
        <f>+(O95-H95)*N95</f>
        <v>-58.062381879144155</v>
      </c>
      <c r="S95" s="82">
        <f>+(N95-G95)*H95</f>
        <v>-17.152438456531666</v>
      </c>
      <c r="T95" s="82">
        <f>+P95-I95</f>
        <v>-75.214820335675768</v>
      </c>
      <c r="Y95" s="137"/>
    </row>
    <row r="96" spans="3:25" x14ac:dyDescent="0.45">
      <c r="D96" s="83"/>
      <c r="E96" s="79"/>
      <c r="F96" s="80" t="s">
        <v>537</v>
      </c>
      <c r="G96" s="112">
        <f>IFERROR(GETPIVOTDATA(" Cantidad",TD!$A$3,"Proceso",$E$94,"ORD",$D$94,"Tipo",F96)/GETPIVOTDATA(" Cantidad",TD!$A$3,"Proceso",$E$94,"ORD",$D$94,"Tipo","Producción")*-1,0)</f>
        <v>5.0000000000000001E-4</v>
      </c>
      <c r="H96" s="82">
        <f>IFERROR(GETPIVOTDATA("Suma de Costo",TD!$A$3,"Proceso",$E$94,"ORD",$D$94,"Tipo",F96),0)</f>
        <v>4396360.0000000009</v>
      </c>
      <c r="I96" s="82">
        <f t="shared" si="38"/>
        <v>2198.1800000000003</v>
      </c>
      <c r="J96" s="75"/>
      <c r="K96" s="83"/>
      <c r="L96" s="79"/>
      <c r="M96" s="80" t="s">
        <v>537</v>
      </c>
      <c r="N96" s="132">
        <v>5.0095345416523976E-4</v>
      </c>
      <c r="O96" s="88">
        <v>4014954.4513995093</v>
      </c>
      <c r="P96" s="82">
        <f t="shared" si="39"/>
        <v>2011.3053007446895</v>
      </c>
      <c r="Q96" s="75"/>
      <c r="R96" s="82"/>
      <c r="S96" s="82"/>
      <c r="T96" s="82"/>
      <c r="Y96" s="69"/>
    </row>
    <row r="97" spans="3:26" x14ac:dyDescent="0.45">
      <c r="D97" s="83"/>
      <c r="E97" s="79"/>
      <c r="F97" s="80" t="s">
        <v>58</v>
      </c>
      <c r="G97" s="81">
        <f>IFERROR(GETPIVOTDATA(" Cantidad",TD!$A$3,"Proceso",$E$94,"ORD",$D$94,"Tipo",F97)/GETPIVOTDATA(" Cantidad",TD!$A$3,"Proceso",$E$94,"ORD",$D$94,"Tipo","Producción")*-1,0)</f>
        <v>0</v>
      </c>
      <c r="H97" s="82">
        <f>IFERROR(GETPIVOTDATA("Suma de Costo",TD!$A$3,"Proceso",$E$94,"ORD",$D$94,"Tipo",F97),0)</f>
        <v>0</v>
      </c>
      <c r="I97" s="82">
        <f t="shared" si="38"/>
        <v>0</v>
      </c>
      <c r="J97" s="75"/>
      <c r="K97" s="83"/>
      <c r="L97" s="79"/>
      <c r="M97" s="80" t="s">
        <v>58</v>
      </c>
      <c r="N97" s="81">
        <v>0</v>
      </c>
      <c r="O97" s="82">
        <f>O81</f>
        <v>109078.75807676019</v>
      </c>
      <c r="P97" s="82">
        <f t="shared" si="39"/>
        <v>0</v>
      </c>
      <c r="Q97" s="75"/>
      <c r="R97" s="82">
        <f t="shared" ref="R97:R105" si="40">+(O97-H97)*N97</f>
        <v>0</v>
      </c>
      <c r="S97" s="82">
        <f t="shared" ref="S97:S105" si="41">+(N97-G97)*H97</f>
        <v>0</v>
      </c>
      <c r="T97" s="82">
        <f t="shared" ref="T97:T105" si="42">+P97-I97</f>
        <v>0</v>
      </c>
      <c r="U97" s="89"/>
      <c r="Z97" s="71"/>
    </row>
    <row r="98" spans="3:26" x14ac:dyDescent="0.45">
      <c r="D98" s="83"/>
      <c r="E98" s="79"/>
      <c r="F98" s="80" t="s">
        <v>540</v>
      </c>
      <c r="G98" s="81">
        <f>IFERROR(GETPIVOTDATA(" Cantidad",TD!$A$3,"Proceso",$E$94,"ORD",$D$94,"Tipo",F98)/GETPIVOTDATA(" Cantidad",TD!$A$3,"Proceso",$E$94,"ORD",$D$94,"Tipo","Producción")*-1,0)</f>
        <v>3.0049499999999989E-2</v>
      </c>
      <c r="H98" s="82">
        <f>I36</f>
        <v>31752.892182537373</v>
      </c>
      <c r="I98" s="82">
        <f t="shared" si="38"/>
        <v>954.15853363915642</v>
      </c>
      <c r="J98" s="75"/>
      <c r="K98" s="83"/>
      <c r="L98" s="79"/>
      <c r="M98" s="80" t="s">
        <v>540</v>
      </c>
      <c r="N98" s="81">
        <v>2.4630431055457404E-2</v>
      </c>
      <c r="O98" s="88">
        <f>P36</f>
        <v>29052.956377976945</v>
      </c>
      <c r="P98" s="82">
        <f t="shared" si="39"/>
        <v>715.58683902497262</v>
      </c>
      <c r="Q98" s="75"/>
      <c r="R98" s="82">
        <f t="shared" si="40"/>
        <v>-66.50058268838653</v>
      </c>
      <c r="S98" s="82">
        <f t="shared" si="41"/>
        <v>-172.07111192579731</v>
      </c>
      <c r="T98" s="82">
        <f t="shared" si="42"/>
        <v>-238.5716946141838</v>
      </c>
      <c r="Z98" s="71"/>
    </row>
    <row r="99" spans="3:26" x14ac:dyDescent="0.45">
      <c r="C99" s="84" t="s">
        <v>624</v>
      </c>
      <c r="D99" s="83"/>
      <c r="E99" s="79"/>
      <c r="F99" s="80" t="s">
        <v>491</v>
      </c>
      <c r="G99" s="85">
        <f>IFERROR(GETPIVOTDATA(" Cantidad",TD!$A$3,"Proceso",$E$94,"ORD",$D$94,"Tipo",F99)/GETPIVOTDATA(" Cantidad",TD!$A$3,"Proceso",$E$94,"ORD",$D$94,"Tipo","Producción")*-1,0)</f>
        <v>0</v>
      </c>
      <c r="H99" s="82">
        <f>IFERROR(GETPIVOTDATA("Suma de Costo",TD!$A$3,"Proceso",$E$78,"ORD",$D$78,"Tipo",F99),0)</f>
        <v>0</v>
      </c>
      <c r="I99" s="82">
        <f t="shared" si="38"/>
        <v>0</v>
      </c>
      <c r="J99" s="75"/>
      <c r="K99" s="83"/>
      <c r="L99" s="79"/>
      <c r="M99" s="80" t="s">
        <v>491</v>
      </c>
      <c r="N99" s="85">
        <v>0</v>
      </c>
      <c r="O99" s="82">
        <v>0</v>
      </c>
      <c r="P99" s="82">
        <f t="shared" si="39"/>
        <v>0</v>
      </c>
      <c r="Q99" s="75"/>
      <c r="R99" s="82">
        <f t="shared" si="40"/>
        <v>0</v>
      </c>
      <c r="S99" s="82">
        <f t="shared" si="41"/>
        <v>0</v>
      </c>
      <c r="T99" s="82">
        <f t="shared" si="42"/>
        <v>0</v>
      </c>
      <c r="V99" s="70"/>
      <c r="X99" s="69"/>
      <c r="Z99" s="71"/>
    </row>
    <row r="100" spans="3:26" x14ac:dyDescent="0.45">
      <c r="C100" s="84"/>
      <c r="D100" s="83"/>
      <c r="E100" s="90"/>
      <c r="F100" s="80" t="s">
        <v>504</v>
      </c>
      <c r="G100" s="85">
        <f>IFERROR(GETPIVOTDATA(" Cantidad",TD!$A$3,"Proceso",$E$78,"ORD",$D$78,"Tipo",F100)/GETPIVOTDATA(" Cantidad",TD!$A$3,"Proceso",$E$78,"ORD",$D$78,"Tipo","Producción")*-1,0)</f>
        <v>1</v>
      </c>
      <c r="H100" s="82">
        <f>IFERROR(GETPIVOTDATA("Suma de Costo",TD!$A$3,"Proceso",$E$78,"ORD",$D$78,"Tipo",F100),0)</f>
        <v>1539.636971538461</v>
      </c>
      <c r="I100" s="82">
        <f t="shared" si="38"/>
        <v>1539.636971538461</v>
      </c>
      <c r="J100" s="75"/>
      <c r="K100" s="83"/>
      <c r="L100" s="90"/>
      <c r="M100" s="80" t="s">
        <v>504</v>
      </c>
      <c r="N100" s="85">
        <v>1</v>
      </c>
      <c r="O100" s="109">
        <v>1117.2995875639574</v>
      </c>
      <c r="P100" s="82">
        <f t="shared" si="39"/>
        <v>1117.2995875639574</v>
      </c>
      <c r="Q100" s="75"/>
      <c r="R100" s="82">
        <f t="shared" si="40"/>
        <v>-422.33738397450361</v>
      </c>
      <c r="S100" s="82">
        <f t="shared" si="41"/>
        <v>0</v>
      </c>
      <c r="T100" s="82">
        <f t="shared" si="42"/>
        <v>-422.33738397450361</v>
      </c>
      <c r="V100" s="70"/>
      <c r="X100" s="69"/>
    </row>
    <row r="101" spans="3:26" x14ac:dyDescent="0.45">
      <c r="D101" s="83"/>
      <c r="E101" s="90"/>
      <c r="F101" s="80" t="s">
        <v>267</v>
      </c>
      <c r="G101" s="122">
        <f>GETPIVOTDATA(" Cantidad",TD!$A$3,"Proceso","Cemento ART","ORD",7,"Tipo",F101)/((GETPIVOTDATA(" Cantidad",TD!$A$3,"Proceso","Cemento ART","ORD",7,"Tipo","Producción"))*-1)</f>
        <v>34.6</v>
      </c>
      <c r="H101" s="86">
        <f>IFERROR(GETPIVOTDATA("Suma de Costo",TD!$A$3,"Proceso",$E$94,"ORD",$D$94,"Tipo",F101),0)</f>
        <v>525.27888856276604</v>
      </c>
      <c r="I101" s="82">
        <f t="shared" si="38"/>
        <v>18174.649544271706</v>
      </c>
      <c r="J101" s="75"/>
      <c r="K101" s="83"/>
      <c r="L101" s="90"/>
      <c r="M101" s="80" t="s">
        <v>267</v>
      </c>
      <c r="N101" s="138">
        <v>36.732237135557455</v>
      </c>
      <c r="O101" s="88">
        <v>485.33891128999591</v>
      </c>
      <c r="P101" s="82">
        <f t="shared" si="39"/>
        <v>17827.583980617412</v>
      </c>
      <c r="Q101" s="75"/>
      <c r="R101" s="82">
        <f t="shared" si="40"/>
        <v>-1467.084716372168</v>
      </c>
      <c r="S101" s="82">
        <f t="shared" si="41"/>
        <v>1120.0191527178749</v>
      </c>
      <c r="T101" s="82">
        <f t="shared" si="42"/>
        <v>-347.06556365429424</v>
      </c>
      <c r="V101" s="70"/>
      <c r="X101" s="69"/>
      <c r="Z101" s="123"/>
    </row>
    <row r="102" spans="3:26" x14ac:dyDescent="0.45">
      <c r="D102" s="83"/>
      <c r="E102" s="90"/>
      <c r="F102" s="80" t="s">
        <v>461</v>
      </c>
      <c r="G102" s="85">
        <f>IFERROR(GETPIVOTDATA(" Cantidad",TD!$A$3,"Proceso",$E$94,"ORD",$D$94,"Tipo",F102)/GETPIVOTDATA(" Cantidad",TD!$A$3,"Proceso",$E$94,"ORD",$D$94,"Tipo","Producción")*-1,0)</f>
        <v>1</v>
      </c>
      <c r="H102" s="82">
        <f>IFERROR(GETPIVOTDATA("Suma de Costo",TD!$A$3,"Proceso",$E$94,"ORD",$D$94,"Tipo",F102),0)</f>
        <v>0</v>
      </c>
      <c r="I102" s="82">
        <f t="shared" si="38"/>
        <v>0</v>
      </c>
      <c r="J102" s="75"/>
      <c r="K102" s="83"/>
      <c r="L102" s="90"/>
      <c r="M102" s="80" t="s">
        <v>461</v>
      </c>
      <c r="N102" s="85">
        <v>0</v>
      </c>
      <c r="O102" s="82">
        <v>0</v>
      </c>
      <c r="P102" s="82">
        <f t="shared" si="39"/>
        <v>0</v>
      </c>
      <c r="Q102" s="75"/>
      <c r="R102" s="82">
        <f t="shared" si="40"/>
        <v>0</v>
      </c>
      <c r="S102" s="82">
        <f t="shared" si="41"/>
        <v>0</v>
      </c>
      <c r="T102" s="82">
        <f t="shared" si="42"/>
        <v>0</v>
      </c>
      <c r="V102" s="70"/>
      <c r="X102" s="69"/>
      <c r="Y102" s="354" t="s">
        <v>780</v>
      </c>
      <c r="Z102" s="354"/>
    </row>
    <row r="103" spans="3:26" x14ac:dyDescent="0.45">
      <c r="D103" s="83"/>
      <c r="E103" s="90"/>
      <c r="F103" s="80" t="s">
        <v>32</v>
      </c>
      <c r="G103" s="81">
        <f>IFERROR(GETPIVOTDATA(" Cantidad",TD!$A$3,"Proceso",$E$94,"ORD",$D$94,"Tipo",F103)/GETPIVOTDATA(" Cantidad",TD!$A$3,"Proceso",$E$94,"ORD",$D$94,"Tipo","Producción")*-1,0)</f>
        <v>0</v>
      </c>
      <c r="H103" s="82">
        <f>IFERROR(GETPIVOTDATA("Suma de Costo",TD!$A$3,"Proceso",$E$94,"ORD",$D$94,"Tipo",F103),0)</f>
        <v>0</v>
      </c>
      <c r="I103" s="82">
        <f t="shared" si="38"/>
        <v>0</v>
      </c>
      <c r="J103" s="75"/>
      <c r="K103" s="83"/>
      <c r="L103" s="90"/>
      <c r="M103" s="80" t="s">
        <v>32</v>
      </c>
      <c r="N103" s="81">
        <v>0</v>
      </c>
      <c r="O103" s="82">
        <v>0</v>
      </c>
      <c r="P103" s="82">
        <f t="shared" si="39"/>
        <v>0</v>
      </c>
      <c r="Q103" s="75"/>
      <c r="R103" s="82">
        <f t="shared" si="40"/>
        <v>0</v>
      </c>
      <c r="S103" s="82">
        <f t="shared" si="41"/>
        <v>0</v>
      </c>
      <c r="T103" s="82">
        <f t="shared" si="42"/>
        <v>0</v>
      </c>
      <c r="Y103" s="329" t="s">
        <v>647</v>
      </c>
      <c r="Z103" s="330">
        <f>((I114*I115)+(I122*I123)+(I130*I131)+(I138*I139)+(I146*I147)+(I196*I197)+(I210*I211)+(I203*I204))/(I115+I123+I131+I139+I147+I197+I204+I211)</f>
        <v>135484.08012461345</v>
      </c>
    </row>
    <row r="104" spans="3:26" x14ac:dyDescent="0.45">
      <c r="D104" s="83"/>
      <c r="E104" s="90"/>
      <c r="F104" s="80" t="s">
        <v>505</v>
      </c>
      <c r="G104" s="81">
        <f>IFERROR(GETPIVOTDATA(" Cantidad",TD!$A$3,"Proceso",$E$94,"ORD",$D$94,"Tipo",F104)/GETPIVOTDATA(" Cantidad",TD!$A$3,"Proceso",$E$94,"ORD",$D$94,"Tipo","Producción")*-1,0)</f>
        <v>0</v>
      </c>
      <c r="H104" s="82">
        <f>IFERROR(GETPIVOTDATA("Suma de Costo",TD!$A$3,"Proceso",$E$94,"ORD",$D$94,"Tipo",F104),0)</f>
        <v>0</v>
      </c>
      <c r="I104" s="82">
        <f t="shared" si="38"/>
        <v>0</v>
      </c>
      <c r="J104" s="75"/>
      <c r="K104" s="83"/>
      <c r="L104" s="90"/>
      <c r="M104" s="80" t="s">
        <v>505</v>
      </c>
      <c r="N104" s="81">
        <v>0</v>
      </c>
      <c r="O104" s="82">
        <v>0</v>
      </c>
      <c r="P104" s="82">
        <f t="shared" si="39"/>
        <v>0</v>
      </c>
      <c r="Q104" s="75"/>
      <c r="R104" s="82">
        <f t="shared" si="40"/>
        <v>0</v>
      </c>
      <c r="S104" s="82">
        <f t="shared" si="41"/>
        <v>0</v>
      </c>
      <c r="T104" s="82">
        <f t="shared" si="42"/>
        <v>0</v>
      </c>
      <c r="Y104" s="329" t="s">
        <v>686</v>
      </c>
      <c r="Z104" s="330">
        <v>127923.07664252327</v>
      </c>
    </row>
    <row r="105" spans="3:26" x14ac:dyDescent="0.45">
      <c r="D105" s="83"/>
      <c r="E105" s="90"/>
      <c r="F105" s="80" t="s">
        <v>57</v>
      </c>
      <c r="G105" s="81">
        <f>IFERROR(GETPIVOTDATA(" Cantidad",TD!$A$3,"Proceso",$E$94,"ORD",$D$94,"Tipo",F105)/GETPIVOTDATA(" Cantidad",TD!$A$3,"Proceso",$E$94,"ORD",$D$94,"Tipo","Producción")*-1,0)</f>
        <v>7.9045199999999982E-2</v>
      </c>
      <c r="H105" s="82">
        <f>+H89</f>
        <v>232625.89499161369</v>
      </c>
      <c r="I105" s="82">
        <f t="shared" si="38"/>
        <v>18387.960394791098</v>
      </c>
      <c r="J105" s="75"/>
      <c r="K105" s="83"/>
      <c r="L105" s="90"/>
      <c r="M105" s="80" t="s">
        <v>57</v>
      </c>
      <c r="N105" s="81">
        <v>8.2426670901001239E-2</v>
      </c>
      <c r="O105" s="88">
        <v>220009.05860218199</v>
      </c>
      <c r="P105" s="82">
        <f t="shared" si="39"/>
        <v>18134.614268641151</v>
      </c>
      <c r="Q105" s="75"/>
      <c r="R105" s="82">
        <f t="shared" si="40"/>
        <v>-1039.9638208834635</v>
      </c>
      <c r="S105" s="82">
        <f t="shared" si="41"/>
        <v>786.6176947335158</v>
      </c>
      <c r="T105" s="82">
        <f t="shared" si="42"/>
        <v>-253.34612614994694</v>
      </c>
      <c r="Y105" s="329" t="s">
        <v>648</v>
      </c>
      <c r="Z105" s="330">
        <f>((P114*P115)+(P122*P123)+(P130*P131)+(P138*P139)+(P146*P147)+(P196*P197)+(P203*P204)+(P210*P211))/(P115+P123+P131+P139+P147+P197+P204+P211)</f>
        <v>129090.10236035292</v>
      </c>
    </row>
    <row r="106" spans="3:26" x14ac:dyDescent="0.45">
      <c r="D106" s="94"/>
      <c r="E106" s="95" t="s">
        <v>649</v>
      </c>
      <c r="F106" s="95"/>
      <c r="G106" s="96"/>
      <c r="H106" s="96"/>
      <c r="I106" s="97">
        <f>SUM(I94:I105)</f>
        <v>143400.48381155985</v>
      </c>
      <c r="J106" s="75"/>
      <c r="K106" s="94"/>
      <c r="L106" s="95" t="s">
        <v>649</v>
      </c>
      <c r="M106" s="95"/>
      <c r="N106" s="96"/>
      <c r="O106" s="96"/>
      <c r="P106" s="97">
        <f>SUM(P94:P105)</f>
        <v>135436.71471925866</v>
      </c>
      <c r="Q106" s="75"/>
      <c r="R106" s="97">
        <f>+SUM(R94:R105)</f>
        <v>-10067.358110078472</v>
      </c>
      <c r="S106" s="97">
        <f>+SUM(S94:S105)</f>
        <v>2290.46371703259</v>
      </c>
      <c r="T106" s="97">
        <f>+SUM(T94:T105)</f>
        <v>-7776.8943930458827</v>
      </c>
      <c r="U106" s="69"/>
      <c r="Y106" s="329" t="s">
        <v>650</v>
      </c>
      <c r="Z106" s="331">
        <f>Z103-Z104</f>
        <v>7561.0034820901783</v>
      </c>
    </row>
    <row r="107" spans="3:26" x14ac:dyDescent="0.45">
      <c r="D107" s="98"/>
      <c r="E107" s="99"/>
      <c r="F107" s="99"/>
      <c r="G107" s="100"/>
      <c r="H107" s="100"/>
      <c r="I107" s="101">
        <f>IFERROR(GETPIVOTDATA(" Cantidad",TD!$A$3,"Proceso",E94,"ORD",D94,"Tipo","Producción")*-1,0)</f>
        <v>440847.09331369615</v>
      </c>
      <c r="J107" s="133"/>
      <c r="K107" s="98"/>
      <c r="L107" s="99"/>
      <c r="M107" s="99"/>
      <c r="N107" s="100"/>
      <c r="O107" s="100"/>
      <c r="P107" s="101">
        <v>420766.625</v>
      </c>
      <c r="Q107" s="75"/>
      <c r="R107" s="101"/>
      <c r="S107" s="101"/>
      <c r="T107" s="101"/>
      <c r="Y107" s="329" t="s">
        <v>651</v>
      </c>
      <c r="Z107" s="331">
        <f>Z103-Z105</f>
        <v>6393.9777642605331</v>
      </c>
    </row>
    <row r="108" spans="3:26" x14ac:dyDescent="0.45">
      <c r="G108" s="69"/>
      <c r="H108" s="105"/>
      <c r="I108" s="93"/>
      <c r="O108" s="69"/>
      <c r="P108" s="93"/>
      <c r="Q108" s="75"/>
      <c r="Z108" s="74"/>
    </row>
    <row r="109" spans="3:26" x14ac:dyDescent="0.45">
      <c r="D109" s="76" t="s">
        <v>644</v>
      </c>
      <c r="E109" s="76" t="s">
        <v>435</v>
      </c>
      <c r="F109" s="76" t="s">
        <v>52</v>
      </c>
      <c r="G109" s="77" t="s">
        <v>620</v>
      </c>
      <c r="H109" s="77" t="s">
        <v>621</v>
      </c>
      <c r="I109" s="77" t="s">
        <v>395</v>
      </c>
      <c r="K109" s="76" t="s">
        <v>644</v>
      </c>
      <c r="L109" s="76" t="s">
        <v>435</v>
      </c>
      <c r="M109" s="76" t="s">
        <v>52</v>
      </c>
      <c r="N109" s="77" t="s">
        <v>620</v>
      </c>
      <c r="O109" s="77" t="s">
        <v>621</v>
      </c>
      <c r="P109" s="77" t="s">
        <v>395</v>
      </c>
      <c r="Q109" s="75"/>
      <c r="R109" s="77" t="s">
        <v>622</v>
      </c>
      <c r="S109" s="77" t="s">
        <v>623</v>
      </c>
      <c r="T109" s="77" t="s">
        <v>395</v>
      </c>
      <c r="Y109" s="74"/>
      <c r="Z109" s="74"/>
    </row>
    <row r="110" spans="3:26" x14ac:dyDescent="0.45">
      <c r="D110" s="139">
        <v>8</v>
      </c>
      <c r="E110" s="140" t="s">
        <v>652</v>
      </c>
      <c r="F110" s="141" t="s">
        <v>653</v>
      </c>
      <c r="G110" s="85">
        <f>+GETPIVOTDATA(" Cantidad",TD!$A$3,"Proceso","CEMENTO UG 50 KG","ORD",8,"Tipo","Cemento UG")/I115</f>
        <v>1.0000000000000002</v>
      </c>
      <c r="H110" s="142">
        <f>+I90</f>
        <v>100484.38951827504</v>
      </c>
      <c r="I110" s="142">
        <f>H110*G110</f>
        <v>100484.38951827507</v>
      </c>
      <c r="J110" s="75"/>
      <c r="K110" s="139">
        <v>8</v>
      </c>
      <c r="L110" s="140" t="s">
        <v>652</v>
      </c>
      <c r="M110" s="141" t="s">
        <v>653</v>
      </c>
      <c r="N110" s="85">
        <v>1.0000004640190849</v>
      </c>
      <c r="O110" s="142">
        <f>+P90</f>
        <v>95900.546349588723</v>
      </c>
      <c r="P110" s="82">
        <f t="shared" ref="P110:P113" si="43">N110*O110</f>
        <v>95900.590849272485</v>
      </c>
      <c r="Q110" s="75"/>
      <c r="R110" s="82">
        <f>+(O110-H110)*N110</f>
        <v>-4583.8452956770316</v>
      </c>
      <c r="S110" s="82">
        <f>+(N110-G110)*H110</f>
        <v>4.6626674452074759E-2</v>
      </c>
      <c r="T110" s="82">
        <f>+P110-I110</f>
        <v>-4583.7986690025864</v>
      </c>
      <c r="Y110" s="74"/>
      <c r="Z110" s="74"/>
    </row>
    <row r="111" spans="3:26" x14ac:dyDescent="0.45">
      <c r="D111" s="144"/>
      <c r="E111" s="140"/>
      <c r="F111" s="141" t="s">
        <v>507</v>
      </c>
      <c r="G111" s="85">
        <v>1</v>
      </c>
      <c r="H111" s="86">
        <f>IFERROR(GETPIVOTDATA("Suma de Costo",TD!$A$3,"Proceso","Cementos","ORD",21,"Tipo","Empaque y Granel"),0)</f>
        <v>3679.9846153846147</v>
      </c>
      <c r="I111" s="142">
        <f t="shared" ref="I111:I113" si="44">H111*G111</f>
        <v>3679.9846153846147</v>
      </c>
      <c r="J111" s="75"/>
      <c r="K111" s="144"/>
      <c r="L111" s="140"/>
      <c r="M111" s="141" t="s">
        <v>507</v>
      </c>
      <c r="N111" s="85">
        <v>1</v>
      </c>
      <c r="O111" s="142">
        <v>3476.5359612973375</v>
      </c>
      <c r="P111" s="82">
        <f t="shared" si="43"/>
        <v>3476.5359612973375</v>
      </c>
      <c r="Q111" s="75"/>
      <c r="R111" s="82">
        <f>+(O111-H111)*N111</f>
        <v>-203.44865408727719</v>
      </c>
      <c r="S111" s="82">
        <f>+(N111-G111)*H111</f>
        <v>0</v>
      </c>
      <c r="T111" s="82">
        <f>+P111-I111</f>
        <v>-203.44865408727719</v>
      </c>
      <c r="Y111" s="74"/>
      <c r="Z111" s="71"/>
    </row>
    <row r="112" spans="3:26" x14ac:dyDescent="0.45">
      <c r="D112" s="144"/>
      <c r="E112" s="140"/>
      <c r="F112" s="141" t="s">
        <v>267</v>
      </c>
      <c r="G112" s="122">
        <f>GETPIVOTDATA(" Cantidad",TD!$A$3,"Proceso","CEMENTOS","ORD",21,"Tipo",F112)/((GETPIVOTDATA(" Cantidad",TD!$A$3,"Proceso","CEMENTOS","ORD",21,"Tipo","Producción"))*-1)</f>
        <v>1.5</v>
      </c>
      <c r="H112" s="86">
        <f>IFERROR(GETPIVOTDATA("Suma de Costo",TD!$A$3,"Proceso",$E$110,"ORD",$D$110,"Tipo",F112),0)</f>
        <v>525.24409409393547</v>
      </c>
      <c r="I112" s="142">
        <f t="shared" si="44"/>
        <v>787.86614114090321</v>
      </c>
      <c r="J112" s="75"/>
      <c r="K112" s="144"/>
      <c r="L112" s="140"/>
      <c r="M112" s="141" t="s">
        <v>267</v>
      </c>
      <c r="N112" s="129">
        <v>1.3311492163447392</v>
      </c>
      <c r="O112" s="88">
        <v>485.33891128999591</v>
      </c>
      <c r="P112" s="82">
        <f t="shared" si="43"/>
        <v>646.05851142528695</v>
      </c>
      <c r="Q112" s="75"/>
      <c r="R112" s="82">
        <f>+(O112-H112)*N112</f>
        <v>-53.119752817557718</v>
      </c>
      <c r="S112" s="82">
        <f>+(N112-G112)*H112</f>
        <v>-88.687876898058576</v>
      </c>
      <c r="T112" s="82">
        <f>+P112-I112</f>
        <v>-141.80762971561626</v>
      </c>
      <c r="Y112" s="74"/>
      <c r="Z112" s="71"/>
    </row>
    <row r="113" spans="4:26" x14ac:dyDescent="0.45">
      <c r="D113" s="144"/>
      <c r="E113" s="145"/>
      <c r="F113" s="141" t="s">
        <v>413</v>
      </c>
      <c r="G113" s="174">
        <f>+GETPIVOTDATA(" Cantidad",TD!$A$3,"Proceso","CEMENTO UG 50 KG","ORD",8,"Tipo","Sacos")/I115</f>
        <v>20.400000000000002</v>
      </c>
      <c r="H113" s="142">
        <f>+GETPIVOTDATA("Valor",TD!$A$3,"Proceso","CEMENTO UG 50 KG","ORD",8,"Tipo","Sacos")/GETPIVOTDATA(" Cantidad",TD!$A$3,"Proceso","CEMENTO UG 50 KG","ORD",8,"Tipo","Sacos")</f>
        <v>1000.7975366477306</v>
      </c>
      <c r="I113" s="142">
        <f t="shared" si="44"/>
        <v>20416.269747613707</v>
      </c>
      <c r="J113" s="75"/>
      <c r="K113" s="144"/>
      <c r="L113" s="145"/>
      <c r="M113" s="141" t="s">
        <v>413</v>
      </c>
      <c r="N113" s="142">
        <v>20.052617717827491</v>
      </c>
      <c r="O113" s="142">
        <v>1005.6136454781605</v>
      </c>
      <c r="P113" s="82">
        <f t="shared" si="43"/>
        <v>20165.186004604453</v>
      </c>
      <c r="Q113" s="75"/>
      <c r="R113" s="82">
        <f>+(O113-H113)*N113</f>
        <v>96.575589264064561</v>
      </c>
      <c r="S113" s="82">
        <f>+(N113-G113)*H113</f>
        <v>-347.65933227331561</v>
      </c>
      <c r="T113" s="82">
        <f>+P113-I113</f>
        <v>-251.08374300925425</v>
      </c>
      <c r="Y113" s="74"/>
    </row>
    <row r="114" spans="4:26" x14ac:dyDescent="0.45">
      <c r="D114" s="146"/>
      <c r="E114" s="147" t="s">
        <v>654</v>
      </c>
      <c r="F114" s="147"/>
      <c r="G114" s="96"/>
      <c r="H114" s="96"/>
      <c r="I114" s="97">
        <f>SUM(I110:I113)</f>
        <v>125368.5100224143</v>
      </c>
      <c r="J114" s="75"/>
      <c r="K114" s="146"/>
      <c r="L114" s="147" t="s">
        <v>654</v>
      </c>
      <c r="M114" s="147"/>
      <c r="N114" s="96"/>
      <c r="O114" s="96"/>
      <c r="P114" s="97">
        <f>SUM(P110:P113)</f>
        <v>120188.37132659956</v>
      </c>
      <c r="Q114" s="75"/>
      <c r="R114" s="97">
        <f>+SUM(R110:R113)</f>
        <v>-4743.8381133178027</v>
      </c>
      <c r="S114" s="97">
        <f>+SUM(S110:S113)</f>
        <v>-436.30058249692212</v>
      </c>
      <c r="T114" s="97">
        <f>+SUM(T110:T113)</f>
        <v>-5180.1386958147341</v>
      </c>
      <c r="Y114" s="74"/>
      <c r="Z114" s="74"/>
    </row>
    <row r="115" spans="4:26" x14ac:dyDescent="0.45">
      <c r="D115" s="148"/>
      <c r="E115" s="149"/>
      <c r="F115" s="149"/>
      <c r="G115" s="100"/>
      <c r="H115" s="100"/>
      <c r="I115" s="101">
        <f>GETPIVOTDATA(" Cantidad",TD!$A$3,"Proceso","CEMENTO UG 50 KG","ORD",8,"Tipo","Producción")*50/-1000</f>
        <v>747197.67785419698</v>
      </c>
      <c r="K115" s="148"/>
      <c r="L115" s="149"/>
      <c r="M115" s="149"/>
      <c r="N115" s="100"/>
      <c r="O115" s="100"/>
      <c r="P115" s="101">
        <v>700402.22500000009</v>
      </c>
      <c r="Q115" s="75"/>
      <c r="R115" s="101"/>
      <c r="S115" s="101"/>
      <c r="T115" s="101"/>
      <c r="Y115" s="74"/>
    </row>
    <row r="116" spans="4:26" x14ac:dyDescent="0.45">
      <c r="F116" s="105"/>
      <c r="G116" s="69"/>
      <c r="H116" s="69"/>
      <c r="I116" s="69"/>
      <c r="M116" s="105">
        <f>(O113*P115+O121*P123+O129*P131+O137*P139+O145*P147)/(P115+P123+P131+P139+P147)</f>
        <v>981.59401191496886</v>
      </c>
      <c r="N116" s="69"/>
      <c r="O116" s="69"/>
      <c r="P116" s="69"/>
      <c r="Q116" s="75"/>
      <c r="Y116" s="74"/>
    </row>
    <row r="117" spans="4:26" x14ac:dyDescent="0.45">
      <c r="D117" s="76" t="s">
        <v>644</v>
      </c>
      <c r="E117" s="76" t="s">
        <v>435</v>
      </c>
      <c r="F117" s="76" t="s">
        <v>52</v>
      </c>
      <c r="G117" s="77" t="s">
        <v>620</v>
      </c>
      <c r="H117" s="77" t="s">
        <v>621</v>
      </c>
      <c r="I117" s="77" t="s">
        <v>395</v>
      </c>
      <c r="K117" s="76" t="s">
        <v>644</v>
      </c>
      <c r="L117" s="76" t="s">
        <v>435</v>
      </c>
      <c r="M117" s="76" t="s">
        <v>52</v>
      </c>
      <c r="N117" s="77" t="s">
        <v>620</v>
      </c>
      <c r="O117" s="77" t="s">
        <v>621</v>
      </c>
      <c r="P117" s="77" t="s">
        <v>395</v>
      </c>
      <c r="Q117" s="75"/>
      <c r="R117" s="77" t="s">
        <v>622</v>
      </c>
      <c r="S117" s="77" t="s">
        <v>623</v>
      </c>
      <c r="T117" s="77" t="s">
        <v>395</v>
      </c>
      <c r="Y117" s="74"/>
    </row>
    <row r="118" spans="4:26" x14ac:dyDescent="0.45">
      <c r="D118" s="139">
        <v>9</v>
      </c>
      <c r="E118" s="140" t="s">
        <v>655</v>
      </c>
      <c r="F118" s="141" t="s">
        <v>653</v>
      </c>
      <c r="G118" s="150">
        <f>IFERROR(GETPIVOTDATA(" Cantidad",TD!$A$3,"Proceso","CEMENTO UG 42,5 KG","ORD",9,"Tipo","Cemento UG")/I123,0)</f>
        <v>0.99999999999999978</v>
      </c>
      <c r="H118" s="142">
        <f>+$I$90</f>
        <v>100484.38951827504</v>
      </c>
      <c r="I118" s="142">
        <f>H118*G118</f>
        <v>100484.38951827501</v>
      </c>
      <c r="J118" s="75"/>
      <c r="K118" s="139">
        <v>9</v>
      </c>
      <c r="L118" s="140" t="s">
        <v>655</v>
      </c>
      <c r="M118" s="141" t="s">
        <v>653</v>
      </c>
      <c r="N118" s="150">
        <v>1.0000011778564921</v>
      </c>
      <c r="O118" s="142">
        <f>+$I$90</f>
        <v>100484.38951827504</v>
      </c>
      <c r="P118" s="82">
        <f t="shared" ref="P118:P121" si="45">N118*O118</f>
        <v>100484.50787446559</v>
      </c>
      <c r="Q118" s="75"/>
      <c r="R118" s="82">
        <f>+(O118-H118)*N118</f>
        <v>0</v>
      </c>
      <c r="S118" s="82">
        <f>+(N118-G118)*H118</f>
        <v>0.11835619057295867</v>
      </c>
      <c r="T118" s="82">
        <f>+P118-I118</f>
        <v>0.11835619057819713</v>
      </c>
      <c r="Y118" s="74"/>
    </row>
    <row r="119" spans="4:26" x14ac:dyDescent="0.45">
      <c r="D119" s="144"/>
      <c r="E119" s="140"/>
      <c r="F119" s="141" t="s">
        <v>507</v>
      </c>
      <c r="G119" s="150">
        <f>$G$111</f>
        <v>1</v>
      </c>
      <c r="H119" s="86">
        <f>IFERROR(GETPIVOTDATA("Suma de Costo",TD!$A$3,"Proceso","Cementos","ORD",21,"Tipo","Empaque y Granel"),0)</f>
        <v>3679.9846153846147</v>
      </c>
      <c r="I119" s="142">
        <f t="shared" ref="I119:I121" si="46">H119*G119</f>
        <v>3679.9846153846147</v>
      </c>
      <c r="J119" s="75"/>
      <c r="K119" s="144"/>
      <c r="L119" s="140"/>
      <c r="M119" s="141" t="s">
        <v>507</v>
      </c>
      <c r="N119" s="150">
        <v>1</v>
      </c>
      <c r="O119" s="142">
        <v>3476.5359612973375</v>
      </c>
      <c r="P119" s="82">
        <f t="shared" si="45"/>
        <v>3476.5359612973375</v>
      </c>
      <c r="Q119" s="75"/>
      <c r="R119" s="82">
        <f>+(O119-H119)*N119</f>
        <v>-203.44865408727719</v>
      </c>
      <c r="S119" s="82">
        <f>+(N119-G119)*H119</f>
        <v>0</v>
      </c>
      <c r="T119" s="82">
        <f>+P119-I119</f>
        <v>-203.44865408727719</v>
      </c>
      <c r="Y119" s="74"/>
    </row>
    <row r="120" spans="4:26" x14ac:dyDescent="0.45">
      <c r="D120" s="144"/>
      <c r="E120" s="140"/>
      <c r="F120" s="141" t="s">
        <v>267</v>
      </c>
      <c r="G120" s="122">
        <f>GETPIVOTDATA(" Cantidad",TD!$A$3,"Proceso","CEMENTOS","ORD",21,"Tipo",F120)/((GETPIVOTDATA(" Cantidad",TD!$A$3,"Proceso","CEMENTOS","ORD",21,"Tipo","Producción"))*-1)</f>
        <v>1.5</v>
      </c>
      <c r="H120" s="86">
        <f>IFERROR(GETPIVOTDATA("Suma de Costo",TD!$A$3,"Proceso",$E$118,"ORD",$D$118,"Tipo",F120),0)</f>
        <v>525.24409409393547</v>
      </c>
      <c r="I120" s="142">
        <f t="shared" si="46"/>
        <v>787.86614114090321</v>
      </c>
      <c r="J120" s="75"/>
      <c r="K120" s="144"/>
      <c r="L120" s="140"/>
      <c r="M120" s="141" t="s">
        <v>267</v>
      </c>
      <c r="N120" s="129">
        <v>1.3311492163447392</v>
      </c>
      <c r="O120" s="88">
        <v>485.33891128999591</v>
      </c>
      <c r="P120" s="82">
        <f t="shared" si="45"/>
        <v>646.05851142528695</v>
      </c>
      <c r="Q120" s="75"/>
      <c r="R120" s="82">
        <f>+(O120-H120)*N120</f>
        <v>-53.119752817557718</v>
      </c>
      <c r="S120" s="82">
        <f>+(N120-G120)*H120</f>
        <v>-88.687876898058576</v>
      </c>
      <c r="T120" s="82">
        <f>+P120-I120</f>
        <v>-141.80762971561626</v>
      </c>
      <c r="Y120" s="74"/>
    </row>
    <row r="121" spans="4:26" x14ac:dyDescent="0.45">
      <c r="D121" s="144"/>
      <c r="E121" s="145"/>
      <c r="F121" s="141" t="s">
        <v>413</v>
      </c>
      <c r="G121" s="142">
        <f>IFERROR(GETPIVOTDATA(" Cantidad",TD!$A$3,"Proceso","CEMENTO UG 42,5 KG","ORD",9,"Tipo","Sacos")/I123,0)</f>
        <v>24</v>
      </c>
      <c r="H121" s="142">
        <f>IFERROR(GETPIVOTDATA("Valor",TD!$A$3,"Proceso","CEMENTO UG 42,5 KG","ORD",9,"Tipo","Sacos")/GETPIVOTDATA(" Cantidad",TD!$A$3,"Proceso","CEMENTO UG 42,5 KG","ORD",9,"Tipo","Sacos"),0)</f>
        <v>976.38355641164867</v>
      </c>
      <c r="I121" s="142">
        <f t="shared" si="46"/>
        <v>23433.205353879566</v>
      </c>
      <c r="J121" s="75"/>
      <c r="K121" s="144"/>
      <c r="L121" s="145"/>
      <c r="M121" s="141" t="s">
        <v>413</v>
      </c>
      <c r="N121" s="143">
        <v>23.958042203259584</v>
      </c>
      <c r="O121" s="142">
        <v>917.44928757585501</v>
      </c>
      <c r="P121" s="82">
        <f t="shared" si="45"/>
        <v>21980.288751092772</v>
      </c>
      <c r="Q121" s="75"/>
      <c r="R121" s="82">
        <f>+(O121-H121)*N121</f>
        <v>-1411.9496999861906</v>
      </c>
      <c r="S121" s="82">
        <f>+(N121-G121)*H121</f>
        <v>-40.966902800604345</v>
      </c>
      <c r="T121" s="82">
        <f>+P121-I121</f>
        <v>-1452.9166027867941</v>
      </c>
      <c r="Y121" s="74"/>
    </row>
    <row r="122" spans="4:26" x14ac:dyDescent="0.45">
      <c r="D122" s="146"/>
      <c r="E122" s="147" t="s">
        <v>656</v>
      </c>
      <c r="F122" s="147"/>
      <c r="G122" s="96"/>
      <c r="H122" s="96"/>
      <c r="I122" s="97">
        <f>SUM(I118:I121)</f>
        <v>128385.44562868009</v>
      </c>
      <c r="J122" s="75"/>
      <c r="K122" s="146"/>
      <c r="L122" s="147" t="s">
        <v>656</v>
      </c>
      <c r="M122" s="147"/>
      <c r="N122" s="96"/>
      <c r="O122" s="96"/>
      <c r="P122" s="97">
        <f>SUM(P118:P121)</f>
        <v>126587.39109828099</v>
      </c>
      <c r="Q122" s="75"/>
      <c r="R122" s="97">
        <f>+SUM(R118:R121)</f>
        <v>-1668.5181068910256</v>
      </c>
      <c r="S122" s="97">
        <f>+SUM(S118:S121)</f>
        <v>-129.53642350808997</v>
      </c>
      <c r="T122" s="97">
        <f>+SUM(T118:T121)</f>
        <v>-1798.0545303991094</v>
      </c>
      <c r="Y122" s="74"/>
    </row>
    <row r="123" spans="4:26" x14ac:dyDescent="0.45">
      <c r="D123" s="148"/>
      <c r="E123" s="149"/>
      <c r="F123" s="149"/>
      <c r="G123" s="100"/>
      <c r="H123" s="100"/>
      <c r="I123" s="101">
        <f>IFERROR(GETPIVOTDATA(" Cantidad",TD!$A$3,"Proceso","CEMENTO UG 42,5 KG","ORD",9,"Tipo","Producción")*42.5/-1000,0)</f>
        <v>33066.640200463771</v>
      </c>
      <c r="K123" s="148"/>
      <c r="L123" s="149"/>
      <c r="M123" s="149"/>
      <c r="N123" s="100"/>
      <c r="O123" s="100"/>
      <c r="P123" s="101">
        <v>30882.369999999995</v>
      </c>
      <c r="Q123" s="75"/>
      <c r="R123" s="101"/>
      <c r="S123" s="101"/>
      <c r="T123" s="101"/>
      <c r="Y123" s="74"/>
    </row>
    <row r="124" spans="4:26" x14ac:dyDescent="0.45">
      <c r="F124" s="69"/>
      <c r="G124" s="69"/>
      <c r="H124" s="105"/>
      <c r="I124" s="69"/>
      <c r="M124" s="69"/>
      <c r="N124" s="69"/>
      <c r="O124" s="105"/>
      <c r="P124" s="69"/>
      <c r="Q124" s="75"/>
      <c r="Y124" s="74"/>
    </row>
    <row r="125" spans="4:26" x14ac:dyDescent="0.45">
      <c r="D125" s="76" t="s">
        <v>644</v>
      </c>
      <c r="E125" s="76" t="s">
        <v>435</v>
      </c>
      <c r="F125" s="76" t="s">
        <v>52</v>
      </c>
      <c r="G125" s="77" t="s">
        <v>620</v>
      </c>
      <c r="H125" s="77" t="s">
        <v>621</v>
      </c>
      <c r="I125" s="77" t="s">
        <v>395</v>
      </c>
      <c r="K125" s="76" t="s">
        <v>644</v>
      </c>
      <c r="L125" s="76" t="s">
        <v>435</v>
      </c>
      <c r="M125" s="76" t="s">
        <v>52</v>
      </c>
      <c r="N125" s="77" t="s">
        <v>620</v>
      </c>
      <c r="O125" s="77" t="s">
        <v>621</v>
      </c>
      <c r="P125" s="77" t="s">
        <v>395</v>
      </c>
      <c r="Q125" s="75"/>
      <c r="R125" s="77" t="s">
        <v>622</v>
      </c>
      <c r="S125" s="77" t="s">
        <v>623</v>
      </c>
      <c r="T125" s="77" t="s">
        <v>395</v>
      </c>
      <c r="Y125" s="74"/>
    </row>
    <row r="126" spans="4:26" x14ac:dyDescent="0.45">
      <c r="D126" s="139">
        <v>10</v>
      </c>
      <c r="E126" s="140" t="s">
        <v>657</v>
      </c>
      <c r="F126" s="141" t="s">
        <v>653</v>
      </c>
      <c r="G126" s="150">
        <f>IFERROR(GETPIVOTDATA(" Cantidad",TD!$A$3,"Proceso","CEMENTO UG 25 KG","ORD",10,"Tipo","Cemento UG")/I131,0)</f>
        <v>1.0000000000000002</v>
      </c>
      <c r="H126" s="142">
        <f>+$I$90</f>
        <v>100484.38951827504</v>
      </c>
      <c r="I126" s="142">
        <f>H126*G126</f>
        <v>100484.38951827507</v>
      </c>
      <c r="J126" s="75"/>
      <c r="K126" s="139">
        <v>10</v>
      </c>
      <c r="L126" s="140" t="s">
        <v>657</v>
      </c>
      <c r="M126" s="141" t="s">
        <v>653</v>
      </c>
      <c r="N126" s="150">
        <v>1.0000099069289063</v>
      </c>
      <c r="O126" s="142">
        <f>+$I$90</f>
        <v>100484.38951827504</v>
      </c>
      <c r="P126" s="82">
        <f t="shared" ref="P126:P129" si="47">N126*O126</f>
        <v>100485.3850099782</v>
      </c>
      <c r="Q126" s="75"/>
      <c r="R126" s="82">
        <f>+(O126-H126)*N126</f>
        <v>0</v>
      </c>
      <c r="S126" s="82">
        <f>+(N126-G126)*H126</f>
        <v>0.99549170313268764</v>
      </c>
      <c r="T126" s="82">
        <f>+P126-I126</f>
        <v>0.99549170312820934</v>
      </c>
      <c r="Y126" s="74"/>
    </row>
    <row r="127" spans="4:26" x14ac:dyDescent="0.45">
      <c r="D127" s="144"/>
      <c r="E127" s="140"/>
      <c r="F127" s="141" t="s">
        <v>507</v>
      </c>
      <c r="G127" s="150">
        <f>$G$111</f>
        <v>1</v>
      </c>
      <c r="H127" s="86">
        <f>IFERROR(GETPIVOTDATA("Suma de Costo",TD!$A$3,"Proceso","Cementos","ORD",21,"Tipo","Empaque y Granel"),0)</f>
        <v>3679.9846153846147</v>
      </c>
      <c r="I127" s="142">
        <f t="shared" ref="I127:I129" si="48">H127*G127</f>
        <v>3679.9846153846147</v>
      </c>
      <c r="J127" s="75"/>
      <c r="K127" s="144"/>
      <c r="L127" s="140"/>
      <c r="M127" s="141" t="s">
        <v>507</v>
      </c>
      <c r="N127" s="150">
        <v>1</v>
      </c>
      <c r="O127" s="142">
        <v>3476.5359612973375</v>
      </c>
      <c r="P127" s="82">
        <f t="shared" si="47"/>
        <v>3476.5359612973375</v>
      </c>
      <c r="Q127" s="75"/>
      <c r="R127" s="82">
        <f>+(O127-H127)*N127</f>
        <v>-203.44865408727719</v>
      </c>
      <c r="S127" s="82">
        <f>+(N127-G127)*H127</f>
        <v>0</v>
      </c>
      <c r="T127" s="82">
        <f>+P127-I127</f>
        <v>-203.44865408727719</v>
      </c>
      <c r="Y127" s="74"/>
    </row>
    <row r="128" spans="4:26" x14ac:dyDescent="0.45">
      <c r="D128" s="144"/>
      <c r="E128" s="140"/>
      <c r="F128" s="141" t="s">
        <v>267</v>
      </c>
      <c r="G128" s="122">
        <f>GETPIVOTDATA(" Cantidad",TD!$A$3,"Proceso","CEMENTOS","ORD",21,"Tipo",F128)/((GETPIVOTDATA(" Cantidad",TD!$A$3,"Proceso","CEMENTOS","ORD",21,"Tipo","Producción"))*-1)</f>
        <v>1.5</v>
      </c>
      <c r="H128" s="86">
        <f>IFERROR(GETPIVOTDATA("Suma de Costo",TD!$A$3,"Proceso",$E$126,"ORD",$D$126,"Tipo",F128),0)</f>
        <v>525.24409409393547</v>
      </c>
      <c r="I128" s="142">
        <f t="shared" si="48"/>
        <v>787.86614114090321</v>
      </c>
      <c r="J128" s="75"/>
      <c r="K128" s="144"/>
      <c r="L128" s="140"/>
      <c r="M128" s="141" t="s">
        <v>267</v>
      </c>
      <c r="N128" s="129">
        <v>1.3311492163447392</v>
      </c>
      <c r="O128" s="88">
        <v>485.33891128999591</v>
      </c>
      <c r="P128" s="82">
        <f t="shared" si="47"/>
        <v>646.05851142528695</v>
      </c>
      <c r="Q128" s="75"/>
      <c r="R128" s="82">
        <f>+(O128-H128)*N128</f>
        <v>-53.119752817557718</v>
      </c>
      <c r="S128" s="82">
        <f>+(N128-G128)*H128</f>
        <v>-88.687876898058576</v>
      </c>
      <c r="T128" s="82">
        <f>+P128-I128</f>
        <v>-141.80762971561626</v>
      </c>
      <c r="Y128" s="74"/>
    </row>
    <row r="129" spans="4:25" x14ac:dyDescent="0.45">
      <c r="D129" s="144"/>
      <c r="E129" s="145"/>
      <c r="F129" s="141" t="s">
        <v>413</v>
      </c>
      <c r="G129" s="142">
        <f>IFERROR(GETPIVOTDATA(" Cantidad",TD!$A$3,"Proceso","CEMENTO UG 25 KG","ORD",10,"Tipo","Sacos")/I131,0)</f>
        <v>40.800000000000004</v>
      </c>
      <c r="H129" s="142">
        <f>IFERROR(GETPIVOTDATA("Valor",TD!$A$3,"Proceso","CEMENTO UG 25 KG","ORD",10,"Tipo","Sacos")/GETPIVOTDATA(" Cantidad",TD!$A$3,"Proceso","CEMENTO UG 25 KG","ORD",10,"Tipo","Sacos"),0)</f>
        <v>745.38347000187287</v>
      </c>
      <c r="I129" s="142">
        <f t="shared" si="48"/>
        <v>30411.645576076415</v>
      </c>
      <c r="J129" s="75"/>
      <c r="K129" s="144"/>
      <c r="L129" s="145"/>
      <c r="M129" s="141" t="s">
        <v>413</v>
      </c>
      <c r="N129" s="143">
        <v>40.054569049177466</v>
      </c>
      <c r="O129" s="142">
        <v>672.00975472284699</v>
      </c>
      <c r="P129" s="82">
        <f t="shared" si="47"/>
        <v>26917.061122267089</v>
      </c>
      <c r="Q129" s="75"/>
      <c r="R129" s="82">
        <f>+(O129-H129)*N129</f>
        <v>-2938.9525450384294</v>
      </c>
      <c r="S129" s="82">
        <f>+(N129-G129)*H129</f>
        <v>-555.63190877089869</v>
      </c>
      <c r="T129" s="82">
        <f>+P129-I129</f>
        <v>-3494.5844538093261</v>
      </c>
      <c r="Y129" s="74"/>
    </row>
    <row r="130" spans="4:25" x14ac:dyDescent="0.45">
      <c r="D130" s="146"/>
      <c r="E130" s="147" t="s">
        <v>658</v>
      </c>
      <c r="F130" s="147"/>
      <c r="G130" s="96"/>
      <c r="H130" s="96"/>
      <c r="I130" s="97">
        <f>SUM(I126:I129)</f>
        <v>135363.88585087701</v>
      </c>
      <c r="J130" s="75"/>
      <c r="K130" s="146"/>
      <c r="L130" s="147" t="s">
        <v>658</v>
      </c>
      <c r="M130" s="147"/>
      <c r="N130" s="96"/>
      <c r="O130" s="96"/>
      <c r="P130" s="97">
        <f>SUM(P126:P129)</f>
        <v>131525.04060496791</v>
      </c>
      <c r="Q130" s="75"/>
      <c r="R130" s="97">
        <f>+SUM(R126:R129)</f>
        <v>-3195.5209519432642</v>
      </c>
      <c r="S130" s="97">
        <f>+SUM(S126:S129)</f>
        <v>-643.32429396582461</v>
      </c>
      <c r="T130" s="97">
        <f>+SUM(T126:T129)</f>
        <v>-3838.8452459090913</v>
      </c>
      <c r="Y130" s="74"/>
    </row>
    <row r="131" spans="4:25" x14ac:dyDescent="0.45">
      <c r="D131" s="148"/>
      <c r="E131" s="149"/>
      <c r="F131" s="149"/>
      <c r="G131" s="100"/>
      <c r="H131" s="100"/>
      <c r="I131" s="101">
        <f>IFERROR(GETPIVOTDATA(" Cantidad",TD!$A$3,"Proceso","CEMENTO UG 25 KG","ORD",10,"Tipo","Producción")*25/-1000,0)</f>
        <v>7401.455796708271</v>
      </c>
      <c r="K131" s="148"/>
      <c r="L131" s="149"/>
      <c r="M131" s="149"/>
      <c r="N131" s="100"/>
      <c r="O131" s="100"/>
      <c r="P131" s="101">
        <v>6939.5874999999996</v>
      </c>
      <c r="Q131" s="75"/>
      <c r="R131" s="101"/>
      <c r="S131" s="101"/>
      <c r="T131" s="101"/>
      <c r="Y131" s="74"/>
    </row>
    <row r="132" spans="4:25" x14ac:dyDescent="0.45">
      <c r="G132" s="69"/>
      <c r="H132" s="69"/>
      <c r="I132" s="69"/>
      <c r="N132" s="69"/>
      <c r="O132" s="69"/>
      <c r="P132" s="69"/>
      <c r="Q132" s="75"/>
      <c r="Y132" s="74"/>
    </row>
    <row r="133" spans="4:25" x14ac:dyDescent="0.45">
      <c r="D133" s="76" t="s">
        <v>644</v>
      </c>
      <c r="E133" s="76" t="s">
        <v>435</v>
      </c>
      <c r="F133" s="76" t="s">
        <v>52</v>
      </c>
      <c r="G133" s="77" t="s">
        <v>620</v>
      </c>
      <c r="H133" s="77" t="s">
        <v>621</v>
      </c>
      <c r="I133" s="77" t="s">
        <v>395</v>
      </c>
      <c r="K133" s="76" t="s">
        <v>644</v>
      </c>
      <c r="L133" s="76" t="s">
        <v>435</v>
      </c>
      <c r="M133" s="76" t="s">
        <v>52</v>
      </c>
      <c r="N133" s="77" t="s">
        <v>620</v>
      </c>
      <c r="O133" s="77" t="s">
        <v>621</v>
      </c>
      <c r="P133" s="77" t="s">
        <v>395</v>
      </c>
      <c r="Q133" s="75"/>
      <c r="R133" s="77" t="s">
        <v>622</v>
      </c>
      <c r="S133" s="77" t="s">
        <v>623</v>
      </c>
      <c r="T133" s="77" t="s">
        <v>395</v>
      </c>
      <c r="Y133" s="74"/>
    </row>
    <row r="134" spans="4:25" x14ac:dyDescent="0.45">
      <c r="D134" s="139">
        <v>11</v>
      </c>
      <c r="E134" s="140" t="s">
        <v>659</v>
      </c>
      <c r="F134" s="141" t="s">
        <v>653</v>
      </c>
      <c r="G134" s="150">
        <f>IFERROR(GETPIVOTDATA(" Cantidad",TD!$A$3,"Proceso","CEMENTO ART 42,5 KG","ORD",11,"Tipo","Cemento ART")/I139,0)</f>
        <v>0.99999999999999989</v>
      </c>
      <c r="H134" s="142">
        <f>+I106</f>
        <v>143400.48381155985</v>
      </c>
      <c r="I134" s="142">
        <f>H134*G134</f>
        <v>143400.48381155982</v>
      </c>
      <c r="J134" s="75"/>
      <c r="K134" s="139">
        <v>11</v>
      </c>
      <c r="L134" s="140" t="s">
        <v>659</v>
      </c>
      <c r="M134" s="141" t="s">
        <v>653</v>
      </c>
      <c r="N134" s="150">
        <v>1.0000055127500393</v>
      </c>
      <c r="O134" s="142">
        <f>+P106</f>
        <v>135436.71471925866</v>
      </c>
      <c r="P134" s="82">
        <f t="shared" ref="P134:P137" si="49">N134*O134</f>
        <v>135437.46134801305</v>
      </c>
      <c r="Q134" s="75"/>
      <c r="R134" s="82">
        <f>+(O134-H134)*N134</f>
        <v>-7963.8129945695746</v>
      </c>
      <c r="S134" s="82">
        <f>+(N134-G134)*H134</f>
        <v>0.79053102279079968</v>
      </c>
      <c r="T134" s="82">
        <f>+P134-I134</f>
        <v>-7963.0224635467748</v>
      </c>
      <c r="Y134" s="74"/>
    </row>
    <row r="135" spans="4:25" x14ac:dyDescent="0.45">
      <c r="D135" s="144"/>
      <c r="E135" s="140"/>
      <c r="F135" s="141" t="s">
        <v>507</v>
      </c>
      <c r="G135" s="150">
        <f>$G$111</f>
        <v>1</v>
      </c>
      <c r="H135" s="86">
        <f>IFERROR(GETPIVOTDATA("Suma de Costo",TD!$A$3,"Proceso","Cementos","ORD",21,"Tipo","Empaque y Granel"),0)</f>
        <v>3679.9846153846147</v>
      </c>
      <c r="I135" s="142">
        <f t="shared" ref="I135:I137" si="50">H135*G135</f>
        <v>3679.9846153846147</v>
      </c>
      <c r="J135" s="75"/>
      <c r="K135" s="144"/>
      <c r="L135" s="140"/>
      <c r="M135" s="141" t="s">
        <v>507</v>
      </c>
      <c r="N135" s="150">
        <v>1</v>
      </c>
      <c r="O135" s="142">
        <v>3476.5359612973375</v>
      </c>
      <c r="P135" s="82">
        <f t="shared" si="49"/>
        <v>3476.5359612973375</v>
      </c>
      <c r="Q135" s="75"/>
      <c r="R135" s="82">
        <f>+(O135-H135)*N135</f>
        <v>-203.44865408727719</v>
      </c>
      <c r="S135" s="82">
        <f>+(N135-G135)*H135</f>
        <v>0</v>
      </c>
      <c r="T135" s="82">
        <f>+P135-I135</f>
        <v>-203.44865408727719</v>
      </c>
      <c r="Y135" s="74"/>
    </row>
    <row r="136" spans="4:25" x14ac:dyDescent="0.45">
      <c r="D136" s="144"/>
      <c r="E136" s="140"/>
      <c r="F136" s="141" t="s">
        <v>267</v>
      </c>
      <c r="G136" s="122">
        <f>GETPIVOTDATA(" Cantidad",TD!$A$3,"Proceso","CEMENTOS","ORD",21,"Tipo",F136)/((GETPIVOTDATA(" Cantidad",TD!$A$3,"Proceso","CEMENTOS","ORD",21,"Tipo","Producción"))*-1)</f>
        <v>1.5</v>
      </c>
      <c r="H136" s="86">
        <f>IFERROR(GETPIVOTDATA("Suma de Costo",TD!$A$3,"Proceso",$E$134,"ORD",$D$134,"Tipo",F136),0)</f>
        <v>525.24409409393547</v>
      </c>
      <c r="I136" s="142">
        <f t="shared" si="50"/>
        <v>787.86614114090321</v>
      </c>
      <c r="J136" s="75"/>
      <c r="K136" s="144"/>
      <c r="L136" s="140"/>
      <c r="M136" s="141" t="s">
        <v>267</v>
      </c>
      <c r="N136" s="129">
        <v>1.3311492163447392</v>
      </c>
      <c r="O136" s="88">
        <v>485.33891128999591</v>
      </c>
      <c r="P136" s="82">
        <f t="shared" si="49"/>
        <v>646.05851142528695</v>
      </c>
      <c r="Q136" s="75"/>
      <c r="R136" s="82">
        <f>+(O136-H136)*N136</f>
        <v>-53.119752817557718</v>
      </c>
      <c r="S136" s="82">
        <f>+(N136-G136)*H136</f>
        <v>-88.687876898058576</v>
      </c>
      <c r="T136" s="82">
        <f>+P136-I136</f>
        <v>-141.80762971561626</v>
      </c>
    </row>
    <row r="137" spans="4:25" x14ac:dyDescent="0.45">
      <c r="D137" s="144"/>
      <c r="E137" s="145"/>
      <c r="F137" s="141" t="s">
        <v>413</v>
      </c>
      <c r="G137" s="142">
        <f>IFERROR(GETPIVOTDATA(" Cantidad",TD!$A$3,"Proceso","CEMENTO ART 42,5 KG","ORD",11,"Tipo","Sacos")/I139,0)</f>
        <v>23.999999999999996</v>
      </c>
      <c r="H137" s="142">
        <f>IFERROR(GETPIVOTDATA("Valor",TD!$A$3,"Proceso","CEMENTO ART 42,5 KG","ORD",11,"Tipo","Sacos")/GETPIVOTDATA(" Cantidad",TD!$A$3,"Proceso","CEMENTO ART 42,5 KG","ORD",11,"Tipo","Sacos"),0)</f>
        <v>908.21604113078456</v>
      </c>
      <c r="I137" s="142">
        <f t="shared" si="50"/>
        <v>21797.184987138826</v>
      </c>
      <c r="J137" s="75"/>
      <c r="K137" s="144"/>
      <c r="L137" s="145"/>
      <c r="M137" s="141" t="s">
        <v>413</v>
      </c>
      <c r="N137" s="142">
        <v>23.641780592312756</v>
      </c>
      <c r="O137" s="142">
        <v>825.34956693524748</v>
      </c>
      <c r="P137" s="82">
        <f t="shared" si="49"/>
        <v>19512.733373443472</v>
      </c>
      <c r="Q137" s="75"/>
      <c r="R137" s="82">
        <f>+(O137-H137)*N137</f>
        <v>-1959.1110013894343</v>
      </c>
      <c r="S137" s="82">
        <f>+(N137-G137)*H137</f>
        <v>-325.3406123059201</v>
      </c>
      <c r="T137" s="82">
        <f>+P137-I137</f>
        <v>-2284.4516136953534</v>
      </c>
    </row>
    <row r="138" spans="4:25" x14ac:dyDescent="0.45">
      <c r="D138" s="146"/>
      <c r="E138" s="147" t="s">
        <v>660</v>
      </c>
      <c r="F138" s="147"/>
      <c r="G138" s="96"/>
      <c r="H138" s="96"/>
      <c r="I138" s="97">
        <f>SUM(I134:I137)</f>
        <v>169665.51955522416</v>
      </c>
      <c r="J138" s="75"/>
      <c r="K138" s="146"/>
      <c r="L138" s="147" t="s">
        <v>660</v>
      </c>
      <c r="M138" s="147"/>
      <c r="N138" s="96"/>
      <c r="O138" s="96"/>
      <c r="P138" s="97">
        <f>SUM(P134:P137)</f>
        <v>159072.78919417915</v>
      </c>
      <c r="Q138" s="75"/>
      <c r="R138" s="97">
        <f>+SUM(R134:R137)</f>
        <v>-10179.492402863843</v>
      </c>
      <c r="S138" s="97">
        <f>+SUM(S134:S137)</f>
        <v>-413.23795818118788</v>
      </c>
      <c r="T138" s="97">
        <f>+SUM(T134:T137)</f>
        <v>-10592.730361045022</v>
      </c>
    </row>
    <row r="139" spans="4:25" x14ac:dyDescent="0.45">
      <c r="D139" s="148"/>
      <c r="E139" s="149"/>
      <c r="F139" s="149"/>
      <c r="G139" s="100"/>
      <c r="H139" s="100"/>
      <c r="I139" s="101">
        <f>+GETPIVOTDATA(" Cantidad",TD!$A$3,"Proceso","CEMENTO ART 42,5 KG","ORD",11,"Tipo","Producción")*42.5/-1000</f>
        <v>92101.888091158035</v>
      </c>
      <c r="K139" s="148"/>
      <c r="L139" s="149"/>
      <c r="M139" s="149"/>
      <c r="N139" s="100"/>
      <c r="O139" s="100"/>
      <c r="P139" s="101">
        <v>79429.503750000018</v>
      </c>
      <c r="Q139" s="75"/>
      <c r="R139" s="101"/>
      <c r="S139" s="101"/>
      <c r="T139" s="101"/>
    </row>
    <row r="140" spans="4:25" x14ac:dyDescent="0.45">
      <c r="G140" s="69"/>
      <c r="I140" s="69"/>
      <c r="N140" s="69"/>
      <c r="P140" s="69"/>
      <c r="Q140" s="75"/>
    </row>
    <row r="141" spans="4:25" x14ac:dyDescent="0.45">
      <c r="D141" s="76" t="s">
        <v>644</v>
      </c>
      <c r="E141" s="76" t="s">
        <v>435</v>
      </c>
      <c r="F141" s="76" t="s">
        <v>52</v>
      </c>
      <c r="G141" s="77" t="s">
        <v>620</v>
      </c>
      <c r="H141" s="77" t="s">
        <v>621</v>
      </c>
      <c r="I141" s="77" t="s">
        <v>395</v>
      </c>
      <c r="K141" s="76" t="s">
        <v>644</v>
      </c>
      <c r="L141" s="76" t="s">
        <v>435</v>
      </c>
      <c r="M141" s="76" t="s">
        <v>52</v>
      </c>
      <c r="N141" s="77" t="s">
        <v>620</v>
      </c>
      <c r="O141" s="77" t="s">
        <v>621</v>
      </c>
      <c r="P141" s="77" t="s">
        <v>395</v>
      </c>
      <c r="Q141" s="75"/>
      <c r="R141" s="77" t="s">
        <v>622</v>
      </c>
      <c r="S141" s="77" t="s">
        <v>623</v>
      </c>
      <c r="T141" s="77" t="s">
        <v>395</v>
      </c>
    </row>
    <row r="142" spans="4:25" x14ac:dyDescent="0.45">
      <c r="D142" s="139">
        <v>14</v>
      </c>
      <c r="E142" s="140" t="s">
        <v>487</v>
      </c>
      <c r="F142" s="141" t="s">
        <v>653</v>
      </c>
      <c r="G142" s="85">
        <f>+GETPIVOTDATA(" Cantidad",TD!$A$3,"Proceso","CEMENTO TOPEX 50 KG","ORD",14,"Tipo","Cemento UG TP")/I147</f>
        <v>1.0000000000000002</v>
      </c>
      <c r="H142" s="142">
        <f>+I90</f>
        <v>100484.38951827504</v>
      </c>
      <c r="I142" s="142">
        <f>H142*G142</f>
        <v>100484.38951827507</v>
      </c>
      <c r="J142" s="75"/>
      <c r="K142" s="139">
        <v>14</v>
      </c>
      <c r="L142" s="140" t="s">
        <v>487</v>
      </c>
      <c r="M142" s="141" t="s">
        <v>653</v>
      </c>
      <c r="N142" s="85">
        <v>1.0000038502605308</v>
      </c>
      <c r="O142" s="142">
        <f>+P90</f>
        <v>95900.546349588723</v>
      </c>
      <c r="P142" s="82">
        <f t="shared" ref="P142:P145" si="51">N142*O142</f>
        <v>95900.915591677214</v>
      </c>
      <c r="Q142" s="75"/>
      <c r="R142" s="82">
        <f>+(O142-H142)*N142</f>
        <v>-4583.8608176767502</v>
      </c>
      <c r="S142" s="82">
        <f>+(N142-G142)*H142</f>
        <v>0.38689107890611646</v>
      </c>
      <c r="T142" s="82">
        <f>+P142-I142</f>
        <v>-4583.4739265978569</v>
      </c>
    </row>
    <row r="143" spans="4:25" x14ac:dyDescent="0.45">
      <c r="D143" s="144"/>
      <c r="E143" s="140"/>
      <c r="F143" s="141" t="s">
        <v>507</v>
      </c>
      <c r="G143" s="150">
        <f>$G$111</f>
        <v>1</v>
      </c>
      <c r="H143" s="86">
        <f>IFERROR(GETPIVOTDATA("Suma de Costo",TD!$A$3,"Proceso","Cementos","ORD",21,"Tipo","Empaque y Granel"),0)</f>
        <v>3679.9846153846147</v>
      </c>
      <c r="I143" s="142">
        <f t="shared" ref="I143:I145" si="52">H143*G143</f>
        <v>3679.9846153846147</v>
      </c>
      <c r="J143" s="75"/>
      <c r="K143" s="144"/>
      <c r="L143" s="140"/>
      <c r="M143" s="141" t="s">
        <v>507</v>
      </c>
      <c r="N143" s="150">
        <v>1</v>
      </c>
      <c r="O143" s="142">
        <v>3476.5359612973375</v>
      </c>
      <c r="P143" s="82">
        <f t="shared" si="51"/>
        <v>3476.5359612973375</v>
      </c>
      <c r="Q143" s="75"/>
      <c r="R143" s="82">
        <f>+(O143-H143)*N143</f>
        <v>-203.44865408727719</v>
      </c>
      <c r="S143" s="82">
        <f>+(N143-G143)*H143</f>
        <v>0</v>
      </c>
      <c r="T143" s="82">
        <f>+P143-I143</f>
        <v>-203.44865408727719</v>
      </c>
    </row>
    <row r="144" spans="4:25" x14ac:dyDescent="0.45">
      <c r="D144" s="144"/>
      <c r="E144" s="140"/>
      <c r="F144" s="141" t="s">
        <v>267</v>
      </c>
      <c r="G144" s="122">
        <f>GETPIVOTDATA(" Cantidad",TD!$A$3,"Proceso","CEMENTOS","ORD",21,"Tipo",F144)/((GETPIVOTDATA(" Cantidad",TD!$A$3,"Proceso","CEMENTOS","ORD",21,"Tipo","Producción"))*-1)</f>
        <v>1.5</v>
      </c>
      <c r="H144" s="86">
        <f>IFERROR(GETPIVOTDATA("Suma de Costo",TD!$A$3,"Proceso",$E$142,"ORD",$D$142,"Tipo",F144),0)</f>
        <v>525.24409409393547</v>
      </c>
      <c r="I144" s="142">
        <f t="shared" si="52"/>
        <v>787.86614114090321</v>
      </c>
      <c r="J144" s="75"/>
      <c r="K144" s="144"/>
      <c r="L144" s="140"/>
      <c r="M144" s="141" t="s">
        <v>267</v>
      </c>
      <c r="N144" s="129">
        <v>1.3311492163447392</v>
      </c>
      <c r="O144" s="88">
        <v>485.33891128999591</v>
      </c>
      <c r="P144" s="82">
        <f t="shared" si="51"/>
        <v>646.05851142528695</v>
      </c>
      <c r="Q144" s="75"/>
      <c r="R144" s="82">
        <f>+(O144-H144)*N144</f>
        <v>-53.119752817557718</v>
      </c>
      <c r="S144" s="82">
        <f>+(N144-G144)*H144</f>
        <v>-88.687876898058576</v>
      </c>
      <c r="T144" s="82">
        <f>+P144-I144</f>
        <v>-141.80762971561626</v>
      </c>
    </row>
    <row r="145" spans="4:20" x14ac:dyDescent="0.45">
      <c r="D145" s="144"/>
      <c r="E145" s="145"/>
      <c r="F145" s="141" t="s">
        <v>413</v>
      </c>
      <c r="G145" s="142">
        <f>+GETPIVOTDATA(" Cantidad",TD!$A$3,"Proceso","CEMENTO TOPEX 50 KG","ORD",14,"Tipo","Sacos")/I147</f>
        <v>20.400000000000002</v>
      </c>
      <c r="H145" s="142">
        <f>+GETPIVOTDATA("Valor",TD!$A$3,"Proceso","CEMENTO TOPEX 50 KG","ORD",14,"Tipo","Sacos")/GETPIVOTDATA(" Cantidad",TD!$A$3,"Proceso","CEMENTO TOPEX 50 KG","ORD",14,"Tipo","Sacos")</f>
        <v>1143.1655715120974</v>
      </c>
      <c r="I145" s="142">
        <f t="shared" si="52"/>
        <v>23320.577658846789</v>
      </c>
      <c r="J145" s="75"/>
      <c r="K145" s="144"/>
      <c r="L145" s="145"/>
      <c r="M145" s="141" t="s">
        <v>413</v>
      </c>
      <c r="N145" s="151">
        <v>19.985986073820111</v>
      </c>
      <c r="O145" s="142">
        <v>972.3969015260991</v>
      </c>
      <c r="P145" s="82">
        <f t="shared" si="51"/>
        <v>19434.310932126442</v>
      </c>
      <c r="Q145" s="75"/>
      <c r="R145" s="82">
        <f>+(O145-H145)*N145</f>
        <v>-3412.9802601849437</v>
      </c>
      <c r="S145" s="82">
        <f>+(N145-G145)*H145</f>
        <v>-473.2864665354021</v>
      </c>
      <c r="T145" s="82">
        <f>+P145-I145</f>
        <v>-3886.2667267203469</v>
      </c>
    </row>
    <row r="146" spans="4:20" x14ac:dyDescent="0.45">
      <c r="D146" s="146"/>
      <c r="E146" s="147" t="s">
        <v>654</v>
      </c>
      <c r="F146" s="147"/>
      <c r="G146" s="96"/>
      <c r="H146" s="96"/>
      <c r="I146" s="97">
        <f>SUM(I142:I145)</f>
        <v>128272.81793364737</v>
      </c>
      <c r="J146" s="75"/>
      <c r="K146" s="146"/>
      <c r="L146" s="147" t="s">
        <v>654</v>
      </c>
      <c r="M146" s="147"/>
      <c r="N146" s="96"/>
      <c r="O146" s="96"/>
      <c r="P146" s="97">
        <f>SUM(P142:P145)</f>
        <v>119457.82099652628</v>
      </c>
      <c r="Q146" s="75"/>
      <c r="R146" s="97">
        <f>+SUM(R142:R145)</f>
        <v>-8253.4094847665292</v>
      </c>
      <c r="S146" s="97">
        <f>+SUM(S142:S145)</f>
        <v>-561.58745235455456</v>
      </c>
      <c r="T146" s="97">
        <f>+SUM(T142:T145)</f>
        <v>-8814.9969371210973</v>
      </c>
    </row>
    <row r="147" spans="4:20" x14ac:dyDescent="0.45">
      <c r="D147" s="148"/>
      <c r="E147" s="149"/>
      <c r="F147" s="149"/>
      <c r="G147" s="100"/>
      <c r="H147" s="100"/>
      <c r="I147" s="101">
        <f>GETPIVOTDATA(" Cantidad",TD!$A$3,"Proceso","CEMENTO TOPEX 50 KG","ORD",14,"Tipo","Producción")*50/-1000</f>
        <v>33980.72038357464</v>
      </c>
      <c r="K147" s="148"/>
      <c r="L147" s="149"/>
      <c r="M147" s="149"/>
      <c r="N147" s="100"/>
      <c r="O147" s="100"/>
      <c r="P147" s="101">
        <v>30842.068749999999</v>
      </c>
      <c r="Q147" s="75"/>
      <c r="R147" s="101"/>
      <c r="S147" s="101"/>
      <c r="T147" s="101"/>
    </row>
    <row r="148" spans="4:20" x14ac:dyDescent="0.45">
      <c r="G148" s="69"/>
      <c r="H148" s="69"/>
      <c r="N148" s="69"/>
      <c r="O148" s="69"/>
      <c r="Q148" s="75"/>
    </row>
    <row r="149" spans="4:20" x14ac:dyDescent="0.45">
      <c r="D149" s="76"/>
      <c r="E149" s="76"/>
      <c r="F149" s="76"/>
      <c r="G149" s="77"/>
      <c r="H149" s="77"/>
      <c r="I149" s="77"/>
      <c r="K149" s="76"/>
      <c r="L149" s="76"/>
      <c r="M149" s="76"/>
      <c r="N149" s="77"/>
      <c r="O149" s="77"/>
      <c r="P149" s="77"/>
      <c r="Q149" s="75"/>
      <c r="R149" s="77"/>
      <c r="S149" s="77"/>
      <c r="T149" s="77"/>
    </row>
    <row r="150" spans="4:20" x14ac:dyDescent="0.45">
      <c r="D150" s="139"/>
      <c r="E150" s="152"/>
      <c r="F150" s="141"/>
      <c r="G150" s="85"/>
      <c r="H150" s="142"/>
      <c r="I150" s="142"/>
      <c r="J150" s="75"/>
      <c r="K150" s="139"/>
      <c r="L150" s="152"/>
      <c r="M150" s="141"/>
      <c r="N150" s="85"/>
      <c r="O150" s="143"/>
      <c r="P150" s="142"/>
      <c r="Q150" s="75"/>
      <c r="R150" s="82"/>
      <c r="S150" s="82"/>
      <c r="T150" s="82"/>
    </row>
    <row r="151" spans="4:20" x14ac:dyDescent="0.45">
      <c r="D151" s="144"/>
      <c r="E151" s="140"/>
      <c r="F151" s="141"/>
      <c r="G151" s="150"/>
      <c r="H151" s="142"/>
      <c r="I151" s="142"/>
      <c r="J151" s="75"/>
      <c r="K151" s="144"/>
      <c r="L151" s="140"/>
      <c r="M151" s="141"/>
      <c r="N151" s="150"/>
      <c r="O151" s="142"/>
      <c r="P151" s="142"/>
      <c r="Q151" s="75"/>
      <c r="R151" s="82"/>
      <c r="S151" s="82"/>
      <c r="T151" s="82"/>
    </row>
    <row r="152" spans="4:20" x14ac:dyDescent="0.45">
      <c r="D152" s="144"/>
      <c r="E152" s="140"/>
      <c r="F152" s="141"/>
      <c r="G152" s="122"/>
      <c r="H152" s="86"/>
      <c r="I152" s="142"/>
      <c r="J152" s="75"/>
      <c r="K152" s="144"/>
      <c r="L152" s="140"/>
      <c r="M152" s="141"/>
      <c r="N152" s="129"/>
      <c r="O152" s="88"/>
      <c r="P152" s="142"/>
      <c r="Q152" s="75"/>
      <c r="R152" s="82"/>
      <c r="S152" s="82"/>
      <c r="T152" s="82"/>
    </row>
    <row r="153" spans="4:20" x14ac:dyDescent="0.45">
      <c r="D153" s="144"/>
      <c r="E153" s="153"/>
      <c r="F153" s="154"/>
      <c r="G153" s="150"/>
      <c r="H153" s="142"/>
      <c r="I153" s="142"/>
      <c r="J153" s="75"/>
      <c r="K153" s="144"/>
      <c r="L153" s="153"/>
      <c r="M153" s="154"/>
      <c r="N153" s="150"/>
      <c r="O153" s="142"/>
      <c r="P153" s="142"/>
      <c r="Q153" s="75"/>
      <c r="R153" s="82"/>
      <c r="S153" s="82"/>
      <c r="T153" s="82"/>
    </row>
    <row r="154" spans="4:20" x14ac:dyDescent="0.45">
      <c r="D154" s="144"/>
      <c r="E154" s="145"/>
      <c r="F154" s="141"/>
      <c r="G154" s="155"/>
      <c r="H154" s="142"/>
      <c r="I154" s="142"/>
      <c r="J154" s="75"/>
      <c r="K154" s="144"/>
      <c r="L154" s="145"/>
      <c r="M154" s="141"/>
      <c r="N154" s="155"/>
      <c r="O154" s="142"/>
      <c r="P154" s="142"/>
      <c r="Q154" s="75"/>
      <c r="R154" s="82"/>
      <c r="S154" s="82"/>
      <c r="T154" s="82"/>
    </row>
    <row r="155" spans="4:20" x14ac:dyDescent="0.45">
      <c r="D155" s="146"/>
      <c r="E155" s="147"/>
      <c r="F155" s="147"/>
      <c r="G155" s="96"/>
      <c r="H155" s="96"/>
      <c r="I155" s="97"/>
      <c r="K155" s="146"/>
      <c r="L155" s="147"/>
      <c r="M155" s="147"/>
      <c r="N155" s="96"/>
      <c r="O155" s="96"/>
      <c r="P155" s="97"/>
      <c r="Q155" s="75"/>
      <c r="R155" s="97"/>
      <c r="S155" s="97"/>
      <c r="T155" s="97"/>
    </row>
    <row r="156" spans="4:20" x14ac:dyDescent="0.45">
      <c r="D156" s="148"/>
      <c r="E156" s="149"/>
      <c r="F156" s="149"/>
      <c r="G156" s="100"/>
      <c r="H156" s="100"/>
      <c r="I156" s="101"/>
      <c r="K156" s="148"/>
      <c r="L156" s="149"/>
      <c r="M156" s="149"/>
      <c r="N156" s="100"/>
      <c r="O156" s="100"/>
      <c r="P156" s="101"/>
      <c r="Q156" s="75"/>
      <c r="R156" s="101"/>
      <c r="S156" s="101"/>
      <c r="T156" s="101"/>
    </row>
    <row r="157" spans="4:20" x14ac:dyDescent="0.45">
      <c r="G157" s="156"/>
      <c r="H157" s="69"/>
      <c r="N157" s="156"/>
      <c r="O157" s="69"/>
      <c r="Q157" s="75"/>
    </row>
    <row r="158" spans="4:20" x14ac:dyDescent="0.45">
      <c r="D158" s="76" t="s">
        <v>644</v>
      </c>
      <c r="E158" s="76" t="s">
        <v>435</v>
      </c>
      <c r="F158" s="76" t="s">
        <v>52</v>
      </c>
      <c r="G158" s="77" t="s">
        <v>620</v>
      </c>
      <c r="H158" s="77" t="s">
        <v>621</v>
      </c>
      <c r="I158" s="77" t="s">
        <v>395</v>
      </c>
      <c r="K158" s="76" t="s">
        <v>644</v>
      </c>
      <c r="L158" s="76" t="s">
        <v>435</v>
      </c>
      <c r="M158" s="76" t="s">
        <v>52</v>
      </c>
      <c r="N158" s="77" t="s">
        <v>620</v>
      </c>
      <c r="O158" s="77" t="s">
        <v>621</v>
      </c>
      <c r="P158" s="77" t="s">
        <v>395</v>
      </c>
      <c r="Q158" s="75"/>
      <c r="R158" s="77" t="s">
        <v>622</v>
      </c>
      <c r="S158" s="77" t="s">
        <v>623</v>
      </c>
      <c r="T158" s="77" t="s">
        <v>395</v>
      </c>
    </row>
    <row r="159" spans="4:20" x14ac:dyDescent="0.45">
      <c r="D159" s="78">
        <v>16</v>
      </c>
      <c r="E159" s="79" t="s">
        <v>178</v>
      </c>
      <c r="F159" s="80" t="s">
        <v>182</v>
      </c>
      <c r="G159" s="81">
        <f>IFERROR(GETPIVOTDATA(" Cantidad",TD!$A$3,"Proceso",$E$159,"ORD",$D$159,"Tipo",F159)/GETPIVOTDATA(" Cantidad",TD!$A$3,"Proceso",$E$159,"ORD",$D$159,"Tipo","Producción")*-1,0)</f>
        <v>0.91400000000000003</v>
      </c>
      <c r="H159" s="82">
        <f>+I74</f>
        <v>121865.27029471415</v>
      </c>
      <c r="I159" s="82">
        <f t="shared" ref="I159:I166" si="53">H159*G159</f>
        <v>111384.85704936874</v>
      </c>
      <c r="J159" s="75"/>
      <c r="K159" s="78">
        <v>16</v>
      </c>
      <c r="L159" s="79" t="s">
        <v>178</v>
      </c>
      <c r="M159" s="80" t="s">
        <v>182</v>
      </c>
      <c r="N159" s="81">
        <v>0.9133710963947097</v>
      </c>
      <c r="O159" s="88">
        <f>P74</f>
        <v>113462.98244591446</v>
      </c>
      <c r="P159" s="82">
        <f t="shared" ref="P159:P166" si="54">N159*O159</f>
        <v>103633.80867683858</v>
      </c>
      <c r="Q159" s="75"/>
      <c r="R159" s="82">
        <f>+(O159-H159)*N159</f>
        <v>-7674.4068646821224</v>
      </c>
      <c r="S159" s="82">
        <f>+(N159-G159)*H159</f>
        <v>-76.641507848026507</v>
      </c>
      <c r="T159" s="82">
        <f>+P159-I159</f>
        <v>-7751.0483725301601</v>
      </c>
    </row>
    <row r="160" spans="4:20" x14ac:dyDescent="0.45">
      <c r="D160" s="83"/>
      <c r="E160" s="79"/>
      <c r="F160" s="80" t="s">
        <v>391</v>
      </c>
      <c r="G160" s="81">
        <f>IFERROR(GETPIVOTDATA(" Cantidad",TD!$A$3,"Proceso",$E$159,"ORD",$D$159,"Tipo",F160)/GETPIVOTDATA(" Cantidad",TD!$A$3,"Proceso",$E$159,"ORD",$D$159,"Tipo","Producción")*-1,0)</f>
        <v>0</v>
      </c>
      <c r="H160" s="82">
        <f>I24</f>
        <v>16036.454010329262</v>
      </c>
      <c r="I160" s="82">
        <f t="shared" si="53"/>
        <v>0</v>
      </c>
      <c r="J160" s="75"/>
      <c r="K160" s="83"/>
      <c r="L160" s="79"/>
      <c r="M160" s="80" t="s">
        <v>391</v>
      </c>
      <c r="N160" s="81">
        <v>1.1071998780203523E-3</v>
      </c>
      <c r="O160" s="88">
        <f>P24</f>
        <v>15086.890784461226</v>
      </c>
      <c r="P160" s="82">
        <f t="shared" si="54"/>
        <v>16.704203636261845</v>
      </c>
      <c r="Q160" s="75"/>
      <c r="R160" s="82">
        <f>+(O160-H160)*N160</f>
        <v>-1.0513562878537019</v>
      </c>
      <c r="S160" s="82">
        <f>+(N160-G160)*H160</f>
        <v>17.755559924115548</v>
      </c>
      <c r="T160" s="82">
        <f>+P160-I160</f>
        <v>16.704203636261845</v>
      </c>
    </row>
    <row r="161" spans="3:20" x14ac:dyDescent="0.45">
      <c r="D161" s="83"/>
      <c r="E161" s="79"/>
      <c r="F161" s="80" t="s">
        <v>540</v>
      </c>
      <c r="G161" s="81">
        <f>IFERROR(GETPIVOTDATA(" Cantidad",TD!$A$3,"Proceso",$E$159,"ORD",$D$159,"Tipo",F161)/GETPIVOTDATA(" Cantidad",TD!$A$3,"Proceso",$E$159,"ORD",$D$159,"Tipo","Producción")*-1,0)</f>
        <v>0</v>
      </c>
      <c r="H161" s="82">
        <f>I36</f>
        <v>31752.892182537373</v>
      </c>
      <c r="I161" s="82">
        <f t="shared" si="53"/>
        <v>0</v>
      </c>
      <c r="J161" s="75"/>
      <c r="K161" s="83"/>
      <c r="L161" s="79"/>
      <c r="M161" s="80" t="s">
        <v>540</v>
      </c>
      <c r="N161" s="126">
        <v>1.4778303456627585E-3</v>
      </c>
      <c r="O161" s="88">
        <f>P36</f>
        <v>29052.956377976945</v>
      </c>
      <c r="P161" s="82">
        <f t="shared" si="54"/>
        <v>42.93534056659071</v>
      </c>
      <c r="Q161" s="75"/>
      <c r="R161" s="82"/>
      <c r="S161" s="82"/>
      <c r="T161" s="82"/>
    </row>
    <row r="162" spans="3:20" x14ac:dyDescent="0.45">
      <c r="C162" s="84" t="s">
        <v>624</v>
      </c>
      <c r="D162" s="83"/>
      <c r="E162" s="79"/>
      <c r="F162" s="80" t="s">
        <v>491</v>
      </c>
      <c r="G162" s="85">
        <f>IFERROR(GETPIVOTDATA(" Cantidad",TD!$A$3,"Proceso",$E$159,"ORD",$D$159,"Tipo",F162)/GETPIVOTDATA(" Cantidad",TD!$A$3,"Proceso",$E$159,"ORD",$D$159,"Tipo","Producción")*-1,0)</f>
        <v>0</v>
      </c>
      <c r="H162" s="82">
        <f>IFERROR(GETPIVOTDATA("Suma de Costo",TD!$A$3,"Proceso",$E$78,"ORD",$D$78,"Tipo",F162),0)</f>
        <v>0</v>
      </c>
      <c r="I162" s="82">
        <f t="shared" si="53"/>
        <v>0</v>
      </c>
      <c r="J162" s="75"/>
      <c r="K162" s="83"/>
      <c r="L162" s="79"/>
      <c r="M162" s="80" t="s">
        <v>491</v>
      </c>
      <c r="N162" s="85">
        <v>0</v>
      </c>
      <c r="O162" s="82">
        <v>0</v>
      </c>
      <c r="P162" s="82">
        <f t="shared" si="54"/>
        <v>0</v>
      </c>
      <c r="Q162" s="75"/>
      <c r="R162" s="82">
        <f>+(O162-H162)*N162</f>
        <v>0</v>
      </c>
      <c r="S162" s="82">
        <f>+(N162-G162)*H162</f>
        <v>0</v>
      </c>
      <c r="T162" s="82">
        <f>+P162-I162</f>
        <v>0</v>
      </c>
    </row>
    <row r="163" spans="3:20" x14ac:dyDescent="0.45">
      <c r="C163" s="84"/>
      <c r="D163" s="83"/>
      <c r="E163" s="90"/>
      <c r="F163" s="80" t="s">
        <v>504</v>
      </c>
      <c r="G163" s="85">
        <f>IFERROR(GETPIVOTDATA(" Cantidad",TD!$A$3,"Proceso",$E$159,"ORD",$D$159,"Tipo",F163)/GETPIVOTDATA(" Cantidad",TD!$A$3,"Proceso",$E$159,"ORD",$D$159,"Tipo","Producción")*-1,0)</f>
        <v>1</v>
      </c>
      <c r="H163" s="82">
        <f>IFERROR(GETPIVOTDATA("Suma de Costo",TD!$A$3,"Proceso",$E$78,"ORD",$D$78,"Tipo",F163),0)</f>
        <v>1539.636971538461</v>
      </c>
      <c r="I163" s="82">
        <f t="shared" si="53"/>
        <v>1539.636971538461</v>
      </c>
      <c r="J163" s="75"/>
      <c r="K163" s="83"/>
      <c r="L163" s="90"/>
      <c r="M163" s="80" t="s">
        <v>504</v>
      </c>
      <c r="N163" s="85">
        <v>1</v>
      </c>
      <c r="O163" s="109">
        <v>1117.2995875639574</v>
      </c>
      <c r="P163" s="82">
        <f t="shared" si="54"/>
        <v>1117.2995875639574</v>
      </c>
      <c r="Q163" s="75"/>
      <c r="R163" s="82">
        <f>+(O163-H163)*N163</f>
        <v>-422.33738397450361</v>
      </c>
      <c r="S163" s="82">
        <f>+(N163-G163)*H163</f>
        <v>0</v>
      </c>
      <c r="T163" s="82">
        <f>+P163-I163</f>
        <v>-422.33738397450361</v>
      </c>
    </row>
    <row r="164" spans="3:20" x14ac:dyDescent="0.45">
      <c r="D164" s="83"/>
      <c r="E164" s="90"/>
      <c r="F164" s="80" t="s">
        <v>267</v>
      </c>
      <c r="G164" s="122">
        <f>GETPIVOTDATA(" Cantidad",TD!$A$3,"Proceso","Cemento ART","ORD",7,"Tipo",F164)/((GETPIVOTDATA(" Cantidad",TD!$A$3,"Proceso","Cemento ART","ORD",7,"Tipo","Producción"))*-1)</f>
        <v>34.6</v>
      </c>
      <c r="H164" s="86">
        <f>IFERROR(GETPIVOTDATA("Suma de Costo",TD!$A$3,"Proceso",$E$159,"ORD",$D$159,"Tipo",F164),0)</f>
        <v>525.24404117828294</v>
      </c>
      <c r="I164" s="82">
        <f t="shared" si="53"/>
        <v>18173.44382476859</v>
      </c>
      <c r="J164" s="75"/>
      <c r="K164" s="83"/>
      <c r="L164" s="90"/>
      <c r="M164" s="80" t="s">
        <v>267</v>
      </c>
      <c r="N164" s="138">
        <v>35.488841543173528</v>
      </c>
      <c r="O164" s="88">
        <v>485.33891128999591</v>
      </c>
      <c r="P164" s="82">
        <f t="shared" si="54"/>
        <v>17224.115717507018</v>
      </c>
      <c r="Q164" s="75"/>
      <c r="R164" s="82">
        <f>+(O164-H164)*N164</f>
        <v>-1416.1868313651767</v>
      </c>
      <c r="S164" s="82">
        <f>+(N164-G164)*H164</f>
        <v>466.85872410360446</v>
      </c>
      <c r="T164" s="82">
        <f>+P164-I164</f>
        <v>-949.32810726157186</v>
      </c>
    </row>
    <row r="165" spans="3:20" x14ac:dyDescent="0.45">
      <c r="D165" s="83"/>
      <c r="E165" s="90"/>
      <c r="F165" s="80" t="s">
        <v>461</v>
      </c>
      <c r="G165" s="85">
        <f>IFERROR(GETPIVOTDATA(" Cantidad",TD!$A$3,"Proceso",$E$159,"ORD",$D$159,"Tipo",F165)/GETPIVOTDATA(" Cantidad",TD!$A$3,"Proceso",$E$159,"ORD",$D$159,"Tipo","Producción")*-1,0)</f>
        <v>1</v>
      </c>
      <c r="H165" s="82">
        <f>IFERROR(GETPIVOTDATA("Suma de Costo",TD!$A$3,"Proceso",$E$94,"ORD",$D$94,"Tipo",F165),0)</f>
        <v>0</v>
      </c>
      <c r="I165" s="82">
        <f t="shared" si="53"/>
        <v>0</v>
      </c>
      <c r="J165" s="75"/>
      <c r="K165" s="83"/>
      <c r="L165" s="90"/>
      <c r="M165" s="80" t="s">
        <v>461</v>
      </c>
      <c r="N165" s="85">
        <v>0</v>
      </c>
      <c r="O165" s="82">
        <v>0</v>
      </c>
      <c r="P165" s="82">
        <f t="shared" si="54"/>
        <v>0</v>
      </c>
      <c r="Q165" s="75"/>
      <c r="R165" s="82">
        <f>+(O165-H165)*N165</f>
        <v>0</v>
      </c>
      <c r="S165" s="82">
        <f>+(N165-G165)*H165</f>
        <v>0</v>
      </c>
      <c r="T165" s="82">
        <f>+P165-I165</f>
        <v>0</v>
      </c>
    </row>
    <row r="166" spans="3:20" x14ac:dyDescent="0.45">
      <c r="D166" s="83"/>
      <c r="E166" s="90"/>
      <c r="F166" s="80" t="s">
        <v>57</v>
      </c>
      <c r="G166" s="81">
        <f>IFERROR(GETPIVOTDATA(" Cantidad",TD!$A$3,"Proceso",$E$159,"ORD",$D$159,"Tipo",F166)/GETPIVOTDATA(" Cantidad",TD!$A$3,"Proceso",$E$159,"ORD",$D$159,"Tipo","Producción")*-1,0)</f>
        <v>8.7152399999999991E-2</v>
      </c>
      <c r="H166" s="82">
        <f>+H105</f>
        <v>232625.89499161369</v>
      </c>
      <c r="I166" s="82">
        <f t="shared" si="53"/>
        <v>20273.905050667112</v>
      </c>
      <c r="J166" s="75"/>
      <c r="K166" s="83"/>
      <c r="L166" s="90"/>
      <c r="M166" s="80" t="s">
        <v>57</v>
      </c>
      <c r="N166" s="81">
        <v>8.629242536297009E-2</v>
      </c>
      <c r="O166" s="88">
        <v>220009.05860218199</v>
      </c>
      <c r="P166" s="82">
        <f t="shared" si="54"/>
        <v>18985.115268606103</v>
      </c>
      <c r="Q166" s="75"/>
      <c r="R166" s="82">
        <f>+(O166-H166)*N166</f>
        <v>-1088.7374124518401</v>
      </c>
      <c r="S166" s="82">
        <f>+(N166-G166)*H166</f>
        <v>-200.05236960916875</v>
      </c>
      <c r="T166" s="82">
        <f>+P166-I166</f>
        <v>-1288.7897820610087</v>
      </c>
    </row>
    <row r="167" spans="3:20" x14ac:dyDescent="0.45">
      <c r="D167" s="94"/>
      <c r="E167" s="95" t="s">
        <v>661</v>
      </c>
      <c r="F167" s="95"/>
      <c r="G167" s="96"/>
      <c r="H167" s="96"/>
      <c r="I167" s="97">
        <f>SUM(I159:I166)</f>
        <v>151371.84289634292</v>
      </c>
      <c r="J167" s="75"/>
      <c r="K167" s="94"/>
      <c r="L167" s="95" t="s">
        <v>661</v>
      </c>
      <c r="M167" s="95"/>
      <c r="N167" s="96"/>
      <c r="O167" s="96"/>
      <c r="P167" s="97">
        <f>SUM(P159:P166)</f>
        <v>141019.97879471854</v>
      </c>
      <c r="Q167" s="75"/>
      <c r="R167" s="97">
        <f>+SUM(R159:R166)</f>
        <v>-10602.719848761495</v>
      </c>
      <c r="S167" s="97">
        <f>+SUM(S162:S166)</f>
        <v>266.80635449443571</v>
      </c>
      <c r="T167" s="97">
        <f>+SUM(T159:T166)</f>
        <v>-10394.799442190983</v>
      </c>
    </row>
    <row r="168" spans="3:20" x14ac:dyDescent="0.45">
      <c r="D168" s="98"/>
      <c r="E168" s="99"/>
      <c r="F168" s="99"/>
      <c r="G168" s="100"/>
      <c r="H168" s="100"/>
      <c r="I168" s="101">
        <f>IFERROR(GETPIVOTDATA(" Cantidad",TD!$A$3,"Proceso",E159,"ORD",D159,"Tipo","Producción")*-1,0)</f>
        <v>33740.872627651726</v>
      </c>
      <c r="J168" s="133"/>
      <c r="K168" s="98"/>
      <c r="L168" s="99"/>
      <c r="M168" s="99"/>
      <c r="N168" s="100"/>
      <c r="O168" s="100"/>
      <c r="P168" s="101">
        <v>42630.0625</v>
      </c>
      <c r="Q168" s="75"/>
      <c r="R168" s="101"/>
      <c r="S168" s="101"/>
      <c r="T168" s="101"/>
    </row>
    <row r="169" spans="3:20" s="84" customFormat="1" x14ac:dyDescent="0.45">
      <c r="I169" s="157"/>
      <c r="P169" s="157"/>
      <c r="Q169" s="158"/>
    </row>
    <row r="170" spans="3:20" ht="23.4" customHeight="1" x14ac:dyDescent="0.45">
      <c r="K170" s="76" t="s">
        <v>644</v>
      </c>
      <c r="Q170" s="75"/>
    </row>
    <row r="171" spans="3:20" ht="23.4" customHeight="1" x14ac:dyDescent="0.45">
      <c r="K171" s="78">
        <v>15</v>
      </c>
      <c r="Q171" s="75"/>
    </row>
    <row r="172" spans="3:20" ht="23.4" customHeight="1" x14ac:dyDescent="0.45">
      <c r="K172" s="83"/>
      <c r="Q172" s="75"/>
    </row>
    <row r="173" spans="3:20" ht="23.4" customHeight="1" x14ac:dyDescent="0.45">
      <c r="K173" s="83"/>
      <c r="Q173" s="75"/>
    </row>
    <row r="174" spans="3:20" ht="23.4" customHeight="1" x14ac:dyDescent="0.45">
      <c r="K174" s="83"/>
      <c r="Q174" s="75"/>
    </row>
    <row r="175" spans="3:20" ht="23.4" customHeight="1" x14ac:dyDescent="0.45">
      <c r="K175" s="83"/>
      <c r="Q175" s="75"/>
    </row>
    <row r="176" spans="3:20" ht="23.4" customHeight="1" x14ac:dyDescent="0.45">
      <c r="K176" s="83"/>
      <c r="Q176" s="75"/>
    </row>
    <row r="177" spans="4:20" ht="23.4" customHeight="1" x14ac:dyDescent="0.45">
      <c r="K177" s="83"/>
      <c r="Q177" s="75"/>
    </row>
    <row r="178" spans="4:20" ht="23.4" customHeight="1" x14ac:dyDescent="0.45">
      <c r="K178" s="94"/>
      <c r="Q178" s="75"/>
    </row>
    <row r="179" spans="4:20" ht="23.4" customHeight="1" x14ac:dyDescent="0.45">
      <c r="K179" s="98"/>
      <c r="Q179" s="75"/>
    </row>
    <row r="180" spans="4:20" ht="23.4" customHeight="1" x14ac:dyDescent="0.45">
      <c r="Q180" s="75"/>
    </row>
    <row r="181" spans="4:20" ht="23.4" customHeight="1" x14ac:dyDescent="0.45">
      <c r="D181" s="76" t="s">
        <v>644</v>
      </c>
      <c r="E181" s="76" t="s">
        <v>435</v>
      </c>
      <c r="F181" s="76" t="s">
        <v>52</v>
      </c>
      <c r="G181" s="77" t="s">
        <v>620</v>
      </c>
      <c r="H181" s="77" t="s">
        <v>621</v>
      </c>
      <c r="I181" s="77" t="s">
        <v>395</v>
      </c>
      <c r="K181" s="76" t="s">
        <v>644</v>
      </c>
      <c r="L181" s="76" t="s">
        <v>435</v>
      </c>
      <c r="M181" s="76" t="s">
        <v>52</v>
      </c>
      <c r="N181" s="77" t="s">
        <v>620</v>
      </c>
      <c r="O181" s="77" t="s">
        <v>621</v>
      </c>
      <c r="P181" s="77" t="s">
        <v>395</v>
      </c>
      <c r="Q181" s="75"/>
      <c r="R181" s="77" t="s">
        <v>622</v>
      </c>
      <c r="S181" s="77" t="s">
        <v>623</v>
      </c>
      <c r="T181" s="77" t="s">
        <v>395</v>
      </c>
    </row>
    <row r="182" spans="4:20" ht="23.4" customHeight="1" x14ac:dyDescent="0.45">
      <c r="D182" s="78">
        <v>6</v>
      </c>
      <c r="E182" s="79"/>
      <c r="F182" s="80"/>
      <c r="G182" s="85"/>
      <c r="H182" s="82"/>
      <c r="I182" s="82"/>
      <c r="K182" s="78"/>
      <c r="L182" s="79"/>
      <c r="M182" s="80"/>
      <c r="N182" s="85"/>
      <c r="O182" s="82"/>
      <c r="P182" s="82"/>
      <c r="Q182" s="75"/>
      <c r="R182" s="82">
        <f t="shared" ref="R182:R188" si="55">+(O182-H182)*N182</f>
        <v>0</v>
      </c>
      <c r="S182" s="82">
        <f t="shared" ref="S182:S188" si="56">+(N182-G182)*H182</f>
        <v>0</v>
      </c>
      <c r="T182" s="82">
        <f t="shared" ref="T182:T188" si="57">+P182-I182</f>
        <v>0</v>
      </c>
    </row>
    <row r="183" spans="4:20" ht="23.4" customHeight="1" x14ac:dyDescent="0.45">
      <c r="D183" s="83"/>
      <c r="E183" s="79"/>
      <c r="F183" s="80"/>
      <c r="G183" s="85"/>
      <c r="H183" s="82"/>
      <c r="I183" s="82"/>
      <c r="K183" s="83"/>
      <c r="L183" s="79"/>
      <c r="M183" s="80"/>
      <c r="N183" s="85"/>
      <c r="O183" s="82"/>
      <c r="P183" s="82"/>
      <c r="Q183" s="75"/>
      <c r="R183" s="82">
        <f t="shared" si="55"/>
        <v>0</v>
      </c>
      <c r="S183" s="82">
        <f t="shared" si="56"/>
        <v>0</v>
      </c>
      <c r="T183" s="82">
        <f t="shared" si="57"/>
        <v>0</v>
      </c>
    </row>
    <row r="184" spans="4:20" ht="23.4" customHeight="1" x14ac:dyDescent="0.45">
      <c r="D184" s="83"/>
      <c r="E184" s="79"/>
      <c r="F184" s="80"/>
      <c r="G184" s="85"/>
      <c r="H184" s="82"/>
      <c r="I184" s="82"/>
      <c r="K184" s="83"/>
      <c r="L184" s="79"/>
      <c r="M184" s="80"/>
      <c r="N184" s="85"/>
      <c r="O184" s="82"/>
      <c r="P184" s="82"/>
      <c r="Q184" s="75"/>
      <c r="R184" s="82">
        <f t="shared" si="55"/>
        <v>0</v>
      </c>
      <c r="S184" s="82">
        <f t="shared" si="56"/>
        <v>0</v>
      </c>
      <c r="T184" s="82">
        <f t="shared" si="57"/>
        <v>0</v>
      </c>
    </row>
    <row r="185" spans="4:20" ht="23.4" customHeight="1" x14ac:dyDescent="0.45">
      <c r="D185" s="83"/>
      <c r="E185" s="90"/>
      <c r="F185" s="80"/>
      <c r="G185" s="85"/>
      <c r="H185" s="82"/>
      <c r="I185" s="82"/>
      <c r="K185" s="83"/>
      <c r="L185" s="90"/>
      <c r="M185" s="80"/>
      <c r="N185" s="85"/>
      <c r="O185" s="82"/>
      <c r="P185" s="82"/>
      <c r="Q185" s="75"/>
      <c r="R185" s="82">
        <f t="shared" si="55"/>
        <v>0</v>
      </c>
      <c r="S185" s="82">
        <f t="shared" si="56"/>
        <v>0</v>
      </c>
      <c r="T185" s="82">
        <f t="shared" si="57"/>
        <v>0</v>
      </c>
    </row>
    <row r="186" spans="4:20" ht="23.4" customHeight="1" x14ac:dyDescent="0.45">
      <c r="D186" s="83"/>
      <c r="E186" s="90"/>
      <c r="F186" s="80"/>
      <c r="G186" s="85"/>
      <c r="H186" s="82"/>
      <c r="I186" s="82"/>
      <c r="K186" s="83"/>
      <c r="L186" s="90"/>
      <c r="M186" s="80"/>
      <c r="N186" s="85"/>
      <c r="O186" s="82"/>
      <c r="P186" s="82"/>
      <c r="Q186" s="75"/>
      <c r="R186" s="82">
        <f t="shared" si="55"/>
        <v>0</v>
      </c>
      <c r="S186" s="82">
        <f t="shared" si="56"/>
        <v>0</v>
      </c>
      <c r="T186" s="82">
        <f t="shared" si="57"/>
        <v>0</v>
      </c>
    </row>
    <row r="187" spans="4:20" ht="23.4" customHeight="1" x14ac:dyDescent="0.45">
      <c r="D187" s="83"/>
      <c r="E187" s="90"/>
      <c r="F187" s="80"/>
      <c r="G187" s="85"/>
      <c r="H187" s="82"/>
      <c r="I187" s="82"/>
      <c r="K187" s="83"/>
      <c r="L187" s="90"/>
      <c r="M187" s="80"/>
      <c r="N187" s="85"/>
      <c r="O187" s="82"/>
      <c r="P187" s="82"/>
      <c r="Q187" s="75"/>
      <c r="R187" s="82">
        <f t="shared" si="55"/>
        <v>0</v>
      </c>
      <c r="S187" s="82">
        <f t="shared" si="56"/>
        <v>0</v>
      </c>
      <c r="T187" s="82">
        <f t="shared" si="57"/>
        <v>0</v>
      </c>
    </row>
    <row r="188" spans="4:20" ht="23.4" customHeight="1" x14ac:dyDescent="0.45">
      <c r="D188" s="83"/>
      <c r="E188" s="90"/>
      <c r="F188" s="80"/>
      <c r="G188" s="85"/>
      <c r="H188" s="82"/>
      <c r="I188" s="82"/>
      <c r="K188" s="83"/>
      <c r="L188" s="90"/>
      <c r="M188" s="80"/>
      <c r="N188" s="85"/>
      <c r="O188" s="82"/>
      <c r="P188" s="82"/>
      <c r="Q188" s="75"/>
      <c r="R188" s="82">
        <f t="shared" si="55"/>
        <v>0</v>
      </c>
      <c r="S188" s="82">
        <f t="shared" si="56"/>
        <v>0</v>
      </c>
      <c r="T188" s="82">
        <f t="shared" si="57"/>
        <v>0</v>
      </c>
    </row>
    <row r="189" spans="4:20" ht="23.4" customHeight="1" x14ac:dyDescent="0.45">
      <c r="D189" s="94"/>
      <c r="E189" s="95"/>
      <c r="F189" s="95"/>
      <c r="G189" s="96"/>
      <c r="H189" s="96"/>
      <c r="I189" s="97"/>
      <c r="K189" s="94"/>
      <c r="L189" s="95"/>
      <c r="M189" s="95"/>
      <c r="N189" s="96"/>
      <c r="O189" s="96"/>
      <c r="P189" s="97"/>
      <c r="Q189" s="75"/>
      <c r="R189" s="97">
        <f>+SUM(R182:R188)</f>
        <v>0</v>
      </c>
      <c r="S189" s="97">
        <f>+SUM(S182:S188)</f>
        <v>0</v>
      </c>
      <c r="T189" s="97">
        <f>+SUM(T182:T188)</f>
        <v>0</v>
      </c>
    </row>
    <row r="190" spans="4:20" ht="23.4" customHeight="1" x14ac:dyDescent="0.45">
      <c r="D190" s="98"/>
      <c r="E190" s="99"/>
      <c r="F190" s="99"/>
      <c r="G190" s="100"/>
      <c r="H190" s="100"/>
      <c r="I190" s="101"/>
      <c r="K190" s="98"/>
      <c r="L190" s="99"/>
      <c r="M190" s="99"/>
      <c r="N190" s="100"/>
      <c r="O190" s="100"/>
      <c r="P190" s="101"/>
      <c r="Q190" s="75"/>
    </row>
    <row r="191" spans="4:20" ht="23.4" customHeight="1" x14ac:dyDescent="0.45">
      <c r="Q191" s="75"/>
    </row>
    <row r="192" spans="4:20" x14ac:dyDescent="0.45">
      <c r="D192" s="76" t="s">
        <v>644</v>
      </c>
      <c r="E192" s="76" t="s">
        <v>435</v>
      </c>
      <c r="F192" s="76" t="s">
        <v>52</v>
      </c>
      <c r="G192" s="77" t="s">
        <v>620</v>
      </c>
      <c r="H192" s="77" t="s">
        <v>621</v>
      </c>
      <c r="I192" s="77" t="s">
        <v>395</v>
      </c>
      <c r="J192" s="140"/>
      <c r="L192" s="76" t="s">
        <v>435</v>
      </c>
      <c r="M192" s="76" t="s">
        <v>52</v>
      </c>
      <c r="N192" s="77" t="s">
        <v>620</v>
      </c>
      <c r="O192" s="77" t="s">
        <v>621</v>
      </c>
      <c r="P192" s="77" t="s">
        <v>395</v>
      </c>
      <c r="Q192" s="75"/>
      <c r="R192" s="77" t="s">
        <v>622</v>
      </c>
      <c r="S192" s="77" t="s">
        <v>623</v>
      </c>
      <c r="T192" s="77" t="s">
        <v>395</v>
      </c>
    </row>
    <row r="193" spans="4:20" x14ac:dyDescent="0.45">
      <c r="D193" s="139">
        <v>14</v>
      </c>
      <c r="E193" s="140" t="s">
        <v>662</v>
      </c>
      <c r="F193" s="141" t="s">
        <v>653</v>
      </c>
      <c r="G193" s="85">
        <v>1</v>
      </c>
      <c r="H193" s="142">
        <f>+I106</f>
        <v>143400.48381155985</v>
      </c>
      <c r="I193" s="142">
        <f>H193*G193</f>
        <v>143400.48381155985</v>
      </c>
      <c r="J193" s="75"/>
      <c r="L193" s="140" t="s">
        <v>662</v>
      </c>
      <c r="M193" s="141" t="s">
        <v>653</v>
      </c>
      <c r="N193" s="85">
        <v>1</v>
      </c>
      <c r="O193" s="143">
        <f>P106</f>
        <v>135436.71471925866</v>
      </c>
      <c r="P193" s="82">
        <f t="shared" ref="P193:P195" si="58">N193*O193</f>
        <v>135436.71471925866</v>
      </c>
      <c r="Q193" s="75"/>
      <c r="R193" s="82">
        <f>+(O193-H193)*N193</f>
        <v>-7963.7690923011978</v>
      </c>
      <c r="S193" s="82">
        <f>+(N193-G193)*H193</f>
        <v>0</v>
      </c>
      <c r="T193" s="82">
        <f>+P193-I193</f>
        <v>-7963.7690923011978</v>
      </c>
    </row>
    <row r="194" spans="4:20" x14ac:dyDescent="0.45">
      <c r="D194" s="144"/>
      <c r="E194" s="140"/>
      <c r="F194" s="141" t="s">
        <v>507</v>
      </c>
      <c r="G194" s="150">
        <v>1</v>
      </c>
      <c r="H194" s="86">
        <f>IFERROR(GETPIVOTDATA("Suma de Costo",TD!$A$3,"Proceso","Cementos","ORD",21,"Tipo","Empaque y Granel"),0)</f>
        <v>3679.9846153846147</v>
      </c>
      <c r="I194" s="142">
        <f t="shared" ref="I194:I195" si="59">H194*G194</f>
        <v>3679.9846153846147</v>
      </c>
      <c r="J194" s="75"/>
      <c r="L194" s="140"/>
      <c r="M194" s="141" t="s">
        <v>507</v>
      </c>
      <c r="N194" s="150">
        <v>1</v>
      </c>
      <c r="O194" s="142">
        <v>3476.5359612973375</v>
      </c>
      <c r="P194" s="82">
        <f t="shared" si="58"/>
        <v>3476.5359612973375</v>
      </c>
      <c r="Q194" s="75"/>
      <c r="R194" s="82">
        <f>+(O194-H194)*N194</f>
        <v>-203.44865408727719</v>
      </c>
      <c r="S194" s="82">
        <f>+(N194-G194)*H194</f>
        <v>0</v>
      </c>
      <c r="T194" s="82">
        <f>+P194-I194</f>
        <v>-203.44865408727719</v>
      </c>
    </row>
    <row r="195" spans="4:20" x14ac:dyDescent="0.45">
      <c r="D195" s="144"/>
      <c r="E195" s="140"/>
      <c r="F195" s="141" t="s">
        <v>267</v>
      </c>
      <c r="G195" s="122">
        <f>GETPIVOTDATA(" Cantidad",TD!$A$3,"Proceso","CEMENTOS","ORD",21,"Tipo",F195)/((GETPIVOTDATA(" Cantidad",TD!$A$3,"Proceso","CEMENTOS","ORD",21,"Tipo","Producción"))*-1)</f>
        <v>1.5</v>
      </c>
      <c r="H195" s="86">
        <f>IFERROR(GETPIVOTDATA("Suma de Costo",TD!$A$3,"Proceso","Cementos","ORD",21,"Tipo",F195),0)</f>
        <v>525.27897452694594</v>
      </c>
      <c r="I195" s="142">
        <f t="shared" si="59"/>
        <v>787.91846179041886</v>
      </c>
      <c r="J195" s="75"/>
      <c r="L195" s="140"/>
      <c r="M195" s="141" t="s">
        <v>267</v>
      </c>
      <c r="N195" s="129">
        <v>1.3311492163447392</v>
      </c>
      <c r="O195" s="88">
        <v>485.33891128999591</v>
      </c>
      <c r="P195" s="82">
        <f t="shared" si="58"/>
        <v>646.05851142528695</v>
      </c>
      <c r="Q195" s="75"/>
      <c r="R195" s="82">
        <f>+(O195-H195)*N195</f>
        <v>-53.166183878625368</v>
      </c>
      <c r="S195" s="82">
        <f>+(N195-G195)*H195</f>
        <v>-88.693766486506618</v>
      </c>
      <c r="T195" s="82">
        <f>+P195-I195</f>
        <v>-141.85995036513191</v>
      </c>
    </row>
    <row r="196" spans="4:20" x14ac:dyDescent="0.45">
      <c r="D196" s="146"/>
      <c r="E196" s="147" t="s">
        <v>663</v>
      </c>
      <c r="F196" s="147"/>
      <c r="G196" s="96"/>
      <c r="H196" s="96"/>
      <c r="I196" s="97">
        <f>SUM(I193:I195)</f>
        <v>147868.38688873488</v>
      </c>
      <c r="J196" s="75"/>
      <c r="L196" s="147" t="s">
        <v>663</v>
      </c>
      <c r="M196" s="147"/>
      <c r="N196" s="96"/>
      <c r="O196" s="96"/>
      <c r="P196" s="97">
        <f>SUM(P193:P195)</f>
        <v>139559.30919198127</v>
      </c>
      <c r="Q196" s="75"/>
      <c r="R196" s="97">
        <f t="shared" ref="R196:S196" si="60">+SUM(R193:R195)</f>
        <v>-8220.3839302671004</v>
      </c>
      <c r="S196" s="97">
        <f t="shared" si="60"/>
        <v>-88.693766486506618</v>
      </c>
      <c r="T196" s="97">
        <f>+SUM(T193:T195)</f>
        <v>-8309.0776967536058</v>
      </c>
    </row>
    <row r="197" spans="4:20" x14ac:dyDescent="0.45">
      <c r="D197" s="148"/>
      <c r="E197" s="149"/>
      <c r="F197" s="149"/>
      <c r="G197" s="100"/>
      <c r="H197" s="100"/>
      <c r="I197" s="101">
        <f>I107-I139-I156</f>
        <v>348745.20522253809</v>
      </c>
      <c r="L197" s="149"/>
      <c r="M197" s="149"/>
      <c r="N197" s="100"/>
      <c r="O197" s="100"/>
      <c r="P197" s="101">
        <v>341337.12125000003</v>
      </c>
      <c r="Q197" s="75"/>
      <c r="R197" s="101"/>
      <c r="S197" s="101"/>
      <c r="T197" s="101"/>
    </row>
    <row r="198" spans="4:20" x14ac:dyDescent="0.45">
      <c r="I198" s="71"/>
      <c r="Q198" s="75"/>
    </row>
    <row r="199" spans="4:20" x14ac:dyDescent="0.45">
      <c r="D199" s="76" t="s">
        <v>644</v>
      </c>
      <c r="E199" s="76" t="s">
        <v>435</v>
      </c>
      <c r="F199" s="76" t="s">
        <v>52</v>
      </c>
      <c r="G199" s="77" t="s">
        <v>620</v>
      </c>
      <c r="H199" s="77" t="s">
        <v>621</v>
      </c>
      <c r="I199" s="77" t="s">
        <v>395</v>
      </c>
      <c r="L199" s="76" t="s">
        <v>435</v>
      </c>
      <c r="M199" s="76" t="s">
        <v>52</v>
      </c>
      <c r="N199" s="77" t="s">
        <v>620</v>
      </c>
      <c r="O199" s="77" t="s">
        <v>621</v>
      </c>
      <c r="P199" s="77" t="s">
        <v>395</v>
      </c>
      <c r="Q199" s="75"/>
      <c r="R199" s="77" t="s">
        <v>622</v>
      </c>
      <c r="S199" s="77" t="s">
        <v>623</v>
      </c>
      <c r="T199" s="77" t="s">
        <v>395</v>
      </c>
    </row>
    <row r="200" spans="4:20" x14ac:dyDescent="0.45">
      <c r="D200" s="139">
        <v>14</v>
      </c>
      <c r="E200" s="140" t="s">
        <v>664</v>
      </c>
      <c r="F200" s="141" t="s">
        <v>653</v>
      </c>
      <c r="G200" s="85">
        <v>1</v>
      </c>
      <c r="H200" s="142">
        <f>+I90</f>
        <v>100484.38951827504</v>
      </c>
      <c r="I200" s="142">
        <f>H200*G200</f>
        <v>100484.38951827504</v>
      </c>
      <c r="J200" s="75"/>
      <c r="L200" s="140" t="s">
        <v>664</v>
      </c>
      <c r="M200" s="141" t="s">
        <v>653</v>
      </c>
      <c r="N200" s="85">
        <v>1</v>
      </c>
      <c r="O200" s="143">
        <f>P90</f>
        <v>95900.546349588723</v>
      </c>
      <c r="P200" s="82">
        <f t="shared" ref="P200:P202" si="61">N200*O200</f>
        <v>95900.546349588723</v>
      </c>
      <c r="Q200" s="75"/>
      <c r="R200" s="82">
        <f>+(O200-H200)*N200</f>
        <v>-4583.8431686863187</v>
      </c>
      <c r="S200" s="82">
        <f>+(N200-G200)*H200</f>
        <v>0</v>
      </c>
      <c r="T200" s="82">
        <f>+P200-I200</f>
        <v>-4583.8431686863187</v>
      </c>
    </row>
    <row r="201" spans="4:20" x14ac:dyDescent="0.45">
      <c r="D201" s="144"/>
      <c r="E201" s="140"/>
      <c r="F201" s="141" t="s">
        <v>507</v>
      </c>
      <c r="G201" s="150">
        <v>1</v>
      </c>
      <c r="H201" s="86">
        <f>IFERROR(GETPIVOTDATA("Suma de Costo",TD!$A$3,"Proceso","Cementos","ORD",21,"Tipo","Empaque y Granel"),0)</f>
        <v>3679.9846153846147</v>
      </c>
      <c r="I201" s="142">
        <f t="shared" ref="I201:I202" si="62">H201*G201</f>
        <v>3679.9846153846147</v>
      </c>
      <c r="J201" s="75"/>
      <c r="L201" s="140"/>
      <c r="M201" s="141" t="s">
        <v>507</v>
      </c>
      <c r="N201" s="150">
        <v>1</v>
      </c>
      <c r="O201" s="142">
        <v>3476.5359612973375</v>
      </c>
      <c r="P201" s="82">
        <f t="shared" si="61"/>
        <v>3476.5359612973375</v>
      </c>
      <c r="Q201" s="75"/>
      <c r="R201" s="82">
        <f>+(O201-H201)*N201</f>
        <v>-203.44865408727719</v>
      </c>
      <c r="S201" s="82">
        <f>+(N201-G201)*H201</f>
        <v>0</v>
      </c>
      <c r="T201" s="82">
        <f>+P201-I201</f>
        <v>-203.44865408727719</v>
      </c>
    </row>
    <row r="202" spans="4:20" x14ac:dyDescent="0.45">
      <c r="D202" s="144"/>
      <c r="E202" s="140"/>
      <c r="F202" s="141" t="s">
        <v>267</v>
      </c>
      <c r="G202" s="122">
        <f>GETPIVOTDATA(" Cantidad",TD!$A$3,"Proceso","CEMENTOS","ORD",21,"Tipo",F202)/((GETPIVOTDATA(" Cantidad",TD!$A$3,"Proceso","CEMENTOS","ORD",21,"Tipo","Producción"))*-1)</f>
        <v>1.5</v>
      </c>
      <c r="H202" s="86">
        <f>IFERROR(GETPIVOTDATA("Suma de Costo",TD!$A$3,"Proceso","Cementos","ORD",21,"Tipo",F202),0)</f>
        <v>525.27897452694594</v>
      </c>
      <c r="I202" s="142">
        <f t="shared" si="62"/>
        <v>787.91846179041886</v>
      </c>
      <c r="J202" s="75"/>
      <c r="L202" s="140"/>
      <c r="M202" s="141" t="s">
        <v>267</v>
      </c>
      <c r="N202" s="129">
        <v>1.3311492163447392</v>
      </c>
      <c r="O202" s="88">
        <v>485.33891128999591</v>
      </c>
      <c r="P202" s="82">
        <f t="shared" si="61"/>
        <v>646.05851142528695</v>
      </c>
      <c r="Q202" s="75"/>
      <c r="R202" s="82">
        <f>+(O202-H202)*N202</f>
        <v>-53.166183878625368</v>
      </c>
      <c r="S202" s="82">
        <f>+(N202-G202)*H202</f>
        <v>-88.693766486506618</v>
      </c>
      <c r="T202" s="82">
        <f>+P202-I202</f>
        <v>-141.85995036513191</v>
      </c>
    </row>
    <row r="203" spans="4:20" x14ac:dyDescent="0.45">
      <c r="D203" s="146"/>
      <c r="E203" s="147" t="s">
        <v>665</v>
      </c>
      <c r="F203" s="147"/>
      <c r="G203" s="96"/>
      <c r="H203" s="96"/>
      <c r="I203" s="97">
        <f>SUM(I200:I202)</f>
        <v>104952.29259545008</v>
      </c>
      <c r="J203" s="75"/>
      <c r="L203" s="147" t="s">
        <v>665</v>
      </c>
      <c r="M203" s="147"/>
      <c r="N203" s="96"/>
      <c r="O203" s="96"/>
      <c r="P203" s="97">
        <f>SUM(P200:P202)</f>
        <v>100023.14082231135</v>
      </c>
      <c r="Q203" s="75"/>
      <c r="R203" s="97">
        <f>+SUM(R196:R202)</f>
        <v>-13060.841936919322</v>
      </c>
      <c r="S203" s="97">
        <f>+SUM(S198:S202)</f>
        <v>-88.693766486506618</v>
      </c>
      <c r="T203" s="97">
        <f>+SUM(T196:T202)</f>
        <v>-13238.229469892332</v>
      </c>
    </row>
    <row r="204" spans="4:20" x14ac:dyDescent="0.45">
      <c r="D204" s="148"/>
      <c r="E204" s="149"/>
      <c r="F204" s="149"/>
      <c r="G204" s="100"/>
      <c r="H204" s="100"/>
      <c r="I204" s="101">
        <f>I91-I115-I123-I131-I147</f>
        <v>3765.5398237086847</v>
      </c>
      <c r="L204" s="149"/>
      <c r="M204" s="149"/>
      <c r="N204" s="100"/>
      <c r="O204" s="100"/>
      <c r="P204" s="101">
        <v>1620.1487499999366</v>
      </c>
      <c r="Q204" s="75"/>
      <c r="R204" s="101"/>
      <c r="S204" s="101"/>
      <c r="T204" s="101"/>
    </row>
    <row r="205" spans="4:20" x14ac:dyDescent="0.45">
      <c r="H205" s="69"/>
      <c r="I205" s="70"/>
      <c r="Q205" s="75"/>
    </row>
    <row r="206" spans="4:20" x14ac:dyDescent="0.45">
      <c r="D206" s="76" t="s">
        <v>644</v>
      </c>
      <c r="E206" s="76" t="s">
        <v>435</v>
      </c>
      <c r="F206" s="76" t="s">
        <v>52</v>
      </c>
      <c r="G206" s="77" t="s">
        <v>620</v>
      </c>
      <c r="H206" s="77" t="s">
        <v>621</v>
      </c>
      <c r="I206" s="77" t="s">
        <v>395</v>
      </c>
      <c r="L206" s="76" t="s">
        <v>435</v>
      </c>
      <c r="M206" s="76" t="s">
        <v>52</v>
      </c>
      <c r="N206" s="77" t="s">
        <v>620</v>
      </c>
      <c r="O206" s="77" t="s">
        <v>621</v>
      </c>
      <c r="P206" s="77" t="s">
        <v>395</v>
      </c>
      <c r="Q206" s="75"/>
      <c r="R206" s="77" t="s">
        <v>622</v>
      </c>
      <c r="S206" s="77" t="s">
        <v>623</v>
      </c>
      <c r="T206" s="77" t="s">
        <v>395</v>
      </c>
    </row>
    <row r="207" spans="4:20" x14ac:dyDescent="0.45">
      <c r="D207" s="139">
        <v>14</v>
      </c>
      <c r="E207" s="140" t="s">
        <v>61</v>
      </c>
      <c r="F207" s="141" t="s">
        <v>653</v>
      </c>
      <c r="G207" s="85">
        <v>1</v>
      </c>
      <c r="H207" s="142">
        <f>I167</f>
        <v>151371.84289634292</v>
      </c>
      <c r="I207" s="142">
        <f>H207*G207</f>
        <v>151371.84289634292</v>
      </c>
      <c r="J207" s="75"/>
      <c r="L207" s="140" t="s">
        <v>61</v>
      </c>
      <c r="M207" s="141" t="s">
        <v>653</v>
      </c>
      <c r="N207" s="85">
        <v>1</v>
      </c>
      <c r="O207" s="143">
        <f>P167</f>
        <v>141019.97879471854</v>
      </c>
      <c r="P207" s="82">
        <f t="shared" ref="P207:P209" si="63">N207*O207</f>
        <v>141019.97879471854</v>
      </c>
      <c r="Q207" s="75"/>
      <c r="R207" s="82">
        <f>+(O207-H207)*N207</f>
        <v>-10351.864101624378</v>
      </c>
      <c r="S207" s="82">
        <f>+(N207-G207)*H207</f>
        <v>0</v>
      </c>
      <c r="T207" s="82">
        <f>+P207-I207</f>
        <v>-10351.864101624378</v>
      </c>
    </row>
    <row r="208" spans="4:20" x14ac:dyDescent="0.45">
      <c r="D208" s="144"/>
      <c r="E208" s="140"/>
      <c r="F208" s="141" t="s">
        <v>507</v>
      </c>
      <c r="G208" s="150">
        <v>1</v>
      </c>
      <c r="H208" s="86">
        <f>IFERROR(GETPIVOTDATA("Suma de Costo",TD!$A$3,"Proceso","Cementos","ORD",21,"Tipo","Empaque y Granel"),0)</f>
        <v>3679.9846153846147</v>
      </c>
      <c r="I208" s="142">
        <f t="shared" ref="I208:I209" si="64">H208*G208</f>
        <v>3679.9846153846147</v>
      </c>
      <c r="J208" s="75"/>
      <c r="L208" s="140"/>
      <c r="M208" s="141" t="s">
        <v>507</v>
      </c>
      <c r="N208" s="150">
        <v>1</v>
      </c>
      <c r="O208" s="142">
        <v>3476.5359612973375</v>
      </c>
      <c r="P208" s="82">
        <f t="shared" si="63"/>
        <v>3476.5359612973375</v>
      </c>
      <c r="Q208" s="75"/>
      <c r="R208" s="82">
        <f>+(O208-H208)*N208</f>
        <v>-203.44865408727719</v>
      </c>
      <c r="S208" s="82">
        <f>+(N208-G208)*H208</f>
        <v>0</v>
      </c>
      <c r="T208" s="82">
        <f>+P208-I208</f>
        <v>-203.44865408727719</v>
      </c>
    </row>
    <row r="209" spans="4:20" x14ac:dyDescent="0.45">
      <c r="D209" s="144"/>
      <c r="E209" s="140"/>
      <c r="F209" s="141" t="s">
        <v>267</v>
      </c>
      <c r="G209" s="122">
        <f>GETPIVOTDATA(" Cantidad",TD!$A$3,"Proceso","CEMENTOS","ORD",21,"Tipo",F209)/((GETPIVOTDATA(" Cantidad",TD!$A$3,"Proceso","CEMENTOS","ORD",21,"Tipo","Producción"))*-1)</f>
        <v>1.5</v>
      </c>
      <c r="H209" s="86">
        <f>IFERROR(GETPIVOTDATA("Suma de Costo",TD!$A$3,"Proceso","Cementos","ORD",21,"Tipo",F209),0)</f>
        <v>525.27897452694594</v>
      </c>
      <c r="I209" s="142">
        <f t="shared" si="64"/>
        <v>787.91846179041886</v>
      </c>
      <c r="J209" s="75"/>
      <c r="L209" s="140"/>
      <c r="M209" s="141" t="s">
        <v>267</v>
      </c>
      <c r="N209" s="129">
        <v>1.3311492163447392</v>
      </c>
      <c r="O209" s="88">
        <v>485.33891128999591</v>
      </c>
      <c r="P209" s="82">
        <f t="shared" si="63"/>
        <v>646.05851142528695</v>
      </c>
      <c r="Q209" s="75"/>
      <c r="R209" s="82">
        <f>+(O209-H209)*N209</f>
        <v>-53.166183878625368</v>
      </c>
      <c r="S209" s="82">
        <f>+(N209-G209)*H209</f>
        <v>-88.693766486506618</v>
      </c>
      <c r="T209" s="82">
        <f>+P209-I209</f>
        <v>-141.85995036513191</v>
      </c>
    </row>
    <row r="210" spans="4:20" x14ac:dyDescent="0.45">
      <c r="D210" s="146"/>
      <c r="E210" s="147" t="s">
        <v>666</v>
      </c>
      <c r="F210" s="147"/>
      <c r="G210" s="96"/>
      <c r="H210" s="96"/>
      <c r="I210" s="97">
        <f>SUM(I207:I209)</f>
        <v>155839.74597351794</v>
      </c>
      <c r="J210" s="75"/>
      <c r="L210" s="147" t="s">
        <v>666</v>
      </c>
      <c r="M210" s="147"/>
      <c r="N210" s="96"/>
      <c r="O210" s="96"/>
      <c r="P210" s="97">
        <f>SUM(P207:P209)</f>
        <v>145142.57326744116</v>
      </c>
      <c r="Q210" s="75"/>
      <c r="R210" s="97">
        <f>+SUM(R203:R209)</f>
        <v>-23669.320876509602</v>
      </c>
      <c r="S210" s="97">
        <f>+SUM(S205:S209)</f>
        <v>-88.693766486506618</v>
      </c>
      <c r="T210" s="97">
        <f>+SUM(T203:T209)</f>
        <v>-23935.40217596912</v>
      </c>
    </row>
    <row r="211" spans="4:20" x14ac:dyDescent="0.45">
      <c r="D211" s="148"/>
      <c r="E211" s="149"/>
      <c r="F211" s="149"/>
      <c r="G211" s="100"/>
      <c r="H211" s="100"/>
      <c r="I211" s="101">
        <f>I168</f>
        <v>33740.872627651726</v>
      </c>
      <c r="J211" s="75"/>
      <c r="L211" s="149"/>
      <c r="M211" s="149"/>
      <c r="N211" s="100"/>
      <c r="O211" s="100"/>
      <c r="P211" s="101">
        <v>42630.0625</v>
      </c>
      <c r="Q211" s="75"/>
      <c r="R211" s="101"/>
      <c r="S211" s="101"/>
      <c r="T211" s="101"/>
    </row>
    <row r="212" spans="4:20" x14ac:dyDescent="0.45">
      <c r="E212" s="71"/>
      <c r="H212" s="73"/>
      <c r="J212" s="69"/>
      <c r="L212" s="71"/>
      <c r="P212" s="69"/>
    </row>
    <row r="213" spans="4:20" x14ac:dyDescent="0.45">
      <c r="E213" s="71"/>
      <c r="H213" s="159" t="s">
        <v>667</v>
      </c>
      <c r="I213" s="160">
        <f>I197+I204+I211+I115+I123+I131+I139+I147+I156</f>
        <v>1300000.0000000005</v>
      </c>
      <c r="L213" s="71"/>
      <c r="O213" s="159" t="s">
        <v>667</v>
      </c>
      <c r="P213" s="160">
        <f>P197+P204+P211+P115+P123+P131+P139+P147+P156</f>
        <v>1234083.0875000001</v>
      </c>
    </row>
    <row r="214" spans="4:20" x14ac:dyDescent="0.45">
      <c r="I214" s="69"/>
      <c r="P214" s="69"/>
    </row>
    <row r="215" spans="4:20" x14ac:dyDescent="0.45">
      <c r="F215" s="67" t="str">
        <f>'Costo Arrastrado'!C4</f>
        <v>Arcilla</v>
      </c>
      <c r="G215" s="89">
        <f>'Costo Arrastrado'!D4</f>
        <v>0.26964134263307521</v>
      </c>
      <c r="H215" s="71">
        <f>'Costo Arrastrado'!E4</f>
        <v>10623.146319999998</v>
      </c>
      <c r="I215" s="71">
        <f t="shared" ref="I215:I227" si="65">H215*G215</f>
        <v>2864.4394367124114</v>
      </c>
      <c r="M215" s="67" t="str">
        <f>'Costo Arrastrado'!J4</f>
        <v>Arcilla</v>
      </c>
      <c r="N215" s="89">
        <f>'Costo Arrastrado'!K4</f>
        <v>0.30229774236203266</v>
      </c>
      <c r="O215" s="71">
        <f>'Costo Arrastrado'!L4</f>
        <v>10136.590000000002</v>
      </c>
      <c r="P215" s="71">
        <f t="shared" ref="P215:P227" si="66">O215*N215</f>
        <v>3064.2682722495574</v>
      </c>
      <c r="R215" s="82">
        <f>+(O215-H215)*N215</f>
        <v>-147.08487706797752</v>
      </c>
      <c r="S215" s="82">
        <f>+(N215-G215)*H215</f>
        <v>346.91371260512329</v>
      </c>
      <c r="T215" s="82">
        <f>+P215-I215</f>
        <v>199.82883553714601</v>
      </c>
    </row>
    <row r="216" spans="4:20" x14ac:dyDescent="0.45">
      <c r="F216" s="67" t="str">
        <f>'Costo Arrastrado'!C5</f>
        <v>Caliza</v>
      </c>
      <c r="G216" s="89">
        <f>'Costo Arrastrado'!D5</f>
        <v>1.3123887147926674</v>
      </c>
      <c r="H216" s="71">
        <f>'Costo Arrastrado'!E5</f>
        <v>13978.131776</v>
      </c>
      <c r="I216" s="71">
        <f t="shared" si="65"/>
        <v>18344.742396707185</v>
      </c>
      <c r="M216" s="67" t="str">
        <f>'Costo Arrastrado'!J5</f>
        <v>Caliza</v>
      </c>
      <c r="N216" s="89">
        <f>'Costo Arrastrado'!K5</f>
        <v>1.2778076646625298</v>
      </c>
      <c r="O216" s="71">
        <f>'Costo Arrastrado'!L5</f>
        <v>13426.72493766303</v>
      </c>
      <c r="P216" s="71">
        <f t="shared" si="66"/>
        <v>17156.772036661347</v>
      </c>
      <c r="R216" s="82">
        <f t="shared" ref="R216:R243" si="67">+(O216-H216)*N216</f>
        <v>-704.59188437431328</v>
      </c>
      <c r="S216" s="82">
        <f t="shared" ref="S216:S243" si="68">+(N216-G216)*H216</f>
        <v>-483.37847567152488</v>
      </c>
      <c r="T216" s="82">
        <f t="shared" ref="T216:T243" si="69">+P216-I216</f>
        <v>-1187.9703600458379</v>
      </c>
    </row>
    <row r="217" spans="4:20" x14ac:dyDescent="0.45">
      <c r="F217" s="67" t="str">
        <f>'Costo Arrastrado'!C6</f>
        <v>Material Dique</v>
      </c>
      <c r="G217" s="89">
        <f>'Costo Arrastrado'!D6</f>
        <v>1.5820300574257427</v>
      </c>
      <c r="H217" s="71">
        <f>'Costo Arrastrado'!E6</f>
        <v>369.16354141963348</v>
      </c>
      <c r="I217" s="71">
        <f t="shared" si="65"/>
        <v>584.02781863159328</v>
      </c>
      <c r="M217" s="67" t="str">
        <f>'Costo Arrastrado'!J6</f>
        <v>Material Dique</v>
      </c>
      <c r="N217" s="89">
        <f>'Costo Arrastrado'!K6</f>
        <v>0</v>
      </c>
      <c r="O217" s="71">
        <f>'Costo Arrastrado'!L6</f>
        <v>0</v>
      </c>
      <c r="P217" s="71">
        <f t="shared" si="66"/>
        <v>0</v>
      </c>
      <c r="R217" s="82">
        <f t="shared" si="67"/>
        <v>0</v>
      </c>
      <c r="S217" s="82">
        <f t="shared" si="68"/>
        <v>-584.02781863159328</v>
      </c>
      <c r="T217" s="82">
        <f t="shared" si="69"/>
        <v>-584.02781863159328</v>
      </c>
    </row>
    <row r="218" spans="4:20" x14ac:dyDescent="0.45">
      <c r="F218" s="67" t="str">
        <f>'Costo Arrastrado'!C7</f>
        <v>Regalías</v>
      </c>
      <c r="G218" s="89">
        <f>'Costo Arrastrado'!D7</f>
        <v>1</v>
      </c>
      <c r="H218" s="71">
        <f>'Costo Arrastrado'!E7</f>
        <v>231.48671014912026</v>
      </c>
      <c r="I218" s="71">
        <f t="shared" si="65"/>
        <v>231.48671014912026</v>
      </c>
      <c r="M218" s="67" t="str">
        <f>'Costo Arrastrado'!J7</f>
        <v>Regalías</v>
      </c>
      <c r="N218" s="89">
        <f>'Costo Arrastrado'!K7</f>
        <v>1</v>
      </c>
      <c r="O218" s="71">
        <f>'Costo Arrastrado'!L7</f>
        <v>225.43511712138215</v>
      </c>
      <c r="P218" s="71">
        <f t="shared" si="66"/>
        <v>225.43511712138215</v>
      </c>
      <c r="R218" s="82">
        <f t="shared" si="67"/>
        <v>-6.0515930277381074</v>
      </c>
      <c r="S218" s="82">
        <f t="shared" si="68"/>
        <v>0</v>
      </c>
      <c r="T218" s="82">
        <f t="shared" si="69"/>
        <v>-6.0515930277381074</v>
      </c>
    </row>
    <row r="219" spans="4:20" x14ac:dyDescent="0.45">
      <c r="F219" s="67" t="str">
        <f>'Costo Arrastrado'!C8</f>
        <v>Desmantelamiento</v>
      </c>
      <c r="G219" s="89">
        <f>'Costo Arrastrado'!D8</f>
        <v>1</v>
      </c>
      <c r="H219" s="71">
        <f>'Costo Arrastrado'!E8</f>
        <v>0</v>
      </c>
      <c r="I219" s="71">
        <f t="shared" si="65"/>
        <v>0</v>
      </c>
      <c r="M219" s="67" t="str">
        <f>'Costo Arrastrado'!J8</f>
        <v>Desmantelamiento</v>
      </c>
      <c r="N219" s="89">
        <f>'Costo Arrastrado'!K8</f>
        <v>1</v>
      </c>
      <c r="O219" s="71">
        <f>'Costo Arrastrado'!L8</f>
        <v>0</v>
      </c>
      <c r="P219" s="71">
        <f t="shared" si="66"/>
        <v>0</v>
      </c>
      <c r="R219" s="82">
        <f t="shared" si="67"/>
        <v>0</v>
      </c>
      <c r="S219" s="82">
        <f t="shared" si="68"/>
        <v>0</v>
      </c>
      <c r="T219" s="82">
        <f t="shared" si="69"/>
        <v>0</v>
      </c>
    </row>
    <row r="220" spans="4:20" x14ac:dyDescent="0.45">
      <c r="F220" s="67" t="str">
        <f>'Costo Arrastrado'!C9</f>
        <v>Energía</v>
      </c>
      <c r="G220" s="89">
        <f>'Costo Arrastrado'!D9</f>
        <v>59.545886686869217</v>
      </c>
      <c r="H220" s="71">
        <f>'Costo Arrastrado'!E9</f>
        <v>525.14399528097783</v>
      </c>
      <c r="I220" s="71">
        <f t="shared" si="65"/>
        <v>31270.164837290889</v>
      </c>
      <c r="M220" s="67" t="str">
        <f>'Costo Arrastrado'!J9</f>
        <v>Energía</v>
      </c>
      <c r="N220" s="89">
        <f>'Costo Arrastrado'!K9</f>
        <v>62.32691119184723</v>
      </c>
      <c r="O220" s="71">
        <f>'Costo Arrastrado'!L9</f>
        <v>485.33891128999591</v>
      </c>
      <c r="P220" s="71">
        <f t="shared" si="66"/>
        <v>30249.675221919395</v>
      </c>
      <c r="R220" s="82">
        <f t="shared" si="67"/>
        <v>-2480.9279348899504</v>
      </c>
      <c r="S220" s="82">
        <f t="shared" si="68"/>
        <v>1460.4383195184578</v>
      </c>
      <c r="T220" s="82">
        <f t="shared" si="69"/>
        <v>-1020.4896153714944</v>
      </c>
    </row>
    <row r="221" spans="4:20" x14ac:dyDescent="0.45">
      <c r="F221" s="67" t="str">
        <f>'Costo Arrastrado'!C10</f>
        <v>Mineral de Hierro</v>
      </c>
      <c r="G221" s="89">
        <f>'Costo Arrastrado'!D10</f>
        <v>4.0549372499999993E-2</v>
      </c>
      <c r="H221" s="71">
        <f>'Costo Arrastrado'!E10</f>
        <v>281860.87032197183</v>
      </c>
      <c r="I221" s="71">
        <f t="shared" si="65"/>
        <v>11429.281423859829</v>
      </c>
      <c r="J221" s="75"/>
      <c r="M221" s="67" t="str">
        <f>'Costo Arrastrado'!J10</f>
        <v>Mineral de Hierro</v>
      </c>
      <c r="N221" s="89">
        <f>'Costo Arrastrado'!K10</f>
        <v>3.9647260131893632E-2</v>
      </c>
      <c r="O221" s="71">
        <f>'Costo Arrastrado'!L10</f>
        <v>256211.06522061556</v>
      </c>
      <c r="P221" s="71">
        <f t="shared" si="66"/>
        <v>10158.066751471311</v>
      </c>
      <c r="Q221" s="75"/>
      <c r="R221" s="82">
        <f t="shared" si="67"/>
        <v>-1016.9444951858442</v>
      </c>
      <c r="S221" s="82">
        <f t="shared" si="68"/>
        <v>-254.27017720267406</v>
      </c>
      <c r="T221" s="82">
        <f t="shared" si="69"/>
        <v>-1271.214672388518</v>
      </c>
    </row>
    <row r="222" spans="4:20" x14ac:dyDescent="0.45">
      <c r="F222" s="67" t="str">
        <f>'Costo Arrastrado'!C11</f>
        <v>Carbón</v>
      </c>
      <c r="G222" s="89">
        <f>'Costo Arrastrado'!D11</f>
        <v>0.11141634233453897</v>
      </c>
      <c r="H222" s="71">
        <f>'Costo Arrastrado'!E11</f>
        <v>371824.75538076245</v>
      </c>
      <c r="I222" s="71">
        <f t="shared" si="65"/>
        <v>41427.354233959239</v>
      </c>
      <c r="M222" s="67" t="str">
        <f>'Costo Arrastrado'!J11</f>
        <v>Carbón</v>
      </c>
      <c r="N222" s="89">
        <f>'Costo Arrastrado'!K11</f>
        <v>0.1315494537949963</v>
      </c>
      <c r="O222" s="71">
        <f>'Costo Arrastrado'!L11</f>
        <v>284619.13084366854</v>
      </c>
      <c r="P222" s="71">
        <f t="shared" si="66"/>
        <v>37441.49120209118</v>
      </c>
      <c r="R222" s="82">
        <f t="shared" si="67"/>
        <v>-11471.852275706231</v>
      </c>
      <c r="S222" s="82">
        <f t="shared" si="68"/>
        <v>7485.989243838173</v>
      </c>
      <c r="T222" s="82">
        <f t="shared" si="69"/>
        <v>-3985.8630318680589</v>
      </c>
    </row>
    <row r="223" spans="4:20" x14ac:dyDescent="0.45">
      <c r="F223" s="67" t="str">
        <f>'Costo Arrastrado'!C12</f>
        <v>Alternos</v>
      </c>
      <c r="G223" s="89">
        <f>'Costo Arrastrado'!D12</f>
        <v>1.9172729591836735E-2</v>
      </c>
      <c r="H223" s="71">
        <f>'Costo Arrastrado'!E12</f>
        <v>337758.95091885468</v>
      </c>
      <c r="I223" s="71">
        <f t="shared" si="65"/>
        <v>6475.7610331896567</v>
      </c>
      <c r="M223" s="67" t="str">
        <f>'Costo Arrastrado'!J12</f>
        <v>Alternos</v>
      </c>
      <c r="N223" s="89">
        <f>'Costo Arrastrado'!K12</f>
        <v>1.6480648537255217E-2</v>
      </c>
      <c r="O223" s="71">
        <f>'Costo Arrastrado'!L12</f>
        <v>322974.11085711065</v>
      </c>
      <c r="P223" s="71">
        <f t="shared" si="66"/>
        <v>5322.8228076685446</v>
      </c>
      <c r="R223" s="82">
        <f t="shared" si="67"/>
        <v>-243.66375273713416</v>
      </c>
      <c r="S223" s="82">
        <f t="shared" si="68"/>
        <v>-909.27447278397779</v>
      </c>
      <c r="T223" s="82">
        <f t="shared" si="69"/>
        <v>-1152.9382255211121</v>
      </c>
    </row>
    <row r="224" spans="4:20" x14ac:dyDescent="0.45">
      <c r="F224" s="67" t="str">
        <f>'Costo Arrastrado'!C13</f>
        <v>Cargue Ck</v>
      </c>
      <c r="G224" s="89">
        <f>'Costo Arrastrado'!D13</f>
        <v>1</v>
      </c>
      <c r="H224" s="71">
        <f>'Costo Arrastrado'!E13</f>
        <v>215.7469379592778</v>
      </c>
      <c r="I224" s="71">
        <f t="shared" si="65"/>
        <v>215.7469379592778</v>
      </c>
      <c r="M224" s="67" t="str">
        <f>'Costo Arrastrado'!J13</f>
        <v>Cargue Ck</v>
      </c>
      <c r="N224" s="89">
        <f>'Costo Arrastrado'!K13</f>
        <v>1</v>
      </c>
      <c r="O224" s="71">
        <f>'Costo Arrastrado'!L13</f>
        <v>303.38393086269048</v>
      </c>
      <c r="P224" s="71">
        <f t="shared" si="66"/>
        <v>303.38393086269048</v>
      </c>
      <c r="R224" s="82">
        <f t="shared" si="67"/>
        <v>87.636992903412676</v>
      </c>
      <c r="S224" s="82">
        <f t="shared" si="68"/>
        <v>0</v>
      </c>
      <c r="T224" s="82">
        <f t="shared" si="69"/>
        <v>87.636992903412676</v>
      </c>
    </row>
    <row r="225" spans="4:20" x14ac:dyDescent="0.45">
      <c r="F225" s="67" t="str">
        <f>'Costo Arrastrado'!C14</f>
        <v>Gasoil</v>
      </c>
      <c r="G225" s="89">
        <f>'Costo Arrastrado'!D14</f>
        <v>7.4717554271611364E-2</v>
      </c>
      <c r="H225" s="71">
        <f>'Costo Arrastrado'!E14</f>
        <v>12000</v>
      </c>
      <c r="I225" s="71">
        <f t="shared" si="65"/>
        <v>896.61065125933635</v>
      </c>
      <c r="M225" s="67" t="str">
        <f>'Costo Arrastrado'!J14</f>
        <v>Gasoil</v>
      </c>
      <c r="N225" s="89">
        <f>'Costo Arrastrado'!K14</f>
        <v>0.12853227052826224</v>
      </c>
      <c r="O225" s="71">
        <f>'Costo Arrastrado'!L14</f>
        <v>8663.0042401421924</v>
      </c>
      <c r="P225" s="71">
        <f t="shared" si="66"/>
        <v>1113.4756045814393</v>
      </c>
      <c r="R225" s="82">
        <f t="shared" si="67"/>
        <v>-428.91164175770774</v>
      </c>
      <c r="S225" s="82">
        <f t="shared" si="68"/>
        <v>645.77659507981059</v>
      </c>
      <c r="T225" s="82">
        <f t="shared" si="69"/>
        <v>216.86495332210291</v>
      </c>
    </row>
    <row r="226" spans="4:20" x14ac:dyDescent="0.45">
      <c r="F226" s="67" t="str">
        <f>'Costo Arrastrado'!C15</f>
        <v>Refractarios</v>
      </c>
      <c r="G226" s="89">
        <f>'Costo Arrastrado'!D15</f>
        <v>1</v>
      </c>
      <c r="H226" s="71">
        <f>'Costo Arrastrado'!E15</f>
        <v>3600.6055380998073</v>
      </c>
      <c r="I226" s="71">
        <f t="shared" si="65"/>
        <v>3600.6055380998073</v>
      </c>
      <c r="M226" s="67" t="str">
        <f>'Costo Arrastrado'!J15</f>
        <v>Refractarios</v>
      </c>
      <c r="N226" s="89">
        <f>'Costo Arrastrado'!K15</f>
        <v>1</v>
      </c>
      <c r="O226" s="71">
        <f>'Costo Arrastrado'!L15</f>
        <v>3021.5659286372629</v>
      </c>
      <c r="P226" s="71">
        <f t="shared" si="66"/>
        <v>3021.5659286372629</v>
      </c>
      <c r="R226" s="82">
        <f t="shared" si="67"/>
        <v>-579.03960946254438</v>
      </c>
      <c r="S226" s="82">
        <f t="shared" si="68"/>
        <v>0</v>
      </c>
      <c r="T226" s="82">
        <f t="shared" si="69"/>
        <v>-579.03960946254438</v>
      </c>
    </row>
    <row r="227" spans="4:20" x14ac:dyDescent="0.45">
      <c r="F227" s="67" t="str">
        <f>'Costo Arrastrado'!C16</f>
        <v>Var Mtto</v>
      </c>
      <c r="G227" s="89">
        <f>'Costo Arrastrado'!D16</f>
        <v>1</v>
      </c>
      <c r="H227" s="71">
        <f>'Costo Arrastrado'!E16</f>
        <v>4524.9944097795105</v>
      </c>
      <c r="I227" s="71">
        <f t="shared" si="65"/>
        <v>4524.9944097795105</v>
      </c>
      <c r="M227" s="67" t="str">
        <f>'Costo Arrastrado'!J16</f>
        <v>Var Mtto</v>
      </c>
      <c r="N227" s="89">
        <f>'Costo Arrastrado'!K16</f>
        <v>1</v>
      </c>
      <c r="O227" s="71">
        <f>'Costo Arrastrado'!L16</f>
        <v>5406.0255726503301</v>
      </c>
      <c r="P227" s="71">
        <f t="shared" si="66"/>
        <v>5406.0255726503301</v>
      </c>
      <c r="R227" s="82">
        <f t="shared" si="67"/>
        <v>881.03116287081957</v>
      </c>
      <c r="S227" s="82">
        <f t="shared" si="68"/>
        <v>0</v>
      </c>
      <c r="T227" s="82">
        <f t="shared" si="69"/>
        <v>881.03116287081957</v>
      </c>
    </row>
    <row r="228" spans="4:20" x14ac:dyDescent="0.45">
      <c r="H228" s="71"/>
      <c r="I228" s="71"/>
      <c r="O228" s="71"/>
      <c r="P228" s="71"/>
      <c r="R228" s="82"/>
      <c r="S228" s="82"/>
      <c r="T228" s="82"/>
    </row>
    <row r="229" spans="4:20" x14ac:dyDescent="0.45">
      <c r="D229" s="75"/>
      <c r="E229" s="69"/>
      <c r="F229" s="67" t="str">
        <f t="shared" ref="F229:F240" si="70">F78</f>
        <v>Clinker</v>
      </c>
      <c r="G229" s="335">
        <f>(G78*$I$91+G94*$I$107+G159*$I$168)/($I$91+$I$107+$I$168)</f>
        <v>0.6353511559558005</v>
      </c>
      <c r="H229" s="71">
        <f>(H78*$I$91+H94*$I$107+H159*$I$168)/($I$91+$I$107+$I$168)</f>
        <v>121865.27029471415</v>
      </c>
      <c r="I229" s="71">
        <f>H229*G229</f>
        <v>77427.240352612716</v>
      </c>
      <c r="J229" s="75"/>
      <c r="L229" s="69"/>
      <c r="M229" s="67" t="str">
        <f t="shared" ref="M229:M240" si="71">M78</f>
        <v>Clinker</v>
      </c>
      <c r="N229" s="335">
        <f>(N78*$P$91+N94*$P$107+N159*$P$168)/($P$91+$P$107+$P$168)</f>
        <v>0.65020123499180538</v>
      </c>
      <c r="O229" s="71">
        <f>(O78*$P$91+O94*$P$107+O159*$P$168)/($P$91+$P$107+$P$168)</f>
        <v>113462.98244591446</v>
      </c>
      <c r="P229" s="71">
        <f>O229*N229</f>
        <v>73773.77131218712</v>
      </c>
      <c r="Q229" s="75"/>
      <c r="R229" s="82">
        <f t="shared" si="67"/>
        <v>-5463.1779360462006</v>
      </c>
      <c r="S229" s="82">
        <f t="shared" si="68"/>
        <v>1809.708895620603</v>
      </c>
      <c r="T229" s="82">
        <f t="shared" si="69"/>
        <v>-3653.4690404255962</v>
      </c>
    </row>
    <row r="230" spans="4:20" x14ac:dyDescent="0.45">
      <c r="D230" s="75"/>
      <c r="E230" s="69"/>
      <c r="F230" s="67" t="str">
        <f t="shared" si="70"/>
        <v>Caliza Triturada</v>
      </c>
      <c r="G230" s="336">
        <f>(G79*$I$91+G95*$I$107+G160*$I$168)/($I$91+$I$107+$I$168)</f>
        <v>0.26735042003608661</v>
      </c>
      <c r="H230" s="71">
        <f>(H79*$I$91+H95*$I$107+H160*$I$168)/($I$91+$I$107+$I$168)</f>
        <v>16036.454010329258</v>
      </c>
      <c r="I230" s="71">
        <f t="shared" ref="I230:I242" si="72">H230*G230</f>
        <v>4287.3527155509128</v>
      </c>
      <c r="J230" s="75"/>
      <c r="L230" s="69"/>
      <c r="M230" s="67" t="str">
        <f t="shared" si="71"/>
        <v>Caliza Triturada</v>
      </c>
      <c r="N230" s="336">
        <f>(N79*$P$91+N95*$P$107+N160*$P$168)/($P$91+$P$107+$P$168)</f>
        <v>0.25466978240786525</v>
      </c>
      <c r="O230" s="71">
        <f>(O79*$P$91+O95*$P$107+O160*$P$168)/($P$91+$P$107+$P$168)</f>
        <v>15086.890784461229</v>
      </c>
      <c r="P230" s="71">
        <f t="shared" ref="P230:P243" si="73">O230*N230</f>
        <v>3842.1751932899688</v>
      </c>
      <c r="Q230" s="75"/>
      <c r="R230" s="82">
        <f t="shared" si="67"/>
        <v>-241.82506011432153</v>
      </c>
      <c r="S230" s="82">
        <f t="shared" si="68"/>
        <v>-203.35246214662249</v>
      </c>
      <c r="T230" s="82">
        <f t="shared" si="69"/>
        <v>-445.17752226094399</v>
      </c>
    </row>
    <row r="231" spans="4:20" x14ac:dyDescent="0.45">
      <c r="D231" s="75"/>
      <c r="E231" s="69"/>
      <c r="F231" s="67" t="str">
        <f t="shared" si="70"/>
        <v>Aditivo Molienda</v>
      </c>
      <c r="G231" s="338">
        <f>(G80*$I$91+G96*$I$107+G161*$I$168)/($I$91+$I$107+$I$168)</f>
        <v>4.8702274129705704E-4</v>
      </c>
      <c r="H231" s="71">
        <f>(H80*$I$91+H96*$I$107+H161*$I$168*0)/($I$91+$I$107+$I$168*0)</f>
        <v>4396360.0000000009</v>
      </c>
      <c r="I231" s="71">
        <f t="shared" si="72"/>
        <v>2141.1272989287299</v>
      </c>
      <c r="J231" s="75"/>
      <c r="L231" s="69"/>
      <c r="M231" s="67" t="str">
        <f t="shared" si="71"/>
        <v>Aditivo Molienda</v>
      </c>
      <c r="N231" s="338">
        <f>(N80*$P$91+N96*$P$107+N161*$P$168*0)/($P$91+$P$107+$P$168)</f>
        <v>4.8495091705079397E-4</v>
      </c>
      <c r="O231" s="71">
        <f>(O80*$P$91+O96*$P$107+O161*$P$168*0)/($P$91+$P$107+$P$168*0)</f>
        <v>4014954.4513995098</v>
      </c>
      <c r="P231" s="71">
        <f t="shared" si="73"/>
        <v>1947.0558431233596</v>
      </c>
      <c r="Q231" s="75"/>
      <c r="R231" s="82">
        <f t="shared" si="67"/>
        <v>-184.96297056206936</v>
      </c>
      <c r="S231" s="82">
        <f t="shared" si="68"/>
        <v>-9.1084852433011019</v>
      </c>
      <c r="T231" s="82">
        <f t="shared" si="69"/>
        <v>-194.07145580537031</v>
      </c>
    </row>
    <row r="232" spans="4:20" x14ac:dyDescent="0.45">
      <c r="E232" s="337"/>
      <c r="F232" s="67" t="str">
        <f t="shared" si="70"/>
        <v>Puzolana</v>
      </c>
      <c r="G232" s="338">
        <f>(G81*$I$91+G97*$I$107+G162*$I$168)/($I$91+$I$107+$I$168)</f>
        <v>1.9047970016738129E-2</v>
      </c>
      <c r="H232" s="71">
        <f>(H81*$I$91+H97*$I$107*0+H162*$I$168*0)/($I$91+$I$107*0+$I$168*0)</f>
        <v>105080.05419161372</v>
      </c>
      <c r="I232" s="71">
        <f t="shared" si="72"/>
        <v>2001.5617215990758</v>
      </c>
      <c r="L232" s="337"/>
      <c r="M232" s="67" t="str">
        <f t="shared" si="71"/>
        <v>Puzolana</v>
      </c>
      <c r="N232" s="338">
        <f>(N81*$P$91+N97*$P$107+N162*$P$168)/($P$91+$P$107+$P$168)</f>
        <v>1.7790283508767393E-2</v>
      </c>
      <c r="O232" s="71">
        <f>(O81*$P$91+O97*$P$107*0+O162*$P$168*0)/($P$91+$P$107*0+$P$168*0)</f>
        <v>109078.75807676018</v>
      </c>
      <c r="P232" s="71">
        <f t="shared" si="73"/>
        <v>1940.5420309698147</v>
      </c>
      <c r="R232" s="82">
        <f t="shared" si="67"/>
        <v>71.138075784365185</v>
      </c>
      <c r="S232" s="82">
        <f t="shared" si="68"/>
        <v>-132.15776641362635</v>
      </c>
      <c r="T232" s="82">
        <f t="shared" si="69"/>
        <v>-61.019690629261049</v>
      </c>
    </row>
    <row r="233" spans="4:20" x14ac:dyDescent="0.45">
      <c r="F233" s="67" t="str">
        <f t="shared" si="70"/>
        <v>Finos Filtro</v>
      </c>
      <c r="G233" s="336">
        <f t="shared" ref="G233:H237" si="74">(G82*$I$91+G98*$I$107+G161*$I$168)/($I$91+$I$107+$I$168)</f>
        <v>2.9333390428767894E-2</v>
      </c>
      <c r="H233" s="162">
        <f t="shared" si="74"/>
        <v>31752.892182537373</v>
      </c>
      <c r="I233" s="71">
        <f t="shared" si="72"/>
        <v>931.41998363294067</v>
      </c>
      <c r="M233" s="67" t="str">
        <f t="shared" si="71"/>
        <v>Finos Filtro</v>
      </c>
      <c r="N233" s="336">
        <f t="shared" ref="N233:O237" si="75">(N82*$P$91+N98*$P$107+N161*$P$168)/($P$91+$P$107+$P$168)</f>
        <v>2.4027834987650296E-2</v>
      </c>
      <c r="O233" s="162">
        <f t="shared" si="75"/>
        <v>29052.956377976949</v>
      </c>
      <c r="P233" s="71">
        <f t="shared" si="73"/>
        <v>698.07964175343238</v>
      </c>
      <c r="R233" s="82">
        <f t="shared" si="67"/>
        <v>-64.873611989226703</v>
      </c>
      <c r="S233" s="82">
        <f t="shared" si="68"/>
        <v>-168.46672989028158</v>
      </c>
      <c r="T233" s="82">
        <f t="shared" si="69"/>
        <v>-233.34034187950829</v>
      </c>
    </row>
    <row r="234" spans="4:20" x14ac:dyDescent="0.45">
      <c r="F234" s="67" t="str">
        <f t="shared" si="70"/>
        <v>Cuerpos Moledores</v>
      </c>
      <c r="G234" s="336">
        <f t="shared" si="74"/>
        <v>0</v>
      </c>
      <c r="H234" s="71">
        <f t="shared" si="74"/>
        <v>0</v>
      </c>
      <c r="I234" s="71">
        <f t="shared" si="72"/>
        <v>0</v>
      </c>
      <c r="M234" s="67" t="str">
        <f t="shared" si="71"/>
        <v>Cuerpos Moledores</v>
      </c>
      <c r="N234" s="336">
        <f t="shared" si="75"/>
        <v>0</v>
      </c>
      <c r="O234" s="71">
        <f t="shared" si="75"/>
        <v>0</v>
      </c>
      <c r="P234" s="71">
        <f t="shared" si="73"/>
        <v>0</v>
      </c>
      <c r="R234" s="82">
        <f t="shared" si="67"/>
        <v>0</v>
      </c>
      <c r="S234" s="82">
        <f t="shared" si="68"/>
        <v>0</v>
      </c>
      <c r="T234" s="82">
        <f t="shared" si="69"/>
        <v>0</v>
      </c>
    </row>
    <row r="235" spans="4:20" x14ac:dyDescent="0.45">
      <c r="F235" s="67" t="str">
        <f t="shared" si="70"/>
        <v>Placas y Segmentos</v>
      </c>
      <c r="G235" s="336">
        <f t="shared" si="74"/>
        <v>1</v>
      </c>
      <c r="H235" s="71">
        <f t="shared" si="74"/>
        <v>1539.636971538461</v>
      </c>
      <c r="I235" s="71">
        <f t="shared" si="72"/>
        <v>1539.636971538461</v>
      </c>
      <c r="M235" s="67" t="str">
        <f t="shared" si="71"/>
        <v>Placas y Segmentos</v>
      </c>
      <c r="N235" s="336">
        <f t="shared" si="75"/>
        <v>1</v>
      </c>
      <c r="O235" s="71">
        <f t="shared" si="75"/>
        <v>1117.2995875639574</v>
      </c>
      <c r="P235" s="71">
        <f t="shared" si="73"/>
        <v>1117.2995875639574</v>
      </c>
      <c r="R235" s="82">
        <f t="shared" si="67"/>
        <v>-422.33738397450361</v>
      </c>
      <c r="S235" s="82">
        <f t="shared" si="68"/>
        <v>0</v>
      </c>
      <c r="T235" s="82">
        <f t="shared" si="69"/>
        <v>-422.33738397450361</v>
      </c>
    </row>
    <row r="236" spans="4:20" x14ac:dyDescent="0.45">
      <c r="F236" s="67" t="str">
        <f t="shared" si="70"/>
        <v>Energía</v>
      </c>
      <c r="G236" s="336">
        <f t="shared" si="74"/>
        <v>28.949102228367689</v>
      </c>
      <c r="H236" s="71">
        <f t="shared" si="74"/>
        <v>525.27897452694594</v>
      </c>
      <c r="I236" s="71">
        <f t="shared" si="72"/>
        <v>15206.354731992706</v>
      </c>
      <c r="M236" s="67" t="str">
        <f t="shared" si="71"/>
        <v>Energía</v>
      </c>
      <c r="N236" s="336">
        <f t="shared" si="75"/>
        <v>30.240367878135451</v>
      </c>
      <c r="O236" s="71">
        <f t="shared" si="75"/>
        <v>485.33891128999591</v>
      </c>
      <c r="P236" s="71">
        <f t="shared" si="73"/>
        <v>14676.827222983224</v>
      </c>
      <c r="R236" s="82">
        <f t="shared" si="67"/>
        <v>-1207.8022053613627</v>
      </c>
      <c r="S236" s="82">
        <f t="shared" si="68"/>
        <v>678.27469635188072</v>
      </c>
      <c r="T236" s="82">
        <f t="shared" si="69"/>
        <v>-529.52750900948195</v>
      </c>
    </row>
    <row r="237" spans="4:20" x14ac:dyDescent="0.45">
      <c r="F237" s="67" t="str">
        <f t="shared" si="70"/>
        <v>Gasoil</v>
      </c>
      <c r="G237" s="336">
        <f t="shared" si="74"/>
        <v>1</v>
      </c>
      <c r="H237" s="71">
        <f t="shared" si="74"/>
        <v>0</v>
      </c>
      <c r="I237" s="71">
        <f t="shared" si="72"/>
        <v>0</v>
      </c>
      <c r="M237" s="67" t="str">
        <f t="shared" si="71"/>
        <v>Gasoil</v>
      </c>
      <c r="N237" s="336">
        <f t="shared" si="75"/>
        <v>0</v>
      </c>
      <c r="O237" s="71">
        <f t="shared" si="75"/>
        <v>0</v>
      </c>
      <c r="P237" s="71">
        <f t="shared" si="73"/>
        <v>0</v>
      </c>
      <c r="R237" s="82">
        <f t="shared" si="67"/>
        <v>0</v>
      </c>
      <c r="S237" s="82">
        <f t="shared" si="68"/>
        <v>0</v>
      </c>
      <c r="T237" s="82">
        <f t="shared" si="69"/>
        <v>0</v>
      </c>
    </row>
    <row r="238" spans="4:20" x14ac:dyDescent="0.45">
      <c r="F238" s="67" t="str">
        <f t="shared" si="70"/>
        <v>Sal Marina</v>
      </c>
      <c r="G238" s="338">
        <f>(G87*$I$91+G103*$I$107+G166*$I$168*0)/($I$91+$I$107+$I$168*0)</f>
        <v>0</v>
      </c>
      <c r="H238" s="162">
        <f>(H87*$I$91+H103*$I$107+H166*$I$168*0)/($I$91+$I$107+$I$168*0)</f>
        <v>0</v>
      </c>
      <c r="I238" s="71">
        <f t="shared" si="72"/>
        <v>0</v>
      </c>
      <c r="M238" s="67" t="str">
        <f t="shared" si="71"/>
        <v>Sal Marina</v>
      </c>
      <c r="N238" s="338">
        <f>(N87*$P$91+N103*$P$107+N166*$P$168*0)/($P$91+$P$107+$P$168*0)</f>
        <v>0</v>
      </c>
      <c r="O238" s="162">
        <f>(O87*$P$91+O103*$P$107+O166*$P$168*0)/($P$91+$P$107+$P$168*0)</f>
        <v>0</v>
      </c>
      <c r="P238" s="71">
        <f t="shared" si="73"/>
        <v>0</v>
      </c>
      <c r="R238" s="82">
        <f t="shared" si="67"/>
        <v>0</v>
      </c>
      <c r="S238" s="82">
        <f t="shared" si="68"/>
        <v>0</v>
      </c>
      <c r="T238" s="82">
        <f t="shared" si="69"/>
        <v>0</v>
      </c>
    </row>
    <row r="239" spans="4:20" x14ac:dyDescent="0.45">
      <c r="F239" s="67" t="str">
        <f t="shared" si="70"/>
        <v>Dosificador de Sal</v>
      </c>
      <c r="G239" s="338">
        <f>(G88*$I$91+G104*$I$107+G167*$I$168)/($I$91+$I$107+$I$168)</f>
        <v>0</v>
      </c>
      <c r="H239" s="162">
        <f>(H88*$I$91+H104*$I$107+H167*$I$168)/($I$91+$I$107+$I$168)</f>
        <v>0</v>
      </c>
      <c r="I239" s="71">
        <f t="shared" si="72"/>
        <v>0</v>
      </c>
      <c r="M239" s="67" t="str">
        <f t="shared" si="71"/>
        <v>Dosificador de Sal</v>
      </c>
      <c r="N239" s="338">
        <f>(N88*$P$91+N104*$P$107+N167*$P$168)/($P$91+$P$107+$P$168)</f>
        <v>0</v>
      </c>
      <c r="O239" s="162">
        <f>(O88*$P$91+O104*$P$107+O167*$P$168)/($P$91+$P$107+$P$168)</f>
        <v>0</v>
      </c>
      <c r="P239" s="71">
        <f t="shared" si="73"/>
        <v>0</v>
      </c>
      <c r="R239" s="82">
        <f t="shared" si="67"/>
        <v>0</v>
      </c>
      <c r="S239" s="82">
        <f t="shared" si="68"/>
        <v>0</v>
      </c>
      <c r="T239" s="82">
        <f t="shared" si="69"/>
        <v>0</v>
      </c>
    </row>
    <row r="240" spans="4:20" x14ac:dyDescent="0.45">
      <c r="F240" s="67" t="str">
        <f t="shared" si="70"/>
        <v>Yeso</v>
      </c>
      <c r="G240" s="336">
        <f>(G89*$I$91+G105*$I$107+G166*$I$168)/($I$91+$I$107+$I$168)</f>
        <v>5.512660244480997E-2</v>
      </c>
      <c r="H240" s="71">
        <f>(H89*$I$91+H105*$I$107+H166*$I$168)/($I$91+$I$107+$I$168)</f>
        <v>232625.89499161372</v>
      </c>
      <c r="I240" s="71">
        <f t="shared" si="72"/>
        <v>12823.875231570801</v>
      </c>
      <c r="J240" s="74"/>
      <c r="M240" s="67" t="str">
        <f t="shared" si="71"/>
        <v>Yeso</v>
      </c>
      <c r="N240" s="336">
        <f>(N89*$P$91+N105*$P$107+N166*$P$168)/($P$91+$P$107+$P$168)</f>
        <v>5.8831423545863966E-2</v>
      </c>
      <c r="O240" s="71">
        <f>(O89*$P$91+O105*$P$107+O166*$P$168)/($P$91+$P$107+$P$168)</f>
        <v>220009.05860218199</v>
      </c>
      <c r="P240" s="71">
        <f t="shared" si="73"/>
        <v>12943.446110551775</v>
      </c>
      <c r="Q240" s="74"/>
      <c r="R240" s="82">
        <f t="shared" si="67"/>
        <v>-742.2664454355272</v>
      </c>
      <c r="S240" s="82">
        <f t="shared" si="68"/>
        <v>861.83732441650147</v>
      </c>
      <c r="T240" s="82">
        <f t="shared" si="69"/>
        <v>119.57087898097416</v>
      </c>
    </row>
    <row r="241" spans="6:20" x14ac:dyDescent="0.45">
      <c r="F241" s="67" t="s">
        <v>668</v>
      </c>
      <c r="G241" s="105">
        <f>(G111*$I$115+G119*$I$123+G127*$I$131+G135*$I$139+G143*$I$147+G194*$I$197+G201*$I$204+G208*$I$211)/($I$115+$I$123+$I$131+$I$139+$I$147+$I$197+$I$204+$I$211)</f>
        <v>1</v>
      </c>
      <c r="H241" s="71">
        <f>(H111*$I$115+H119*$I$123+H127*$I$131+H135*$I$139+H143*$I$147+H194*$I$197+H201*$I$204+H208*$I$211)/($I$115+$I$123+$I$131+$I$139+$I$147+$I$197+$I$204+$I$211)</f>
        <v>3679.9846153846156</v>
      </c>
      <c r="I241" s="71">
        <f t="shared" si="72"/>
        <v>3679.9846153846156</v>
      </c>
      <c r="M241" s="67" t="s">
        <v>668</v>
      </c>
      <c r="N241" s="105">
        <f>(N111*$P$115+N119*$P$123+N127*$P$131+N135*$P$139+N143*$P$147+N194*$P$197+N201*$P$204+N208*$P$211)/($P$115+$P$123+$P$131+$P$139+$P$147+$P$197+$P$204+$P$211)</f>
        <v>1</v>
      </c>
      <c r="O241" s="71">
        <f>(O111*$P$115+O119*$P$123+O127*$P$131+O135*$P$139+O143*$P$147+O194*$P$197+O201*$P$204+O208*$P$211)/($P$115+$P$123+$P$131+$P$139+$P$147+$P$197+$P$204+$P$211)</f>
        <v>3476.5359612973375</v>
      </c>
      <c r="P241" s="71">
        <f t="shared" si="73"/>
        <v>3476.5359612973375</v>
      </c>
      <c r="R241" s="82">
        <f t="shared" si="67"/>
        <v>-203.4486540872781</v>
      </c>
      <c r="S241" s="82">
        <f t="shared" si="68"/>
        <v>0</v>
      </c>
      <c r="T241" s="82">
        <f t="shared" si="69"/>
        <v>-203.4486540872781</v>
      </c>
    </row>
    <row r="242" spans="6:20" x14ac:dyDescent="0.45">
      <c r="F242" s="67" t="s">
        <v>267</v>
      </c>
      <c r="G242" s="105">
        <f>(G112*$I$115+G120*$I$123+G128*$I$131+G136*$I$139+G144*$I$147+G195*$I$197+G202*$I$204+G209*$I$211)/($I$115+$I$123+$I$131+$I$139+$I$147+$I$197+$I$204+$I$211)</f>
        <v>1.5000000000000002</v>
      </c>
      <c r="H242" s="71">
        <f>(H112*$I$115+H120*$I$123+H128*$I$131+H136*$I$139+H144*$I$147+H195*$I$197+H202*$I$204+H209*$I$211)/($I$115+$I$123+$I$131+$I$139+$I$147+$I$197+$I$204+$I$211)</f>
        <v>525.25445765060897</v>
      </c>
      <c r="I242" s="71">
        <f t="shared" si="72"/>
        <v>787.88168647591363</v>
      </c>
      <c r="M242" s="67" t="s">
        <v>267</v>
      </c>
      <c r="N242" s="105">
        <f>(N112*$P$115+N120*$P$123+N128*$P$131+N136*$P$139+N144*$P$147+N195*$P$197+N202*$P$204+N209*$P$211)/($P$115+$P$123+$P$131+$P$139+$P$147+$P$197+$P$204+$P$211)</f>
        <v>1.3311492163447392</v>
      </c>
      <c r="O242" s="71">
        <f>(O112*$P$115+O120*$P$123+O128*$P$131+O136*$P$139+O144*$P$147+O195*$P$197+O202*$P$204+O209*$P$211)/($P$115+$P$123+$P$131+$P$139+$P$147+$P$197+$P$204+$P$211)</f>
        <v>485.33891128999591</v>
      </c>
      <c r="P242" s="71">
        <f t="shared" si="73"/>
        <v>646.05851142528695</v>
      </c>
      <c r="R242" s="82">
        <f t="shared" si="67"/>
        <v>-53.133548257902184</v>
      </c>
      <c r="S242" s="82">
        <f t="shared" si="68"/>
        <v>-88.689626792724468</v>
      </c>
      <c r="T242" s="82">
        <f t="shared" si="69"/>
        <v>-141.82317505062667</v>
      </c>
    </row>
    <row r="243" spans="6:20" x14ac:dyDescent="0.45">
      <c r="F243" s="67" t="s">
        <v>413</v>
      </c>
      <c r="G243" s="105">
        <f>(G113*$I$115+G121*$I$123+G129*$I$131+G137*$I$139+G145*$I$147+G196*$I$197+G203*$I$204+G210*$I$211)/($I$115+$I$123+$I$131+$I$139+$I$147+$I$197+$I$204+$I$211)</f>
        <v>14.801587230427048</v>
      </c>
      <c r="H243" s="71">
        <f>(H113*$I$115+H121*$I$123+H129*$I$131+H137*$I$139+H145*$I$147+H196*$I$197*0+H203*$I$204*0+H210*$I$211*0)/($I$115+$I$123+$I$131+$I$139+$I$147+$I$197*0+$I$204*0+$I$211*0)</f>
        <v>993.80777173746674</v>
      </c>
      <c r="I243" s="71">
        <f>H243*G243</f>
        <v>14709.932423648446</v>
      </c>
      <c r="M243" s="67" t="s">
        <v>413</v>
      </c>
      <c r="N243" s="105">
        <f>(N113*$P$115+N121*$P$123+N129*$P$131+N137*$P$139+N145*$P$147+N196*$P$197+N203*$P$204+N210*$P$211)/($P$115+$P$123+$P$131+$P$139+$P$147+$P$197+$P$204+$P$211)</f>
        <v>14.226761238122972</v>
      </c>
      <c r="O243" s="71">
        <f>(O113*$P$115+O121*$P$123+O129*$P$131+O137*$P$139+O145*$P$147+O196*$P$197*0+O203*$P$204*0+O210*$P$211*0)/($P$115+$P$123+$P$131+$P$139+$P$147+$P$197*0+$P$204*0+$P$211*0)</f>
        <v>981.59401191496886</v>
      </c>
      <c r="P243" s="71">
        <f t="shared" si="73"/>
        <v>13964.903640285498</v>
      </c>
      <c r="R243" s="82">
        <f t="shared" si="67"/>
        <v>-173.76224481445652</v>
      </c>
      <c r="S243" s="82">
        <f t="shared" si="68"/>
        <v>-571.26653854849189</v>
      </c>
      <c r="T243" s="82">
        <f t="shared" si="69"/>
        <v>-745.02878336294816</v>
      </c>
    </row>
    <row r="244" spans="6:20" x14ac:dyDescent="0.45">
      <c r="J244" s="74"/>
      <c r="L244" s="74"/>
      <c r="N244" s="105"/>
      <c r="O244" s="71"/>
      <c r="P244" s="71"/>
    </row>
    <row r="245" spans="6:20" x14ac:dyDescent="0.45">
      <c r="G245" s="70">
        <f>(G113*$I$115+G121*$I$123+G129*$I$131+G137*$I$139+G145*$I$147)/($I$115+$I$123+$I$131+$I$139+$I$147+$I$197+$I$204+$I$211)</f>
        <v>14.801587230427048</v>
      </c>
      <c r="H245" s="71">
        <f>(H113*$I$115+H121*$I$123+H129*$I$131+H137*$I$139+H145*$I$147)/($I$115+$I$123+$I$131+$I$139+$I$147+$I$197*0+$I$204*0+$I$211*0)</f>
        <v>993.80777173746674</v>
      </c>
      <c r="I245" s="71">
        <f>+G245*H245</f>
        <v>14709.932423648446</v>
      </c>
      <c r="L245" s="74"/>
      <c r="N245" s="105"/>
      <c r="O245" s="69"/>
      <c r="P245" s="71"/>
    </row>
    <row r="246" spans="6:20" x14ac:dyDescent="0.45">
      <c r="G246" s="105">
        <f>(G113*$I$115+G121*$I$123+G129*$I$131+G137*$I$139+G145*$I$147)/($I$115+$I$123+$I$131+$I$139+$I$147+$I$197+$I$204+$I$211)</f>
        <v>14.801587230427048</v>
      </c>
      <c r="H246" s="69">
        <f>(H113*$I$115+H121*$I$123+H129*$I$131+H137*$I$139+H145*$I$147)/($I$115+$I$123+$I$131+$I$139+$I$147+$I$197*0+$I$204*0+$I$211*0)</f>
        <v>993.80777173746674</v>
      </c>
      <c r="I246" s="71">
        <f>(I113*$I$115+I121*$I$123+I129*$I$131+I137*$I$139+I145*$I$147)/($I$115+$I$123+$I$131+$I$139+$I$147+$I$197+$I$204+$I$211)</f>
        <v>14657.653144211616</v>
      </c>
      <c r="L246" s="74"/>
      <c r="N246" s="105"/>
      <c r="O246" s="69"/>
      <c r="P246" s="71"/>
    </row>
    <row r="247" spans="6:20" x14ac:dyDescent="0.45">
      <c r="G247" s="105"/>
      <c r="H247" s="69"/>
      <c r="I247" s="71"/>
      <c r="J247" s="74">
        <f>SUM(I229:I240)</f>
        <v>116358.56900742633</v>
      </c>
      <c r="K247" s="74"/>
      <c r="L247" s="74"/>
      <c r="N247" s="105"/>
      <c r="O247" s="69"/>
      <c r="P247" s="71"/>
      <c r="Q247" s="74">
        <f>SUM(P229:P240)</f>
        <v>110939.19694242264</v>
      </c>
      <c r="R247" s="74"/>
    </row>
    <row r="248" spans="6:20" x14ac:dyDescent="0.45">
      <c r="G248" s="105"/>
      <c r="H248" s="69"/>
      <c r="I248" s="71"/>
      <c r="J248" s="69">
        <f>(I90*I91+I106*I107+I167*I168)/(I91+I107+I168)</f>
        <v>116358.56067854124</v>
      </c>
      <c r="K248" s="339">
        <f>+J248-J247</f>
        <v>-8.3288850873941556E-3</v>
      </c>
      <c r="L248" s="74"/>
      <c r="N248" s="105"/>
      <c r="O248" s="69"/>
      <c r="P248" s="71"/>
      <c r="Q248" s="69">
        <f>(P90*P91+P106*P107+P167*P168)/(P91+P107+P168)</f>
        <v>110939.19694242266</v>
      </c>
      <c r="R248" s="339">
        <f>+Q248-Q247</f>
        <v>0</v>
      </c>
    </row>
    <row r="249" spans="6:20" x14ac:dyDescent="0.45">
      <c r="G249" s="105"/>
      <c r="H249" s="69"/>
      <c r="I249" s="71"/>
      <c r="J249" s="74">
        <f>SUM(I229:I243)</f>
        <v>135536.36773293529</v>
      </c>
      <c r="K249" s="74"/>
      <c r="L249" s="74"/>
      <c r="N249" s="105"/>
      <c r="O249" s="69"/>
      <c r="P249" s="71"/>
      <c r="Q249" s="74">
        <f>SUM(P229:P243)</f>
        <v>129026.69505543077</v>
      </c>
      <c r="R249" s="74"/>
    </row>
    <row r="250" spans="6:20" x14ac:dyDescent="0.45">
      <c r="G250" s="105"/>
      <c r="H250" s="69"/>
      <c r="I250" s="71"/>
      <c r="J250" s="74">
        <f>((I114*I115)+(I122*I123)+(I130*I131)+(I138*I139)+(I146*I147)+(I196*I197)+(I210*I211)+(I203*I204))/(I115+I123+I131+I139+I147+I197+I204+I211)</f>
        <v>135484.08012461345</v>
      </c>
      <c r="K250" s="339">
        <f>+J249-J250</f>
        <v>52.287608321843436</v>
      </c>
      <c r="L250" s="74"/>
      <c r="N250" s="105"/>
      <c r="O250" s="69"/>
      <c r="P250" s="71"/>
      <c r="Q250" s="74">
        <f>((P114*P115)+(P122*P123)+(P130*P131)+(P138*P139)+(P146*P147)+(P196*P197)+(P210*P211)+(P203*P204))/(P115+P123+P131+P139+P147+P197+P204+P211)</f>
        <v>129090.10236035292</v>
      </c>
      <c r="R250" s="339">
        <f>+Q249-Q250</f>
        <v>-63.407304922147887</v>
      </c>
    </row>
    <row r="251" spans="6:20" x14ac:dyDescent="0.45">
      <c r="G251" s="105"/>
      <c r="H251" s="69"/>
      <c r="I251" s="71"/>
      <c r="J251" s="74"/>
      <c r="K251" s="74"/>
      <c r="L251" s="74"/>
      <c r="N251" s="105"/>
      <c r="O251" s="69"/>
      <c r="P251" s="71"/>
      <c r="Q251" s="74"/>
      <c r="R251" s="74"/>
    </row>
    <row r="252" spans="6:20" x14ac:dyDescent="0.45">
      <c r="G252" s="105"/>
      <c r="H252" s="69"/>
      <c r="I252" s="71"/>
      <c r="J252" s="74"/>
      <c r="K252" s="74"/>
      <c r="L252" s="74"/>
      <c r="N252" s="105"/>
      <c r="O252" s="69"/>
      <c r="P252" s="71"/>
      <c r="Q252" s="74"/>
      <c r="R252" s="74"/>
    </row>
    <row r="253" spans="6:20" x14ac:dyDescent="0.45">
      <c r="G253" s="105"/>
      <c r="H253" s="70"/>
      <c r="I253" s="71"/>
      <c r="J253" s="74"/>
      <c r="K253" s="74"/>
      <c r="L253" s="74"/>
      <c r="N253" s="105"/>
      <c r="O253" s="69"/>
      <c r="P253" s="71"/>
      <c r="Q253" s="74"/>
      <c r="R253" s="74"/>
    </row>
    <row r="254" spans="6:20" x14ac:dyDescent="0.45">
      <c r="G254" s="73"/>
      <c r="H254" s="70"/>
    </row>
    <row r="255" spans="6:20" x14ac:dyDescent="0.45">
      <c r="H255" s="70"/>
    </row>
    <row r="256" spans="6:20" x14ac:dyDescent="0.45">
      <c r="I256" s="75"/>
    </row>
    <row r="257" spans="6:9" x14ac:dyDescent="0.45">
      <c r="I257" s="75"/>
    </row>
    <row r="258" spans="6:9" x14ac:dyDescent="0.45">
      <c r="F258" s="89"/>
      <c r="I258" s="75"/>
    </row>
    <row r="259" spans="6:9" x14ac:dyDescent="0.45">
      <c r="F259" s="89"/>
    </row>
    <row r="260" spans="6:9" x14ac:dyDescent="0.45">
      <c r="F260" s="89"/>
    </row>
    <row r="261" spans="6:9" x14ac:dyDescent="0.45">
      <c r="F261" s="89"/>
    </row>
    <row r="262" spans="6:9" x14ac:dyDescent="0.45">
      <c r="F262" s="89"/>
    </row>
    <row r="263" spans="6:9" x14ac:dyDescent="0.45">
      <c r="F263" s="89"/>
    </row>
    <row r="264" spans="6:9" x14ac:dyDescent="0.45">
      <c r="F264" s="89"/>
    </row>
    <row r="265" spans="6:9" x14ac:dyDescent="0.45">
      <c r="F265" s="89"/>
    </row>
    <row r="266" spans="6:9" x14ac:dyDescent="0.45">
      <c r="F266" s="89"/>
    </row>
    <row r="267" spans="6:9" x14ac:dyDescent="0.45">
      <c r="F267" s="89"/>
    </row>
    <row r="268" spans="6:9" x14ac:dyDescent="0.45">
      <c r="F268" s="89"/>
    </row>
    <row r="269" spans="6:9" x14ac:dyDescent="0.45">
      <c r="F269" s="89"/>
      <c r="H269" s="89"/>
    </row>
  </sheetData>
  <mergeCells count="5">
    <mergeCell ref="E4:I4"/>
    <mergeCell ref="L4:P4"/>
    <mergeCell ref="R4:T4"/>
    <mergeCell ref="J49:J53"/>
    <mergeCell ref="Y102:Z102"/>
  </mergeCells>
  <pageMargins left="0.7" right="0.7" top="0.75" bottom="0.75" header="0.3" footer="0.3"/>
  <ignoredErrors>
    <ignoredError sqref="G9 G164 G238:H238 N231:O238" formula="1"/>
  </ignoredError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27431C-122A-41BD-8691-BB68E96E19A9}">
  <dimension ref="A1:AI75"/>
  <sheetViews>
    <sheetView topLeftCell="C1" workbookViewId="0">
      <selection activeCell="T1" sqref="T1"/>
    </sheetView>
  </sheetViews>
  <sheetFormatPr baseColWidth="10" defaultColWidth="11.44140625" defaultRowHeight="13.2" x14ac:dyDescent="0.3"/>
  <cols>
    <col min="1" max="1" width="12.44140625" style="176" bestFit="1" customWidth="1"/>
    <col min="2" max="2" width="11.44140625" style="176"/>
    <col min="3" max="3" width="25.6640625" style="176" bestFit="1" customWidth="1"/>
    <col min="4" max="4" width="11.44140625" style="176"/>
    <col min="5" max="5" width="12.6640625" style="176" bestFit="1" customWidth="1"/>
    <col min="6" max="6" width="11.44140625" style="176"/>
    <col min="7" max="7" width="14" style="176" bestFit="1" customWidth="1"/>
    <col min="8" max="8" width="14" style="176" customWidth="1"/>
    <col min="9" max="9" width="3.33203125" style="176" customWidth="1"/>
    <col min="10" max="10" width="25.6640625" style="176" bestFit="1" customWidth="1"/>
    <col min="11" max="11" width="11.44140625" style="176"/>
    <col min="12" max="12" width="12.6640625" style="176" bestFit="1" customWidth="1"/>
    <col min="13" max="13" width="11.44140625" style="176"/>
    <col min="14" max="14" width="4.109375" style="176" customWidth="1"/>
    <col min="15" max="17" width="11.44140625" style="176"/>
    <col min="18" max="18" width="11.44140625" style="176" hidden="1" customWidth="1"/>
    <col min="19" max="19" width="14" style="176" hidden="1" customWidth="1"/>
    <col min="20" max="20" width="12.44140625" style="176" customWidth="1"/>
    <col min="21" max="24" width="11.44140625" style="176"/>
    <col min="25" max="25" width="24.109375" style="176" bestFit="1" customWidth="1"/>
    <col min="26" max="33" width="11.44140625" style="176"/>
    <col min="34" max="34" width="15" style="176" bestFit="1" customWidth="1"/>
    <col min="35" max="16384" width="11.44140625" style="176"/>
  </cols>
  <sheetData>
    <row r="1" spans="3:35" x14ac:dyDescent="0.3">
      <c r="D1" s="177"/>
      <c r="E1" s="177"/>
      <c r="Y1" s="359" t="s">
        <v>777</v>
      </c>
      <c r="Z1" s="360"/>
      <c r="AA1" s="360"/>
      <c r="AB1" s="360"/>
      <c r="AC1" s="360"/>
      <c r="AD1" s="360"/>
      <c r="AE1" s="361"/>
    </row>
    <row r="2" spans="3:35" x14ac:dyDescent="0.3">
      <c r="C2" s="178" t="s">
        <v>62</v>
      </c>
      <c r="D2" s="355" t="s">
        <v>696</v>
      </c>
      <c r="E2" s="355"/>
      <c r="F2" s="355"/>
      <c r="G2" s="179"/>
      <c r="H2" s="179"/>
      <c r="J2" s="178" t="s">
        <v>62</v>
      </c>
      <c r="K2" s="355" t="s">
        <v>697</v>
      </c>
      <c r="L2" s="355"/>
      <c r="M2" s="355"/>
      <c r="O2" s="355" t="s">
        <v>617</v>
      </c>
      <c r="P2" s="355"/>
      <c r="Q2" s="355"/>
      <c r="V2" s="177"/>
      <c r="W2" s="177"/>
      <c r="X2" s="177"/>
      <c r="Y2" s="177"/>
      <c r="Z2" s="356" t="s">
        <v>697</v>
      </c>
      <c r="AA2" s="357"/>
      <c r="AB2" s="358"/>
      <c r="AC2" s="356" t="s">
        <v>742</v>
      </c>
      <c r="AD2" s="357"/>
      <c r="AE2" s="358"/>
      <c r="AH2" s="362" t="s">
        <v>778</v>
      </c>
      <c r="AI2" s="363"/>
    </row>
    <row r="3" spans="3:35" ht="14.4" x14ac:dyDescent="0.3">
      <c r="C3" s="180" t="s">
        <v>52</v>
      </c>
      <c r="D3" s="181" t="s">
        <v>620</v>
      </c>
      <c r="E3" s="181" t="s">
        <v>621</v>
      </c>
      <c r="F3" s="181" t="s">
        <v>395</v>
      </c>
      <c r="G3" s="182"/>
      <c r="H3" s="182"/>
      <c r="J3" s="180" t="s">
        <v>52</v>
      </c>
      <c r="K3" s="181" t="s">
        <v>620</v>
      </c>
      <c r="L3" s="181" t="s">
        <v>621</v>
      </c>
      <c r="M3" s="181" t="s">
        <v>395</v>
      </c>
      <c r="N3" s="183" t="s">
        <v>699</v>
      </c>
      <c r="O3" s="184" t="s">
        <v>622</v>
      </c>
      <c r="P3" s="184" t="s">
        <v>623</v>
      </c>
      <c r="Q3" s="184" t="s">
        <v>395</v>
      </c>
      <c r="V3" s="177"/>
      <c r="W3" s="177"/>
      <c r="X3" s="177"/>
      <c r="Y3" s="311" t="s">
        <v>52</v>
      </c>
      <c r="Z3" s="309" t="s">
        <v>670</v>
      </c>
      <c r="AA3" s="309" t="s">
        <v>646</v>
      </c>
      <c r="AB3" s="309" t="s">
        <v>671</v>
      </c>
      <c r="AC3" s="310" t="s">
        <v>670</v>
      </c>
      <c r="AD3" s="310" t="s">
        <v>646</v>
      </c>
      <c r="AE3" s="310" t="s">
        <v>671</v>
      </c>
      <c r="AH3" s="301" t="s">
        <v>719</v>
      </c>
      <c r="AI3" s="302">
        <f>F4+F5+F10+F6</f>
        <v>33222.491075911021</v>
      </c>
    </row>
    <row r="4" spans="3:35" ht="14.4" x14ac:dyDescent="0.3">
      <c r="C4" s="176" t="s">
        <v>3</v>
      </c>
      <c r="D4" s="187">
        <f>(Costo!G7*Costo!G28*Costo!G62)</f>
        <v>0.26964134263307521</v>
      </c>
      <c r="E4" s="177">
        <f>Costo!H7</f>
        <v>10623.146319999998</v>
      </c>
      <c r="F4" s="185">
        <f t="shared" ref="F4:F16" si="0">+E4*D4</f>
        <v>2864.4394367124114</v>
      </c>
      <c r="G4" s="189"/>
      <c r="H4" s="190"/>
      <c r="J4" s="176" t="s">
        <v>3</v>
      </c>
      <c r="K4" s="187">
        <f>(Costo!N7*Costo!N28*Costo!N62)</f>
        <v>0.30229774236203266</v>
      </c>
      <c r="L4" s="177">
        <f>Costo!O7</f>
        <v>10136.590000000002</v>
      </c>
      <c r="M4" s="188">
        <f t="shared" ref="M4:M16" si="1">+L4*K4</f>
        <v>3064.2682722495574</v>
      </c>
      <c r="N4" s="191">
        <f t="shared" ref="N4:N17" si="2">+M4-F4</f>
        <v>199.82883553714601</v>
      </c>
      <c r="O4" s="192">
        <f>+(L4-E4)*K4</f>
        <v>-147.08487706797752</v>
      </c>
      <c r="P4" s="192">
        <f>+(K4-D4)*E4</f>
        <v>346.91371260512329</v>
      </c>
      <c r="Q4" s="193">
        <f>+P4+O4</f>
        <v>199.82883553714578</v>
      </c>
      <c r="R4" s="194">
        <f>+Q4/3900</f>
        <v>5.123816295824251E-2</v>
      </c>
      <c r="S4" s="195">
        <v>25440.013922400005</v>
      </c>
      <c r="T4" s="195"/>
      <c r="U4" s="196"/>
      <c r="V4" s="177"/>
      <c r="W4" s="177"/>
      <c r="X4" s="177"/>
      <c r="Y4" s="312" t="s">
        <v>3</v>
      </c>
      <c r="Z4" s="303">
        <f t="shared" ref="Z4:Z16" si="3">F4*$D$22</f>
        <v>1489.508507090454</v>
      </c>
      <c r="AA4" s="304">
        <f t="shared" ref="AA4:AA16" si="4">F4*$D$38</f>
        <v>2377.4847324713019</v>
      </c>
      <c r="AB4" s="304">
        <f t="shared" ref="AB4:AB16" si="5">F4*$D$54</f>
        <v>2618.0976451551442</v>
      </c>
      <c r="AC4" s="304">
        <f t="shared" ref="AC4:AC16" si="6">M4*$K$22</f>
        <v>1639.117829383817</v>
      </c>
      <c r="AD4" s="304">
        <f t="shared" ref="AD4:AD16" si="7">M4*$K$38</f>
        <v>2557.751859136335</v>
      </c>
      <c r="AE4" s="305">
        <f t="shared" ref="AE4:AE16" si="8">M4*$K$54</f>
        <v>2798.8140714721012</v>
      </c>
      <c r="AH4" s="301" t="s">
        <v>267</v>
      </c>
      <c r="AI4" s="302">
        <f>F9</f>
        <v>31270.164837290889</v>
      </c>
    </row>
    <row r="5" spans="3:35" ht="14.4" x14ac:dyDescent="0.3">
      <c r="C5" s="176" t="s">
        <v>2</v>
      </c>
      <c r="D5" s="187">
        <f>Costo!G8*Costo!G28*Costo!G62+Costo!G29*Costo!G62</f>
        <v>1.3123887147926674</v>
      </c>
      <c r="E5" s="177">
        <f>(Costo!G8*Costo!G28*Costo!G62/(Costo!G8*Costo!G28*Costo!G62+Costo!G29*Costo!G62))*Costo!H8+(Costo!G29*Costo!G62/(Costo!G8*Costo!G28*Costo!G62+Costo!G29*Costo!G62))*Costo!H18</f>
        <v>13978.131776</v>
      </c>
      <c r="F5" s="185">
        <f t="shared" si="0"/>
        <v>18344.742396707185</v>
      </c>
      <c r="G5" s="189"/>
      <c r="H5" s="190"/>
      <c r="J5" s="176" t="s">
        <v>2</v>
      </c>
      <c r="K5" s="187">
        <f>Costo!N8*Costo!N28*Costo!N62+Costo!N29*Costo!N62</f>
        <v>1.2778076646625298</v>
      </c>
      <c r="L5" s="177">
        <f>(Costo!N8*Costo!N28*Costo!N62/(Costo!N8*Costo!N28*Costo!N62+Costo!N29*Costo!N62))*Costo!O8+(Costo!N29*Costo!N62/(Costo!N8*Costo!N28*Costo!N62+Costo!N29*Costo!N62))*Costo!O18</f>
        <v>13426.72493766303</v>
      </c>
      <c r="M5" s="188">
        <f t="shared" si="1"/>
        <v>17156.772036661347</v>
      </c>
      <c r="N5" s="191">
        <f t="shared" si="2"/>
        <v>-1187.9703600458379</v>
      </c>
      <c r="O5" s="192">
        <f t="shared" ref="O5:O7" si="9">+(L5-E5)*K5</f>
        <v>-704.59188437431328</v>
      </c>
      <c r="P5" s="192">
        <f t="shared" ref="P5:P16" si="10">+(K5-D5)*E5</f>
        <v>-483.37847567152488</v>
      </c>
      <c r="Q5" s="193">
        <f t="shared" ref="Q5:Q16" si="11">+P5+O5</f>
        <v>-1187.9703600458381</v>
      </c>
      <c r="R5" s="194">
        <f t="shared" ref="R5:R17" si="12">+Q5/3900</f>
        <v>-0.304607784627138</v>
      </c>
      <c r="S5" s="186">
        <v>104500.27947397501</v>
      </c>
      <c r="T5" s="195"/>
      <c r="U5" s="195"/>
      <c r="V5" s="177"/>
      <c r="W5" s="177"/>
      <c r="X5" s="177"/>
      <c r="Y5" s="313" t="s">
        <v>2</v>
      </c>
      <c r="Z5" s="299">
        <f t="shared" si="3"/>
        <v>9539.2660462877357</v>
      </c>
      <c r="AA5" s="306">
        <f t="shared" si="4"/>
        <v>15226.136189266967</v>
      </c>
      <c r="AB5" s="306">
        <f t="shared" si="5"/>
        <v>16767.094550590366</v>
      </c>
      <c r="AC5" s="306">
        <f t="shared" si="6"/>
        <v>9177.3854119242169</v>
      </c>
      <c r="AD5" s="306">
        <f t="shared" si="7"/>
        <v>14320.797552537197</v>
      </c>
      <c r="AE5" s="307">
        <f t="shared" si="8"/>
        <v>15670.499685719471</v>
      </c>
      <c r="AH5" s="301" t="s">
        <v>298</v>
      </c>
      <c r="AI5" s="302">
        <f>F11+F14+F12</f>
        <v>48799.725918408236</v>
      </c>
    </row>
    <row r="6" spans="3:35" ht="14.4" x14ac:dyDescent="0.3">
      <c r="C6" s="176" t="s">
        <v>51</v>
      </c>
      <c r="D6" s="187">
        <f>Costo!G11*Costo!G28*Costo!G62+Costo!G20*Costo!G29*Costo!G62</f>
        <v>1.5820300574257427</v>
      </c>
      <c r="E6" s="177">
        <f>+Costo!I11</f>
        <v>369.16354141963348</v>
      </c>
      <c r="F6" s="185">
        <f t="shared" si="0"/>
        <v>584.02781863159328</v>
      </c>
      <c r="G6" s="189"/>
      <c r="H6" s="190"/>
      <c r="J6" s="176" t="s">
        <v>51</v>
      </c>
      <c r="K6" s="187">
        <f>Costo!N11*Costo!N28*Costo!N62+Costo!N20*Costo!N29*Costo!N62</f>
        <v>0</v>
      </c>
      <c r="L6" s="177">
        <f>+Costo!P11</f>
        <v>0</v>
      </c>
      <c r="M6" s="188">
        <f t="shared" si="1"/>
        <v>0</v>
      </c>
      <c r="N6" s="191"/>
      <c r="O6" s="192">
        <f t="shared" si="9"/>
        <v>0</v>
      </c>
      <c r="P6" s="192">
        <f t="shared" si="10"/>
        <v>-584.02781863159328</v>
      </c>
      <c r="Q6" s="193">
        <f t="shared" si="11"/>
        <v>-584.02781863159328</v>
      </c>
      <c r="R6" s="194"/>
      <c r="S6" s="186"/>
      <c r="T6" s="195"/>
      <c r="U6" s="195"/>
      <c r="V6" s="177"/>
      <c r="W6" s="177"/>
      <c r="X6" s="177"/>
      <c r="Y6" s="313" t="s">
        <v>51</v>
      </c>
      <c r="Z6" s="299">
        <f t="shared" si="3"/>
        <v>303.69446568842852</v>
      </c>
      <c r="AA6" s="306">
        <f t="shared" si="4"/>
        <v>484.74308946422252</v>
      </c>
      <c r="AB6" s="306">
        <f t="shared" si="5"/>
        <v>533.80142622927633</v>
      </c>
      <c r="AC6" s="306">
        <f t="shared" si="6"/>
        <v>0</v>
      </c>
      <c r="AD6" s="306">
        <f t="shared" si="7"/>
        <v>0</v>
      </c>
      <c r="AE6" s="307">
        <f t="shared" si="8"/>
        <v>0</v>
      </c>
      <c r="AH6" s="301" t="s">
        <v>727</v>
      </c>
      <c r="AI6" s="302">
        <f>F7+F8+F13</f>
        <v>447.23364810839803</v>
      </c>
    </row>
    <row r="7" spans="3:35" ht="14.4" x14ac:dyDescent="0.3">
      <c r="C7" s="176" t="s">
        <v>485</v>
      </c>
      <c r="D7" s="187">
        <f>Costo!G13</f>
        <v>1</v>
      </c>
      <c r="E7" s="177">
        <f>Costo!I13*Costo!G28*Costo!G62+Costo!I22*Costo!G29*Costo!G62</f>
        <v>231.48671014912026</v>
      </c>
      <c r="F7" s="185">
        <f t="shared" si="0"/>
        <v>231.48671014912026</v>
      </c>
      <c r="G7" s="189"/>
      <c r="H7" s="190"/>
      <c r="J7" s="176" t="s">
        <v>485</v>
      </c>
      <c r="K7" s="187">
        <f>Costo!N13</f>
        <v>1</v>
      </c>
      <c r="L7" s="177">
        <f>Costo!P13*Costo!N28*Costo!N62+Costo!P22*Costo!N29*Costo!N62</f>
        <v>225.43511712138215</v>
      </c>
      <c r="M7" s="188">
        <f t="shared" si="1"/>
        <v>225.43511712138215</v>
      </c>
      <c r="N7" s="191">
        <f t="shared" si="2"/>
        <v>-6.0515930277381074</v>
      </c>
      <c r="O7" s="192">
        <f t="shared" si="9"/>
        <v>-6.0515930277381074</v>
      </c>
      <c r="P7" s="192">
        <f t="shared" si="10"/>
        <v>0</v>
      </c>
      <c r="Q7" s="193">
        <f t="shared" si="11"/>
        <v>-6.0515930277381074</v>
      </c>
      <c r="R7" s="194">
        <f t="shared" si="12"/>
        <v>-1.551690519932848E-3</v>
      </c>
      <c r="S7" s="194">
        <f>+S5/M18</f>
        <v>0.11777128688366373</v>
      </c>
      <c r="T7" s="196"/>
      <c r="V7" s="177"/>
      <c r="W7" s="177"/>
      <c r="X7" s="177"/>
      <c r="Y7" s="313" t="s">
        <v>485</v>
      </c>
      <c r="Z7" s="299">
        <f t="shared" si="3"/>
        <v>120.37308927754253</v>
      </c>
      <c r="AA7" s="306">
        <f t="shared" si="4"/>
        <v>192.13396942376986</v>
      </c>
      <c r="AB7" s="306">
        <f t="shared" si="5"/>
        <v>211.57885307629593</v>
      </c>
      <c r="AC7" s="306">
        <f t="shared" si="6"/>
        <v>120.5882406541436</v>
      </c>
      <c r="AD7" s="306">
        <f t="shared" si="7"/>
        <v>188.17121697655102</v>
      </c>
      <c r="AE7" s="307">
        <f t="shared" si="8"/>
        <v>205.90592009102662</v>
      </c>
      <c r="AH7" s="301" t="s">
        <v>776</v>
      </c>
      <c r="AI7" s="302">
        <f>+F15+F16</f>
        <v>8125.5999478793183</v>
      </c>
    </row>
    <row r="8" spans="3:35" ht="14.4" x14ac:dyDescent="0.3">
      <c r="C8" s="176" t="s">
        <v>625</v>
      </c>
      <c r="D8" s="187">
        <v>1</v>
      </c>
      <c r="E8" s="177">
        <f>Costo!I12*Costo!G28*Costo!G62+Costo!I21*Costo!G29*Costo!G62</f>
        <v>0</v>
      </c>
      <c r="F8" s="185">
        <f t="shared" si="0"/>
        <v>0</v>
      </c>
      <c r="G8" s="189"/>
      <c r="H8" s="190"/>
      <c r="J8" s="176" t="s">
        <v>625</v>
      </c>
      <c r="K8" s="187">
        <v>1</v>
      </c>
      <c r="L8" s="177">
        <f>Costo!P12*Costo!N28*Costo!N62+Costo!P21*Costo!N29*Costo!N62</f>
        <v>0</v>
      </c>
      <c r="M8" s="188">
        <f t="shared" si="1"/>
        <v>0</v>
      </c>
      <c r="N8" s="191"/>
      <c r="O8" s="192">
        <f>+(L8-E8)*K8</f>
        <v>0</v>
      </c>
      <c r="P8" s="192">
        <f>+(K8-D8)*E8</f>
        <v>0</v>
      </c>
      <c r="Q8" s="193">
        <f>+P8+O8</f>
        <v>0</v>
      </c>
      <c r="R8" s="194"/>
      <c r="S8" s="194"/>
      <c r="T8" s="196"/>
      <c r="V8" s="177"/>
      <c r="W8" s="177"/>
      <c r="X8" s="177"/>
      <c r="Y8" s="313" t="s">
        <v>625</v>
      </c>
      <c r="Z8" s="299">
        <f t="shared" si="3"/>
        <v>0</v>
      </c>
      <c r="AA8" s="306">
        <f t="shared" si="4"/>
        <v>0</v>
      </c>
      <c r="AB8" s="306">
        <f t="shared" si="5"/>
        <v>0</v>
      </c>
      <c r="AC8" s="306">
        <f t="shared" si="6"/>
        <v>0</v>
      </c>
      <c r="AD8" s="306">
        <f t="shared" si="7"/>
        <v>0</v>
      </c>
      <c r="AE8" s="307">
        <f t="shared" si="8"/>
        <v>0</v>
      </c>
      <c r="AH8" s="301" t="s">
        <v>781</v>
      </c>
      <c r="AI8" s="302">
        <f>SUM(AI3:AI7)</f>
        <v>121865.21542759785</v>
      </c>
    </row>
    <row r="9" spans="3:35" ht="14.4" x14ac:dyDescent="0.3">
      <c r="C9" s="176" t="s">
        <v>267</v>
      </c>
      <c r="D9" s="187">
        <f>Costo!G9*Costo!G28*Costo!G62+Costo!G33*Costo!G62+Costo!G44*Costo!G63+Costo!G56*Costo!G64+Costo!G66+Costo!G23*Costo!G29*Costo!G62</f>
        <v>59.545886686869217</v>
      </c>
      <c r="E9" s="177">
        <f>Costo!H9</f>
        <v>525.14399528097783</v>
      </c>
      <c r="F9" s="185">
        <f t="shared" si="0"/>
        <v>31270.164837290889</v>
      </c>
      <c r="G9" s="185"/>
      <c r="H9" s="190"/>
      <c r="J9" s="176" t="s">
        <v>267</v>
      </c>
      <c r="K9" s="187">
        <f>Costo!N9*Costo!N28*Costo!N62+Costo!N33*Costo!N62+Costo!N44*Costo!N63+Costo!N56*Costo!N64+Costo!N66+Costo!N23*Costo!N29*Costo!N62</f>
        <v>62.32691119184723</v>
      </c>
      <c r="L9" s="177">
        <f>Costo!O9</f>
        <v>485.33891128999591</v>
      </c>
      <c r="M9" s="188">
        <f t="shared" si="1"/>
        <v>30249.675221919395</v>
      </c>
      <c r="N9" s="191">
        <f t="shared" si="2"/>
        <v>-1020.4896153714944</v>
      </c>
      <c r="O9" s="192">
        <f t="shared" ref="O9:O16" si="13">+(L9-E9)*K9</f>
        <v>-2480.9279348899504</v>
      </c>
      <c r="P9" s="192">
        <f t="shared" si="10"/>
        <v>1460.4383195184578</v>
      </c>
      <c r="Q9" s="193">
        <f t="shared" si="11"/>
        <v>-1020.4896153714926</v>
      </c>
      <c r="R9" s="194">
        <f t="shared" si="12"/>
        <v>-0.26166400394140837</v>
      </c>
      <c r="S9" s="195"/>
      <c r="T9" s="195"/>
      <c r="U9" s="195"/>
      <c r="V9" s="177"/>
      <c r="W9" s="177"/>
      <c r="X9" s="177"/>
      <c r="Y9" s="313" t="s">
        <v>267</v>
      </c>
      <c r="Z9" s="299">
        <f t="shared" si="3"/>
        <v>16260.485715391264</v>
      </c>
      <c r="AA9" s="306">
        <f t="shared" si="4"/>
        <v>25954.236814951444</v>
      </c>
      <c r="AB9" s="306">
        <f t="shared" si="5"/>
        <v>28580.930661283874</v>
      </c>
      <c r="AC9" s="306">
        <f t="shared" si="6"/>
        <v>16180.95335788533</v>
      </c>
      <c r="AD9" s="306">
        <f t="shared" si="7"/>
        <v>25249.474315881136</v>
      </c>
      <c r="AE9" s="307">
        <f t="shared" si="8"/>
        <v>27629.179023028402</v>
      </c>
    </row>
    <row r="10" spans="3:35" ht="14.4" x14ac:dyDescent="0.3">
      <c r="C10" s="176" t="s">
        <v>54</v>
      </c>
      <c r="D10" s="187">
        <f>Costo!G35*Costo!G62</f>
        <v>4.0549372499999993E-2</v>
      </c>
      <c r="E10" s="177">
        <f>Costo!H35</f>
        <v>281860.87032197183</v>
      </c>
      <c r="F10" s="185">
        <f t="shared" si="0"/>
        <v>11429.281423859829</v>
      </c>
      <c r="G10" s="177"/>
      <c r="H10" s="190"/>
      <c r="J10" s="176" t="s">
        <v>54</v>
      </c>
      <c r="K10" s="187">
        <f>Costo!N35*Costo!N62</f>
        <v>3.9647260131893632E-2</v>
      </c>
      <c r="L10" s="177">
        <f>Costo!O35</f>
        <v>256211.06522061556</v>
      </c>
      <c r="M10" s="188">
        <f t="shared" si="1"/>
        <v>10158.066751471311</v>
      </c>
      <c r="N10" s="191">
        <f t="shared" si="2"/>
        <v>-1271.214672388518</v>
      </c>
      <c r="O10" s="192">
        <f t="shared" si="13"/>
        <v>-1016.9444951858442</v>
      </c>
      <c r="P10" s="192">
        <f t="shared" si="10"/>
        <v>-254.27017720267406</v>
      </c>
      <c r="Q10" s="193">
        <f t="shared" si="11"/>
        <v>-1271.2146723885182</v>
      </c>
      <c r="R10" s="194">
        <f t="shared" si="12"/>
        <v>-0.32595248009962008</v>
      </c>
      <c r="U10" s="195"/>
      <c r="V10" s="177"/>
      <c r="W10" s="177"/>
      <c r="X10" s="177"/>
      <c r="Y10" s="313" t="s">
        <v>54</v>
      </c>
      <c r="Z10" s="299">
        <f t="shared" si="3"/>
        <v>5943.2263404071118</v>
      </c>
      <c r="AA10" s="306">
        <f t="shared" si="4"/>
        <v>9486.3035818036606</v>
      </c>
      <c r="AB10" s="306">
        <f t="shared" si="5"/>
        <v>10446.363221407884</v>
      </c>
      <c r="AC10" s="306">
        <f t="shared" si="6"/>
        <v>5433.6849273918797</v>
      </c>
      <c r="AD10" s="306">
        <f t="shared" si="7"/>
        <v>8478.9619610337922</v>
      </c>
      <c r="AE10" s="307">
        <f t="shared" si="8"/>
        <v>9278.0845660419982</v>
      </c>
    </row>
    <row r="11" spans="3:35" ht="14.4" x14ac:dyDescent="0.3">
      <c r="C11" s="176" t="s">
        <v>454</v>
      </c>
      <c r="D11" s="197">
        <f>Costo!G63</f>
        <v>0.11141634233453897</v>
      </c>
      <c r="E11" s="177">
        <f>Costo!I45-Costo!I44-Costo!I43</f>
        <v>371824.75538076245</v>
      </c>
      <c r="F11" s="185">
        <f t="shared" si="0"/>
        <v>41427.354233959239</v>
      </c>
      <c r="G11" s="177"/>
      <c r="H11" s="190"/>
      <c r="J11" s="176" t="s">
        <v>454</v>
      </c>
      <c r="K11" s="197">
        <f>Costo!N63</f>
        <v>0.1315494537949963</v>
      </c>
      <c r="L11" s="177">
        <f>Costo!P45-Costo!P44-Costo!P43</f>
        <v>284619.13084366854</v>
      </c>
      <c r="M11" s="188">
        <f t="shared" si="1"/>
        <v>37441.49120209118</v>
      </c>
      <c r="N11" s="191">
        <f t="shared" si="2"/>
        <v>-3985.8630318680589</v>
      </c>
      <c r="O11" s="192">
        <f t="shared" si="13"/>
        <v>-11471.852275706231</v>
      </c>
      <c r="P11" s="192">
        <f t="shared" si="10"/>
        <v>7485.989243838173</v>
      </c>
      <c r="Q11" s="193">
        <f>M11-F11</f>
        <v>-3985.8630318680589</v>
      </c>
      <c r="R11" s="194">
        <f t="shared" si="12"/>
        <v>-1.022016162017451</v>
      </c>
      <c r="T11" s="185"/>
      <c r="U11" s="198"/>
      <c r="V11" s="177"/>
      <c r="W11" s="177"/>
      <c r="X11" s="177"/>
      <c r="Y11" s="313" t="s">
        <v>454</v>
      </c>
      <c r="Z11" s="299">
        <f t="shared" si="3"/>
        <v>21542.224201658806</v>
      </c>
      <c r="AA11" s="306">
        <f t="shared" si="4"/>
        <v>34384.704014186173</v>
      </c>
      <c r="AB11" s="306">
        <f t="shared" si="5"/>
        <v>37864.601769838744</v>
      </c>
      <c r="AC11" s="306">
        <f t="shared" si="6"/>
        <v>20027.951320009899</v>
      </c>
      <c r="AD11" s="306">
        <f t="shared" si="7"/>
        <v>31252.49985396388</v>
      </c>
      <c r="AE11" s="307">
        <f t="shared" si="8"/>
        <v>34197.975869906899</v>
      </c>
    </row>
    <row r="12" spans="3:35" ht="14.4" x14ac:dyDescent="0.3">
      <c r="C12" s="176" t="s">
        <v>642</v>
      </c>
      <c r="D12" s="187">
        <f>Costo!G64</f>
        <v>1.9172729591836735E-2</v>
      </c>
      <c r="E12" s="177">
        <f>Costo!H64-Costo!I56</f>
        <v>337758.95091885468</v>
      </c>
      <c r="F12" s="185">
        <f t="shared" si="0"/>
        <v>6475.7610331896567</v>
      </c>
      <c r="G12" s="177"/>
      <c r="H12" s="190"/>
      <c r="J12" s="176" t="s">
        <v>642</v>
      </c>
      <c r="K12" s="187">
        <f>Costo!N64</f>
        <v>1.6480648537255217E-2</v>
      </c>
      <c r="L12" s="177">
        <f>Costo!O64-Costo!P56</f>
        <v>322974.11085711065</v>
      </c>
      <c r="M12" s="188">
        <f t="shared" si="1"/>
        <v>5322.8228076685446</v>
      </c>
      <c r="N12" s="191"/>
      <c r="O12" s="192">
        <f t="shared" si="13"/>
        <v>-243.66375273713416</v>
      </c>
      <c r="P12" s="192">
        <f>Q12-O12</f>
        <v>-909.27447278397801</v>
      </c>
      <c r="Q12" s="192">
        <f>M12-F12</f>
        <v>-1152.9382255211121</v>
      </c>
      <c r="R12" s="194"/>
      <c r="U12" s="198"/>
      <c r="V12" s="177"/>
      <c r="W12" s="177"/>
      <c r="X12" s="177"/>
      <c r="Y12" s="313" t="s">
        <v>642</v>
      </c>
      <c r="Z12" s="299">
        <f t="shared" si="3"/>
        <v>3367.3957372586215</v>
      </c>
      <c r="AA12" s="306">
        <f t="shared" si="4"/>
        <v>5374.8816575474166</v>
      </c>
      <c r="AB12" s="306">
        <f t="shared" si="5"/>
        <v>5918.8455843353468</v>
      </c>
      <c r="AC12" s="306">
        <f t="shared" si="6"/>
        <v>2847.2486713101298</v>
      </c>
      <c r="AD12" s="306">
        <f t="shared" si="7"/>
        <v>4442.9725867875086</v>
      </c>
      <c r="AE12" s="307">
        <f t="shared" si="8"/>
        <v>4861.7125037549858</v>
      </c>
    </row>
    <row r="13" spans="3:35" ht="14.4" x14ac:dyDescent="0.3">
      <c r="C13" s="176" t="s">
        <v>700</v>
      </c>
      <c r="D13" s="187">
        <v>1</v>
      </c>
      <c r="E13" s="177">
        <f>Costo!I67+Costo!I70</f>
        <v>215.7469379592778</v>
      </c>
      <c r="F13" s="185">
        <f t="shared" si="0"/>
        <v>215.7469379592778</v>
      </c>
      <c r="G13" s="177"/>
      <c r="H13" s="190"/>
      <c r="J13" s="176" t="s">
        <v>700</v>
      </c>
      <c r="K13" s="187">
        <v>1</v>
      </c>
      <c r="L13" s="177">
        <f>Costo!P67+Costo!P70</f>
        <v>303.38393086269048</v>
      </c>
      <c r="M13" s="188">
        <f t="shared" si="1"/>
        <v>303.38393086269048</v>
      </c>
      <c r="N13" s="191"/>
      <c r="O13" s="192">
        <f t="shared" si="13"/>
        <v>87.636992903412676</v>
      </c>
      <c r="P13" s="192">
        <f>Q13-O13</f>
        <v>0</v>
      </c>
      <c r="Q13" s="192">
        <f>M13-F13</f>
        <v>87.636992903412676</v>
      </c>
      <c r="R13" s="194"/>
      <c r="U13" s="198"/>
      <c r="V13" s="177"/>
      <c r="W13" s="177"/>
      <c r="X13" s="177"/>
      <c r="Y13" s="313" t="s">
        <v>700</v>
      </c>
      <c r="Z13" s="299">
        <f t="shared" si="3"/>
        <v>112.18840773882447</v>
      </c>
      <c r="AA13" s="306">
        <f t="shared" si="4"/>
        <v>179.06995850620061</v>
      </c>
      <c r="AB13" s="306">
        <f t="shared" si="5"/>
        <v>197.19270129477991</v>
      </c>
      <c r="AC13" s="306">
        <f t="shared" si="6"/>
        <v>162.28409722772602</v>
      </c>
      <c r="AD13" s="306">
        <f t="shared" si="7"/>
        <v>253.2352732375056</v>
      </c>
      <c r="AE13" s="307">
        <f t="shared" si="8"/>
        <v>277.10211356059239</v>
      </c>
    </row>
    <row r="14" spans="3:35" ht="14.4" x14ac:dyDescent="0.3">
      <c r="C14" s="176" t="s">
        <v>461</v>
      </c>
      <c r="D14" s="187">
        <f>Costo!G71</f>
        <v>7.4717554271611364E-2</v>
      </c>
      <c r="E14" s="177">
        <f>Costo!H71</f>
        <v>12000</v>
      </c>
      <c r="F14" s="185">
        <f t="shared" si="0"/>
        <v>896.61065125933635</v>
      </c>
      <c r="G14" s="185"/>
      <c r="H14" s="190"/>
      <c r="I14" s="199"/>
      <c r="J14" s="176" t="s">
        <v>461</v>
      </c>
      <c r="K14" s="187">
        <f>Costo!N71</f>
        <v>0.12853227052826224</v>
      </c>
      <c r="L14" s="177">
        <f>Costo!O71</f>
        <v>8663.0042401421924</v>
      </c>
      <c r="M14" s="188">
        <f t="shared" si="1"/>
        <v>1113.4756045814393</v>
      </c>
      <c r="N14" s="191">
        <f t="shared" si="2"/>
        <v>216.86495332210291</v>
      </c>
      <c r="O14" s="192">
        <f t="shared" si="13"/>
        <v>-428.91164175770774</v>
      </c>
      <c r="P14" s="192">
        <f t="shared" si="10"/>
        <v>645.77659507981059</v>
      </c>
      <c r="Q14" s="192">
        <f t="shared" si="11"/>
        <v>216.86495332210285</v>
      </c>
      <c r="R14" s="194">
        <f t="shared" si="12"/>
        <v>5.5606398287718677E-2</v>
      </c>
      <c r="U14" s="198"/>
      <c r="V14" s="177"/>
      <c r="W14" s="177"/>
      <c r="X14" s="177"/>
      <c r="Y14" s="313" t="s">
        <v>461</v>
      </c>
      <c r="Z14" s="299">
        <f t="shared" si="3"/>
        <v>466.23753865485492</v>
      </c>
      <c r="AA14" s="306">
        <f t="shared" si="4"/>
        <v>744.18684054524931</v>
      </c>
      <c r="AB14" s="306">
        <f t="shared" si="5"/>
        <v>819.50213525103345</v>
      </c>
      <c r="AC14" s="306">
        <f t="shared" si="6"/>
        <v>595.61290131868793</v>
      </c>
      <c r="AD14" s="306">
        <f t="shared" si="7"/>
        <v>929.42067883317077</v>
      </c>
      <c r="AE14" s="307">
        <f t="shared" si="8"/>
        <v>1017.0164337653114</v>
      </c>
    </row>
    <row r="15" spans="3:35" ht="14.4" x14ac:dyDescent="0.3">
      <c r="C15" s="176" t="s">
        <v>503</v>
      </c>
      <c r="D15" s="187">
        <v>1</v>
      </c>
      <c r="E15" s="177">
        <f>(Costo!I73*Costo!I75)/F18</f>
        <v>3600.6055380998073</v>
      </c>
      <c r="F15" s="185">
        <f t="shared" si="0"/>
        <v>3600.6055380998073</v>
      </c>
      <c r="G15" s="185"/>
      <c r="H15" s="190"/>
      <c r="J15" s="176" t="s">
        <v>503</v>
      </c>
      <c r="K15" s="187">
        <v>1</v>
      </c>
      <c r="L15" s="177">
        <f>(Costo!P73*Costo!P75)/M18</f>
        <v>3021.5659286372629</v>
      </c>
      <c r="M15" s="188">
        <f t="shared" si="1"/>
        <v>3021.5659286372629</v>
      </c>
      <c r="N15" s="191">
        <f t="shared" si="2"/>
        <v>-579.03960946254438</v>
      </c>
      <c r="O15" s="192">
        <f t="shared" si="13"/>
        <v>-579.03960946254438</v>
      </c>
      <c r="P15" s="192">
        <f t="shared" si="10"/>
        <v>0</v>
      </c>
      <c r="Q15" s="192">
        <f t="shared" si="11"/>
        <v>-579.03960946254438</v>
      </c>
      <c r="R15" s="194">
        <f t="shared" si="12"/>
        <v>-0.14847169473398575</v>
      </c>
      <c r="V15" s="177"/>
      <c r="W15" s="177"/>
      <c r="X15" s="177"/>
      <c r="Y15" s="313" t="s">
        <v>503</v>
      </c>
      <c r="Z15" s="299">
        <f t="shared" si="3"/>
        <v>1872.3148798118998</v>
      </c>
      <c r="AA15" s="306">
        <f t="shared" si="4"/>
        <v>2988.5025966228409</v>
      </c>
      <c r="AB15" s="306">
        <f t="shared" si="5"/>
        <v>3290.9534618232242</v>
      </c>
      <c r="AC15" s="306">
        <f t="shared" si="6"/>
        <v>1616.2757781818177</v>
      </c>
      <c r="AD15" s="306">
        <f t="shared" si="7"/>
        <v>2522.1081135305881</v>
      </c>
      <c r="AE15" s="307">
        <f t="shared" si="8"/>
        <v>2759.8109850683159</v>
      </c>
    </row>
    <row r="16" spans="3:35" ht="15" thickBot="1" x14ac:dyDescent="0.35">
      <c r="C16" s="176" t="s">
        <v>701</v>
      </c>
      <c r="D16" s="187">
        <v>1</v>
      </c>
      <c r="E16" s="177">
        <f>(Costo!I10*Costo!G28*Costo!G62)+(Costo!I19*Costo!G29*Costo!G62)+((Costo!I30+Costo!I31+Costo!I32)*Costo!G62)+(Costo!I43*Costo!G63)+(Costo!I57*Costo!G64)+(Costo!I65+Costo!I68+Costo!I69+Costo!I72)</f>
        <v>4524.9944097795105</v>
      </c>
      <c r="F16" s="185">
        <f t="shared" si="0"/>
        <v>4524.9944097795105</v>
      </c>
      <c r="G16" s="185"/>
      <c r="H16" s="190"/>
      <c r="J16" s="176" t="s">
        <v>701</v>
      </c>
      <c r="K16" s="187">
        <v>1</v>
      </c>
      <c r="L16" s="177">
        <f>(Costo!P10*Costo!N28*Costo!N62)+(Costo!P19*Costo!N29*Costo!N62)+((Costo!P30+Costo!P31+Costo!P32)*Costo!N62)+(Costo!P43*Costo!N63)+(Costo!P57*Costo!N64)+(Costo!P65+Costo!P68+Costo!P69+Costo!P72)</f>
        <v>5406.0255726503301</v>
      </c>
      <c r="M16" s="185">
        <f t="shared" si="1"/>
        <v>5406.0255726503301</v>
      </c>
      <c r="N16" s="191">
        <f t="shared" si="2"/>
        <v>881.03116287081957</v>
      </c>
      <c r="O16" s="192">
        <f t="shared" si="13"/>
        <v>881.03116287081957</v>
      </c>
      <c r="P16" s="192">
        <f t="shared" si="10"/>
        <v>0</v>
      </c>
      <c r="Q16" s="192">
        <f t="shared" si="11"/>
        <v>881.03116287081957</v>
      </c>
      <c r="R16" s="194">
        <f t="shared" si="12"/>
        <v>0.22590542637713323</v>
      </c>
      <c r="V16" s="177"/>
      <c r="W16" s="177"/>
      <c r="X16" s="177"/>
      <c r="Y16" s="314" t="s">
        <v>701</v>
      </c>
      <c r="Z16" s="300">
        <f t="shared" si="3"/>
        <v>2352.9970930853456</v>
      </c>
      <c r="AA16" s="298">
        <f t="shared" si="4"/>
        <v>3755.7453601169946</v>
      </c>
      <c r="AB16" s="298">
        <f t="shared" si="5"/>
        <v>4135.844890538473</v>
      </c>
      <c r="AC16" s="298">
        <f t="shared" si="6"/>
        <v>2891.7549362382838</v>
      </c>
      <c r="AD16" s="298">
        <f t="shared" si="7"/>
        <v>4512.4221283778134</v>
      </c>
      <c r="AE16" s="308">
        <f t="shared" si="8"/>
        <v>4937.7075044294706</v>
      </c>
    </row>
    <row r="17" spans="1:31" ht="15" thickTop="1" x14ac:dyDescent="0.3">
      <c r="C17" s="200" t="s">
        <v>395</v>
      </c>
      <c r="D17" s="200"/>
      <c r="E17" s="201"/>
      <c r="F17" s="202">
        <f>SUM(F4:F16)</f>
        <v>121865.21542759785</v>
      </c>
      <c r="G17" s="203"/>
      <c r="H17" s="203"/>
      <c r="J17" s="200"/>
      <c r="K17" s="200"/>
      <c r="L17" s="201"/>
      <c r="M17" s="202">
        <f>SUM(M4:M16)</f>
        <v>113462.98244591444</v>
      </c>
      <c r="N17" s="191">
        <f t="shared" si="2"/>
        <v>-8402.2329816834099</v>
      </c>
      <c r="O17" s="204">
        <f>+SUM(O4:O16)</f>
        <v>-16110.399908435207</v>
      </c>
      <c r="P17" s="204">
        <f>+SUM(P4:P16)</f>
        <v>7708.1669267517937</v>
      </c>
      <c r="Q17" s="202">
        <f>+SUM(Q4:Q16)</f>
        <v>-8402.2329816834135</v>
      </c>
      <c r="R17" s="194">
        <f t="shared" si="12"/>
        <v>-2.1544187132521575</v>
      </c>
      <c r="S17" s="177">
        <v>26458.130758959815</v>
      </c>
      <c r="V17" s="177"/>
      <c r="W17" s="177"/>
      <c r="X17" s="177"/>
      <c r="Y17" s="301" t="s">
        <v>781</v>
      </c>
      <c r="Z17" s="216">
        <f>SUM(Z4:Z16)</f>
        <v>63369.912022350887</v>
      </c>
      <c r="AA17" s="216">
        <f t="shared" ref="AA17:AB17" si="14">SUM(AA4:AA16)</f>
        <v>101148.12880490624</v>
      </c>
      <c r="AB17" s="216">
        <f t="shared" si="14"/>
        <v>111384.80690082445</v>
      </c>
      <c r="AC17" s="216">
        <f>SUM(AC4:AC16)</f>
        <v>60692.857471525924</v>
      </c>
      <c r="AD17" s="216">
        <f t="shared" ref="AD17:AE17" si="15">SUM(AD4:AD16)</f>
        <v>94707.815540295473</v>
      </c>
      <c r="AE17" s="216">
        <f t="shared" si="15"/>
        <v>103633.80867683857</v>
      </c>
    </row>
    <row r="18" spans="1:31" ht="14.4" x14ac:dyDescent="0.3">
      <c r="C18" s="200" t="s">
        <v>702</v>
      </c>
      <c r="D18" s="200"/>
      <c r="E18" s="201"/>
      <c r="F18" s="202">
        <f>Costo!I75</f>
        <v>856559.08606629202</v>
      </c>
      <c r="G18" s="203"/>
      <c r="H18" s="203"/>
      <c r="I18" s="205"/>
      <c r="J18" s="200"/>
      <c r="K18" s="200"/>
      <c r="L18" s="201"/>
      <c r="M18" s="202">
        <f>Costo!P75</f>
        <v>887315.42500000005</v>
      </c>
      <c r="N18" s="183"/>
      <c r="Q18" s="177"/>
      <c r="V18" s="177"/>
      <c r="W18" s="177"/>
      <c r="X18" s="177"/>
      <c r="Y18" s="177"/>
    </row>
    <row r="19" spans="1:31" ht="14.4" x14ac:dyDescent="0.3">
      <c r="B19" s="185"/>
      <c r="E19" s="177"/>
      <c r="F19" s="177"/>
      <c r="G19" s="177"/>
      <c r="H19" s="177"/>
      <c r="I19" s="205"/>
      <c r="J19" s="177"/>
      <c r="L19" s="177"/>
      <c r="M19" s="177"/>
      <c r="N19" s="183"/>
      <c r="S19" s="177"/>
      <c r="V19" s="177"/>
      <c r="W19" s="177"/>
      <c r="X19" s="177"/>
      <c r="Y19" s="364" t="s">
        <v>779</v>
      </c>
      <c r="Z19" s="365"/>
      <c r="AA19" s="366"/>
    </row>
    <row r="20" spans="1:31" ht="14.4" x14ac:dyDescent="0.3">
      <c r="C20" s="178" t="s">
        <v>464</v>
      </c>
      <c r="D20" s="355" t="s">
        <v>696</v>
      </c>
      <c r="E20" s="355"/>
      <c r="F20" s="355"/>
      <c r="G20" s="179"/>
      <c r="H20" s="179"/>
      <c r="I20" s="206"/>
      <c r="J20" s="178" t="s">
        <v>464</v>
      </c>
      <c r="K20" s="355" t="s">
        <v>697</v>
      </c>
      <c r="L20" s="355"/>
      <c r="M20" s="355"/>
      <c r="N20" s="183"/>
      <c r="O20" s="355" t="s">
        <v>617</v>
      </c>
      <c r="P20" s="355"/>
      <c r="Q20" s="355"/>
      <c r="S20" s="177"/>
      <c r="Y20" s="315"/>
      <c r="Z20" s="316"/>
      <c r="AA20" s="317"/>
      <c r="AB20" s="185"/>
    </row>
    <row r="21" spans="1:31" ht="14.4" x14ac:dyDescent="0.3">
      <c r="C21" s="180" t="s">
        <v>52</v>
      </c>
      <c r="D21" s="181" t="s">
        <v>620</v>
      </c>
      <c r="E21" s="181" t="s">
        <v>621</v>
      </c>
      <c r="F21" s="181" t="s">
        <v>395</v>
      </c>
      <c r="G21" s="182"/>
      <c r="H21" s="182"/>
      <c r="I21" s="206"/>
      <c r="J21" s="180" t="s">
        <v>52</v>
      </c>
      <c r="K21" s="181" t="s">
        <v>620</v>
      </c>
      <c r="L21" s="181" t="s">
        <v>621</v>
      </c>
      <c r="M21" s="181" t="s">
        <v>395</v>
      </c>
      <c r="N21" s="183"/>
      <c r="O21" s="184" t="s">
        <v>622</v>
      </c>
      <c r="P21" s="184" t="s">
        <v>623</v>
      </c>
      <c r="Q21" s="184" t="s">
        <v>395</v>
      </c>
      <c r="S21" s="177">
        <f>+F10*F18</f>
        <v>9789854850.8158245</v>
      </c>
      <c r="Y21" s="318" t="s">
        <v>707</v>
      </c>
      <c r="Z21" s="319">
        <f>(Costo!G7*Costo!G28*Costo!G62)*Costo!I75</f>
        <v>230963.74201147479</v>
      </c>
      <c r="AA21" s="320" t="s">
        <v>708</v>
      </c>
      <c r="AB21" s="185"/>
    </row>
    <row r="22" spans="1:31" ht="14.4" x14ac:dyDescent="0.3">
      <c r="C22" s="176" t="s">
        <v>182</v>
      </c>
      <c r="D22" s="187">
        <f>Costo!G78</f>
        <v>0.52</v>
      </c>
      <c r="E22" s="187">
        <f>Costo!H78</f>
        <v>121865.27029471415</v>
      </c>
      <c r="F22" s="185">
        <f>E22*D22</f>
        <v>63369.940553251363</v>
      </c>
      <c r="G22" s="185"/>
      <c r="H22" s="185"/>
      <c r="I22" s="206"/>
      <c r="J22" s="176" t="s">
        <v>182</v>
      </c>
      <c r="K22" s="187">
        <f>Costo!N78</f>
        <v>0.53491329209909511</v>
      </c>
      <c r="L22" s="206">
        <f>Costo!O78</f>
        <v>113462.98244591446</v>
      </c>
      <c r="M22" s="185">
        <f>L22*K22</f>
        <v>60692.857471525938</v>
      </c>
      <c r="N22" s="191">
        <f t="shared" ref="N22:N33" si="16">+M22-F22</f>
        <v>-2677.0830817254246</v>
      </c>
      <c r="O22" s="192">
        <f t="shared" ref="O22:O32" si="17">+(L22-E22)*K22</f>
        <v>-4494.4954543656677</v>
      </c>
      <c r="P22" s="192">
        <f t="shared" ref="P22:P32" si="18">+(K22-D22)*E22</f>
        <v>1817.4123726402479</v>
      </c>
      <c r="Q22" s="192">
        <f t="shared" ref="Q22:Q32" si="19">+P22+O22</f>
        <v>-2677.08308172542</v>
      </c>
      <c r="R22" s="194">
        <f t="shared" ref="R22:R33" si="20">+Q22/3900</f>
        <v>-0.68643155941677436</v>
      </c>
      <c r="S22" s="177">
        <f>+F11*F18</f>
        <v>35484976680.78466</v>
      </c>
      <c r="Y22" s="321" t="s">
        <v>709</v>
      </c>
      <c r="Z22" s="322">
        <f>(Costo!G78*Costo!I91+Costo!G94*Costo!I107+Costo!G159*Costo!I168)/SUM(Costo!I91+Costo!I107+Costo!I168)*Z21</f>
        <v>146743.0804708678</v>
      </c>
      <c r="AA22" s="323"/>
      <c r="AB22" s="185"/>
    </row>
    <row r="23" spans="1:31" ht="14.4" x14ac:dyDescent="0.3">
      <c r="C23" s="176" t="s">
        <v>391</v>
      </c>
      <c r="D23" s="187">
        <f>Costo!G79</f>
        <v>0.38783999999999996</v>
      </c>
      <c r="E23" s="187">
        <f>Costo!H79</f>
        <v>16036.454010329262</v>
      </c>
      <c r="F23" s="185">
        <f t="shared" ref="F23:F32" si="21">E23*D23</f>
        <v>6219.5783233661004</v>
      </c>
      <c r="G23" s="185"/>
      <c r="H23" s="185"/>
      <c r="I23" s="206"/>
      <c r="J23" s="176" t="s">
        <v>391</v>
      </c>
      <c r="K23" s="187">
        <f>Costo!N79</f>
        <v>0.37435213985870258</v>
      </c>
      <c r="L23" s="187">
        <f>Costo!O79</f>
        <v>15086.890784461226</v>
      </c>
      <c r="M23" s="185">
        <f t="shared" ref="M23:M32" si="22">L23*K23</f>
        <v>5647.8098489776003</v>
      </c>
      <c r="N23" s="191">
        <f t="shared" si="16"/>
        <v>-571.76847438850018</v>
      </c>
      <c r="O23" s="192">
        <f t="shared" si="17"/>
        <v>-355.47102553483188</v>
      </c>
      <c r="P23" s="192">
        <f t="shared" si="18"/>
        <v>-216.29744885366858</v>
      </c>
      <c r="Q23" s="192">
        <f t="shared" si="19"/>
        <v>-571.76847438850041</v>
      </c>
      <c r="R23" s="194">
        <f t="shared" si="20"/>
        <v>-0.14660730112525652</v>
      </c>
      <c r="S23" s="177">
        <f>+F27*F34</f>
        <v>1270834884.3894646</v>
      </c>
      <c r="Y23" s="321" t="s">
        <v>710</v>
      </c>
      <c r="Z23" s="324">
        <f>(Costo!G8*Costo!G28*Costo!G62)*Costo!I75+(Costo!G18*Costo!G29*Costo!G62)*Costo!I75</f>
        <v>1124138.4781065227</v>
      </c>
      <c r="AA23" s="320" t="s">
        <v>711</v>
      </c>
      <c r="AB23" s="185"/>
    </row>
    <row r="24" spans="1:31" ht="14.4" x14ac:dyDescent="0.3">
      <c r="C24" s="176" t="s">
        <v>703</v>
      </c>
      <c r="D24" s="187">
        <f>Costo!G80</f>
        <v>5.0000000000000001E-4</v>
      </c>
      <c r="E24" s="206">
        <f>Costo!H80</f>
        <v>4396360.0000000009</v>
      </c>
      <c r="F24" s="185">
        <f t="shared" si="21"/>
        <v>2198.1800000000003</v>
      </c>
      <c r="G24" s="185"/>
      <c r="H24" s="185"/>
      <c r="I24" s="206"/>
      <c r="J24" s="176" t="s">
        <v>703</v>
      </c>
      <c r="K24" s="187">
        <f>Costo!N80</f>
        <v>5.0303888950006131E-4</v>
      </c>
      <c r="L24" s="206">
        <f>Costo!O80</f>
        <v>4014954.4513995093</v>
      </c>
      <c r="M24" s="185">
        <f t="shared" si="22"/>
        <v>2019.6782286253372</v>
      </c>
      <c r="N24" s="191"/>
      <c r="O24" s="192">
        <f>+(L24-E24)*K24</f>
        <v>-191.86182361715296</v>
      </c>
      <c r="P24" s="192">
        <f>+(K24-D24)*E24</f>
        <v>13.360052242489507</v>
      </c>
      <c r="Q24" s="192">
        <f>+P24+O24</f>
        <v>-178.50177137466346</v>
      </c>
      <c r="R24" s="194"/>
      <c r="S24" s="177"/>
      <c r="Y24" s="318" t="s">
        <v>712</v>
      </c>
      <c r="Z24" s="325">
        <f>(Costo!G78*Costo!I91+Costo!G94*Costo!I107+Costo!G159*Costo!I168)/SUM(Costo!I91+Costo!I107+Costo!I168)*Z23+(Costo!G79*Costo!I91+Costo!G95*Costo!I107+Costo!G160*Costo!I168)</f>
        <v>1061778.2275662862</v>
      </c>
      <c r="AA24" s="323"/>
      <c r="AB24" s="185"/>
    </row>
    <row r="25" spans="1:31" ht="14.4" x14ac:dyDescent="0.3">
      <c r="C25" s="176" t="s">
        <v>58</v>
      </c>
      <c r="D25" s="187">
        <f>Costo!G81</f>
        <v>0.03</v>
      </c>
      <c r="E25" s="206">
        <f>Costo!H81</f>
        <v>105080.05419161372</v>
      </c>
      <c r="F25" s="185">
        <f t="shared" si="21"/>
        <v>3152.4016257484113</v>
      </c>
      <c r="G25" s="185"/>
      <c r="H25" s="185"/>
      <c r="I25" s="206"/>
      <c r="J25" s="176" t="s">
        <v>58</v>
      </c>
      <c r="K25" s="187">
        <f>Costo!N81</f>
        <v>2.8487187525302118E-2</v>
      </c>
      <c r="L25" s="187">
        <f>Costo!O81</f>
        <v>109078.75807676019</v>
      </c>
      <c r="M25" s="185">
        <f t="shared" si="22"/>
        <v>3107.3470363597307</v>
      </c>
      <c r="N25" s="191"/>
      <c r="O25" s="192">
        <f t="shared" ref="O25:O26" si="23">+(L25-E25)*K25</f>
        <v>113.91182743432178</v>
      </c>
      <c r="P25" s="192">
        <f t="shared" ref="P25:P26" si="24">+(K25-D25)*E25</f>
        <v>-158.96641682300253</v>
      </c>
      <c r="Q25" s="192">
        <f>+P25+O25</f>
        <v>-45.054589388680753</v>
      </c>
      <c r="R25" s="194"/>
      <c r="S25" s="177"/>
      <c r="Y25" s="326" t="s">
        <v>713</v>
      </c>
      <c r="Z25" s="327">
        <f>(Costo!G79*Costo!I91+Costo!G95*Costo!I107+Costo!G160*Costo!I168)</f>
        <v>347555.54604691267</v>
      </c>
      <c r="AA25" s="328" t="s">
        <v>714</v>
      </c>
      <c r="AB25" s="185"/>
    </row>
    <row r="26" spans="1:31" ht="14.4" x14ac:dyDescent="0.3">
      <c r="C26" s="176" t="s">
        <v>540</v>
      </c>
      <c r="D26" s="187">
        <f>Costo!G82</f>
        <v>3.0149999999999993E-2</v>
      </c>
      <c r="E26" s="206">
        <f>Costo!H82</f>
        <v>31752.892182537373</v>
      </c>
      <c r="F26" s="185">
        <f t="shared" si="21"/>
        <v>957.34969930350155</v>
      </c>
      <c r="G26" s="185"/>
      <c r="H26" s="185"/>
      <c r="I26" s="206"/>
      <c r="J26" s="176" t="s">
        <v>540</v>
      </c>
      <c r="K26" s="187">
        <f>Costo!N82</f>
        <v>2.4946179717197554E-2</v>
      </c>
      <c r="L26" s="187">
        <f>Costo!O82</f>
        <v>29052.956377976945</v>
      </c>
      <c r="M26" s="185">
        <f t="shared" si="22"/>
        <v>724.76027112091379</v>
      </c>
      <c r="N26" s="191"/>
      <c r="O26" s="192">
        <f t="shared" si="23"/>
        <v>-67.353083805460798</v>
      </c>
      <c r="P26" s="192">
        <f t="shared" si="24"/>
        <v>-165.23634437712698</v>
      </c>
      <c r="Q26" s="192">
        <f>+P26+O26</f>
        <v>-232.58942818258777</v>
      </c>
      <c r="R26" s="194"/>
      <c r="S26" s="177"/>
      <c r="AB26" s="185"/>
    </row>
    <row r="27" spans="1:31" ht="14.4" x14ac:dyDescent="0.3">
      <c r="A27" s="196">
        <f>A23*840000</f>
        <v>0</v>
      </c>
      <c r="C27" s="176" t="s">
        <v>704</v>
      </c>
      <c r="D27" s="187">
        <f>Costo!G84</f>
        <v>1</v>
      </c>
      <c r="E27" s="187">
        <f>Costo!H84</f>
        <v>1539.636971538461</v>
      </c>
      <c r="F27" s="185">
        <f t="shared" si="21"/>
        <v>1539.636971538461</v>
      </c>
      <c r="G27" s="185"/>
      <c r="H27" s="185"/>
      <c r="I27" s="206"/>
      <c r="J27" s="176" t="s">
        <v>704</v>
      </c>
      <c r="K27" s="187">
        <f>Costo!N84</f>
        <v>1</v>
      </c>
      <c r="L27" s="187">
        <f>Costo!O84</f>
        <v>1117.2995875639574</v>
      </c>
      <c r="M27" s="185">
        <f t="shared" si="22"/>
        <v>1117.2995875639574</v>
      </c>
      <c r="N27" s="191">
        <f t="shared" si="16"/>
        <v>-422.33738397450361</v>
      </c>
      <c r="O27" s="192">
        <f t="shared" si="17"/>
        <v>-422.33738397450361</v>
      </c>
      <c r="P27" s="192">
        <f t="shared" si="18"/>
        <v>0</v>
      </c>
      <c r="Q27" s="192">
        <f t="shared" si="19"/>
        <v>-422.33738397450361</v>
      </c>
      <c r="R27" s="194">
        <f t="shared" si="20"/>
        <v>-0.10829163691653938</v>
      </c>
      <c r="S27" s="177">
        <f>+F43*F50</f>
        <v>678744483.66103244</v>
      </c>
      <c r="AB27" s="185"/>
    </row>
    <row r="28" spans="1:31" ht="14.4" x14ac:dyDescent="0.3">
      <c r="C28" s="176" t="s">
        <v>267</v>
      </c>
      <c r="D28" s="187">
        <f>Costo!G85</f>
        <v>25.699999999999996</v>
      </c>
      <c r="E28" s="187">
        <f>Costo!H85</f>
        <v>525.28044843170676</v>
      </c>
      <c r="F28" s="185">
        <f t="shared" si="21"/>
        <v>13499.707524694861</v>
      </c>
      <c r="G28" s="207"/>
      <c r="H28" s="207"/>
      <c r="I28" s="206"/>
      <c r="J28" s="176" t="s">
        <v>267</v>
      </c>
      <c r="K28" s="187">
        <f>Costo!N85</f>
        <v>26.405728162478216</v>
      </c>
      <c r="L28" s="187">
        <f>Costo!O85</f>
        <v>485.33891128999591</v>
      </c>
      <c r="M28" s="185">
        <f t="shared" si="22"/>
        <v>12815.727358196762</v>
      </c>
      <c r="N28" s="191"/>
      <c r="O28" s="192">
        <f t="shared" si="17"/>
        <v>-1054.685372155544</v>
      </c>
      <c r="P28" s="192">
        <f t="shared" si="18"/>
        <v>370.70520565744374</v>
      </c>
      <c r="Q28" s="192">
        <f t="shared" si="19"/>
        <v>-683.98016649810029</v>
      </c>
      <c r="R28" s="194"/>
      <c r="S28" s="177"/>
      <c r="AB28" s="185"/>
    </row>
    <row r="29" spans="1:31" ht="14.4" x14ac:dyDescent="0.3">
      <c r="C29" s="176" t="s">
        <v>461</v>
      </c>
      <c r="D29" s="187">
        <f>Costo!G86</f>
        <v>1</v>
      </c>
      <c r="E29" s="187">
        <f>Costo!H86</f>
        <v>0</v>
      </c>
      <c r="F29" s="185">
        <f t="shared" si="21"/>
        <v>0</v>
      </c>
      <c r="G29" s="185"/>
      <c r="H29" s="185"/>
      <c r="I29" s="206"/>
      <c r="J29" s="176" t="s">
        <v>461</v>
      </c>
      <c r="K29" s="187">
        <f>Costo!N86</f>
        <v>0</v>
      </c>
      <c r="L29" s="187">
        <f>Costo!O86</f>
        <v>0</v>
      </c>
      <c r="M29" s="185">
        <f t="shared" si="22"/>
        <v>0</v>
      </c>
      <c r="N29" s="191">
        <f t="shared" si="16"/>
        <v>0</v>
      </c>
      <c r="O29" s="192">
        <f t="shared" si="17"/>
        <v>0</v>
      </c>
      <c r="P29" s="192">
        <f t="shared" si="18"/>
        <v>0</v>
      </c>
      <c r="Q29" s="192">
        <f t="shared" si="19"/>
        <v>0</v>
      </c>
      <c r="R29" s="194">
        <f t="shared" si="20"/>
        <v>0</v>
      </c>
      <c r="S29" s="177" t="e">
        <v>#REF!</v>
      </c>
    </row>
    <row r="30" spans="1:31" ht="14.4" x14ac:dyDescent="0.3">
      <c r="C30" s="176" t="s">
        <v>32</v>
      </c>
      <c r="D30" s="187">
        <f>Costo!G87</f>
        <v>0</v>
      </c>
      <c r="E30" s="187">
        <f>Costo!H87</f>
        <v>0</v>
      </c>
      <c r="F30" s="185">
        <f t="shared" si="21"/>
        <v>0</v>
      </c>
      <c r="G30" s="208"/>
      <c r="H30" s="208"/>
      <c r="I30" s="206"/>
      <c r="J30" s="176" t="s">
        <v>32</v>
      </c>
      <c r="K30" s="187">
        <f>Costo!N87</f>
        <v>0</v>
      </c>
      <c r="L30" s="206">
        <f>Costo!O87</f>
        <v>0</v>
      </c>
      <c r="M30" s="185">
        <f t="shared" si="22"/>
        <v>0</v>
      </c>
      <c r="N30" s="191"/>
      <c r="O30" s="192">
        <f t="shared" si="17"/>
        <v>0</v>
      </c>
      <c r="P30" s="192">
        <f t="shared" si="18"/>
        <v>0</v>
      </c>
      <c r="Q30" s="192">
        <f t="shared" si="19"/>
        <v>0</v>
      </c>
      <c r="R30" s="194"/>
      <c r="S30" s="177"/>
    </row>
    <row r="31" spans="1:31" ht="14.4" x14ac:dyDescent="0.3">
      <c r="C31" s="176" t="s">
        <v>705</v>
      </c>
      <c r="D31" s="187">
        <f>Costo!G88</f>
        <v>0</v>
      </c>
      <c r="E31" s="187">
        <f>Costo!H88</f>
        <v>0</v>
      </c>
      <c r="F31" s="185">
        <f t="shared" si="21"/>
        <v>0</v>
      </c>
      <c r="G31" s="208"/>
      <c r="H31" s="208"/>
      <c r="I31" s="206"/>
      <c r="J31" s="176" t="s">
        <v>705</v>
      </c>
      <c r="K31" s="187">
        <f>Costo!N88</f>
        <v>0</v>
      </c>
      <c r="L31" s="187">
        <f>Costo!O88</f>
        <v>0</v>
      </c>
      <c r="M31" s="185">
        <f t="shared" si="22"/>
        <v>0</v>
      </c>
      <c r="N31" s="191"/>
      <c r="O31" s="192">
        <f>+(L31-E31)*K31</f>
        <v>0</v>
      </c>
      <c r="P31" s="192">
        <f>+(K31-D31)*E31</f>
        <v>0</v>
      </c>
      <c r="Q31" s="192">
        <f>+P31+O31</f>
        <v>0</v>
      </c>
      <c r="R31" s="194"/>
      <c r="S31" s="177"/>
    </row>
    <row r="32" spans="1:31" ht="14.4" x14ac:dyDescent="0.3">
      <c r="C32" s="176" t="s">
        <v>57</v>
      </c>
      <c r="D32" s="187">
        <f>Costo!G89</f>
        <v>4.1042700000000008E-2</v>
      </c>
      <c r="E32" s="187">
        <f>Costo!H89</f>
        <v>232625.89499161369</v>
      </c>
      <c r="F32" s="185">
        <f t="shared" si="21"/>
        <v>9547.5948203723055</v>
      </c>
      <c r="G32" s="185"/>
      <c r="H32" s="185"/>
      <c r="I32" s="206"/>
      <c r="J32" s="176" t="s">
        <v>57</v>
      </c>
      <c r="K32" s="187">
        <f>Costo!N89</f>
        <v>4.4430291231297186E-2</v>
      </c>
      <c r="L32" s="206">
        <f>Costo!O89</f>
        <v>220009.05860218199</v>
      </c>
      <c r="M32" s="185">
        <f t="shared" si="22"/>
        <v>9775.0665472184755</v>
      </c>
      <c r="N32" s="191">
        <f t="shared" si="16"/>
        <v>227.47172684616999</v>
      </c>
      <c r="O32" s="192">
        <f t="shared" si="17"/>
        <v>-560.56971520007858</v>
      </c>
      <c r="P32" s="192">
        <f t="shared" si="18"/>
        <v>788.04144204624868</v>
      </c>
      <c r="Q32" s="192">
        <f t="shared" si="19"/>
        <v>227.4717268461701</v>
      </c>
      <c r="R32" s="194">
        <f t="shared" si="20"/>
        <v>5.8326083806710283E-2</v>
      </c>
      <c r="S32" s="177" t="e">
        <v>#REF!</v>
      </c>
    </row>
    <row r="33" spans="3:28" ht="14.4" x14ac:dyDescent="0.3">
      <c r="C33" s="200" t="s">
        <v>395</v>
      </c>
      <c r="D33" s="200"/>
      <c r="E33" s="201"/>
      <c r="F33" s="202">
        <f>SUM(F22:F32)</f>
        <v>100484.38951827504</v>
      </c>
      <c r="G33" s="203"/>
      <c r="H33" s="203"/>
      <c r="J33" s="200"/>
      <c r="K33" s="200"/>
      <c r="L33" s="201"/>
      <c r="M33" s="202">
        <f>SUM(M22:M32)</f>
        <v>95900.546349588723</v>
      </c>
      <c r="N33" s="191">
        <f t="shared" si="16"/>
        <v>-4583.8431686863187</v>
      </c>
      <c r="O33" s="204">
        <f>+SUM(O22:O32)</f>
        <v>-7032.8620312189187</v>
      </c>
      <c r="P33" s="202">
        <f>+SUM(P22:P32)</f>
        <v>2449.0188625326318</v>
      </c>
      <c r="Q33" s="202">
        <f>+SUM(Q22:Q32)</f>
        <v>-4583.8431686862859</v>
      </c>
      <c r="R33" s="194">
        <f t="shared" si="20"/>
        <v>-1.1753444022272528</v>
      </c>
      <c r="S33" s="177" t="e">
        <v>#REF!</v>
      </c>
    </row>
    <row r="34" spans="3:28" ht="14.4" x14ac:dyDescent="0.3">
      <c r="C34" s="200" t="s">
        <v>702</v>
      </c>
      <c r="D34" s="200"/>
      <c r="E34" s="201"/>
      <c r="F34" s="202">
        <f>Costo!I91</f>
        <v>825412.03405865235</v>
      </c>
      <c r="G34" s="203"/>
      <c r="H34" s="203"/>
      <c r="I34" s="205"/>
      <c r="J34" s="200"/>
      <c r="K34" s="200"/>
      <c r="L34" s="201"/>
      <c r="M34" s="202">
        <f>Costo!P91</f>
        <v>770686.4</v>
      </c>
      <c r="N34" s="183"/>
      <c r="S34" s="177" t="e">
        <v>#REF!</v>
      </c>
    </row>
    <row r="35" spans="3:28" ht="14.4" x14ac:dyDescent="0.3">
      <c r="C35" s="209"/>
      <c r="D35" s="209"/>
      <c r="E35" s="210"/>
      <c r="F35" s="211"/>
      <c r="G35" s="203"/>
      <c r="H35" s="203"/>
      <c r="I35" s="212"/>
      <c r="J35" s="209"/>
      <c r="K35" s="209"/>
      <c r="L35" s="210"/>
      <c r="M35" s="211"/>
      <c r="N35" s="183"/>
      <c r="O35" s="213"/>
      <c r="P35" s="213"/>
      <c r="Q35" s="213"/>
      <c r="S35" s="177" t="e">
        <v>#REF!</v>
      </c>
      <c r="AB35" s="185"/>
    </row>
    <row r="36" spans="3:28" x14ac:dyDescent="0.3">
      <c r="C36" s="178" t="s">
        <v>468</v>
      </c>
      <c r="D36" s="355" t="s">
        <v>696</v>
      </c>
      <c r="E36" s="355"/>
      <c r="F36" s="355"/>
      <c r="G36" s="179"/>
      <c r="H36" s="179"/>
      <c r="J36" s="178" t="s">
        <v>468</v>
      </c>
      <c r="K36" s="355" t="s">
        <v>697</v>
      </c>
      <c r="L36" s="355"/>
      <c r="M36" s="355"/>
      <c r="N36" s="183"/>
      <c r="O36" s="355" t="s">
        <v>617</v>
      </c>
      <c r="P36" s="355"/>
      <c r="Q36" s="355"/>
      <c r="AB36" s="185"/>
    </row>
    <row r="37" spans="3:28" ht="14.4" x14ac:dyDescent="0.3">
      <c r="C37" s="180" t="s">
        <v>52</v>
      </c>
      <c r="D37" s="181" t="s">
        <v>620</v>
      </c>
      <c r="E37" s="181" t="s">
        <v>621</v>
      </c>
      <c r="F37" s="181" t="s">
        <v>395</v>
      </c>
      <c r="G37" s="182"/>
      <c r="H37" s="182"/>
      <c r="J37" s="180" t="s">
        <v>52</v>
      </c>
      <c r="K37" s="181" t="s">
        <v>620</v>
      </c>
      <c r="L37" s="181" t="s">
        <v>621</v>
      </c>
      <c r="M37" s="181" t="s">
        <v>395</v>
      </c>
      <c r="N37" s="183"/>
      <c r="O37" s="184" t="s">
        <v>622</v>
      </c>
      <c r="P37" s="184" t="s">
        <v>623</v>
      </c>
      <c r="Q37" s="184" t="s">
        <v>395</v>
      </c>
      <c r="AB37" s="185"/>
    </row>
    <row r="38" spans="3:28" ht="14.4" x14ac:dyDescent="0.3">
      <c r="C38" s="176" t="s">
        <v>182</v>
      </c>
      <c r="D38" s="187">
        <f>Costo!G94</f>
        <v>0.83000000000000018</v>
      </c>
      <c r="E38" s="187">
        <f>Costo!H94</f>
        <v>121865.27029471415</v>
      </c>
      <c r="F38" s="185">
        <f t="shared" ref="F38:F48" si="25">E38*D38</f>
        <v>101148.17434461277</v>
      </c>
      <c r="G38" s="185"/>
      <c r="H38" s="185"/>
      <c r="J38" s="176" t="s">
        <v>182</v>
      </c>
      <c r="K38" s="187">
        <f>Costo!N94</f>
        <v>0.83470232756697382</v>
      </c>
      <c r="L38" s="206">
        <f>Costo!O94</f>
        <v>113462.98244591446</v>
      </c>
      <c r="M38" s="185">
        <f t="shared" ref="M38:M48" si="26">L38*K38</f>
        <v>94707.815540295487</v>
      </c>
      <c r="N38" s="214">
        <f t="shared" ref="N38:N50" si="27">+M38-F38</f>
        <v>-6440.3588043172786</v>
      </c>
      <c r="O38" s="192">
        <f t="shared" ref="O38:O48" si="28">+(L38-E38)*K38</f>
        <v>-7013.4092242808056</v>
      </c>
      <c r="P38" s="192">
        <f t="shared" ref="P38:P48" si="29">+(K38-D38)*E38</f>
        <v>573.05041996352827</v>
      </c>
      <c r="Q38" s="192">
        <f t="shared" ref="Q38:Q48" si="30">+P38+O38</f>
        <v>-6440.3588043172776</v>
      </c>
      <c r="R38" s="194">
        <f t="shared" ref="R38:R49" si="31">+Q38/3900</f>
        <v>-1.6513740523890454</v>
      </c>
      <c r="AB38" s="185"/>
    </row>
    <row r="39" spans="3:28" ht="14.4" x14ac:dyDescent="0.3">
      <c r="C39" s="176" t="s">
        <v>391</v>
      </c>
      <c r="D39" s="187">
        <f>Costo!G95</f>
        <v>6.2216000000000105E-2</v>
      </c>
      <c r="E39" s="187">
        <f>Costo!H95</f>
        <v>16036.454010329262</v>
      </c>
      <c r="F39" s="185">
        <f t="shared" si="25"/>
        <v>997.72402270664702</v>
      </c>
      <c r="G39" s="185"/>
      <c r="H39" s="185"/>
      <c r="J39" s="176" t="s">
        <v>391</v>
      </c>
      <c r="K39" s="187">
        <f>Costo!N95</f>
        <v>6.114640952535505E-2</v>
      </c>
      <c r="L39" s="187">
        <f>Costo!O95</f>
        <v>15086.890784461226</v>
      </c>
      <c r="M39" s="185">
        <f t="shared" si="26"/>
        <v>922.50920237097125</v>
      </c>
      <c r="N39" s="214">
        <f t="shared" si="27"/>
        <v>-75.214820335675768</v>
      </c>
      <c r="O39" s="192">
        <f t="shared" si="28"/>
        <v>-58.062381879144155</v>
      </c>
      <c r="P39" s="192">
        <f t="shared" si="29"/>
        <v>-17.152438456531666</v>
      </c>
      <c r="Q39" s="192">
        <f t="shared" si="30"/>
        <v>-75.214820335675824</v>
      </c>
      <c r="R39" s="194">
        <f t="shared" si="31"/>
        <v>-1.9285851368122005E-2</v>
      </c>
      <c r="AB39" s="185"/>
    </row>
    <row r="40" spans="3:28" ht="14.4" x14ac:dyDescent="0.3">
      <c r="C40" s="176" t="s">
        <v>703</v>
      </c>
      <c r="D40" s="187">
        <f>Costo!G96</f>
        <v>5.0000000000000001E-4</v>
      </c>
      <c r="E40" s="206">
        <f>Costo!H96</f>
        <v>4396360.0000000009</v>
      </c>
      <c r="F40" s="185">
        <f t="shared" si="25"/>
        <v>2198.1800000000003</v>
      </c>
      <c r="G40" s="185"/>
      <c r="H40" s="185"/>
      <c r="J40" s="176" t="s">
        <v>703</v>
      </c>
      <c r="K40" s="187">
        <f>Costo!N96</f>
        <v>5.0095345416523976E-4</v>
      </c>
      <c r="L40" s="206">
        <f>Costo!O96</f>
        <v>4014954.4513995093</v>
      </c>
      <c r="M40" s="185">
        <f t="shared" si="26"/>
        <v>2011.3053007446895</v>
      </c>
      <c r="N40" s="214"/>
      <c r="O40" s="192">
        <f t="shared" si="28"/>
        <v>-191.06642700920449</v>
      </c>
      <c r="P40" s="192">
        <f t="shared" si="29"/>
        <v>4.1917277538934172</v>
      </c>
      <c r="Q40" s="192">
        <f t="shared" si="30"/>
        <v>-186.87469925531107</v>
      </c>
      <c r="R40" s="194"/>
      <c r="AB40" s="185"/>
    </row>
    <row r="41" spans="3:28" ht="14.4" x14ac:dyDescent="0.3">
      <c r="C41" s="176" t="s">
        <v>58</v>
      </c>
      <c r="D41" s="187">
        <f>Costo!G97</f>
        <v>0</v>
      </c>
      <c r="E41" s="187">
        <f>Costo!H97</f>
        <v>0</v>
      </c>
      <c r="F41" s="185">
        <f t="shared" si="25"/>
        <v>0</v>
      </c>
      <c r="G41" s="185"/>
      <c r="H41" s="185"/>
      <c r="J41" s="176" t="s">
        <v>58</v>
      </c>
      <c r="K41" s="187"/>
      <c r="L41" s="187"/>
      <c r="M41" s="185">
        <f t="shared" si="26"/>
        <v>0</v>
      </c>
      <c r="N41" s="214"/>
      <c r="O41" s="192">
        <f t="shared" si="28"/>
        <v>0</v>
      </c>
      <c r="P41" s="192">
        <f t="shared" si="29"/>
        <v>0</v>
      </c>
      <c r="Q41" s="192">
        <f t="shared" si="30"/>
        <v>0</v>
      </c>
      <c r="R41" s="194"/>
      <c r="AB41" s="185"/>
    </row>
    <row r="42" spans="3:28" ht="14.4" x14ac:dyDescent="0.3">
      <c r="C42" s="215" t="s">
        <v>540</v>
      </c>
      <c r="D42" s="187">
        <f>Costo!G98</f>
        <v>3.0049499999999989E-2</v>
      </c>
      <c r="E42" s="187">
        <f>Costo!H98</f>
        <v>31752.892182537373</v>
      </c>
      <c r="F42" s="185">
        <f t="shared" si="25"/>
        <v>954.15853363915642</v>
      </c>
      <c r="G42" s="185"/>
      <c r="H42" s="185"/>
      <c r="J42" s="215" t="s">
        <v>540</v>
      </c>
      <c r="K42" s="187">
        <f>Costo!N98</f>
        <v>2.4630431055457404E-2</v>
      </c>
      <c r="L42" s="187">
        <f>Costo!O98</f>
        <v>29052.956377976945</v>
      </c>
      <c r="M42" s="185">
        <f t="shared" si="26"/>
        <v>715.58683902497262</v>
      </c>
      <c r="N42" s="214"/>
      <c r="O42" s="192">
        <f t="shared" si="28"/>
        <v>-66.50058268838653</v>
      </c>
      <c r="P42" s="192">
        <f t="shared" si="29"/>
        <v>-172.07111192579731</v>
      </c>
      <c r="Q42" s="192">
        <f t="shared" si="30"/>
        <v>-238.57169461418385</v>
      </c>
      <c r="R42" s="194"/>
      <c r="AB42" s="185"/>
    </row>
    <row r="43" spans="3:28" ht="14.4" x14ac:dyDescent="0.3">
      <c r="C43" s="176" t="s">
        <v>704</v>
      </c>
      <c r="D43" s="187">
        <f>Costo!G100</f>
        <v>1</v>
      </c>
      <c r="E43" s="187">
        <f>Costo!H100</f>
        <v>1539.636971538461</v>
      </c>
      <c r="F43" s="185">
        <f t="shared" si="25"/>
        <v>1539.636971538461</v>
      </c>
      <c r="G43" s="185"/>
      <c r="H43" s="185"/>
      <c r="J43" s="176" t="s">
        <v>704</v>
      </c>
      <c r="K43" s="187">
        <f>Costo!N100</f>
        <v>1</v>
      </c>
      <c r="L43" s="187">
        <f>Costo!O100</f>
        <v>1117.2995875639574</v>
      </c>
      <c r="M43" s="185">
        <f t="shared" si="26"/>
        <v>1117.2995875639574</v>
      </c>
      <c r="N43" s="214">
        <f t="shared" si="27"/>
        <v>-422.33738397450361</v>
      </c>
      <c r="O43" s="192">
        <f t="shared" si="28"/>
        <v>-422.33738397450361</v>
      </c>
      <c r="P43" s="192">
        <f t="shared" si="29"/>
        <v>0</v>
      </c>
      <c r="Q43" s="192">
        <f t="shared" si="30"/>
        <v>-422.33738397450361</v>
      </c>
      <c r="R43" s="194">
        <f t="shared" si="31"/>
        <v>-0.10829163691653938</v>
      </c>
      <c r="AB43" s="185"/>
    </row>
    <row r="44" spans="3:28" ht="14.4" x14ac:dyDescent="0.3">
      <c r="C44" s="176" t="s">
        <v>267</v>
      </c>
      <c r="D44" s="187">
        <f>Costo!G101</f>
        <v>34.6</v>
      </c>
      <c r="E44" s="187">
        <f>Costo!H101</f>
        <v>525.27888856276604</v>
      </c>
      <c r="F44" s="185">
        <f t="shared" si="25"/>
        <v>18174.649544271706</v>
      </c>
      <c r="G44" s="185"/>
      <c r="H44" s="185"/>
      <c r="J44" s="176" t="s">
        <v>267</v>
      </c>
      <c r="K44" s="187">
        <f>Costo!N101</f>
        <v>36.732237135557455</v>
      </c>
      <c r="L44" s="187">
        <f>Costo!O101</f>
        <v>485.33891128999591</v>
      </c>
      <c r="M44" s="185">
        <f t="shared" si="26"/>
        <v>17827.583980617412</v>
      </c>
      <c r="N44" s="214"/>
      <c r="O44" s="192">
        <f t="shared" si="28"/>
        <v>-1467.084716372168</v>
      </c>
      <c r="P44" s="192">
        <f t="shared" si="29"/>
        <v>1120.0191527178749</v>
      </c>
      <c r="Q44" s="192">
        <f t="shared" si="30"/>
        <v>-347.0655636542931</v>
      </c>
      <c r="R44" s="194"/>
    </row>
    <row r="45" spans="3:28" ht="14.4" x14ac:dyDescent="0.3">
      <c r="C45" s="176" t="s">
        <v>461</v>
      </c>
      <c r="D45" s="187">
        <f>Costo!G102</f>
        <v>1</v>
      </c>
      <c r="E45" s="187">
        <f>Costo!H102</f>
        <v>0</v>
      </c>
      <c r="F45" s="185">
        <f t="shared" si="25"/>
        <v>0</v>
      </c>
      <c r="G45" s="185"/>
      <c r="H45" s="185"/>
      <c r="J45" s="176" t="s">
        <v>461</v>
      </c>
      <c r="K45" s="187">
        <f>Costo!N102</f>
        <v>0</v>
      </c>
      <c r="L45" s="187">
        <f>Costo!O102</f>
        <v>0</v>
      </c>
      <c r="M45" s="185">
        <f t="shared" si="26"/>
        <v>0</v>
      </c>
      <c r="N45" s="214">
        <f t="shared" si="27"/>
        <v>0</v>
      </c>
      <c r="O45" s="192">
        <f t="shared" si="28"/>
        <v>0</v>
      </c>
      <c r="P45" s="192">
        <f t="shared" si="29"/>
        <v>0</v>
      </c>
      <c r="Q45" s="192">
        <f t="shared" si="30"/>
        <v>0</v>
      </c>
      <c r="R45" s="194">
        <f t="shared" si="31"/>
        <v>0</v>
      </c>
    </row>
    <row r="46" spans="3:28" ht="14.4" x14ac:dyDescent="0.3">
      <c r="C46" s="176" t="s">
        <v>32</v>
      </c>
      <c r="D46" s="187">
        <f>Costo!G103</f>
        <v>0</v>
      </c>
      <c r="E46" s="187">
        <f>Costo!H103</f>
        <v>0</v>
      </c>
      <c r="F46" s="185">
        <f>E46*D46</f>
        <v>0</v>
      </c>
      <c r="G46" s="185"/>
      <c r="H46" s="185"/>
      <c r="J46" s="176" t="s">
        <v>32</v>
      </c>
      <c r="K46" s="187">
        <f>Costo!N103</f>
        <v>0</v>
      </c>
      <c r="L46" s="187">
        <f>Costo!O103</f>
        <v>0</v>
      </c>
      <c r="M46" s="185">
        <f>L46*K46</f>
        <v>0</v>
      </c>
      <c r="N46" s="214"/>
      <c r="O46" s="192">
        <f>+(L46-E46)*K46</f>
        <v>0</v>
      </c>
      <c r="P46" s="192">
        <f>+(K46-D46)*E46</f>
        <v>0</v>
      </c>
      <c r="Q46" s="192">
        <f>+P46+O46</f>
        <v>0</v>
      </c>
      <c r="R46" s="194"/>
    </row>
    <row r="47" spans="3:28" ht="14.4" x14ac:dyDescent="0.3">
      <c r="C47" s="176" t="s">
        <v>705</v>
      </c>
      <c r="D47" s="187">
        <f>Costo!G104</f>
        <v>0</v>
      </c>
      <c r="E47" s="187">
        <f>Costo!H104</f>
        <v>0</v>
      </c>
      <c r="F47" s="185">
        <f t="shared" si="25"/>
        <v>0</v>
      </c>
      <c r="G47" s="185"/>
      <c r="H47" s="185"/>
      <c r="J47" s="176" t="s">
        <v>705</v>
      </c>
      <c r="K47" s="187">
        <f>Costo!N104</f>
        <v>0</v>
      </c>
      <c r="L47" s="187">
        <f>Costo!O104</f>
        <v>0</v>
      </c>
      <c r="M47" s="185">
        <f t="shared" si="26"/>
        <v>0</v>
      </c>
      <c r="N47" s="214"/>
      <c r="O47" s="192">
        <f>+(L47-E47)*K47</f>
        <v>0</v>
      </c>
      <c r="P47" s="192">
        <f>+(K47-D47)*E47</f>
        <v>0</v>
      </c>
      <c r="Q47" s="192">
        <f>+P47+O47</f>
        <v>0</v>
      </c>
      <c r="R47" s="194"/>
    </row>
    <row r="48" spans="3:28" ht="14.4" x14ac:dyDescent="0.3">
      <c r="C48" s="176" t="s">
        <v>57</v>
      </c>
      <c r="D48" s="187">
        <f>Costo!G105</f>
        <v>7.9045199999999982E-2</v>
      </c>
      <c r="E48" s="187">
        <f>Costo!H105</f>
        <v>232625.89499161369</v>
      </c>
      <c r="F48" s="185">
        <f t="shared" si="25"/>
        <v>18387.960394791098</v>
      </c>
      <c r="G48" s="185"/>
      <c r="H48" s="185"/>
      <c r="J48" s="176" t="s">
        <v>57</v>
      </c>
      <c r="K48" s="187">
        <f>Costo!N105</f>
        <v>8.2426670901001239E-2</v>
      </c>
      <c r="L48" s="206">
        <f>Costo!O105</f>
        <v>220009.05860218199</v>
      </c>
      <c r="M48" s="185">
        <f t="shared" si="26"/>
        <v>18134.614268641151</v>
      </c>
      <c r="N48" s="214">
        <f t="shared" si="27"/>
        <v>-253.34612614994694</v>
      </c>
      <c r="O48" s="192">
        <f t="shared" si="28"/>
        <v>-1039.9638208834635</v>
      </c>
      <c r="P48" s="192">
        <f t="shared" si="29"/>
        <v>786.6176947335158</v>
      </c>
      <c r="Q48" s="192">
        <f t="shared" si="30"/>
        <v>-253.34612614994774</v>
      </c>
      <c r="R48" s="194">
        <f t="shared" si="31"/>
        <v>-6.4960545166653269E-2</v>
      </c>
    </row>
    <row r="49" spans="3:27" ht="14.4" x14ac:dyDescent="0.3">
      <c r="C49" s="200" t="s">
        <v>395</v>
      </c>
      <c r="D49" s="200"/>
      <c r="E49" s="201"/>
      <c r="F49" s="202">
        <f>SUM(F38:F48)</f>
        <v>143400.48381155985</v>
      </c>
      <c r="G49" s="203"/>
      <c r="H49" s="203"/>
      <c r="I49" s="177"/>
      <c r="J49" s="200"/>
      <c r="K49" s="200"/>
      <c r="L49" s="201"/>
      <c r="M49" s="202">
        <f>SUM(M38:M48)</f>
        <v>135436.71471925866</v>
      </c>
      <c r="N49" s="214">
        <f t="shared" si="27"/>
        <v>-7963.7690923011978</v>
      </c>
      <c r="O49" s="204">
        <f>+SUM(O38:O48)</f>
        <v>-10258.424537087676</v>
      </c>
      <c r="P49" s="204">
        <f>+SUM(P38:P48)</f>
        <v>2294.6554447864833</v>
      </c>
      <c r="Q49" s="202">
        <f>+SUM(Q38:Q48)</f>
        <v>-7963.7690923011933</v>
      </c>
      <c r="R49" s="194">
        <f t="shared" si="31"/>
        <v>-2.0419920749490239</v>
      </c>
    </row>
    <row r="50" spans="3:27" ht="14.4" x14ac:dyDescent="0.3">
      <c r="C50" s="200" t="s">
        <v>702</v>
      </c>
      <c r="D50" s="200"/>
      <c r="E50" s="201"/>
      <c r="F50" s="202">
        <f>Costo!I107</f>
        <v>440847.09331369615</v>
      </c>
      <c r="G50" s="203"/>
      <c r="H50" s="203"/>
      <c r="I50" s="177"/>
      <c r="J50" s="200"/>
      <c r="K50" s="200"/>
      <c r="L50" s="201"/>
      <c r="M50" s="202">
        <f>Costo!P107</f>
        <v>420766.625</v>
      </c>
      <c r="N50" s="214">
        <f t="shared" si="27"/>
        <v>-20080.468313696154</v>
      </c>
      <c r="O50" s="216"/>
      <c r="P50" s="216"/>
      <c r="Q50" s="216"/>
      <c r="R50" s="195"/>
    </row>
    <row r="51" spans="3:27" ht="14.4" x14ac:dyDescent="0.3">
      <c r="D51" s="187"/>
      <c r="E51" s="177"/>
      <c r="F51" s="217"/>
      <c r="G51" s="217"/>
      <c r="H51" s="217"/>
      <c r="I51" s="177"/>
      <c r="K51" s="187"/>
      <c r="L51" s="177"/>
      <c r="M51" s="217"/>
      <c r="N51" s="214"/>
      <c r="O51" s="216"/>
      <c r="P51" s="216"/>
      <c r="Q51" s="216"/>
      <c r="R51" s="195"/>
      <c r="Z51" s="185"/>
      <c r="AA51" s="185"/>
    </row>
    <row r="52" spans="3:27" x14ac:dyDescent="0.3">
      <c r="C52" s="178" t="s">
        <v>706</v>
      </c>
      <c r="D52" s="355" t="s">
        <v>696</v>
      </c>
      <c r="E52" s="355"/>
      <c r="F52" s="355"/>
      <c r="G52" s="179"/>
      <c r="H52" s="179"/>
      <c r="J52" s="178" t="s">
        <v>706</v>
      </c>
      <c r="K52" s="355" t="s">
        <v>697</v>
      </c>
      <c r="L52" s="355"/>
      <c r="M52" s="355"/>
      <c r="N52" s="183"/>
      <c r="O52" s="355" t="s">
        <v>617</v>
      </c>
      <c r="P52" s="355"/>
      <c r="Q52" s="355"/>
      <c r="Z52" s="185"/>
      <c r="AA52" s="185"/>
    </row>
    <row r="53" spans="3:27" ht="14.4" x14ac:dyDescent="0.3">
      <c r="C53" s="180" t="s">
        <v>52</v>
      </c>
      <c r="D53" s="181" t="s">
        <v>620</v>
      </c>
      <c r="E53" s="181" t="s">
        <v>621</v>
      </c>
      <c r="F53" s="181" t="s">
        <v>395</v>
      </c>
      <c r="G53" s="182"/>
      <c r="H53" s="182"/>
      <c r="J53" s="180" t="s">
        <v>52</v>
      </c>
      <c r="K53" s="181" t="s">
        <v>620</v>
      </c>
      <c r="L53" s="181" t="s">
        <v>621</v>
      </c>
      <c r="M53" s="181" t="s">
        <v>395</v>
      </c>
      <c r="N53" s="183"/>
      <c r="O53" s="184" t="s">
        <v>622</v>
      </c>
      <c r="P53" s="184" t="s">
        <v>623</v>
      </c>
      <c r="Q53" s="184" t="s">
        <v>395</v>
      </c>
      <c r="Z53" s="185"/>
      <c r="AA53" s="185"/>
    </row>
    <row r="54" spans="3:27" ht="14.4" x14ac:dyDescent="0.3">
      <c r="C54" s="176" t="s">
        <v>182</v>
      </c>
      <c r="D54" s="187">
        <f>Costo!G159</f>
        <v>0.91400000000000003</v>
      </c>
      <c r="E54" s="187">
        <f>Costo!H159</f>
        <v>121865.27029471415</v>
      </c>
      <c r="F54" s="185">
        <f t="shared" ref="F54:F64" si="32">E54*D54</f>
        <v>111384.85704936874</v>
      </c>
      <c r="G54" s="185"/>
      <c r="H54" s="185"/>
      <c r="J54" s="176" t="s">
        <v>182</v>
      </c>
      <c r="K54" s="187">
        <f>Costo!N159</f>
        <v>0.9133710963947097</v>
      </c>
      <c r="L54" s="206">
        <f>Costo!O159</f>
        <v>113462.98244591446</v>
      </c>
      <c r="M54" s="185">
        <f t="shared" ref="M54:M64" si="33">L54*K54</f>
        <v>103633.80867683858</v>
      </c>
      <c r="N54" s="214">
        <f>+M54-F54</f>
        <v>-7751.0483725301601</v>
      </c>
      <c r="O54" s="192">
        <f t="shared" ref="O54:O64" si="34">+(L54-E54)*K54</f>
        <v>-7674.4068646821224</v>
      </c>
      <c r="P54" s="192">
        <f t="shared" ref="P54:P64" si="35">+(K54-D54)*E54</f>
        <v>-76.641507848026507</v>
      </c>
      <c r="Q54" s="192">
        <f t="shared" ref="Q54:Q64" si="36">+P54+O54</f>
        <v>-7751.0483725301492</v>
      </c>
      <c r="Z54" s="185"/>
      <c r="AA54" s="185"/>
    </row>
    <row r="55" spans="3:27" ht="14.4" x14ac:dyDescent="0.3">
      <c r="C55" s="176" t="s">
        <v>391</v>
      </c>
      <c r="D55" s="187">
        <f>Costo!G160</f>
        <v>0</v>
      </c>
      <c r="E55" s="187">
        <f>Costo!H160</f>
        <v>16036.454010329262</v>
      </c>
      <c r="F55" s="185">
        <f t="shared" si="32"/>
        <v>0</v>
      </c>
      <c r="G55" s="185"/>
      <c r="H55" s="185"/>
      <c r="J55" s="176" t="s">
        <v>391</v>
      </c>
      <c r="K55" s="187">
        <f>Costo!N160</f>
        <v>1.1071998780203523E-3</v>
      </c>
      <c r="L55" s="187">
        <f>Costo!O160</f>
        <v>15086.890784461226</v>
      </c>
      <c r="M55" s="185">
        <f t="shared" si="33"/>
        <v>16.704203636261845</v>
      </c>
      <c r="N55" s="214">
        <f>+M55-F55</f>
        <v>16.704203636261845</v>
      </c>
      <c r="O55" s="192">
        <f t="shared" si="34"/>
        <v>-1.0513562878537019</v>
      </c>
      <c r="P55" s="192">
        <f t="shared" si="35"/>
        <v>17.755559924115548</v>
      </c>
      <c r="Q55" s="192">
        <f t="shared" si="36"/>
        <v>16.704203636261845</v>
      </c>
      <c r="Z55" s="185"/>
      <c r="AA55" s="185"/>
    </row>
    <row r="56" spans="3:27" ht="14.4" x14ac:dyDescent="0.3">
      <c r="C56" s="176" t="s">
        <v>703</v>
      </c>
      <c r="D56" s="187">
        <v>0</v>
      </c>
      <c r="E56" s="187">
        <v>0</v>
      </c>
      <c r="F56" s="185">
        <f t="shared" si="32"/>
        <v>0</v>
      </c>
      <c r="G56" s="185"/>
      <c r="H56" s="185"/>
      <c r="J56" s="176" t="s">
        <v>703</v>
      </c>
      <c r="K56" s="187">
        <v>0</v>
      </c>
      <c r="L56" s="187">
        <v>0</v>
      </c>
      <c r="M56" s="185">
        <f t="shared" si="33"/>
        <v>0</v>
      </c>
      <c r="N56" s="214"/>
      <c r="O56" s="192">
        <f t="shared" ref="O56" si="37">+(L56-E56)*K56</f>
        <v>0</v>
      </c>
      <c r="P56" s="192">
        <f t="shared" ref="P56" si="38">+(K56-D56)*E56</f>
        <v>0</v>
      </c>
      <c r="Q56" s="192">
        <f t="shared" ref="Q56" si="39">+P56+O56</f>
        <v>0</v>
      </c>
      <c r="Z56" s="185"/>
      <c r="AA56" s="185"/>
    </row>
    <row r="57" spans="3:27" ht="14.4" x14ac:dyDescent="0.3">
      <c r="C57" s="176" t="s">
        <v>58</v>
      </c>
      <c r="D57" s="187">
        <v>0</v>
      </c>
      <c r="E57" s="187">
        <v>0</v>
      </c>
      <c r="F57" s="185">
        <f t="shared" si="32"/>
        <v>0</v>
      </c>
      <c r="G57" s="185"/>
      <c r="H57" s="185"/>
      <c r="J57" s="176" t="s">
        <v>58</v>
      </c>
      <c r="K57" s="187">
        <v>0</v>
      </c>
      <c r="L57" s="187">
        <v>0</v>
      </c>
      <c r="M57" s="185">
        <f t="shared" si="33"/>
        <v>0</v>
      </c>
      <c r="N57" s="214"/>
      <c r="O57" s="192">
        <f t="shared" ref="O57" si="40">+(L57-E57)*K57</f>
        <v>0</v>
      </c>
      <c r="P57" s="192">
        <f t="shared" ref="P57" si="41">+(K57-D57)*E57</f>
        <v>0</v>
      </c>
      <c r="Q57" s="192">
        <f t="shared" ref="Q57" si="42">+P57+O57</f>
        <v>0</v>
      </c>
      <c r="Z57" s="185"/>
      <c r="AA57" s="185"/>
    </row>
    <row r="58" spans="3:27" ht="14.4" x14ac:dyDescent="0.3">
      <c r="C58" s="215" t="s">
        <v>540</v>
      </c>
      <c r="D58" s="187">
        <f>Costo!G161</f>
        <v>0</v>
      </c>
      <c r="E58" s="187">
        <f>Costo!H161</f>
        <v>31752.892182537373</v>
      </c>
      <c r="F58" s="185">
        <f t="shared" si="32"/>
        <v>0</v>
      </c>
      <c r="G58" s="185"/>
      <c r="H58" s="185"/>
      <c r="J58" s="215" t="s">
        <v>540</v>
      </c>
      <c r="K58" s="187">
        <f>Costo!N161</f>
        <v>1.4778303456627585E-3</v>
      </c>
      <c r="L58" s="187">
        <f>Costo!O161</f>
        <v>29052.956377976945</v>
      </c>
      <c r="M58" s="185">
        <f t="shared" si="33"/>
        <v>42.93534056659071</v>
      </c>
      <c r="N58" s="214">
        <f>+M58-F58</f>
        <v>42.93534056659071</v>
      </c>
      <c r="O58" s="192">
        <f t="shared" si="34"/>
        <v>-3.9900470633207945</v>
      </c>
      <c r="P58" s="192">
        <f t="shared" si="35"/>
        <v>46.925387629911505</v>
      </c>
      <c r="Q58" s="192">
        <f t="shared" si="36"/>
        <v>42.93534056659071</v>
      </c>
      <c r="Z58" s="185"/>
      <c r="AA58" s="185"/>
    </row>
    <row r="59" spans="3:27" ht="14.4" x14ac:dyDescent="0.3">
      <c r="C59" s="176" t="s">
        <v>704</v>
      </c>
      <c r="D59" s="187">
        <f>Costo!G163</f>
        <v>1</v>
      </c>
      <c r="E59" s="187">
        <f>Costo!H163</f>
        <v>1539.636971538461</v>
      </c>
      <c r="F59" s="185">
        <f t="shared" si="32"/>
        <v>1539.636971538461</v>
      </c>
      <c r="G59" s="185"/>
      <c r="H59" s="185"/>
      <c r="J59" s="176" t="s">
        <v>704</v>
      </c>
      <c r="K59" s="187">
        <f>Costo!N163</f>
        <v>1</v>
      </c>
      <c r="L59" s="187">
        <f>Costo!O163</f>
        <v>1117.2995875639574</v>
      </c>
      <c r="M59" s="185">
        <f t="shared" si="33"/>
        <v>1117.2995875639574</v>
      </c>
      <c r="N59" s="214">
        <f>+M59-F59</f>
        <v>-422.33738397450361</v>
      </c>
      <c r="O59" s="192">
        <f t="shared" si="34"/>
        <v>-422.33738397450361</v>
      </c>
      <c r="P59" s="192">
        <f t="shared" si="35"/>
        <v>0</v>
      </c>
      <c r="Q59" s="192">
        <f t="shared" si="36"/>
        <v>-422.33738397450361</v>
      </c>
    </row>
    <row r="60" spans="3:27" ht="14.4" x14ac:dyDescent="0.3">
      <c r="C60" s="176" t="s">
        <v>267</v>
      </c>
      <c r="D60" s="187">
        <f>Costo!G164</f>
        <v>34.6</v>
      </c>
      <c r="E60" s="187">
        <f>Costo!H164</f>
        <v>525.24404117828294</v>
      </c>
      <c r="F60" s="185">
        <f t="shared" si="32"/>
        <v>18173.44382476859</v>
      </c>
      <c r="G60" s="185"/>
      <c r="H60" s="185"/>
      <c r="J60" s="176" t="s">
        <v>267</v>
      </c>
      <c r="K60" s="187">
        <f>Costo!N164</f>
        <v>35.488841543173528</v>
      </c>
      <c r="L60" s="187">
        <f>Costo!O164</f>
        <v>485.33891128999591</v>
      </c>
      <c r="M60" s="185">
        <f t="shared" si="33"/>
        <v>17224.115717507018</v>
      </c>
      <c r="N60" s="214"/>
      <c r="O60" s="192">
        <f t="shared" si="34"/>
        <v>-1416.1868313651767</v>
      </c>
      <c r="P60" s="192">
        <f t="shared" si="35"/>
        <v>466.85872410360446</v>
      </c>
      <c r="Q60" s="192">
        <f t="shared" si="36"/>
        <v>-949.3281072615722</v>
      </c>
    </row>
    <row r="61" spans="3:27" ht="14.4" x14ac:dyDescent="0.3">
      <c r="C61" s="176" t="s">
        <v>461</v>
      </c>
      <c r="D61" s="187">
        <f>Costo!G165</f>
        <v>1</v>
      </c>
      <c r="E61" s="187">
        <f>Costo!H165</f>
        <v>0</v>
      </c>
      <c r="F61" s="185">
        <f t="shared" si="32"/>
        <v>0</v>
      </c>
      <c r="G61" s="185"/>
      <c r="H61" s="185"/>
      <c r="J61" s="176" t="s">
        <v>461</v>
      </c>
      <c r="K61" s="187">
        <f>Costo!N165</f>
        <v>0</v>
      </c>
      <c r="L61" s="187">
        <f>Costo!O165</f>
        <v>0</v>
      </c>
      <c r="M61" s="185">
        <f t="shared" si="33"/>
        <v>0</v>
      </c>
      <c r="N61" s="214">
        <f>+M61-F61</f>
        <v>0</v>
      </c>
      <c r="O61" s="192">
        <f t="shared" si="34"/>
        <v>0</v>
      </c>
      <c r="P61" s="192">
        <f t="shared" si="35"/>
        <v>0</v>
      </c>
      <c r="Q61" s="192">
        <f t="shared" si="36"/>
        <v>0</v>
      </c>
    </row>
    <row r="62" spans="3:27" ht="14.4" x14ac:dyDescent="0.3">
      <c r="C62" s="176" t="s">
        <v>32</v>
      </c>
      <c r="D62" s="187">
        <v>0</v>
      </c>
      <c r="E62" s="187">
        <v>0</v>
      </c>
      <c r="F62" s="185">
        <f t="shared" si="32"/>
        <v>0</v>
      </c>
      <c r="G62" s="185"/>
      <c r="H62" s="185"/>
      <c r="J62" s="176" t="s">
        <v>32</v>
      </c>
      <c r="K62" s="187">
        <v>0</v>
      </c>
      <c r="L62" s="187">
        <v>0</v>
      </c>
      <c r="M62" s="185">
        <f t="shared" si="33"/>
        <v>0</v>
      </c>
      <c r="N62" s="214"/>
      <c r="O62" s="192">
        <f t="shared" ref="O62:O63" si="43">+(L62-E62)*K62</f>
        <v>0</v>
      </c>
      <c r="P62" s="192">
        <f t="shared" ref="P62:P63" si="44">+(K62-D62)*E62</f>
        <v>0</v>
      </c>
      <c r="Q62" s="192">
        <f t="shared" ref="Q62:Q63" si="45">+P62+O62</f>
        <v>0</v>
      </c>
    </row>
    <row r="63" spans="3:27" ht="14.4" x14ac:dyDescent="0.3">
      <c r="C63" s="176" t="s">
        <v>705</v>
      </c>
      <c r="D63" s="187">
        <v>0</v>
      </c>
      <c r="E63" s="187">
        <v>0</v>
      </c>
      <c r="F63" s="185">
        <f t="shared" si="32"/>
        <v>0</v>
      </c>
      <c r="G63" s="185"/>
      <c r="H63" s="185"/>
      <c r="J63" s="176" t="s">
        <v>705</v>
      </c>
      <c r="K63" s="187">
        <v>0</v>
      </c>
      <c r="L63" s="187">
        <v>0</v>
      </c>
      <c r="M63" s="185">
        <f t="shared" si="33"/>
        <v>0</v>
      </c>
      <c r="N63" s="214"/>
      <c r="O63" s="192">
        <f t="shared" si="43"/>
        <v>0</v>
      </c>
      <c r="P63" s="192">
        <f t="shared" si="44"/>
        <v>0</v>
      </c>
      <c r="Q63" s="192">
        <f t="shared" si="45"/>
        <v>0</v>
      </c>
    </row>
    <row r="64" spans="3:27" ht="14.4" x14ac:dyDescent="0.3">
      <c r="C64" s="176" t="s">
        <v>57</v>
      </c>
      <c r="D64" s="187">
        <f>Costo!G166</f>
        <v>8.7152399999999991E-2</v>
      </c>
      <c r="E64" s="187">
        <f>Costo!H166</f>
        <v>232625.89499161369</v>
      </c>
      <c r="F64" s="185">
        <f t="shared" si="32"/>
        <v>20273.905050667112</v>
      </c>
      <c r="G64" s="185"/>
      <c r="H64" s="185"/>
      <c r="J64" s="176" t="s">
        <v>57</v>
      </c>
      <c r="K64" s="187">
        <f>Costo!N166</f>
        <v>8.629242536297009E-2</v>
      </c>
      <c r="L64" s="206">
        <f>Costo!O166</f>
        <v>220009.05860218199</v>
      </c>
      <c r="M64" s="185">
        <f t="shared" si="33"/>
        <v>18985.115268606103</v>
      </c>
      <c r="N64" s="214">
        <f>+M64-F64</f>
        <v>-1288.7897820610087</v>
      </c>
      <c r="O64" s="192">
        <f t="shared" si="34"/>
        <v>-1088.7374124518401</v>
      </c>
      <c r="P64" s="192">
        <f t="shared" si="35"/>
        <v>-200.05236960916875</v>
      </c>
      <c r="Q64" s="192">
        <f t="shared" si="36"/>
        <v>-1288.7897820610087</v>
      </c>
    </row>
    <row r="65" spans="3:17" ht="14.4" x14ac:dyDescent="0.3">
      <c r="C65" s="200" t="s">
        <v>395</v>
      </c>
      <c r="D65" s="200"/>
      <c r="E65" s="201"/>
      <c r="F65" s="202">
        <f>SUM(F54:F64)</f>
        <v>151371.84289634292</v>
      </c>
      <c r="G65" s="203"/>
      <c r="H65" s="203"/>
      <c r="I65" s="177"/>
      <c r="J65" s="200"/>
      <c r="K65" s="200"/>
      <c r="L65" s="201"/>
      <c r="M65" s="202">
        <f>SUM(M54:M64)</f>
        <v>141019.97879471854</v>
      </c>
      <c r="N65" s="214">
        <f>+M65-F65</f>
        <v>-10351.864101624378</v>
      </c>
      <c r="O65" s="204">
        <f>+SUM(O54:O64)</f>
        <v>-10606.709895824817</v>
      </c>
      <c r="P65" s="204">
        <f>+SUM(P54:P64)</f>
        <v>254.84579420043627</v>
      </c>
      <c r="Q65" s="202">
        <f>+SUM(Q54:Q64)</f>
        <v>-10351.864101624382</v>
      </c>
    </row>
    <row r="66" spans="3:17" ht="14.4" x14ac:dyDescent="0.3">
      <c r="C66" s="200" t="s">
        <v>702</v>
      </c>
      <c r="D66" s="200"/>
      <c r="E66" s="201"/>
      <c r="F66" s="202">
        <f>Costo!I168</f>
        <v>33740.872627651726</v>
      </c>
      <c r="G66" s="203"/>
      <c r="H66" s="203"/>
      <c r="I66" s="177"/>
      <c r="J66" s="200"/>
      <c r="K66" s="200"/>
      <c r="L66" s="201"/>
      <c r="M66" s="202">
        <f>Costo!P168</f>
        <v>42630.0625</v>
      </c>
      <c r="N66" s="214">
        <f>+M66-F66</f>
        <v>8889.1898723482736</v>
      </c>
      <c r="O66" s="216"/>
      <c r="P66" s="216"/>
      <c r="Q66" s="216"/>
    </row>
    <row r="68" spans="3:17" x14ac:dyDescent="0.3">
      <c r="C68" s="177"/>
      <c r="D68" s="177"/>
      <c r="E68" s="186"/>
    </row>
    <row r="69" spans="3:17" x14ac:dyDescent="0.3">
      <c r="C69" s="177"/>
      <c r="D69" s="177"/>
      <c r="E69" s="186"/>
    </row>
    <row r="70" spans="3:17" x14ac:dyDescent="0.3">
      <c r="C70" s="177"/>
      <c r="D70" s="177"/>
    </row>
    <row r="72" spans="3:17" x14ac:dyDescent="0.3">
      <c r="F72" s="177"/>
      <c r="G72" s="177"/>
      <c r="H72" s="177"/>
    </row>
    <row r="73" spans="3:17" x14ac:dyDescent="0.3">
      <c r="F73" s="177"/>
      <c r="G73" s="177"/>
      <c r="H73" s="177"/>
    </row>
    <row r="74" spans="3:17" x14ac:dyDescent="0.3">
      <c r="F74" s="177"/>
      <c r="G74" s="177"/>
      <c r="H74" s="177"/>
    </row>
    <row r="75" spans="3:17" x14ac:dyDescent="0.3">
      <c r="F75" s="218"/>
      <c r="G75" s="219"/>
      <c r="H75" s="219"/>
    </row>
  </sheetData>
  <mergeCells count="17">
    <mergeCell ref="Z2:AB2"/>
    <mergeCell ref="AC2:AE2"/>
    <mergeCell ref="Y1:AE1"/>
    <mergeCell ref="AH2:AI2"/>
    <mergeCell ref="Y19:AA19"/>
    <mergeCell ref="D36:F36"/>
    <mergeCell ref="D52:F52"/>
    <mergeCell ref="K36:M36"/>
    <mergeCell ref="O36:Q36"/>
    <mergeCell ref="K52:M52"/>
    <mergeCell ref="O52:Q52"/>
    <mergeCell ref="D2:F2"/>
    <mergeCell ref="D20:F20"/>
    <mergeCell ref="K2:M2"/>
    <mergeCell ref="O2:Q2"/>
    <mergeCell ref="K20:M20"/>
    <mergeCell ref="O20:Q20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4AA450-D3A2-46C2-A492-FC8088F13514}">
  <dimension ref="A1:Z213"/>
  <sheetViews>
    <sheetView topLeftCell="A4" zoomScale="60" zoomScaleNormal="60" workbookViewId="0">
      <pane xSplit="6" ySplit="3" topLeftCell="G7" activePane="bottomRight" state="frozen"/>
      <selection pane="topRight"/>
      <selection pane="bottomLeft"/>
      <selection pane="bottomRight" activeCell="F28" sqref="F28"/>
    </sheetView>
  </sheetViews>
  <sheetFormatPr baseColWidth="10" defaultColWidth="7.44140625" defaultRowHeight="23.4" x14ac:dyDescent="0.45"/>
  <cols>
    <col min="1" max="2" width="7.44140625" style="67"/>
    <col min="3" max="3" width="3.44140625" style="67" bestFit="1" customWidth="1"/>
    <col min="4" max="4" width="11.5546875" style="67" bestFit="1" customWidth="1"/>
    <col min="5" max="5" width="41.44140625" style="67" bestFit="1" customWidth="1"/>
    <col min="6" max="6" width="42.109375" style="67" bestFit="1" customWidth="1"/>
    <col min="7" max="7" width="14.88671875" style="67" bestFit="1" customWidth="1"/>
    <col min="8" max="8" width="29.21875" style="67" bestFit="1" customWidth="1"/>
    <col min="9" max="9" width="19.21875" style="67" bestFit="1" customWidth="1"/>
    <col min="10" max="10" width="7.44140625" style="67"/>
    <col min="11" max="11" width="9.88671875" style="67" bestFit="1" customWidth="1"/>
    <col min="12" max="12" width="41.44140625" style="67" bestFit="1" customWidth="1"/>
    <col min="13" max="13" width="40.109375" style="67" bestFit="1" customWidth="1"/>
    <col min="14" max="14" width="14.88671875" style="67" bestFit="1" customWidth="1"/>
    <col min="15" max="15" width="29.21875" style="67" bestFit="1" customWidth="1"/>
    <col min="16" max="16" width="17.33203125" style="67" bestFit="1" customWidth="1"/>
    <col min="17" max="17" width="7.44140625" style="67"/>
    <col min="18" max="20" width="14.77734375" style="67" bestFit="1" customWidth="1"/>
    <col min="21" max="24" width="7.44140625" style="67"/>
    <col min="25" max="25" width="30.6640625" style="67" bestFit="1" customWidth="1"/>
    <col min="26" max="26" width="14.77734375" style="67" bestFit="1" customWidth="1"/>
    <col min="27" max="16384" width="7.44140625" style="67"/>
  </cols>
  <sheetData>
    <row r="1" spans="1:26" x14ac:dyDescent="0.45">
      <c r="G1" s="68"/>
      <c r="H1" s="69"/>
      <c r="L1" s="70"/>
      <c r="N1" s="70"/>
    </row>
    <row r="2" spans="1:26" x14ac:dyDescent="0.45">
      <c r="E2" s="72"/>
      <c r="G2" s="73"/>
      <c r="H2" s="69"/>
      <c r="I2" s="69"/>
      <c r="L2" s="70"/>
      <c r="M2" s="73"/>
      <c r="N2" s="73"/>
      <c r="O2" s="74"/>
    </row>
    <row r="3" spans="1:26" x14ac:dyDescent="0.45">
      <c r="I3" s="73"/>
    </row>
    <row r="4" spans="1:26" x14ac:dyDescent="0.45">
      <c r="E4" s="348" t="s">
        <v>615</v>
      </c>
      <c r="F4" s="349"/>
      <c r="G4" s="349"/>
      <c r="H4" s="349"/>
      <c r="I4" s="350"/>
      <c r="L4" s="351" t="s">
        <v>616</v>
      </c>
      <c r="M4" s="351"/>
      <c r="N4" s="351"/>
      <c r="O4" s="351"/>
      <c r="P4" s="351"/>
      <c r="R4" s="352" t="s">
        <v>617</v>
      </c>
      <c r="S4" s="352"/>
      <c r="T4" s="352"/>
    </row>
    <row r="5" spans="1:26" x14ac:dyDescent="0.45">
      <c r="D5" s="69"/>
      <c r="E5" s="67" t="s">
        <v>618</v>
      </c>
      <c r="F5" s="69">
        <f>I15*I10+I25*I19+I37*(I30+I31+I32)+I46*I43+I75*(I73+I72+I69)+I84*(I91+I107+I168)</f>
        <v>9348748404</v>
      </c>
      <c r="J5" s="75"/>
      <c r="L5" s="73"/>
      <c r="O5" s="75">
        <f>(H9-O9)/O9</f>
        <v>8.2015027159439743E-2</v>
      </c>
    </row>
    <row r="6" spans="1:26" x14ac:dyDescent="0.45">
      <c r="D6" s="76" t="s">
        <v>619</v>
      </c>
      <c r="E6" s="76" t="s">
        <v>435</v>
      </c>
      <c r="F6" s="76" t="s">
        <v>52</v>
      </c>
      <c r="G6" s="77" t="s">
        <v>620</v>
      </c>
      <c r="H6" s="77" t="s">
        <v>621</v>
      </c>
      <c r="I6" s="77" t="s">
        <v>395</v>
      </c>
      <c r="K6" s="76" t="s">
        <v>619</v>
      </c>
      <c r="L6" s="76" t="s">
        <v>435</v>
      </c>
      <c r="M6" s="76" t="s">
        <v>52</v>
      </c>
      <c r="N6" s="77" t="s">
        <v>620</v>
      </c>
      <c r="O6" s="77" t="s">
        <v>621</v>
      </c>
      <c r="P6" s="77" t="s">
        <v>395</v>
      </c>
      <c r="R6" s="77" t="s">
        <v>622</v>
      </c>
      <c r="S6" s="77" t="s">
        <v>623</v>
      </c>
      <c r="T6" s="77" t="s">
        <v>395</v>
      </c>
    </row>
    <row r="7" spans="1:26" x14ac:dyDescent="0.45">
      <c r="D7" s="78">
        <v>1</v>
      </c>
      <c r="E7" s="79" t="s">
        <v>441</v>
      </c>
      <c r="F7" s="80" t="s">
        <v>3</v>
      </c>
      <c r="G7" s="81">
        <f>IFERROR(GETPIVOTDATA(" Cantidad",TD!$A$3,"Proceso",$E$7,"ORD",$D$7,"Tipo",F7)/GETPIVOTDATA(" Cantidad",TD!$A$3,"Proceso",$E$7,"ORD",$D$7,"Tipo","Producción")*-1,0)</f>
        <v>0.20792079207920794</v>
      </c>
      <c r="H7" s="82">
        <f>IFERROR(GETPIVOTDATA("Suma de Costo",TD!$A$3,"Proceso",$E$7,"ORD",$D$7,"Tipo",F7),0)</f>
        <v>10623.146319999998</v>
      </c>
      <c r="I7" s="82">
        <f t="shared" ref="I7:I12" si="0">H7*G7</f>
        <v>2208.7729972277225</v>
      </c>
      <c r="J7" s="75"/>
      <c r="K7" s="78">
        <v>1</v>
      </c>
      <c r="L7" s="79" t="s">
        <v>441</v>
      </c>
      <c r="M7" s="80" t="s">
        <v>3</v>
      </c>
      <c r="N7" s="81">
        <v>0.21731512742639097</v>
      </c>
      <c r="O7" s="82">
        <v>10136.590000000002</v>
      </c>
      <c r="P7" s="82">
        <f t="shared" ref="P7:P13" si="1">N7*O7</f>
        <v>2202.8343475190809</v>
      </c>
      <c r="Q7" s="75"/>
      <c r="R7" s="82">
        <f>+(O7-H7)*N7</f>
        <v>-105.736048680915</v>
      </c>
      <c r="S7" s="82">
        <f>+(N7-G7)*H7</f>
        <v>99.797398972273371</v>
      </c>
      <c r="T7" s="82">
        <f t="shared" ref="T7:T13" si="2">+P7-I7</f>
        <v>-5.9386497086416057</v>
      </c>
      <c r="U7" s="71"/>
      <c r="V7" s="70"/>
      <c r="Y7" s="71"/>
      <c r="Z7" s="71"/>
    </row>
    <row r="8" spans="1:26" x14ac:dyDescent="0.45">
      <c r="D8" s="83"/>
      <c r="E8" s="79"/>
      <c r="F8" s="80" t="s">
        <v>2</v>
      </c>
      <c r="G8" s="81">
        <f>IFERROR(GETPIVOTDATA(" Cantidad",TD!$A$3,"Proceso","Trituración","ORD",1,"Tipo",F8)/GETPIVOTDATA(" Cantidad",TD!$A$3,"Proceso","Trituración","ORD",1,"Tipo","Producción")*-1,0)</f>
        <v>0.79207920792079212</v>
      </c>
      <c r="H8" s="82">
        <f>IFERROR(GETPIVOTDATA("Suma de Costo",TD!$A$3,"Proceso",$E$7,"ORD",$D$7,"Tipo",F8),0)</f>
        <v>13978.131776</v>
      </c>
      <c r="I8" s="82">
        <f t="shared" si="0"/>
        <v>11071.787545346535</v>
      </c>
      <c r="J8" s="75"/>
      <c r="K8" s="83"/>
      <c r="L8" s="79"/>
      <c r="M8" s="80" t="s">
        <v>2</v>
      </c>
      <c r="N8" s="81">
        <v>0.78268487257360908</v>
      </c>
      <c r="O8" s="82">
        <v>13349.966091516106</v>
      </c>
      <c r="P8" s="82">
        <f t="shared" si="1"/>
        <v>10448.816509200286</v>
      </c>
      <c r="Q8" s="75"/>
      <c r="R8" s="82">
        <f t="shared" ref="R8:R13" si="3">+(O8-H8)*N8</f>
        <v>-491.65577871539085</v>
      </c>
      <c r="S8" s="82">
        <f t="shared" ref="S8:S13" si="4">+(N8-G8)*H8</f>
        <v>-131.31525743085919</v>
      </c>
      <c r="T8" s="82">
        <f t="shared" si="2"/>
        <v>-622.97103614624939</v>
      </c>
      <c r="V8" s="70"/>
    </row>
    <row r="9" spans="1:26" x14ac:dyDescent="0.45">
      <c r="A9" s="84"/>
      <c r="D9" s="83"/>
      <c r="E9" s="79"/>
      <c r="F9" s="80" t="s">
        <v>267</v>
      </c>
      <c r="G9" s="85">
        <f>GETPIVOTDATA(" Cantidad",TD!$A$3,"Proceso","Trituración","ORD",1,"Tipo",F9)/((GETPIVOTDATA(" Cantidad",TD!$A$3,"Proceso","Trituración","ORD",1,"Tipo","Producción"))*-1)</f>
        <v>1.27</v>
      </c>
      <c r="H9" s="86">
        <f>IFERROR(GETPIVOTDATA("Suma de Costo",TD!$A$3,"Proceso",$E$7,"ORD",$D$7,"Tipo",F9),0)</f>
        <v>525.14399528097783</v>
      </c>
      <c r="I9" s="82">
        <f t="shared" si="0"/>
        <v>666.93287400684187</v>
      </c>
      <c r="J9" s="75"/>
      <c r="K9" s="83"/>
      <c r="L9" s="79"/>
      <c r="M9" s="80" t="s">
        <v>267</v>
      </c>
      <c r="N9" s="87">
        <v>1.2925727340036359</v>
      </c>
      <c r="O9" s="88">
        <v>485.33891128999591</v>
      </c>
      <c r="P9" s="82">
        <f t="shared" si="1"/>
        <v>627.33584348445811</v>
      </c>
      <c r="Q9" s="75"/>
      <c r="R9" s="82">
        <f t="shared" si="3"/>
        <v>-51.450966241467867</v>
      </c>
      <c r="S9" s="82">
        <f t="shared" si="4"/>
        <v>11.853935719084143</v>
      </c>
      <c r="T9" s="82">
        <f t="shared" si="2"/>
        <v>-39.597030522383761</v>
      </c>
      <c r="V9" s="70"/>
      <c r="Y9" s="89"/>
      <c r="Z9" s="69"/>
    </row>
    <row r="10" spans="1:26" x14ac:dyDescent="0.45">
      <c r="A10" s="84"/>
      <c r="C10" s="84" t="s">
        <v>624</v>
      </c>
      <c r="D10" s="83"/>
      <c r="E10" s="90"/>
      <c r="F10" s="80" t="s">
        <v>520</v>
      </c>
      <c r="G10" s="85">
        <f>IFERROR(GETPIVOTDATA(" Cantidad",TD!$A$3,"Proceso","Trituración","ORD",1,"Tipo",F10)/GETPIVOTDATA(" Cantidad",TD!$A$3,"Proceso","Trituración","ORD",1,"Tipo","Producción")*-1,0)</f>
        <v>1</v>
      </c>
      <c r="H10" s="86">
        <f>IFERROR(GETPIVOTDATA("Suma de Costo",TD!$A$3,"Proceso",$E$7,"ORD",$D$7,"Tipo",F10),0)</f>
        <v>903.51193901033002</v>
      </c>
      <c r="I10" s="82">
        <f t="shared" si="0"/>
        <v>903.51193901033002</v>
      </c>
      <c r="J10" s="75"/>
      <c r="K10" s="83"/>
      <c r="L10" s="90"/>
      <c r="M10" s="80" t="s">
        <v>520</v>
      </c>
      <c r="N10" s="85">
        <v>1</v>
      </c>
      <c r="O10" s="88">
        <v>477.1706286414892</v>
      </c>
      <c r="P10" s="82">
        <f t="shared" si="1"/>
        <v>477.1706286414892</v>
      </c>
      <c r="Q10" s="75"/>
      <c r="R10" s="82">
        <f t="shared" si="3"/>
        <v>-426.34131036884082</v>
      </c>
      <c r="S10" s="82">
        <f t="shared" si="4"/>
        <v>0</v>
      </c>
      <c r="T10" s="82">
        <f t="shared" si="2"/>
        <v>-426.34131036884082</v>
      </c>
      <c r="V10" s="70"/>
    </row>
    <row r="11" spans="1:26" x14ac:dyDescent="0.45">
      <c r="A11" s="84"/>
      <c r="C11" s="84"/>
      <c r="D11" s="83"/>
      <c r="E11" s="90"/>
      <c r="F11" s="80" t="s">
        <v>51</v>
      </c>
      <c r="G11" s="85">
        <f>IFERROR(GETPIVOTDATA(" Cantidad",TD!$A$3,"Proceso","Trituración","ORD",1,"Tipo",F11)/GETPIVOTDATA(" Cantidad",TD!$A$3,"Proceso","Trituración","ORD",1,"Tipo","Producción")*-1,0)</f>
        <v>1</v>
      </c>
      <c r="H11" s="86">
        <f>IFERROR(GETPIVOTDATA("Suma de Costo",TD!$A$3,"Proceso",$E$7,"ORD",$D$7,"Tipo",F11),0)</f>
        <v>369.16354141963348</v>
      </c>
      <c r="I11" s="82">
        <f t="shared" si="0"/>
        <v>369.16354141963348</v>
      </c>
      <c r="J11" s="75"/>
      <c r="K11" s="83"/>
      <c r="L11" s="90"/>
      <c r="M11" s="80" t="s">
        <v>51</v>
      </c>
      <c r="N11" s="85">
        <v>0</v>
      </c>
      <c r="O11" s="82">
        <v>0</v>
      </c>
      <c r="P11" s="82">
        <f t="shared" si="1"/>
        <v>0</v>
      </c>
      <c r="Q11" s="75"/>
      <c r="R11" s="82">
        <f t="shared" si="3"/>
        <v>0</v>
      </c>
      <c r="S11" s="82">
        <f t="shared" si="4"/>
        <v>-369.16354141963348</v>
      </c>
      <c r="T11" s="82">
        <f t="shared" si="2"/>
        <v>-369.16354141963348</v>
      </c>
      <c r="V11" s="70"/>
    </row>
    <row r="12" spans="1:26" x14ac:dyDescent="0.45">
      <c r="A12" s="84"/>
      <c r="C12" s="84"/>
      <c r="D12" s="83"/>
      <c r="E12" s="90"/>
      <c r="F12" s="80" t="s">
        <v>625</v>
      </c>
      <c r="G12" s="85">
        <v>1</v>
      </c>
      <c r="H12" s="86">
        <f>(IFERROR(GETPIVOTDATA("Suma de Costo",TD!$A$3,"Proceso",$E$7,"ORD",$D$7,"Tipo",F12),0))</f>
        <v>0</v>
      </c>
      <c r="I12" s="82">
        <f t="shared" si="0"/>
        <v>0</v>
      </c>
      <c r="J12" s="75"/>
      <c r="K12" s="83"/>
      <c r="L12" s="90"/>
      <c r="M12" s="80" t="s">
        <v>625</v>
      </c>
      <c r="N12" s="85">
        <v>1</v>
      </c>
      <c r="O12" s="91">
        <v>0</v>
      </c>
      <c r="P12" s="82">
        <f t="shared" si="1"/>
        <v>0</v>
      </c>
      <c r="Q12" s="75"/>
      <c r="R12" s="82">
        <f t="shared" si="3"/>
        <v>0</v>
      </c>
      <c r="S12" s="82">
        <f t="shared" si="4"/>
        <v>0</v>
      </c>
      <c r="T12" s="82">
        <f t="shared" si="2"/>
        <v>0</v>
      </c>
      <c r="V12" s="70"/>
    </row>
    <row r="13" spans="1:26" x14ac:dyDescent="0.45">
      <c r="D13" s="83"/>
      <c r="E13" s="92"/>
      <c r="F13" s="80" t="s">
        <v>485</v>
      </c>
      <c r="G13" s="85">
        <v>1</v>
      </c>
      <c r="H13" s="82">
        <f>(IFERROR(GETPIVOTDATA("Suma de Costo",TD!$A$3,"Proceso",$E$7,"ORD",$D$7,"Tipo",F13),0))</f>
        <v>152.42183180990097</v>
      </c>
      <c r="I13" s="85">
        <f>H13*G13</f>
        <v>152.42183180990097</v>
      </c>
      <c r="J13" s="75"/>
      <c r="K13" s="83"/>
      <c r="L13" s="92"/>
      <c r="M13" s="80" t="s">
        <v>485</v>
      </c>
      <c r="N13" s="85">
        <v>1</v>
      </c>
      <c r="O13" s="82">
        <v>146.6226985915828</v>
      </c>
      <c r="P13" s="82">
        <f t="shared" si="1"/>
        <v>146.6226985915828</v>
      </c>
      <c r="Q13" s="75"/>
      <c r="R13" s="93">
        <f t="shared" si="3"/>
        <v>-5.7991332183181612</v>
      </c>
      <c r="S13" s="93">
        <f t="shared" si="4"/>
        <v>0</v>
      </c>
      <c r="T13" s="93">
        <f t="shared" si="2"/>
        <v>-5.7991332183181612</v>
      </c>
      <c r="V13" s="70"/>
    </row>
    <row r="14" spans="1:26" x14ac:dyDescent="0.45">
      <c r="D14" s="94"/>
      <c r="E14" s="95" t="s">
        <v>626</v>
      </c>
      <c r="F14" s="95"/>
      <c r="G14" s="96"/>
      <c r="H14" s="96"/>
      <c r="I14" s="97">
        <f>SUM(I7:I13)</f>
        <v>15372.590728820964</v>
      </c>
      <c r="J14" s="75"/>
      <c r="K14" s="94"/>
      <c r="L14" s="95" t="s">
        <v>626</v>
      </c>
      <c r="M14" s="95"/>
      <c r="N14" s="96"/>
      <c r="O14" s="96"/>
      <c r="P14" s="97">
        <f>SUM(P7:P13)</f>
        <v>13902.780027436898</v>
      </c>
      <c r="Q14" s="75"/>
      <c r="R14" s="97">
        <f>+SUM(R7:R13)</f>
        <v>-1080.983237224933</v>
      </c>
      <c r="S14" s="97">
        <f>+SUM(S7:S13)</f>
        <v>-388.82746415913516</v>
      </c>
      <c r="T14" s="97">
        <f>+SUM(T7:T13)</f>
        <v>-1469.8107013840672</v>
      </c>
      <c r="U14" s="69"/>
    </row>
    <row r="15" spans="1:26" x14ac:dyDescent="0.45">
      <c r="D15" s="98"/>
      <c r="E15" s="99" t="s">
        <v>627</v>
      </c>
      <c r="F15" s="99"/>
      <c r="G15" s="100"/>
      <c r="H15" s="100"/>
      <c r="I15" s="101">
        <f>IFERROR(GETPIVOTDATA(" Cantidad",TD!$A$3,"Proceso",E7,"ORD",D7,"Tipo","Producción")*-1,0)</f>
        <v>1146594.6729666553</v>
      </c>
      <c r="K15" s="98"/>
      <c r="L15" s="99" t="s">
        <v>627</v>
      </c>
      <c r="M15" s="99"/>
      <c r="N15" s="100"/>
      <c r="O15" s="100"/>
      <c r="P15" s="101">
        <v>1234040.875</v>
      </c>
      <c r="Q15" s="75"/>
      <c r="R15" s="101"/>
      <c r="S15" s="101"/>
      <c r="T15" s="101"/>
    </row>
    <row r="16" spans="1:26" x14ac:dyDescent="0.45">
      <c r="G16" s="69"/>
      <c r="H16" s="70"/>
      <c r="I16" s="70"/>
      <c r="L16" s="69"/>
      <c r="M16" s="69"/>
      <c r="N16" s="69"/>
      <c r="O16" s="70"/>
      <c r="P16" s="70"/>
      <c r="Q16" s="75"/>
    </row>
    <row r="17" spans="1:22" x14ac:dyDescent="0.45">
      <c r="D17" s="76" t="s">
        <v>628</v>
      </c>
      <c r="E17" s="76" t="s">
        <v>435</v>
      </c>
      <c r="F17" s="76" t="s">
        <v>52</v>
      </c>
      <c r="G17" s="77" t="s">
        <v>620</v>
      </c>
      <c r="H17" s="77" t="s">
        <v>621</v>
      </c>
      <c r="I17" s="77" t="s">
        <v>395</v>
      </c>
      <c r="K17" s="76" t="s">
        <v>619</v>
      </c>
      <c r="L17" s="76" t="s">
        <v>435</v>
      </c>
      <c r="M17" s="76" t="s">
        <v>52</v>
      </c>
      <c r="N17" s="77" t="s">
        <v>620</v>
      </c>
      <c r="O17" s="77" t="s">
        <v>621</v>
      </c>
      <c r="P17" s="77" t="s">
        <v>395</v>
      </c>
      <c r="Q17" s="75"/>
      <c r="R17" s="77" t="s">
        <v>622</v>
      </c>
      <c r="S17" s="77" t="s">
        <v>623</v>
      </c>
      <c r="T17" s="77" t="s">
        <v>395</v>
      </c>
    </row>
    <row r="18" spans="1:22" x14ac:dyDescent="0.45">
      <c r="D18" s="78">
        <v>2</v>
      </c>
      <c r="E18" s="79" t="s">
        <v>471</v>
      </c>
      <c r="F18" s="80" t="s">
        <v>2</v>
      </c>
      <c r="G18" s="85">
        <f>IFERROR(GETPIVOTDATA(" Cantidad",TD!$A$3,"Proceso",$E$18,"ORD",$D$18,"Tipo",F18)/GETPIVOTDATA(" Cantidad",TD!$A$3,"Proceso",$E$18,"ORD",$D$18,"Tipo","Producción")*-1,0)</f>
        <v>1</v>
      </c>
      <c r="H18" s="82">
        <f>IFERROR(GETPIVOTDATA("Suma de Costo",TD!$A$3,"Proceso",$E$18,"ORD",$D$18,"Tipo",F18),0)</f>
        <v>13978.131776</v>
      </c>
      <c r="I18" s="82">
        <f>H18*G18</f>
        <v>13978.131776</v>
      </c>
      <c r="J18" s="75"/>
      <c r="K18" s="78">
        <v>2</v>
      </c>
      <c r="L18" s="79" t="s">
        <v>471</v>
      </c>
      <c r="M18" s="80" t="s">
        <v>2</v>
      </c>
      <c r="N18" s="85">
        <v>1</v>
      </c>
      <c r="O18" s="82">
        <v>13868.79126901877</v>
      </c>
      <c r="P18" s="82">
        <f>N18*O18</f>
        <v>13868.79126901877</v>
      </c>
      <c r="Q18" s="75"/>
      <c r="R18" s="82">
        <f>+(O18-H18)*N18</f>
        <v>-109.34050698123065</v>
      </c>
      <c r="S18" s="82">
        <f>+(N18-G18)*H18</f>
        <v>0</v>
      </c>
      <c r="T18" s="82">
        <f t="shared" ref="T18:T23" si="5">+P18-I18</f>
        <v>-109.34050698123065</v>
      </c>
      <c r="U18" s="71"/>
      <c r="V18" s="70"/>
    </row>
    <row r="19" spans="1:22" x14ac:dyDescent="0.45">
      <c r="A19" s="84"/>
      <c r="C19" s="84" t="s">
        <v>624</v>
      </c>
      <c r="D19" s="102"/>
      <c r="E19" s="79"/>
      <c r="F19" s="80" t="s">
        <v>520</v>
      </c>
      <c r="G19" s="85">
        <f>IFERROR(GETPIVOTDATA(" Cantidad",TD!$A$3,"Proceso",$E$18,"ORD",$D$18,"Tipo",F19)/GETPIVOTDATA(" Cantidad",TD!$A$3,"Proceso",$E$18,"ORD",$D$18,"Tipo","Producción")*-1,0)</f>
        <v>1</v>
      </c>
      <c r="H19" s="86">
        <f>IFERROR(GETPIVOTDATA("Suma de Costo",TD!$A$3,"Proceso",$E$18,"ORD",$D$18,"Tipo",F19),0)</f>
        <v>903.51193901033014</v>
      </c>
      <c r="I19" s="82">
        <f t="shared" ref="I19:I23" si="6">H19*G19</f>
        <v>903.51193901033014</v>
      </c>
      <c r="J19" s="75"/>
      <c r="K19" s="102"/>
      <c r="L19" s="79"/>
      <c r="M19" s="80" t="s">
        <v>520</v>
      </c>
      <c r="N19" s="85">
        <v>1</v>
      </c>
      <c r="O19" s="103">
        <v>477.1706286414892</v>
      </c>
      <c r="P19" s="82">
        <f t="shared" ref="P19:P23" si="7">N19*O19</f>
        <v>477.1706286414892</v>
      </c>
      <c r="Q19" s="75"/>
      <c r="R19" s="82">
        <f>+(O19-H19)*N19</f>
        <v>-426.34131036884094</v>
      </c>
      <c r="S19" s="82">
        <f>+(N19-G19)*H19</f>
        <v>0</v>
      </c>
      <c r="T19" s="82">
        <f t="shared" si="5"/>
        <v>-426.34131036884094</v>
      </c>
      <c r="V19" s="70"/>
    </row>
    <row r="20" spans="1:22" x14ac:dyDescent="0.45">
      <c r="A20" s="84"/>
      <c r="C20" s="84"/>
      <c r="D20" s="102"/>
      <c r="E20" s="79"/>
      <c r="F20" s="80" t="s">
        <v>51</v>
      </c>
      <c r="G20" s="85">
        <f>IFERROR(GETPIVOTDATA(" Cantidad",TD!$A$3,"Proceso",$E$18,"ORD",$D$18,"Tipo",F20)/GETPIVOTDATA(" Cantidad",TD!$A$3,"Proceso",$E$18,"ORD",$D$18,"Tipo","Producción")*-1,0)</f>
        <v>1</v>
      </c>
      <c r="H20" s="82">
        <f>IFERROR(GETPIVOTDATA("Suma de Costo",TD!$A$3,"Proceso",$E$18,"ORD",$D$18,"Tipo",F20),0)</f>
        <v>369.16354141963336</v>
      </c>
      <c r="I20" s="82">
        <f t="shared" si="6"/>
        <v>369.16354141963336</v>
      </c>
      <c r="J20" s="75"/>
      <c r="K20" s="102"/>
      <c r="L20" s="79"/>
      <c r="M20" s="80" t="s">
        <v>51</v>
      </c>
      <c r="N20" s="85">
        <v>0</v>
      </c>
      <c r="O20" s="82">
        <v>0</v>
      </c>
      <c r="P20" s="82">
        <f t="shared" si="7"/>
        <v>0</v>
      </c>
      <c r="Q20" s="75"/>
      <c r="R20" s="82">
        <f>+(O20-H20)*N20</f>
        <v>0</v>
      </c>
      <c r="S20" s="82">
        <f>+(N20-G20)*H20</f>
        <v>-369.16354141963336</v>
      </c>
      <c r="T20" s="82">
        <f t="shared" si="5"/>
        <v>-369.16354141963336</v>
      </c>
      <c r="V20" s="70"/>
    </row>
    <row r="21" spans="1:22" x14ac:dyDescent="0.45">
      <c r="A21" s="84"/>
      <c r="C21" s="84"/>
      <c r="D21" s="102"/>
      <c r="E21" s="79"/>
      <c r="F21" s="80" t="s">
        <v>625</v>
      </c>
      <c r="G21" s="85">
        <f>IFERROR(GETPIVOTDATA(" Cantidad",TD!$A$3,"Proceso","Trituración","ORD",1,"Tipo",F21)/GETPIVOTDATA(" Cantidad",TD!$A$3,"Proceso","Trituración","ORD",1,"Tipo","Producción")*-1,0)*0+1</f>
        <v>1</v>
      </c>
      <c r="H21" s="86">
        <f>(IFERROR(GETPIVOTDATA("Suma de Costo",TD!$A$3,"Proceso",$E$18,"ORD",$D$18,"Tipo",F21),0))</f>
        <v>0</v>
      </c>
      <c r="I21" s="82">
        <f t="shared" si="6"/>
        <v>0</v>
      </c>
      <c r="J21" s="75"/>
      <c r="K21" s="102"/>
      <c r="L21" s="79"/>
      <c r="M21" s="80" t="s">
        <v>625</v>
      </c>
      <c r="N21" s="85">
        <v>1</v>
      </c>
      <c r="O21" s="91">
        <v>0</v>
      </c>
      <c r="P21" s="82">
        <f t="shared" si="7"/>
        <v>0</v>
      </c>
      <c r="Q21" s="75"/>
      <c r="R21" s="82">
        <f t="shared" ref="R21:R22" si="8">+(O21-H21)*N21</f>
        <v>0</v>
      </c>
      <c r="S21" s="82">
        <f t="shared" ref="S21:S22" si="9">+(N21-G21)*H21</f>
        <v>0</v>
      </c>
      <c r="T21" s="82">
        <f t="shared" si="5"/>
        <v>0</v>
      </c>
      <c r="V21" s="70"/>
    </row>
    <row r="22" spans="1:22" x14ac:dyDescent="0.45">
      <c r="A22" s="84"/>
      <c r="C22" s="84"/>
      <c r="D22" s="102"/>
      <c r="E22" s="79"/>
      <c r="F22" s="80" t="s">
        <v>485</v>
      </c>
      <c r="G22" s="85">
        <f>IFERROR(GETPIVOTDATA(" Cantidad",TD!$A$3,"Proceso","Trituración","ORD",1,"Tipo",F22)/GETPIVOTDATA(" Cantidad",TD!$A$3,"Proceso","Trituración","ORD",1,"Tipo","Producción")*-1,0)*0+1</f>
        <v>1</v>
      </c>
      <c r="H22" s="82">
        <f>(IFERROR(GETPIVOTDATA("Suma de Costo",TD!$A$3,"Proceso",$E$18,"ORD",$D$18,"Tipo",F22),0))</f>
        <v>118.5867544</v>
      </c>
      <c r="I22" s="82">
        <f>H22*G22</f>
        <v>118.5867544</v>
      </c>
      <c r="J22" s="75"/>
      <c r="K22" s="102"/>
      <c r="L22" s="79"/>
      <c r="M22" s="80" t="s">
        <v>485</v>
      </c>
      <c r="N22" s="85">
        <v>1</v>
      </c>
      <c r="O22" s="82">
        <v>113.59304331650982</v>
      </c>
      <c r="P22" s="82">
        <f t="shared" si="7"/>
        <v>113.59304331650982</v>
      </c>
      <c r="Q22" s="75"/>
      <c r="R22" s="82">
        <f t="shared" si="8"/>
        <v>-4.993711083490183</v>
      </c>
      <c r="S22" s="82">
        <f t="shared" si="9"/>
        <v>0</v>
      </c>
      <c r="T22" s="82">
        <f t="shared" si="5"/>
        <v>-4.993711083490183</v>
      </c>
      <c r="V22" s="70"/>
    </row>
    <row r="23" spans="1:22" x14ac:dyDescent="0.45">
      <c r="A23" s="84"/>
      <c r="D23" s="83"/>
      <c r="E23" s="79"/>
      <c r="F23" s="80" t="s">
        <v>267</v>
      </c>
      <c r="G23" s="85">
        <f>GETPIVOTDATA(" Cantidad",TD!$A$3,"Proceso","Adiciones","ORD",2,"Tipo",F23)/((GETPIVOTDATA(" Cantidad",TD!$A$3,"Proceso","Adiciones","ORD",2,"Tipo","Producción"))*-1)</f>
        <v>1.2700000000000002</v>
      </c>
      <c r="H23" s="86">
        <f>IFERROR(GETPIVOTDATA("Suma de Costo",TD!$A$3,"Proceso",$E$18,"ORD",$D$18,"Tipo",F23),0)</f>
        <v>525.24409409393547</v>
      </c>
      <c r="I23" s="82">
        <f t="shared" si="6"/>
        <v>667.05999949929821</v>
      </c>
      <c r="J23" s="75"/>
      <c r="K23" s="83"/>
      <c r="L23" s="79"/>
      <c r="M23" s="80" t="s">
        <v>267</v>
      </c>
      <c r="N23" s="87">
        <v>1.2925727340036359</v>
      </c>
      <c r="O23" s="88">
        <v>485.33891128999591</v>
      </c>
      <c r="P23" s="82">
        <f t="shared" si="7"/>
        <v>627.33584348445811</v>
      </c>
      <c r="Q23" s="75"/>
      <c r="R23" s="82">
        <f>+(O23-H23)*N23</f>
        <v>-51.580351237803043</v>
      </c>
      <c r="S23" s="82">
        <f>+(N23-G23)*H23</f>
        <v>11.856195222962999</v>
      </c>
      <c r="T23" s="82">
        <f t="shared" si="5"/>
        <v>-39.724156014840105</v>
      </c>
      <c r="V23" s="70"/>
    </row>
    <row r="24" spans="1:22" x14ac:dyDescent="0.45">
      <c r="D24" s="94"/>
      <c r="E24" s="95" t="s">
        <v>629</v>
      </c>
      <c r="F24" s="95"/>
      <c r="G24" s="96"/>
      <c r="H24" s="96"/>
      <c r="I24" s="97">
        <f>SUM(I18:I23)</f>
        <v>16036.454010329262</v>
      </c>
      <c r="J24" s="75"/>
      <c r="K24" s="94"/>
      <c r="L24" s="95" t="s">
        <v>629</v>
      </c>
      <c r="M24" s="95"/>
      <c r="N24" s="96"/>
      <c r="O24" s="96"/>
      <c r="P24" s="97">
        <f>SUM(P18:P23)</f>
        <v>15086.890784461226</v>
      </c>
      <c r="Q24" s="75"/>
      <c r="R24" s="97">
        <f>+SUM(R18:R23)</f>
        <v>-592.25587967136482</v>
      </c>
      <c r="S24" s="97">
        <f>+SUM(S18:S23)</f>
        <v>-357.30734619667038</v>
      </c>
      <c r="T24" s="97">
        <f>+SUM(T18:T23)</f>
        <v>-949.56322586803526</v>
      </c>
      <c r="U24" s="69"/>
    </row>
    <row r="25" spans="1:22" x14ac:dyDescent="0.45">
      <c r="D25" s="98"/>
      <c r="E25" s="99" t="s">
        <v>627</v>
      </c>
      <c r="F25" s="99"/>
      <c r="G25" s="100"/>
      <c r="H25" s="100"/>
      <c r="I25" s="101">
        <f>IFERROR(GETPIVOTDATA(" Cantidad",TD!$A$3,"Proceso",E18,"ORD",D18,"Tipo","Producción")*-1,0)</f>
        <v>602137.06125997496</v>
      </c>
      <c r="K25" s="98"/>
      <c r="L25" s="99" t="s">
        <v>627</v>
      </c>
      <c r="M25" s="99"/>
      <c r="N25" s="100"/>
      <c r="O25" s="100"/>
      <c r="P25" s="101">
        <v>484054.625</v>
      </c>
      <c r="Q25" s="75"/>
      <c r="R25" s="101"/>
      <c r="S25" s="101"/>
      <c r="T25" s="101"/>
    </row>
    <row r="26" spans="1:22" x14ac:dyDescent="0.45">
      <c r="E26" s="104"/>
      <c r="F26" s="73"/>
      <c r="G26" s="105"/>
      <c r="H26" s="70"/>
      <c r="I26" s="71"/>
      <c r="L26" s="69"/>
      <c r="M26" s="73"/>
      <c r="N26" s="69"/>
      <c r="O26" s="70"/>
      <c r="P26" s="71"/>
      <c r="Q26" s="75"/>
    </row>
    <row r="27" spans="1:22" x14ac:dyDescent="0.45">
      <c r="D27" s="76" t="s">
        <v>630</v>
      </c>
      <c r="E27" s="76" t="s">
        <v>435</v>
      </c>
      <c r="F27" s="76" t="s">
        <v>52</v>
      </c>
      <c r="G27" s="77" t="s">
        <v>620</v>
      </c>
      <c r="H27" s="77" t="s">
        <v>621</v>
      </c>
      <c r="I27" s="77" t="s">
        <v>395</v>
      </c>
      <c r="K27" s="76" t="s">
        <v>630</v>
      </c>
      <c r="L27" s="76" t="s">
        <v>435</v>
      </c>
      <c r="M27" s="76" t="s">
        <v>52</v>
      </c>
      <c r="N27" s="77" t="s">
        <v>620</v>
      </c>
      <c r="O27" s="77" t="s">
        <v>621</v>
      </c>
      <c r="P27" s="77" t="s">
        <v>395</v>
      </c>
      <c r="Q27" s="75"/>
      <c r="R27" s="77" t="s">
        <v>622</v>
      </c>
      <c r="S27" s="77" t="s">
        <v>623</v>
      </c>
      <c r="T27" s="77" t="s">
        <v>395</v>
      </c>
    </row>
    <row r="28" spans="1:22" x14ac:dyDescent="0.45">
      <c r="D28" s="78">
        <v>3</v>
      </c>
      <c r="E28" s="79" t="s">
        <v>446</v>
      </c>
      <c r="F28" s="80" t="s">
        <v>53</v>
      </c>
      <c r="G28" s="85">
        <f>IFERROR(GETPIVOTDATA(" Cantidad",TD!$A$3,"Proceso",$E$28,"ORD",$D$28,"Tipo",F28)/GETPIVOTDATA(" Cantidad",TD!$A$3,"Proceso",$E$28,"ORD",$D$28,"Tipo","Producción")*-1,0)</f>
        <v>0.83131183168316825</v>
      </c>
      <c r="H28" s="296">
        <v>31000</v>
      </c>
      <c r="I28" s="82">
        <f t="shared" ref="I28:I35" si="10">H28*G28</f>
        <v>25770.666782178214</v>
      </c>
      <c r="J28" s="75"/>
      <c r="K28" s="78">
        <v>3</v>
      </c>
      <c r="L28" s="79" t="s">
        <v>446</v>
      </c>
      <c r="M28" s="80" t="s">
        <v>53</v>
      </c>
      <c r="N28" s="81">
        <v>0.89170298656038816</v>
      </c>
      <c r="O28" s="296">
        <v>31000</v>
      </c>
      <c r="P28" s="82">
        <f t="shared" ref="P28:P35" si="11">N28*O28</f>
        <v>27642.792583372033</v>
      </c>
      <c r="Q28" s="75"/>
      <c r="R28" s="82">
        <f t="shared" ref="R28:R35" si="12">+(O28-H28)*N28</f>
        <v>0</v>
      </c>
      <c r="S28" s="82">
        <f t="shared" ref="S28:S35" si="13">+(N28-G28)*H28</f>
        <v>1872.1258011938173</v>
      </c>
      <c r="T28" s="82">
        <f t="shared" ref="T28:T35" si="14">+P28-I28</f>
        <v>1872.1258011938189</v>
      </c>
      <c r="U28" s="71"/>
      <c r="V28" s="70"/>
    </row>
    <row r="29" spans="1:22" x14ac:dyDescent="0.45">
      <c r="D29" s="83"/>
      <c r="E29" s="79"/>
      <c r="F29" s="80" t="s">
        <v>2</v>
      </c>
      <c r="G29" s="81">
        <f>IFERROR(GETPIVOTDATA(" Cantidad",TD!$A$3,"Proceso",$E$28,"ORD",$D$28,"Tipo",F29)/GETPIVOTDATA(" Cantidad",TD!$A$3,"Proceso",$E$28,"ORD",$D$28,"Tipo","Producción")*-1,0)</f>
        <v>0.18281</v>
      </c>
      <c r="H29" s="296">
        <v>31500</v>
      </c>
      <c r="I29" s="82">
        <f t="shared" si="10"/>
        <v>5758.5150000000003</v>
      </c>
      <c r="J29" s="75"/>
      <c r="K29" s="83"/>
      <c r="L29" s="79"/>
      <c r="M29" s="80" t="s">
        <v>2</v>
      </c>
      <c r="N29" s="107">
        <v>0.12118480253419782</v>
      </c>
      <c r="O29" s="296">
        <v>31500</v>
      </c>
      <c r="P29" s="82">
        <f t="shared" si="11"/>
        <v>3817.3212798272311</v>
      </c>
      <c r="Q29" s="75"/>
      <c r="R29" s="82">
        <f t="shared" si="12"/>
        <v>0</v>
      </c>
      <c r="S29" s="82">
        <f t="shared" si="13"/>
        <v>-1941.1937201727687</v>
      </c>
      <c r="T29" s="82">
        <f t="shared" si="14"/>
        <v>-1941.1937201727692</v>
      </c>
      <c r="V29" s="70"/>
    </row>
    <row r="30" spans="1:22" x14ac:dyDescent="0.45">
      <c r="D30" s="83"/>
      <c r="E30" s="108"/>
      <c r="F30" s="80" t="s">
        <v>491</v>
      </c>
      <c r="G30" s="85">
        <f>IFERROR(GETPIVOTDATA(" Cantidad",TD!$A$3,"Proceso",$E$28,"ORD",$D$28,"Tipo",F30)/GETPIVOTDATA(" Cantidad",TD!$A$3,"Proceso",$E$28,"ORD",$D$28,"Tipo","Producción")*-1,0)</f>
        <v>1</v>
      </c>
      <c r="H30" s="82">
        <f>IFERROR(GETPIVOTDATA("Suma de Costo",TD!$A$3,"Proceso",$E$28,"ORD",$D$28,"Tipo",F30),0)</f>
        <v>167.10951069178878</v>
      </c>
      <c r="I30" s="82">
        <f t="shared" si="10"/>
        <v>167.10951069178878</v>
      </c>
      <c r="J30" s="75"/>
      <c r="K30" s="83"/>
      <c r="L30" s="108"/>
      <c r="M30" s="80" t="s">
        <v>491</v>
      </c>
      <c r="N30" s="85">
        <v>1</v>
      </c>
      <c r="O30" s="109">
        <v>397.8958117762491</v>
      </c>
      <c r="P30" s="82">
        <f t="shared" si="11"/>
        <v>397.8958117762491</v>
      </c>
      <c r="Q30" s="75"/>
      <c r="R30" s="82">
        <f t="shared" si="12"/>
        <v>230.78630108446032</v>
      </c>
      <c r="S30" s="82">
        <f t="shared" si="13"/>
        <v>0</v>
      </c>
      <c r="T30" s="82">
        <f t="shared" si="14"/>
        <v>230.78630108446032</v>
      </c>
      <c r="V30" s="70"/>
    </row>
    <row r="31" spans="1:22" x14ac:dyDescent="0.45">
      <c r="D31" s="83"/>
      <c r="E31" s="110"/>
      <c r="F31" s="80" t="s">
        <v>492</v>
      </c>
      <c r="G31" s="85">
        <f>IFERROR(GETPIVOTDATA(" Cantidad",TD!$A$3,"Proceso",$E$28,"ORD",$D$28,"Tipo",F31)/GETPIVOTDATA(" Cantidad",TD!$A$3,"Proceso",$E$28,"ORD",$D$28,"Tipo","Producción")*-1,0)</f>
        <v>1</v>
      </c>
      <c r="H31" s="82">
        <f>IFERROR(GETPIVOTDATA("Suma de Costo",TD!$A$3,"Proceso",$E$28,"ORD",$D$28,"Tipo",F31),0)</f>
        <v>119.88290984410932</v>
      </c>
      <c r="I31" s="82">
        <f t="shared" si="10"/>
        <v>119.88290984410932</v>
      </c>
      <c r="J31" s="75"/>
      <c r="K31" s="83"/>
      <c r="L31" s="110"/>
      <c r="M31" s="80" t="s">
        <v>492</v>
      </c>
      <c r="N31" s="85">
        <v>1</v>
      </c>
      <c r="O31" s="109">
        <v>305.60178703213978</v>
      </c>
      <c r="P31" s="82">
        <f t="shared" si="11"/>
        <v>305.60178703213978</v>
      </c>
      <c r="Q31" s="75"/>
      <c r="R31" s="82">
        <f>+(O31-H31)*N31</f>
        <v>185.71887718803046</v>
      </c>
      <c r="S31" s="82">
        <f>+(N31-G31)*H31</f>
        <v>0</v>
      </c>
      <c r="T31" s="82">
        <f t="shared" si="14"/>
        <v>185.71887718803046</v>
      </c>
      <c r="V31" s="70"/>
    </row>
    <row r="32" spans="1:22" x14ac:dyDescent="0.45">
      <c r="D32" s="83"/>
      <c r="E32" s="110"/>
      <c r="F32" s="80" t="s">
        <v>493</v>
      </c>
      <c r="G32" s="85">
        <f>IFERROR(GETPIVOTDATA(" Cantidad",TD!$A$3,"Proceso",$E$28,"ORD",$D$28,"Tipo",F32)/GETPIVOTDATA(" Cantidad",TD!$A$3,"Proceso",$E$28,"ORD",$D$28,"Tipo","Producción")*-1,0)</f>
        <v>1</v>
      </c>
      <c r="H32" s="82">
        <f>IFERROR(GETPIVOTDATA("Suma de Costo",TD!$A$3,"Proceso",$E$28,"ORD",$D$28,"Tipo",F32),0)</f>
        <v>498.70407357713628</v>
      </c>
      <c r="I32" s="82">
        <f t="shared" si="10"/>
        <v>498.70407357713628</v>
      </c>
      <c r="J32" s="75"/>
      <c r="K32" s="83"/>
      <c r="L32" s="110"/>
      <c r="M32" s="80" t="s">
        <v>493</v>
      </c>
      <c r="N32" s="85">
        <v>1</v>
      </c>
      <c r="O32" s="109">
        <v>205.58665707388559</v>
      </c>
      <c r="P32" s="82">
        <f t="shared" si="11"/>
        <v>205.58665707388559</v>
      </c>
      <c r="Q32" s="75"/>
      <c r="R32" s="82">
        <f>+(O32-H32)*N32</f>
        <v>-293.11741650325069</v>
      </c>
      <c r="S32" s="82">
        <f>+(N32-G32)*H32</f>
        <v>0</v>
      </c>
      <c r="T32" s="82">
        <f t="shared" si="14"/>
        <v>-293.11741650325069</v>
      </c>
      <c r="V32" s="70"/>
    </row>
    <row r="33" spans="4:22" x14ac:dyDescent="0.45">
      <c r="D33" s="83"/>
      <c r="E33" s="90"/>
      <c r="F33" s="80" t="s">
        <v>267</v>
      </c>
      <c r="G33" s="122">
        <f>GETPIVOTDATA(" Cantidad",TD!$A$3,"Proceso","Molienda de  Crudo","ORD",3,"Tipo",F33)/((GETPIVOTDATA(" Cantidad",TD!$A$3,"Proceso","Molienda de  Crudo","ORD",3,"Tipo","Producción"))*-1)</f>
        <v>15.1</v>
      </c>
      <c r="H33" s="86">
        <f>IFERROR(GETPIVOTDATA("Suma de Costo",TD!$A$3,"Proceso",$E$28,"ORD",$D$28,"Tipo",F33),0)</f>
        <v>525.14520020609314</v>
      </c>
      <c r="I33" s="82">
        <f t="shared" si="10"/>
        <v>7929.6925231120058</v>
      </c>
      <c r="J33" s="75"/>
      <c r="K33" s="83"/>
      <c r="L33" s="90"/>
      <c r="M33" s="80" t="s">
        <v>267</v>
      </c>
      <c r="N33" s="111">
        <v>15.261171576488865</v>
      </c>
      <c r="O33" s="88">
        <v>480.42206058091148</v>
      </c>
      <c r="P33" s="82">
        <f t="shared" si="11"/>
        <v>7331.8034956556176</v>
      </c>
      <c r="Q33" s="75"/>
      <c r="R33" s="82">
        <f t="shared" si="12"/>
        <v>-682.52750725916519</v>
      </c>
      <c r="S33" s="82">
        <f t="shared" si="13"/>
        <v>84.638479802776686</v>
      </c>
      <c r="T33" s="82">
        <f t="shared" si="14"/>
        <v>-597.88902745638825</v>
      </c>
      <c r="V33" s="70"/>
    </row>
    <row r="34" spans="4:22" x14ac:dyDescent="0.45">
      <c r="D34" s="83"/>
      <c r="E34" s="90"/>
      <c r="F34" s="80" t="s">
        <v>631</v>
      </c>
      <c r="G34" s="81">
        <v>0</v>
      </c>
      <c r="H34" s="82">
        <v>0</v>
      </c>
      <c r="I34" s="82">
        <f t="shared" si="10"/>
        <v>0</v>
      </c>
      <c r="J34" s="75"/>
      <c r="K34" s="83"/>
      <c r="L34" s="90"/>
      <c r="M34" s="80" t="s">
        <v>631</v>
      </c>
      <c r="N34" s="81">
        <v>0</v>
      </c>
      <c r="O34" s="82">
        <v>0</v>
      </c>
      <c r="P34" s="82">
        <f t="shared" si="11"/>
        <v>0</v>
      </c>
      <c r="Q34" s="75"/>
      <c r="R34" s="82">
        <f t="shared" si="12"/>
        <v>0</v>
      </c>
      <c r="S34" s="82">
        <f t="shared" si="13"/>
        <v>0</v>
      </c>
      <c r="T34" s="82">
        <f t="shared" si="14"/>
        <v>0</v>
      </c>
      <c r="V34" s="70"/>
    </row>
    <row r="35" spans="4:22" x14ac:dyDescent="0.45">
      <c r="D35" s="83"/>
      <c r="E35" s="90"/>
      <c r="F35" s="80" t="s">
        <v>54</v>
      </c>
      <c r="G35" s="112">
        <f>IFERROR(GETPIVOTDATA(" Cantidad",TD!$A$3,"Proceso",$E$28,"ORD",$D$28,"Tipo",F35)/GETPIVOTDATA(" Cantidad",TD!$A$3,"Proceso",$E$28,"ORD",$D$28,"Tipo","Producción")*-1,0)</f>
        <v>2.5993187499999994E-2</v>
      </c>
      <c r="H35" s="82">
        <f>IFERROR(GETPIVOTDATA("Suma de Costo",TD!$A$3,"Proceso",$E$28,"ORD",$D$28,"Tipo",F35),0)</f>
        <v>281860.87032197183</v>
      </c>
      <c r="I35" s="82">
        <f t="shared" si="10"/>
        <v>7326.4624511921975</v>
      </c>
      <c r="J35" s="75"/>
      <c r="K35" s="83"/>
      <c r="L35" s="90"/>
      <c r="M35" s="80" t="s">
        <v>54</v>
      </c>
      <c r="N35" s="113">
        <v>2.5414903005915358E-2</v>
      </c>
      <c r="O35" s="114">
        <v>256211.06522061556</v>
      </c>
      <c r="P35" s="82">
        <f t="shared" si="11"/>
        <v>6511.5793716241978</v>
      </c>
      <c r="Q35" s="75"/>
      <c r="R35" s="82">
        <f t="shared" si="12"/>
        <v>-651.88730877160242</v>
      </c>
      <c r="S35" s="82">
        <f t="shared" si="13"/>
        <v>-162.99577079639673</v>
      </c>
      <c r="T35" s="82">
        <f t="shared" si="14"/>
        <v>-814.88307956799963</v>
      </c>
      <c r="V35" s="70"/>
    </row>
    <row r="36" spans="4:22" x14ac:dyDescent="0.45">
      <c r="D36" s="94"/>
      <c r="E36" s="95" t="s">
        <v>632</v>
      </c>
      <c r="F36" s="95"/>
      <c r="G36" s="96"/>
      <c r="H36" s="96"/>
      <c r="I36" s="97">
        <f>SUM(I28:I35)</f>
        <v>47571.033250595458</v>
      </c>
      <c r="J36" s="75"/>
      <c r="K36" s="94"/>
      <c r="L36" s="95" t="s">
        <v>632</v>
      </c>
      <c r="M36" s="95"/>
      <c r="N36" s="96" t="s">
        <v>633</v>
      </c>
      <c r="O36" s="96"/>
      <c r="P36" s="97">
        <f>SUM(P28:P35)</f>
        <v>46212.580986361354</v>
      </c>
      <c r="Q36" s="75"/>
      <c r="R36" s="97">
        <f>+SUM(R28:R35)</f>
        <v>-1211.0270542615276</v>
      </c>
      <c r="S36" s="97">
        <f>+SUM(S28:S35)</f>
        <v>-147.42520997257145</v>
      </c>
      <c r="T36" s="97">
        <f>+SUM(T28:T35)</f>
        <v>-1358.452264234098</v>
      </c>
      <c r="U36" s="69"/>
    </row>
    <row r="37" spans="4:22" x14ac:dyDescent="0.45">
      <c r="D37" s="98"/>
      <c r="E37" s="99"/>
      <c r="F37" s="99"/>
      <c r="G37" s="100"/>
      <c r="H37" s="100"/>
      <c r="I37" s="101">
        <f>IFERROR(GETPIVOTDATA(" Cantidad",TD!$A$3,"Proceso",E28,"ORD",D28,"Tipo","Producción")*-1,0)</f>
        <v>1376342.9684394465</v>
      </c>
      <c r="K37" s="98"/>
      <c r="L37" s="99"/>
      <c r="M37" s="99"/>
      <c r="N37" s="100"/>
      <c r="O37" s="100"/>
      <c r="P37" s="101">
        <v>1413903.1375</v>
      </c>
      <c r="Q37" s="75"/>
      <c r="R37" s="101"/>
      <c r="S37" s="101"/>
      <c r="T37" s="101"/>
    </row>
    <row r="38" spans="4:22" x14ac:dyDescent="0.45">
      <c r="E38" s="115"/>
      <c r="F38" s="116"/>
      <c r="G38" s="117"/>
      <c r="H38" s="115"/>
      <c r="I38" s="71"/>
      <c r="L38" s="115"/>
      <c r="M38" s="116"/>
      <c r="N38" s="70"/>
      <c r="O38" s="115"/>
      <c r="P38" s="71"/>
      <c r="Q38" s="75"/>
    </row>
    <row r="39" spans="4:22" x14ac:dyDescent="0.45">
      <c r="D39" s="76" t="s">
        <v>634</v>
      </c>
      <c r="E39" s="76" t="s">
        <v>435</v>
      </c>
      <c r="F39" s="76" t="s">
        <v>52</v>
      </c>
      <c r="G39" s="77" t="s">
        <v>620</v>
      </c>
      <c r="H39" s="77" t="s">
        <v>621</v>
      </c>
      <c r="I39" s="77" t="s">
        <v>395</v>
      </c>
      <c r="K39" s="76" t="s">
        <v>634</v>
      </c>
      <c r="L39" s="76" t="s">
        <v>435</v>
      </c>
      <c r="M39" s="76" t="s">
        <v>52</v>
      </c>
      <c r="N39" s="77" t="s">
        <v>620</v>
      </c>
      <c r="O39" s="77" t="s">
        <v>621</v>
      </c>
      <c r="P39" s="77" t="s">
        <v>395</v>
      </c>
      <c r="Q39" s="75"/>
      <c r="R39" s="77" t="s">
        <v>622</v>
      </c>
      <c r="S39" s="77" t="s">
        <v>623</v>
      </c>
      <c r="T39" s="77" t="s">
        <v>395</v>
      </c>
    </row>
    <row r="40" spans="4:22" x14ac:dyDescent="0.45">
      <c r="D40" s="78">
        <v>4</v>
      </c>
      <c r="E40" s="79" t="s">
        <v>453</v>
      </c>
      <c r="F40" s="80" t="s">
        <v>454</v>
      </c>
      <c r="G40" s="112">
        <f>IFERROR(GETPIVOTDATA(" Cantidad",TD!$A$3,"Proceso",$E$40,"ORD",$D$40,"Tipo",F40)/GETPIVOTDATA(" Cantidad",TD!$A$3,"Proceso",$E$40,"ORD",$D$40,"Tipo","Producción")*-1,0)</f>
        <v>1.0660980810234544</v>
      </c>
      <c r="H40" s="118">
        <f>IFERROR(GETPIVOTDATA("Suma de Costo",TD!$A$3,"Proceso",$E$40,"ORD",$D$40,"Tipo",F40),0)+IFERROR(GETPIVOTDATA("Suma de Costo",TD!$A$3,"Proceso",$E$40,"ORD",$D$40,"Tipo","Desatasque De Carbón"),0)</f>
        <v>340706.62054715509</v>
      </c>
      <c r="I40" s="82">
        <f>H40*G40</f>
        <v>363226.67435730825</v>
      </c>
      <c r="J40" s="75"/>
      <c r="K40" s="78">
        <v>4</v>
      </c>
      <c r="L40" s="79" t="s">
        <v>453</v>
      </c>
      <c r="M40" s="80" t="s">
        <v>454</v>
      </c>
      <c r="N40" s="107">
        <v>1.0943443633677923</v>
      </c>
      <c r="O40" s="119">
        <v>251126.2213000287</v>
      </c>
      <c r="P40" s="82">
        <f t="shared" ref="P40:P44" si="15">N40*O40</f>
        <v>274818.56477353926</v>
      </c>
      <c r="Q40" s="75"/>
      <c r="R40" s="82">
        <f>+(O40-H40)*N40</f>
        <v>-98031.804984329196</v>
      </c>
      <c r="S40" s="82">
        <f>+(N40-G40)*H40</f>
        <v>9623.6954005601401</v>
      </c>
      <c r="T40" s="82">
        <f>+P40-I40</f>
        <v>-88408.109583768994</v>
      </c>
      <c r="V40" s="70"/>
    </row>
    <row r="41" spans="4:22" x14ac:dyDescent="0.45">
      <c r="D41" s="102"/>
      <c r="E41" s="79"/>
      <c r="F41" s="80" t="s">
        <v>496</v>
      </c>
      <c r="G41" s="120">
        <f>IFERROR(GETPIVOTDATA(" Cantidad",TD!$A$3,"Proceso",$E$40,"ORD",$D$40,"Tipo",F41),0)/IFERROR(GETPIVOTDATA(" Cantidad",TD!$A$3,"Proceso",E40,"ORD",D40,"Tipo","Producción")*-1,0)</f>
        <v>0.21321961620469085</v>
      </c>
      <c r="H41" s="86">
        <f>IFERROR(GETPIVOTDATA("Suma de Costo",TD!$A$3,"Proceso",$E$40,"ORD",$D$40,"Tipo",F41),0)</f>
        <v>8699.9999999999982</v>
      </c>
      <c r="I41" s="82">
        <f t="shared" ref="I41:I44" si="16">H41*G41</f>
        <v>1855.0106609808099</v>
      </c>
      <c r="J41" s="75"/>
      <c r="K41" s="102"/>
      <c r="L41" s="79"/>
      <c r="M41" s="80" t="s">
        <v>496</v>
      </c>
      <c r="N41" s="121">
        <v>0.27679131704618715</v>
      </c>
      <c r="O41" s="88">
        <v>7508.980328532456</v>
      </c>
      <c r="P41" s="82">
        <f t="shared" si="15"/>
        <v>2078.4205548084096</v>
      </c>
      <c r="Q41" s="75"/>
      <c r="R41" s="82">
        <f>+(O41-H41)*N41</f>
        <v>-329.6639034934181</v>
      </c>
      <c r="S41" s="82">
        <f>+(N41-G41)*H41</f>
        <v>553.07379732101765</v>
      </c>
      <c r="T41" s="82">
        <f>+P41-I41</f>
        <v>223.40989382759972</v>
      </c>
      <c r="V41" s="70"/>
    </row>
    <row r="42" spans="4:22" x14ac:dyDescent="0.45">
      <c r="D42" s="102"/>
      <c r="E42" s="79"/>
      <c r="F42" s="80" t="s">
        <v>37</v>
      </c>
      <c r="G42" s="122">
        <f>IFERROR(GETPIVOTDATA(" Cantidad",TD!$A$3,"Proceso",$E$40,"ORD",$D$40,"Tipo",F40),0)/IFERROR(GETPIVOTDATA(" Cantidad",TD!$A$3,"Proceso",E40,"ORD",D40,"Tipo","Producción")*-1,0)</f>
        <v>1.0660980810234544</v>
      </c>
      <c r="H42" s="86">
        <f>IFERROR(GETPIVOTDATA("Suma de Costo",TD!$A$3,"Proceso",$E$40,"ORD",$D$40,"Tipo",F42),0)</f>
        <v>6324.9999999999991</v>
      </c>
      <c r="I42" s="82">
        <f t="shared" si="16"/>
        <v>6743.0703624733478</v>
      </c>
      <c r="J42" s="75"/>
      <c r="K42" s="102"/>
      <c r="L42" s="79"/>
      <c r="M42" s="80" t="s">
        <v>37</v>
      </c>
      <c r="N42" s="121">
        <v>1.0710660596177222</v>
      </c>
      <c r="O42" s="88">
        <v>7209.7752010525119</v>
      </c>
      <c r="P42" s="82">
        <f t="shared" si="15"/>
        <v>7722.1455153208844</v>
      </c>
      <c r="Q42" s="75"/>
      <c r="R42" s="82">
        <f>+(O42-H42)*N42</f>
        <v>947.65268823879273</v>
      </c>
      <c r="S42" s="82">
        <f>+(N42-G42)*H42</f>
        <v>31.422464608743741</v>
      </c>
      <c r="T42" s="82">
        <f>+P42-I42</f>
        <v>979.07515284753663</v>
      </c>
      <c r="V42" s="70"/>
    </row>
    <row r="43" spans="4:22" x14ac:dyDescent="0.45">
      <c r="D43" s="83"/>
      <c r="E43" s="79"/>
      <c r="F43" s="80" t="s">
        <v>494</v>
      </c>
      <c r="G43" s="122">
        <f>IFERROR(GETPIVOTDATA(" Cantidad",TD!$A$3,"Proceso",$E$40,"ORD",$D$40,"Tipo",F43)/GETPIVOTDATA(" Cantidad",TD!$A$3,"Proceso",$E$40,"ORD",$D$40,"Tipo","Producción")*-1,0)</f>
        <v>1</v>
      </c>
      <c r="H43" s="86">
        <f>IFERROR(GETPIVOTDATA("Suma de Costo",TD!$A$3,"Proceso",$E$40,"ORD",$D$40,"Tipo",F43),0)</f>
        <v>3788.9790024433137</v>
      </c>
      <c r="I43" s="82">
        <f t="shared" si="16"/>
        <v>3788.9790024433137</v>
      </c>
      <c r="J43" s="75"/>
      <c r="K43" s="83"/>
      <c r="L43" s="79"/>
      <c r="M43" s="80" t="s">
        <v>491</v>
      </c>
      <c r="N43" s="122">
        <v>1</v>
      </c>
      <c r="O43" s="109">
        <v>1034.9866238849668</v>
      </c>
      <c r="P43" s="82">
        <f t="shared" si="15"/>
        <v>1034.9866238849668</v>
      </c>
      <c r="Q43" s="75"/>
      <c r="R43" s="82">
        <f>+(O43-H43)*N43</f>
        <v>-2753.9923785583469</v>
      </c>
      <c r="S43" s="82">
        <f>+(N43-G43)*H43</f>
        <v>0</v>
      </c>
      <c r="T43" s="82">
        <f>+P43-I43</f>
        <v>-2753.9923785583469</v>
      </c>
      <c r="V43" s="70"/>
    </row>
    <row r="44" spans="4:22" x14ac:dyDescent="0.45">
      <c r="D44" s="83"/>
      <c r="E44" s="92"/>
      <c r="F44" s="80" t="s">
        <v>267</v>
      </c>
      <c r="G44" s="122">
        <f>GETPIVOTDATA(" Cantidad",TD!$A$3,"Proceso","Molienda de Carbón","ORD",4,"Tipo",F44)/((GETPIVOTDATA(" Cantidad",TD!$A$3,"Proceso","Molienda de Carbón","ORD",4,"Tipo","Producción"))*-1)</f>
        <v>27.999999999999996</v>
      </c>
      <c r="H44" s="86">
        <f>IFERROR(GETPIVOTDATA("Suma de Costo",TD!$A$3,"Proceso",$E$40,"ORD",$D$40,"Tipo",F44),0)</f>
        <v>525.14149692316948</v>
      </c>
      <c r="I44" s="82">
        <f t="shared" si="16"/>
        <v>14703.961913848743</v>
      </c>
      <c r="J44" s="75"/>
      <c r="K44" s="83"/>
      <c r="L44" s="92"/>
      <c r="M44" s="80" t="s">
        <v>267</v>
      </c>
      <c r="N44" s="122">
        <v>34.33979555636116</v>
      </c>
      <c r="O44" s="88">
        <v>485.33891128999591</v>
      </c>
      <c r="P44" s="82">
        <f t="shared" si="15"/>
        <v>16666.438989245366</v>
      </c>
      <c r="Q44" s="75"/>
      <c r="R44" s="82">
        <f>+(O44-H44)*N44</f>
        <v>-1366.8126532577387</v>
      </c>
      <c r="S44" s="82">
        <f>+(N44-G44)*H44</f>
        <v>3329.2897286543598</v>
      </c>
      <c r="T44" s="82">
        <f>+P44-I44</f>
        <v>1962.4770753966222</v>
      </c>
      <c r="V44" s="70"/>
    </row>
    <row r="45" spans="4:22" x14ac:dyDescent="0.45">
      <c r="D45" s="94"/>
      <c r="E45" s="95" t="s">
        <v>635</v>
      </c>
      <c r="F45" s="95"/>
      <c r="G45" s="96"/>
      <c r="H45" s="96"/>
      <c r="I45" s="97">
        <f>SUM(I40:I44)</f>
        <v>390317.69629705453</v>
      </c>
      <c r="J45" s="75"/>
      <c r="K45" s="94"/>
      <c r="L45" s="95" t="s">
        <v>635</v>
      </c>
      <c r="M45" s="95"/>
      <c r="N45" s="96"/>
      <c r="O45" s="96"/>
      <c r="P45" s="97">
        <f>SUM(P40:P44)</f>
        <v>302320.55645679892</v>
      </c>
      <c r="Q45" s="75"/>
      <c r="R45" s="97">
        <f>+SUM(R40:R44)</f>
        <v>-101534.62123139991</v>
      </c>
      <c r="S45" s="97">
        <f>+SUM(S40:S44)</f>
        <v>13537.481391144262</v>
      </c>
      <c r="T45" s="97">
        <f>+SUM(T40:T44)</f>
        <v>-87997.139840255579</v>
      </c>
      <c r="U45" s="69"/>
    </row>
    <row r="46" spans="4:22" x14ac:dyDescent="0.45">
      <c r="D46" s="98"/>
      <c r="E46" s="99"/>
      <c r="F46" s="99"/>
      <c r="G46" s="100"/>
      <c r="H46" s="100"/>
      <c r="I46" s="101">
        <f>IFERROR(GETPIVOTDATA(" Cantidad",TD!$A$3,"Proceso",E40,"ORD",D40,"Tipo","Producción")*-1,0)</f>
        <v>95434.680362921819</v>
      </c>
      <c r="K46" s="98"/>
      <c r="L46" s="99"/>
      <c r="M46" s="99"/>
      <c r="N46" s="100"/>
      <c r="O46" s="100"/>
      <c r="P46" s="101">
        <v>124970.89999999998</v>
      </c>
      <c r="Q46" s="75"/>
      <c r="R46" s="101"/>
      <c r="S46" s="101"/>
      <c r="T46" s="101"/>
    </row>
    <row r="47" spans="4:22" x14ac:dyDescent="0.45">
      <c r="E47" s="123"/>
      <c r="F47" s="69"/>
      <c r="G47" s="73"/>
      <c r="H47" s="73"/>
      <c r="I47" s="73"/>
      <c r="L47" s="69"/>
      <c r="M47" s="75"/>
      <c r="N47" s="124"/>
      <c r="O47" s="73"/>
      <c r="P47" s="73"/>
      <c r="Q47" s="71"/>
    </row>
    <row r="48" spans="4:22" x14ac:dyDescent="0.45">
      <c r="D48" s="98" t="s">
        <v>636</v>
      </c>
      <c r="E48" s="76" t="s">
        <v>435</v>
      </c>
      <c r="F48" s="76" t="s">
        <v>52</v>
      </c>
      <c r="G48" s="77" t="s">
        <v>620</v>
      </c>
      <c r="H48" s="77" t="s">
        <v>621</v>
      </c>
      <c r="I48" s="77" t="s">
        <v>395</v>
      </c>
      <c r="K48" s="98"/>
      <c r="L48" s="76" t="s">
        <v>435</v>
      </c>
      <c r="M48" s="76" t="s">
        <v>52</v>
      </c>
      <c r="N48" s="77" t="s">
        <v>620</v>
      </c>
      <c r="O48" s="77" t="s">
        <v>621</v>
      </c>
      <c r="P48" s="77" t="s">
        <v>395</v>
      </c>
      <c r="Q48" s="75"/>
      <c r="R48" s="77" t="s">
        <v>622</v>
      </c>
      <c r="S48" s="77" t="s">
        <v>623</v>
      </c>
      <c r="T48" s="77" t="s">
        <v>395</v>
      </c>
    </row>
    <row r="49" spans="4:22" x14ac:dyDescent="0.45">
      <c r="D49" s="98">
        <v>20</v>
      </c>
      <c r="E49" s="79" t="s">
        <v>525</v>
      </c>
      <c r="F49" s="80" t="s">
        <v>41</v>
      </c>
      <c r="G49" s="125">
        <f>IFERROR(GETPIVOTDATA(" Cantidad",TD!$A$3,"Proceso",$E$49,"ORD",$D$49,"Tipo",F49)/GETPIVOTDATA(" Cantidad",TD!$A$3,"Proceso",$E$49,"ORD",$D$49,"Tipo","Producción")*-1,0)</f>
        <v>0.81442205726405092</v>
      </c>
      <c r="H49" s="82">
        <f>IFERROR(GETPIVOTDATA("Suma de Costo",TD!$A$3,"Proceso",$E$49,"ORD",$D$49,"Tipo",F49),0)</f>
        <v>318229.74285000004</v>
      </c>
      <c r="I49" s="82">
        <f>H49*G49</f>
        <v>259173.32185450694</v>
      </c>
      <c r="J49" s="353"/>
      <c r="K49" s="98"/>
      <c r="L49" s="79" t="s">
        <v>525</v>
      </c>
      <c r="M49" s="80" t="s">
        <v>41</v>
      </c>
      <c r="N49" s="126">
        <v>0.425236485348364</v>
      </c>
      <c r="O49" s="88">
        <v>293738.62451650272</v>
      </c>
      <c r="P49" s="82">
        <f t="shared" ref="P49:P51" si="17">+N49*O49</f>
        <v>124908.3803004604</v>
      </c>
      <c r="Q49" s="75"/>
      <c r="R49" s="82">
        <f t="shared" ref="R49:R57" si="18">+(O49-H49)*N49</f>
        <v>-10414.517082387281</v>
      </c>
      <c r="S49" s="82">
        <f t="shared" ref="S49:S57" si="19">+(N49-G49)*H49</f>
        <v>-123850.42447165925</v>
      </c>
      <c r="T49" s="82">
        <f t="shared" ref="T49:T57" si="20">+P49-I49</f>
        <v>-134264.94155404653</v>
      </c>
      <c r="V49" s="70"/>
    </row>
    <row r="50" spans="4:22" x14ac:dyDescent="0.45">
      <c r="D50" s="98"/>
      <c r="E50" s="79"/>
      <c r="F50" s="80" t="s">
        <v>534</v>
      </c>
      <c r="G50" s="125">
        <f>IFERROR(GETPIVOTDATA(" Cantidad",TD!$A$3,"Proceso",$E$49,"ORD",$D$49,"Tipo",F50)/GETPIVOTDATA(" Cantidad",TD!$A$3,"Proceso",$E$49,"ORD",$D$49,"Tipo","Producción")*-1,0)</f>
        <v>0.18557794273594905</v>
      </c>
      <c r="H50" s="82">
        <f>IFERROR(GETPIVOTDATA("Suma de Costo",TD!$A$3,"Proceso",$E$49,"ORD",$D$49,"Tipo",F50),0)</f>
        <v>318422.60304545489</v>
      </c>
      <c r="I50" s="82">
        <f t="shared" ref="I50:I57" si="21">H50*G50</f>
        <v>59092.211593801265</v>
      </c>
      <c r="J50" s="353"/>
      <c r="K50" s="98"/>
      <c r="L50" s="79"/>
      <c r="M50" s="80" t="s">
        <v>534</v>
      </c>
      <c r="N50" s="126">
        <v>0.37053385157694657</v>
      </c>
      <c r="O50" s="88">
        <v>338940.44367497752</v>
      </c>
      <c r="P50" s="82">
        <f t="shared" si="17"/>
        <v>125588.90805008855</v>
      </c>
      <c r="Q50" s="75"/>
      <c r="R50" s="82">
        <f t="shared" si="18"/>
        <v>7602.5545144989819</v>
      </c>
      <c r="S50" s="82">
        <f t="shared" si="19"/>
        <v>58894.141941788293</v>
      </c>
      <c r="T50" s="82">
        <f t="shared" si="20"/>
        <v>66496.696456287289</v>
      </c>
      <c r="V50" s="70"/>
    </row>
    <row r="51" spans="4:22" x14ac:dyDescent="0.45">
      <c r="D51" s="98"/>
      <c r="E51" s="79"/>
      <c r="F51" s="80" t="s">
        <v>637</v>
      </c>
      <c r="G51" s="125">
        <v>0</v>
      </c>
      <c r="H51" s="82">
        <v>0</v>
      </c>
      <c r="I51" s="82">
        <f t="shared" si="21"/>
        <v>0</v>
      </c>
      <c r="J51" s="353"/>
      <c r="K51" s="98"/>
      <c r="L51" s="79"/>
      <c r="M51" s="80" t="s">
        <v>637</v>
      </c>
      <c r="N51" s="112">
        <v>6.3860476061902871E-2</v>
      </c>
      <c r="O51" s="82">
        <v>248821.45628683933</v>
      </c>
      <c r="P51" s="82">
        <f t="shared" si="17"/>
        <v>15889.856652893515</v>
      </c>
      <c r="Q51" s="75"/>
      <c r="R51" s="82">
        <f t="shared" si="18"/>
        <v>15889.856652893515</v>
      </c>
      <c r="S51" s="82">
        <f t="shared" si="19"/>
        <v>0</v>
      </c>
      <c r="T51" s="82">
        <f t="shared" si="20"/>
        <v>15889.856652893515</v>
      </c>
      <c r="V51" s="70"/>
    </row>
    <row r="52" spans="4:22" x14ac:dyDescent="0.45">
      <c r="D52" s="98"/>
      <c r="E52" s="79"/>
      <c r="F52" s="80" t="s">
        <v>530</v>
      </c>
      <c r="G52" s="125">
        <f>IFERROR(GETPIVOTDATA(" Cantidad",TD!$A$3,"Proceso",$E$49,"ORD",$D$49,"Tipo",F52)/GETPIVOTDATA(" Cantidad",TD!$A$3,"Proceso",$E$49,"ORD",$D$49,"Tipo","Producción")*-1,0)</f>
        <v>0</v>
      </c>
      <c r="H52" s="82">
        <f>IFERROR(GETPIVOTDATA("Suma de Costo",TD!$A$3,"Proceso",$E$49,"ORD",$D$49,"Tipo",F52),0)</f>
        <v>0</v>
      </c>
      <c r="I52" s="82">
        <f t="shared" si="21"/>
        <v>0</v>
      </c>
      <c r="J52" s="353"/>
      <c r="K52" s="98"/>
      <c r="L52" s="79"/>
      <c r="M52" s="80" t="s">
        <v>530</v>
      </c>
      <c r="N52" s="126">
        <f>0.140369187012787/2</f>
        <v>7.01845935063935E-2</v>
      </c>
      <c r="O52" s="88">
        <v>332985.22090870753</v>
      </c>
      <c r="P52" s="82">
        <f>+N52*O52</f>
        <v>23370.432373114279</v>
      </c>
      <c r="Q52" s="75"/>
      <c r="R52" s="82">
        <f t="shared" si="18"/>
        <v>23370.432373114279</v>
      </c>
      <c r="S52" s="82">
        <f t="shared" si="19"/>
        <v>0</v>
      </c>
      <c r="T52" s="82">
        <f t="shared" si="20"/>
        <v>23370.432373114279</v>
      </c>
      <c r="V52" s="70"/>
    </row>
    <row r="53" spans="4:22" x14ac:dyDescent="0.45">
      <c r="D53" s="98"/>
      <c r="E53" s="79"/>
      <c r="F53" s="80" t="s">
        <v>92</v>
      </c>
      <c r="G53" s="125">
        <f>IFERROR(GETPIVOTDATA(" Cantidad",TD!$A$3,"Proceso",$E$49,"ORD",$D$49,"Tipo",F53)/GETPIVOTDATA(" Cantidad",TD!$A$3,"Proceso",$E$49,"ORD",$D$49,"Tipo","Producción")*-1,0)</f>
        <v>0</v>
      </c>
      <c r="H53" s="82">
        <f>IFERROR(GETPIVOTDATA("Suma de Costo",TD!$A$3,"Proceso",$E$49,"ORD",$D$49,"Tipo",F53),0)</f>
        <v>0</v>
      </c>
      <c r="I53" s="82">
        <f t="shared" si="21"/>
        <v>0</v>
      </c>
      <c r="J53" s="353"/>
      <c r="K53" s="98"/>
      <c r="L53" s="79"/>
      <c r="M53" s="80" t="s">
        <v>92</v>
      </c>
      <c r="N53" s="126">
        <f>0.140369187012787/2</f>
        <v>7.01845935063935E-2</v>
      </c>
      <c r="O53" s="88">
        <v>332985.22090870753</v>
      </c>
      <c r="P53" s="82">
        <f t="shared" ref="P53:P57" si="22">+N53*O53</f>
        <v>23370.432373114279</v>
      </c>
      <c r="Q53" s="75"/>
      <c r="R53" s="82">
        <f t="shared" si="18"/>
        <v>23370.432373114279</v>
      </c>
      <c r="S53" s="82">
        <f t="shared" si="19"/>
        <v>0</v>
      </c>
      <c r="T53" s="82">
        <f t="shared" si="20"/>
        <v>23370.432373114279</v>
      </c>
      <c r="V53" s="70"/>
    </row>
    <row r="54" spans="4:22" x14ac:dyDescent="0.45">
      <c r="D54" s="98"/>
      <c r="E54" s="79"/>
      <c r="F54" s="80" t="s">
        <v>507</v>
      </c>
      <c r="G54" s="122">
        <f>IFERROR(GETPIVOTDATA(" Cantidad",TD!$A$3,"Proceso",$E$49,"ORD",$D$49,"Tipo","Cargue Alternos")/GETPIVOTDATA(" Cantidad",TD!$A$3,"Proceso",$E$49,"ORD",$D$49,"Tipo","Producción")*-1,0)</f>
        <v>1</v>
      </c>
      <c r="H54" s="82">
        <f>IFERROR(GETPIVOTDATA("Suma de Costo",TD!$A$3,"Proceso",$E$49,"ORD",$D$49,"Tipo","Cargue Alternos"),0)</f>
        <v>8768.417470546523</v>
      </c>
      <c r="I54" s="82">
        <f t="shared" si="21"/>
        <v>8768.417470546523</v>
      </c>
      <c r="J54" s="75"/>
      <c r="K54" s="98"/>
      <c r="L54" s="79"/>
      <c r="M54" s="80" t="s">
        <v>507</v>
      </c>
      <c r="N54" s="122">
        <v>1</v>
      </c>
      <c r="O54" s="88">
        <v>5481.4314718214528</v>
      </c>
      <c r="P54" s="82">
        <f t="shared" si="22"/>
        <v>5481.4314718214528</v>
      </c>
      <c r="Q54" s="75"/>
      <c r="R54" s="82">
        <f t="shared" si="18"/>
        <v>-3286.9859987250702</v>
      </c>
      <c r="S54" s="82">
        <f t="shared" si="19"/>
        <v>0</v>
      </c>
      <c r="T54" s="82">
        <f t="shared" si="20"/>
        <v>-3286.9859987250702</v>
      </c>
      <c r="V54" s="70"/>
    </row>
    <row r="55" spans="4:22" x14ac:dyDescent="0.45">
      <c r="D55" s="98"/>
      <c r="E55" s="79"/>
      <c r="F55" s="80" t="s">
        <v>638</v>
      </c>
      <c r="G55" s="122">
        <f>IFERROR(GETPIVOTDATA(" Cantidad",TD!$A$3,"Proceso",$E$49,"ORD",$D$49,"Tipo","Descargue Alternos")/GETPIVOTDATA(" Cantidad",TD!$A$3,"Proceso",$E$49,"ORD",$D$49,"Tipo","Producción")*-1,0)</f>
        <v>1</v>
      </c>
      <c r="H55" s="82">
        <f>IFERROR(GETPIVOTDATA("Suma de Costo",TD!$A$3,"Proceso",$E$49,"ORD",$D$49,"Tipo","Descargue Alternos"),0)</f>
        <v>10725</v>
      </c>
      <c r="I55" s="82">
        <f>H55*G55</f>
        <v>10725</v>
      </c>
      <c r="J55" s="75"/>
      <c r="K55" s="98"/>
      <c r="L55" s="79"/>
      <c r="M55" s="80" t="s">
        <v>638</v>
      </c>
      <c r="N55" s="122">
        <v>1</v>
      </c>
      <c r="O55" s="88">
        <v>4364.669635618151</v>
      </c>
      <c r="P55" s="82">
        <f t="shared" si="22"/>
        <v>4364.669635618151</v>
      </c>
      <c r="Q55" s="75"/>
      <c r="R55" s="82">
        <f t="shared" si="18"/>
        <v>-6360.330364381849</v>
      </c>
      <c r="S55" s="82">
        <f t="shared" si="19"/>
        <v>0</v>
      </c>
      <c r="T55" s="82">
        <f t="shared" si="20"/>
        <v>-6360.330364381849</v>
      </c>
      <c r="V55" s="70"/>
    </row>
    <row r="56" spans="4:22" x14ac:dyDescent="0.45">
      <c r="D56" s="98"/>
      <c r="E56" s="79"/>
      <c r="F56" s="80" t="s">
        <v>267</v>
      </c>
      <c r="G56" s="122">
        <f>GETPIVOTDATA(" Cantidad",TD!$A$3,"Proceso","Combustibles Alternos","ORD",20,"Tipo",F56)/((GETPIVOTDATA(" Cantidad",TD!$A$3,"Proceso","Combustibles Alternos","ORD",20,"Tipo","Producción"))*-1)</f>
        <v>8.4000000000000021</v>
      </c>
      <c r="H56" s="86">
        <f>IFERROR(GETPIVOTDATA("Suma de Costo",TD!$A$3,"Proceso",$E$49,"ORD",$D$49,"Tipo",F56),0)</f>
        <v>525.14393124607454</v>
      </c>
      <c r="I56" s="82">
        <f t="shared" si="21"/>
        <v>4411.2090224670274</v>
      </c>
      <c r="J56" s="75"/>
      <c r="K56" s="98"/>
      <c r="L56" s="79"/>
      <c r="M56" s="80" t="s">
        <v>267</v>
      </c>
      <c r="N56" s="121">
        <v>7.835765081655663</v>
      </c>
      <c r="O56" s="88">
        <v>485.33891128999591</v>
      </c>
      <c r="P56" s="82">
        <f t="shared" si="22"/>
        <v>3803.0016938549252</v>
      </c>
      <c r="Q56" s="75"/>
      <c r="R56" s="82">
        <f t="shared" si="18"/>
        <v>-311.90278544644781</v>
      </c>
      <c r="S56" s="82">
        <f t="shared" si="19"/>
        <v>-296.30454316565414</v>
      </c>
      <c r="T56" s="82">
        <f t="shared" si="20"/>
        <v>-608.20732861210217</v>
      </c>
      <c r="V56" s="70"/>
    </row>
    <row r="57" spans="4:22" x14ac:dyDescent="0.45">
      <c r="D57" s="98"/>
      <c r="E57" s="79"/>
      <c r="F57" s="80" t="s">
        <v>639</v>
      </c>
      <c r="G57" s="122">
        <v>1</v>
      </c>
      <c r="H57" s="82">
        <v>0</v>
      </c>
      <c r="I57" s="82">
        <f t="shared" si="21"/>
        <v>0</v>
      </c>
      <c r="J57" s="75"/>
      <c r="K57" s="98"/>
      <c r="L57" s="79"/>
      <c r="M57" s="80" t="s">
        <v>639</v>
      </c>
      <c r="N57" s="122">
        <v>1</v>
      </c>
      <c r="O57" s="88">
        <v>0</v>
      </c>
      <c r="P57" s="82">
        <f t="shared" si="22"/>
        <v>0</v>
      </c>
      <c r="Q57" s="75"/>
      <c r="R57" s="82">
        <f t="shared" si="18"/>
        <v>0</v>
      </c>
      <c r="S57" s="82">
        <f t="shared" si="19"/>
        <v>0</v>
      </c>
      <c r="T57" s="82">
        <f t="shared" si="20"/>
        <v>0</v>
      </c>
      <c r="V57" s="70"/>
    </row>
    <row r="58" spans="4:22" x14ac:dyDescent="0.45">
      <c r="D58" s="98"/>
      <c r="E58" s="99" t="s">
        <v>640</v>
      </c>
      <c r="F58" s="99"/>
      <c r="G58" s="100"/>
      <c r="H58" s="100"/>
      <c r="I58" s="101">
        <f>SUM(I49:I57)</f>
        <v>342170.1599413217</v>
      </c>
      <c r="J58" s="75"/>
      <c r="K58" s="98"/>
      <c r="L58" s="99" t="s">
        <v>640</v>
      </c>
      <c r="M58" s="99"/>
      <c r="N58" s="100"/>
      <c r="O58" s="100"/>
      <c r="P58" s="101">
        <f>SUM(P49:P57)</f>
        <v>326777.11255096557</v>
      </c>
      <c r="Q58" s="75"/>
      <c r="R58" s="97">
        <f>+SUM(R53:R57)</f>
        <v>13411.213224560912</v>
      </c>
      <c r="S58" s="97">
        <f>+SUM(S53:S57)</f>
        <v>-296.30454316565414</v>
      </c>
      <c r="T58" s="97">
        <f>+SUM(T53:T57)</f>
        <v>13114.908681395256</v>
      </c>
    </row>
    <row r="59" spans="4:22" x14ac:dyDescent="0.45">
      <c r="D59" s="98"/>
      <c r="E59" s="99"/>
      <c r="F59" s="99"/>
      <c r="G59" s="100"/>
      <c r="H59" s="100"/>
      <c r="I59" s="101">
        <f>IFERROR(GETPIVOTDATA(" Cantidad",TD!$A$3,"Proceso",E49,"ORD",D49,"Tipo","Combustibles Alternos")*-1,0)</f>
        <v>16422.575736579827</v>
      </c>
      <c r="K59" s="98"/>
      <c r="L59" s="99"/>
      <c r="M59" s="99"/>
      <c r="N59" s="100"/>
      <c r="O59" s="100"/>
      <c r="P59" s="101">
        <v>14853.021124999997</v>
      </c>
      <c r="Q59" s="75"/>
      <c r="R59" s="101"/>
      <c r="S59" s="101"/>
      <c r="T59" s="101"/>
    </row>
    <row r="60" spans="4:22" x14ac:dyDescent="0.45">
      <c r="E60" s="117"/>
      <c r="F60" s="68"/>
      <c r="G60" s="68"/>
      <c r="H60" s="73"/>
      <c r="I60" s="73"/>
      <c r="L60" s="70"/>
      <c r="M60" s="68"/>
      <c r="O60" s="73"/>
      <c r="P60" s="127"/>
      <c r="Q60" s="75"/>
      <c r="S60" s="69"/>
    </row>
    <row r="61" spans="4:22" x14ac:dyDescent="0.45">
      <c r="D61" s="76" t="s">
        <v>641</v>
      </c>
      <c r="E61" s="76" t="s">
        <v>435</v>
      </c>
      <c r="F61" s="76" t="s">
        <v>52</v>
      </c>
      <c r="G61" s="77" t="s">
        <v>620</v>
      </c>
      <c r="H61" s="77" t="s">
        <v>621</v>
      </c>
      <c r="I61" s="77" t="s">
        <v>395</v>
      </c>
      <c r="K61" s="76" t="s">
        <v>641</v>
      </c>
      <c r="L61" s="76" t="s">
        <v>435</v>
      </c>
      <c r="M61" s="76" t="s">
        <v>52</v>
      </c>
      <c r="N61" s="77" t="s">
        <v>620</v>
      </c>
      <c r="O61" s="77" t="s">
        <v>621</v>
      </c>
      <c r="P61" s="77" t="s">
        <v>395</v>
      </c>
      <c r="Q61" s="75"/>
      <c r="R61" s="77" t="s">
        <v>622</v>
      </c>
      <c r="S61" s="77" t="s">
        <v>623</v>
      </c>
      <c r="T61" s="77" t="s">
        <v>395</v>
      </c>
    </row>
    <row r="62" spans="4:22" x14ac:dyDescent="0.45">
      <c r="D62" s="78">
        <v>5</v>
      </c>
      <c r="E62" s="79" t="s">
        <v>456</v>
      </c>
      <c r="F62" s="80" t="s">
        <v>459</v>
      </c>
      <c r="G62" s="81">
        <f>IFERROR(GETPIVOTDATA(" Cantidad",TD!$A$3,"Proceso",$E$62,"ORD",$D$62,"Tipo",F62)/GETPIVOTDATA(" Cantidad",TD!$A$3,"Proceso",$E$62,"ORD",$D$62,"Tipo","Producción")*-1,0)</f>
        <v>1.56</v>
      </c>
      <c r="H62" s="82">
        <f>I36</f>
        <v>47571.033250595458</v>
      </c>
      <c r="I62" s="82">
        <f>H62*G62</f>
        <v>74210.811870928912</v>
      </c>
      <c r="J62" s="75"/>
      <c r="K62" s="78">
        <v>5</v>
      </c>
      <c r="L62" s="79" t="s">
        <v>456</v>
      </c>
      <c r="M62" s="80" t="s">
        <v>459</v>
      </c>
      <c r="N62" s="85">
        <v>1.5600004502344813</v>
      </c>
      <c r="O62" s="88">
        <f>P36</f>
        <v>46212.580986361354</v>
      </c>
      <c r="P62" s="82">
        <f t="shared" ref="P62:P73" si="23">+N62*O62</f>
        <v>72091.647145221141</v>
      </c>
      <c r="Q62" s="75"/>
      <c r="R62" s="82">
        <f t="shared" ref="R62:R73" si="24">+(O62-H62)*N62</f>
        <v>-2119.1861438272522</v>
      </c>
      <c r="S62" s="82">
        <f t="shared" ref="S62:S73" si="25">+(N62-G62)*H62</f>
        <v>2.1418119478247264E-2</v>
      </c>
      <c r="T62" s="82">
        <f t="shared" ref="T62:T73" si="26">+P62-I62</f>
        <v>-2119.1647257077711</v>
      </c>
      <c r="V62" s="70"/>
    </row>
    <row r="63" spans="4:22" x14ac:dyDescent="0.45">
      <c r="D63" s="83"/>
      <c r="E63" s="79"/>
      <c r="F63" s="80" t="s">
        <v>457</v>
      </c>
      <c r="G63" s="81">
        <f>IFERROR(GETPIVOTDATA(" Cantidad",TD!$A$3,"Proceso",$E$62,"ORD",$D$62,"Tipo",F63)/GETPIVOTDATA(" Cantidad",TD!$A$3,"Proceso",$E$62,"ORD",$D$62,"Tipo","Producción")*-1,0)</f>
        <v>0.11141634233453897</v>
      </c>
      <c r="H63" s="82">
        <f>I45</f>
        <v>390317.69629705453</v>
      </c>
      <c r="I63" s="82">
        <f t="shared" ref="I63:I73" si="27">H63*G63</f>
        <v>43487.770069861239</v>
      </c>
      <c r="J63" s="75"/>
      <c r="K63" s="83"/>
      <c r="L63" s="79"/>
      <c r="M63" s="80" t="s">
        <v>457</v>
      </c>
      <c r="N63" s="81">
        <v>0.1315494537949963</v>
      </c>
      <c r="O63" s="88">
        <v>302160.49052258529</v>
      </c>
      <c r="P63" s="82">
        <f t="shared" si="23"/>
        <v>39749.047486674252</v>
      </c>
      <c r="Q63" s="75"/>
      <c r="R63" s="82">
        <f>+(O63-H63)*N63</f>
        <v>-11597.032267724522</v>
      </c>
      <c r="S63" s="82">
        <f>+(N63-G63)*H63</f>
        <v>7858.3096845375339</v>
      </c>
      <c r="T63" s="82">
        <f t="shared" si="26"/>
        <v>-3738.7225831869873</v>
      </c>
      <c r="V63" s="70"/>
    </row>
    <row r="64" spans="4:22" x14ac:dyDescent="0.45">
      <c r="D64" s="83"/>
      <c r="E64" s="79"/>
      <c r="F64" s="80" t="s">
        <v>525</v>
      </c>
      <c r="G64" s="81">
        <f>IFERROR(GETPIVOTDATA(" Cantidad",TD!$A$3,"Proceso",$E$62,"ORD",$D$62,"Tipo",F64)/GETPIVOTDATA(" Cantidad",TD!$A$3,"Proceso",$E$62,"ORD",$D$62,"Tipo","Producción")*-1,0)</f>
        <v>1.9172729591836735E-2</v>
      </c>
      <c r="H64" s="82">
        <f>I58</f>
        <v>342170.1599413217</v>
      </c>
      <c r="I64" s="82">
        <f t="shared" si="27"/>
        <v>6560.3359509504871</v>
      </c>
      <c r="J64" s="75"/>
      <c r="K64" s="83"/>
      <c r="L64" s="79"/>
      <c r="M64" s="80" t="s">
        <v>642</v>
      </c>
      <c r="N64" s="107">
        <v>1.6480648537255217E-2</v>
      </c>
      <c r="O64" s="88">
        <v>326777.11255096557</v>
      </c>
      <c r="P64" s="82">
        <f t="shared" si="23"/>
        <v>5385.4987419715544</v>
      </c>
      <c r="Q64" s="75"/>
      <c r="R64" s="82">
        <f t="shared" si="24"/>
        <v>-253.68740395777309</v>
      </c>
      <c r="S64" s="82">
        <f t="shared" si="25"/>
        <v>-921.14980502116032</v>
      </c>
      <c r="T64" s="82">
        <f t="shared" si="26"/>
        <v>-1174.8372089789327</v>
      </c>
      <c r="V64" s="70"/>
    </row>
    <row r="65" spans="4:22" x14ac:dyDescent="0.45">
      <c r="D65" s="83"/>
      <c r="E65" s="79"/>
      <c r="F65" s="80" t="s">
        <v>497</v>
      </c>
      <c r="G65" s="85">
        <f>IFERROR(GETPIVOTDATA(" Cantidad",TD!$A$3,"Proceso",$E$62,"ORD",$D$62,"Tipo",F65)/GETPIVOTDATA(" Cantidad",TD!$A$3,"Proceso",$E$62,"ORD",$D$62,"Tipo","Producción")*-1,0)</f>
        <v>1</v>
      </c>
      <c r="H65" s="82">
        <f>IFERROR(GETPIVOTDATA("Suma de Costo",TD!$A$3,"Proceso",$E$62,"ORD",$D$62,"Tipo",F65),0)</f>
        <v>0</v>
      </c>
      <c r="I65" s="82">
        <f t="shared" si="27"/>
        <v>0</v>
      </c>
      <c r="J65" s="75"/>
      <c r="K65" s="83"/>
      <c r="L65" s="79"/>
      <c r="M65" s="80" t="s">
        <v>497</v>
      </c>
      <c r="N65" s="85">
        <v>1</v>
      </c>
      <c r="O65" s="82">
        <v>0</v>
      </c>
      <c r="P65" s="82">
        <f t="shared" si="23"/>
        <v>0</v>
      </c>
      <c r="Q65" s="75"/>
      <c r="R65" s="82">
        <f t="shared" si="24"/>
        <v>0</v>
      </c>
      <c r="S65" s="82">
        <f t="shared" si="25"/>
        <v>0</v>
      </c>
      <c r="T65" s="82">
        <f t="shared" si="26"/>
        <v>0</v>
      </c>
      <c r="V65" s="70"/>
    </row>
    <row r="66" spans="4:22" x14ac:dyDescent="0.45">
      <c r="D66" s="83"/>
      <c r="E66" s="90"/>
      <c r="F66" s="80" t="s">
        <v>267</v>
      </c>
      <c r="G66" s="122">
        <f>GETPIVOTDATA(" Cantidad",TD!$A$3,"Proceso","Clinkerización","ORD",5,"Tipo",F66)/((GETPIVOTDATA(" Cantidad",TD!$A$3,"Proceso","Clinkerización","ORD",5,"Tipo","Producción"))*-1)</f>
        <v>30.700000000000003</v>
      </c>
      <c r="H66" s="86">
        <f>IFERROR(GETPIVOTDATA("Suma de Costo",TD!$A$3,"Proceso",$E$62,"ORD",$D$62,"Tipo",F66),0)</f>
        <v>525.14393124607477</v>
      </c>
      <c r="I66" s="82">
        <f t="shared" si="27"/>
        <v>16121.918689254497</v>
      </c>
      <c r="J66" s="75"/>
      <c r="K66" s="83"/>
      <c r="L66" s="90"/>
      <c r="M66" s="80" t="s">
        <v>267</v>
      </c>
      <c r="N66" s="128">
        <v>31.830555656244851</v>
      </c>
      <c r="O66" s="88">
        <v>485.33891128999591</v>
      </c>
      <c r="P66" s="82">
        <f t="shared" si="23"/>
        <v>15448.607227957496</v>
      </c>
      <c r="Q66" s="75"/>
      <c r="R66" s="82">
        <f t="shared" si="24"/>
        <v>-1267.0159031099054</v>
      </c>
      <c r="S66" s="82">
        <f t="shared" si="25"/>
        <v>593.70444181290543</v>
      </c>
      <c r="T66" s="82">
        <f t="shared" si="26"/>
        <v>-673.31146129700028</v>
      </c>
      <c r="V66" s="70"/>
    </row>
    <row r="67" spans="4:22" x14ac:dyDescent="0.45">
      <c r="D67" s="83"/>
      <c r="E67" s="90"/>
      <c r="F67" s="80" t="s">
        <v>500</v>
      </c>
      <c r="G67" s="85">
        <f>IFERROR(GETPIVOTDATA(" Cantidad",TD!$A$3,"Proceso",$E$62,"ORD",$D$62,"Tipo",F67)/GETPIVOTDATA(" Cantidad",TD!$A$3,"Proceso",$E$62,"ORD",$D$62,"Tipo","Producción")*-1,0)</f>
        <v>3.5023853564817825E-2</v>
      </c>
      <c r="H67" s="82">
        <f>IFERROR(GETPIVOTDATA("Suma de Costo",TD!$A$3,"Proceso",$E$62,"ORD",$D$62,"Tipo",F67),0)</f>
        <v>6160</v>
      </c>
      <c r="I67" s="82">
        <f t="shared" si="27"/>
        <v>215.7469379592778</v>
      </c>
      <c r="J67" s="75"/>
      <c r="K67" s="83"/>
      <c r="L67" s="90"/>
      <c r="M67" s="80" t="s">
        <v>500</v>
      </c>
      <c r="N67" s="85">
        <v>4.1532854165611435E-2</v>
      </c>
      <c r="O67" s="82">
        <v>7256.0684612767145</v>
      </c>
      <c r="P67" s="82">
        <f t="shared" si="23"/>
        <v>301.36523321789832</v>
      </c>
      <c r="Q67" s="75"/>
      <c r="R67" s="82">
        <f t="shared" si="24"/>
        <v>45.522851557731911</v>
      </c>
      <c r="S67" s="82">
        <f t="shared" si="25"/>
        <v>40.095443700888637</v>
      </c>
      <c r="T67" s="82">
        <f t="shared" si="26"/>
        <v>85.61829525862052</v>
      </c>
      <c r="V67" s="70"/>
    </row>
    <row r="68" spans="4:22" x14ac:dyDescent="0.45">
      <c r="D68" s="83"/>
      <c r="E68" s="90"/>
      <c r="F68" s="80" t="s">
        <v>499</v>
      </c>
      <c r="G68" s="85">
        <f>IFERROR(GETPIVOTDATA(" Cantidad",TD!$A$3,"Proceso",$E$62,"ORD",$D$62,"Tipo",F68)/GETPIVOTDATA(" Cantidad",TD!$A$3,"Proceso",$E$62,"ORD",$D$62,"Tipo","Producción")*-1,0)</f>
        <v>1</v>
      </c>
      <c r="H68" s="82">
        <f>IFERROR(GETPIVOTDATA("Suma de Costo",TD!$A$3,"Proceso",$E$62,"ORD",$D$62,"Tipo",F68),0)</f>
        <v>0</v>
      </c>
      <c r="I68" s="82">
        <f t="shared" si="27"/>
        <v>0</v>
      </c>
      <c r="J68" s="75"/>
      <c r="K68" s="83"/>
      <c r="L68" s="90"/>
      <c r="M68" s="80" t="s">
        <v>499</v>
      </c>
      <c r="N68" s="85">
        <v>1</v>
      </c>
      <c r="O68" s="82">
        <v>0</v>
      </c>
      <c r="P68" s="82">
        <f t="shared" si="23"/>
        <v>0</v>
      </c>
      <c r="Q68" s="75"/>
      <c r="R68" s="82">
        <f>+(O68-H68)*N68</f>
        <v>0</v>
      </c>
      <c r="S68" s="82">
        <f>+(N68-G68)*H68</f>
        <v>0</v>
      </c>
      <c r="T68" s="82">
        <f t="shared" si="26"/>
        <v>0</v>
      </c>
      <c r="V68" s="70"/>
    </row>
    <row r="69" spans="4:22" x14ac:dyDescent="0.45">
      <c r="D69" s="83"/>
      <c r="E69" s="90"/>
      <c r="F69" s="80" t="s">
        <v>498</v>
      </c>
      <c r="G69" s="85">
        <f>IFERROR(GETPIVOTDATA(" Cantidad",TD!$A$3,"Proceso",$E$62,"ORD",$D$62,"Tipo",F69)/GETPIVOTDATA(" Cantidad",TD!$A$3,"Proceso",$E$62,"ORD",$D$62,"Tipo","Producción")*-1,0)</f>
        <v>1</v>
      </c>
      <c r="H69" s="82">
        <f>IFERROR(GETPIVOTDATA("Suma de Costo",TD!$A$3,"Proceso",$E$62,"ORD",$D$62,"Tipo",F69),0)</f>
        <v>184.45896210804054</v>
      </c>
      <c r="I69" s="82">
        <f t="shared" si="27"/>
        <v>184.45896210804054</v>
      </c>
      <c r="J69" s="75"/>
      <c r="K69" s="83"/>
      <c r="L69" s="90"/>
      <c r="M69" s="80" t="s">
        <v>498</v>
      </c>
      <c r="N69" s="85">
        <v>1</v>
      </c>
      <c r="O69" s="109">
        <v>52.46097268484602</v>
      </c>
      <c r="P69" s="82">
        <f t="shared" si="23"/>
        <v>52.46097268484602</v>
      </c>
      <c r="Q69" s="75"/>
      <c r="R69" s="82">
        <f t="shared" si="24"/>
        <v>-131.99798942319453</v>
      </c>
      <c r="S69" s="82">
        <f t="shared" si="25"/>
        <v>0</v>
      </c>
      <c r="T69" s="82">
        <f t="shared" si="26"/>
        <v>-131.99798942319453</v>
      </c>
      <c r="V69" s="70"/>
    </row>
    <row r="70" spans="4:22" x14ac:dyDescent="0.45">
      <c r="D70" s="83"/>
      <c r="E70" s="90"/>
      <c r="F70" s="80" t="s">
        <v>501</v>
      </c>
      <c r="G70" s="85">
        <f>IFERROR(GETPIVOTDATA("Suma de Costo",TD!$A$3,"Proceso",$E$62,"ORD",$D$62,"Tipo",F70),0)</f>
        <v>0</v>
      </c>
      <c r="H70" s="82">
        <f>IFERROR(GETPIVOTDATA("Suma de Costo",TD!$A$3,"Proceso",$E$62,"ORD",$D$62,"Tipo",F70),0)</f>
        <v>0</v>
      </c>
      <c r="I70" s="82">
        <f t="shared" si="27"/>
        <v>0</v>
      </c>
      <c r="J70" s="75"/>
      <c r="K70" s="83"/>
      <c r="L70" s="90"/>
      <c r="M70" s="80" t="s">
        <v>501</v>
      </c>
      <c r="N70" s="85">
        <v>0.14633443344005884</v>
      </c>
      <c r="O70" s="82">
        <v>13.795096597131735</v>
      </c>
      <c r="P70" s="82">
        <f t="shared" si="23"/>
        <v>2.0186976447921561</v>
      </c>
      <c r="Q70" s="75"/>
      <c r="R70" s="82">
        <f t="shared" si="24"/>
        <v>2.0186976447921561</v>
      </c>
      <c r="S70" s="82">
        <f t="shared" si="25"/>
        <v>0</v>
      </c>
      <c r="T70" s="82">
        <f t="shared" si="26"/>
        <v>2.0186976447921561</v>
      </c>
      <c r="V70" s="70"/>
    </row>
    <row r="71" spans="4:22" x14ac:dyDescent="0.45">
      <c r="D71" s="83"/>
      <c r="E71" s="90"/>
      <c r="F71" s="80" t="s">
        <v>461</v>
      </c>
      <c r="G71" s="85">
        <f>IFERROR(GETPIVOTDATA(" Cantidad",TD!$A$3,"Proceso",$E$62,"ORD",$D$62,"Tipo",F71)/GETPIVOTDATA(" Cantidad",TD!$A$3,"Proceso",$E$62,"ORD",$D$62,"Tipo","Producción")*-1,0)</f>
        <v>7.4717554271611364E-2</v>
      </c>
      <c r="H71" s="82">
        <f>IFERROR(GETPIVOTDATA("Suma de Costo",TD!$A$3,"Proceso",$E$62,"ORD",$D$62,"Tipo",F71),0)</f>
        <v>12000</v>
      </c>
      <c r="I71" s="82">
        <f t="shared" si="27"/>
        <v>896.61065125933635</v>
      </c>
      <c r="J71" s="75"/>
      <c r="K71" s="83"/>
      <c r="L71" s="90"/>
      <c r="M71" s="80" t="s">
        <v>461</v>
      </c>
      <c r="N71" s="129">
        <v>0.12853227052826224</v>
      </c>
      <c r="O71" s="88">
        <v>8663.0042401421924</v>
      </c>
      <c r="P71" s="82">
        <f t="shared" si="23"/>
        <v>1113.4756045814393</v>
      </c>
      <c r="Q71" s="75"/>
      <c r="R71" s="82">
        <f t="shared" si="24"/>
        <v>-428.91164175770774</v>
      </c>
      <c r="S71" s="82">
        <f t="shared" si="25"/>
        <v>645.77659507981059</v>
      </c>
      <c r="T71" s="82">
        <f t="shared" si="26"/>
        <v>216.86495332210291</v>
      </c>
      <c r="V71" s="70"/>
    </row>
    <row r="72" spans="4:22" x14ac:dyDescent="0.45">
      <c r="D72" s="83"/>
      <c r="E72" s="90"/>
      <c r="F72" s="80" t="s">
        <v>502</v>
      </c>
      <c r="G72" s="85">
        <f>IFERROR(GETPIVOTDATA(" Cantidad",TD!$A$3,"Proceso",$E$62,"ORD",$D$62,"Tipo",F72)/GETPIVOTDATA(" Cantidad",TD!$A$3,"Proceso",$E$62,"ORD",$D$62,"Tipo","Producción")*-1,0)</f>
        <v>1</v>
      </c>
      <c r="H72" s="82">
        <f>IFERROR(GETPIVOTDATA("Suma de Costo",TD!$A$3,"Proceso",$E$62,"ORD",$D$62,"Tipo",F72),0)</f>
        <v>1263.3116904631754</v>
      </c>
      <c r="I72" s="82">
        <f t="shared" si="27"/>
        <v>1263.3116904631754</v>
      </c>
      <c r="J72" s="75"/>
      <c r="K72" s="83"/>
      <c r="L72" s="90"/>
      <c r="M72" s="80" t="s">
        <v>502</v>
      </c>
      <c r="N72" s="85">
        <v>1</v>
      </c>
      <c r="O72" s="109">
        <v>3045.2609360411361</v>
      </c>
      <c r="P72" s="82">
        <f t="shared" si="23"/>
        <v>3045.2609360411361</v>
      </c>
      <c r="Q72" s="75"/>
      <c r="R72" s="82">
        <f t="shared" si="24"/>
        <v>1781.9492455779607</v>
      </c>
      <c r="S72" s="82">
        <f t="shared" si="25"/>
        <v>0</v>
      </c>
      <c r="T72" s="82">
        <f t="shared" si="26"/>
        <v>1781.9492455779607</v>
      </c>
      <c r="V72" s="70"/>
    </row>
    <row r="73" spans="4:22" x14ac:dyDescent="0.45">
      <c r="D73" s="83"/>
      <c r="E73" s="90"/>
      <c r="F73" s="80" t="s">
        <v>503</v>
      </c>
      <c r="G73" s="85">
        <f>IFERROR(GETPIVOTDATA(" Cantidad",TD!$A$3,"Proceso",$E$62,"ORD",$D$62,"Tipo",F73)/GETPIVOTDATA(" Cantidad",TD!$A$3,"Proceso",$E$62,"ORD",$D$62,"Tipo","Producción")*-1,0)</f>
        <v>1</v>
      </c>
      <c r="H73" s="82">
        <f>IFERROR(GETPIVOTDATA("Suma de Costo",TD!$A$3,"Proceso",$E$62,"ORD",$D$62,"Tipo",F73),0)</f>
        <v>3600.6055380998073</v>
      </c>
      <c r="I73" s="82">
        <f t="shared" si="27"/>
        <v>3600.6055380998073</v>
      </c>
      <c r="J73" s="75"/>
      <c r="K73" s="83"/>
      <c r="L73" s="90"/>
      <c r="M73" s="80" t="s">
        <v>503</v>
      </c>
      <c r="N73" s="85">
        <v>1</v>
      </c>
      <c r="O73" s="109">
        <v>3021.5659286372629</v>
      </c>
      <c r="P73" s="82">
        <f t="shared" si="23"/>
        <v>3021.5659286372629</v>
      </c>
      <c r="Q73" s="75"/>
      <c r="R73" s="82">
        <f t="shared" si="24"/>
        <v>-579.03960946254438</v>
      </c>
      <c r="S73" s="82">
        <f t="shared" si="25"/>
        <v>0</v>
      </c>
      <c r="T73" s="82">
        <f t="shared" si="26"/>
        <v>-579.03960946254438</v>
      </c>
      <c r="V73" s="70"/>
    </row>
    <row r="74" spans="4:22" x14ac:dyDescent="0.45">
      <c r="D74" s="94"/>
      <c r="E74" s="95" t="s">
        <v>643</v>
      </c>
      <c r="F74" s="95"/>
      <c r="G74" s="96"/>
      <c r="H74" s="96"/>
      <c r="I74" s="97">
        <f>SUM(I62:I73)</f>
        <v>146541.57036088477</v>
      </c>
      <c r="J74" s="75"/>
      <c r="K74" s="94"/>
      <c r="L74" s="95" t="s">
        <v>643</v>
      </c>
      <c r="M74" s="95"/>
      <c r="N74" s="96"/>
      <c r="O74" s="96"/>
      <c r="P74" s="97">
        <f>SUM(P62:P73)</f>
        <v>140210.9479746318</v>
      </c>
      <c r="Q74" s="75"/>
      <c r="R74" s="97">
        <f>+SUM(R62:R73)</f>
        <v>-14547.380164482413</v>
      </c>
      <c r="S74" s="97">
        <f>+SUM(S62:S73)</f>
        <v>8216.7577782294557</v>
      </c>
      <c r="T74" s="97">
        <f>+SUM(T62:T73)</f>
        <v>-6330.6223862529532</v>
      </c>
      <c r="U74" s="130"/>
    </row>
    <row r="75" spans="4:22" x14ac:dyDescent="0.45">
      <c r="D75" s="98"/>
      <c r="E75" s="99"/>
      <c r="F75" s="99"/>
      <c r="G75" s="100"/>
      <c r="H75" s="100"/>
      <c r="I75" s="101">
        <f>IFERROR(GETPIVOTDATA(" Cantidad",TD!$A$3,"Proceso",E62,"ORD",D62,"Tipo","Producción")*-1,0)</f>
        <v>856559.08606629202</v>
      </c>
      <c r="K75" s="98"/>
      <c r="L75" s="99"/>
      <c r="M75" s="99"/>
      <c r="N75" s="100"/>
      <c r="O75" s="100"/>
      <c r="P75" s="101">
        <v>887315.42500000005</v>
      </c>
      <c r="Q75" s="75"/>
      <c r="R75" s="101"/>
      <c r="S75" s="101"/>
      <c r="T75" s="101"/>
    </row>
    <row r="76" spans="4:22" x14ac:dyDescent="0.45">
      <c r="E76" s="105"/>
      <c r="F76" s="68"/>
      <c r="G76" s="161"/>
      <c r="H76" s="168"/>
      <c r="I76" s="171"/>
      <c r="L76" s="170"/>
      <c r="M76" s="172"/>
      <c r="N76" s="173"/>
      <c r="O76" s="168"/>
      <c r="P76" s="171"/>
      <c r="Q76" s="162"/>
    </row>
    <row r="77" spans="4:22" x14ac:dyDescent="0.45">
      <c r="D77" s="76" t="s">
        <v>644</v>
      </c>
      <c r="E77" s="76" t="s">
        <v>435</v>
      </c>
      <c r="F77" s="76" t="s">
        <v>52</v>
      </c>
      <c r="G77" s="77" t="s">
        <v>620</v>
      </c>
      <c r="H77" s="77" t="s">
        <v>621</v>
      </c>
      <c r="I77" s="77" t="s">
        <v>395</v>
      </c>
      <c r="K77" s="76" t="s">
        <v>644</v>
      </c>
      <c r="L77" s="76" t="s">
        <v>435</v>
      </c>
      <c r="M77" s="76" t="s">
        <v>52</v>
      </c>
      <c r="N77" s="77" t="s">
        <v>620</v>
      </c>
      <c r="O77" s="77" t="s">
        <v>621</v>
      </c>
      <c r="P77" s="77" t="s">
        <v>395</v>
      </c>
      <c r="Q77" s="75"/>
      <c r="R77" s="77" t="s">
        <v>622</v>
      </c>
      <c r="S77" s="77" t="s">
        <v>623</v>
      </c>
      <c r="T77" s="77" t="s">
        <v>395</v>
      </c>
    </row>
    <row r="78" spans="4:22" x14ac:dyDescent="0.45">
      <c r="D78" s="78">
        <v>6</v>
      </c>
      <c r="E78" s="79" t="s">
        <v>465</v>
      </c>
      <c r="F78" s="80" t="s">
        <v>182</v>
      </c>
      <c r="G78" s="81">
        <f>IFERROR(GETPIVOTDATA(" Cantidad",TD!$A$3,"Proceso",$E$78,"ORD",$D$78,"Tipo",F78)/GETPIVOTDATA(" Cantidad",TD!$A$3,"Proceso",$E$78,"ORD",$D$78,"Tipo","Producción")*-1,0)</f>
        <v>0.52</v>
      </c>
      <c r="H78" s="82">
        <f>I74</f>
        <v>146541.57036088477</v>
      </c>
      <c r="I78" s="82">
        <f t="shared" ref="I78:I89" si="28">H78*G78</f>
        <v>76201.616587660086</v>
      </c>
      <c r="J78" s="75"/>
      <c r="K78" s="78">
        <v>6</v>
      </c>
      <c r="L78" s="79" t="s">
        <v>465</v>
      </c>
      <c r="M78" s="80" t="s">
        <v>182</v>
      </c>
      <c r="N78" s="112">
        <v>0.53491329209909511</v>
      </c>
      <c r="O78" s="88">
        <f>P74</f>
        <v>140210.9479746318</v>
      </c>
      <c r="P78" s="82">
        <f t="shared" ref="P78:P89" si="29">+N78*O78</f>
        <v>75000.699769445244</v>
      </c>
      <c r="Q78" s="75"/>
      <c r="R78" s="82">
        <f t="shared" ref="R78:R89" si="30">+(O78-H78)*N78</f>
        <v>-3386.334061666807</v>
      </c>
      <c r="S78" s="82">
        <f t="shared" ref="S78:S89" si="31">+(N78-G78)*H78</f>
        <v>2185.4172434519696</v>
      </c>
      <c r="T78" s="82">
        <f t="shared" ref="T78:T89" si="32">+P78-I78</f>
        <v>-1200.9168182148424</v>
      </c>
      <c r="U78" s="89"/>
    </row>
    <row r="79" spans="4:22" x14ac:dyDescent="0.45">
      <c r="D79" s="83"/>
      <c r="E79" s="79"/>
      <c r="F79" s="80" t="s">
        <v>391</v>
      </c>
      <c r="G79" s="81">
        <f>IFERROR(GETPIVOTDATA(" Cantidad",TD!$A$3,"Proceso",$E$78,"ORD",$D$78,"Tipo",F79)/GETPIVOTDATA(" Cantidad",TD!$A$3,"Proceso",$E$78,"ORD",$D$78,"Tipo","Producción")*-1,0)</f>
        <v>0.38783999999999996</v>
      </c>
      <c r="H79" s="296">
        <f>$H$29</f>
        <v>31500</v>
      </c>
      <c r="I79" s="82">
        <f t="shared" si="28"/>
        <v>12216.96</v>
      </c>
      <c r="J79" s="75"/>
      <c r="K79" s="83"/>
      <c r="L79" s="79"/>
      <c r="M79" s="80" t="s">
        <v>391</v>
      </c>
      <c r="N79" s="131">
        <v>0.37435213985870258</v>
      </c>
      <c r="O79" s="297">
        <f>$O$29</f>
        <v>31500</v>
      </c>
      <c r="P79" s="82">
        <f t="shared" si="29"/>
        <v>11792.09240554913</v>
      </c>
      <c r="Q79" s="75"/>
      <c r="R79" s="82">
        <f t="shared" si="30"/>
        <v>0</v>
      </c>
      <c r="S79" s="82">
        <f t="shared" si="31"/>
        <v>-424.8675944508675</v>
      </c>
      <c r="T79" s="82">
        <f t="shared" si="32"/>
        <v>-424.86759445086864</v>
      </c>
      <c r="U79" s="89"/>
    </row>
    <row r="80" spans="4:22" x14ac:dyDescent="0.45">
      <c r="D80" s="83"/>
      <c r="E80" s="79"/>
      <c r="F80" s="80" t="s">
        <v>537</v>
      </c>
      <c r="G80" s="112">
        <f>IFERROR(GETPIVOTDATA(" Cantidad",TD!$A$3,"Proceso",$E$78,"ORD",$D$78,"Tipo",F80)/GETPIVOTDATA(" Cantidad",TD!$A$3,"Proceso",$E$78,"ORD",$D$78,"Tipo","Producción")*-1,0)</f>
        <v>5.0000000000000001E-4</v>
      </c>
      <c r="H80" s="82">
        <f>IFERROR(GETPIVOTDATA("Suma de Costo",TD!$A$3,"Proceso",$E$78,"ORD",$D$78,"Tipo",F80),0)</f>
        <v>4396360.0000000009</v>
      </c>
      <c r="I80" s="82">
        <f t="shared" si="28"/>
        <v>2198.1800000000003</v>
      </c>
      <c r="J80" s="75"/>
      <c r="K80" s="83"/>
      <c r="L80" s="79"/>
      <c r="M80" s="80" t="s">
        <v>537</v>
      </c>
      <c r="N80" s="132">
        <v>5.0303888950006131E-4</v>
      </c>
      <c r="O80" s="88">
        <v>4014954.4513995093</v>
      </c>
      <c r="P80" s="82">
        <f t="shared" si="29"/>
        <v>2019.6782286253372</v>
      </c>
      <c r="Q80" s="75"/>
      <c r="R80" s="82">
        <f>+(O80-H80)*N80</f>
        <v>-191.86182361715296</v>
      </c>
      <c r="S80" s="82">
        <f>+(N80-G80)*H80</f>
        <v>13.360052242489507</v>
      </c>
      <c r="T80" s="82">
        <f t="shared" si="32"/>
        <v>-178.50177137466312</v>
      </c>
      <c r="U80" s="89"/>
    </row>
    <row r="81" spans="3:25" x14ac:dyDescent="0.45">
      <c r="D81" s="83"/>
      <c r="E81" s="79"/>
      <c r="F81" s="80" t="s">
        <v>58</v>
      </c>
      <c r="G81" s="112">
        <f>IFERROR(GETPIVOTDATA(" Cantidad",TD!$A$3,"Proceso",$E$78,"ORD",$D$78,"Tipo",F81)/GETPIVOTDATA(" Cantidad",TD!$A$3,"Proceso",$E$78,"ORD",$D$78,"Tipo","Producción")*-1,0)</f>
        <v>0.03</v>
      </c>
      <c r="H81" s="82">
        <f>IFERROR(GETPIVOTDATA("Suma de Costo",TD!$A$3,"Proceso",$E$78,"ORD",$D$78,"Tipo",F81),0)</f>
        <v>105080.05419161372</v>
      </c>
      <c r="I81" s="82">
        <f t="shared" si="28"/>
        <v>3152.4016257484113</v>
      </c>
      <c r="J81" s="75"/>
      <c r="K81" s="83"/>
      <c r="L81" s="79"/>
      <c r="M81" s="80" t="s">
        <v>58</v>
      </c>
      <c r="N81" s="81">
        <v>2.8487187525302118E-2</v>
      </c>
      <c r="O81" s="88">
        <v>109078.75807676019</v>
      </c>
      <c r="P81" s="82">
        <f t="shared" si="29"/>
        <v>3107.3470363597307</v>
      </c>
      <c r="Q81" s="75"/>
      <c r="R81" s="82">
        <f t="shared" si="30"/>
        <v>113.91182743432178</v>
      </c>
      <c r="S81" s="82">
        <f t="shared" si="31"/>
        <v>-158.96641682300253</v>
      </c>
      <c r="T81" s="82">
        <f t="shared" si="32"/>
        <v>-45.054589388680597</v>
      </c>
      <c r="U81" s="89"/>
    </row>
    <row r="82" spans="3:25" x14ac:dyDescent="0.45">
      <c r="D82" s="83"/>
      <c r="E82" s="79"/>
      <c r="F82" s="80" t="s">
        <v>540</v>
      </c>
      <c r="G82" s="81">
        <f>IFERROR(GETPIVOTDATA(" Cantidad",TD!$A$3,"Proceso",$E$78,"ORD",$D$78,"Tipo",F82)/GETPIVOTDATA(" Cantidad",TD!$A$3,"Proceso",$E$78,"ORD",$D$78,"Tipo","Producción")*-1,0)</f>
        <v>3.0149999999999993E-2</v>
      </c>
      <c r="H82" s="82">
        <f>I36</f>
        <v>47571.033250595458</v>
      </c>
      <c r="I82" s="82">
        <f t="shared" si="28"/>
        <v>1434.2666525054526</v>
      </c>
      <c r="J82" s="75"/>
      <c r="K82" s="83"/>
      <c r="L82" s="79"/>
      <c r="M82" s="80" t="s">
        <v>540</v>
      </c>
      <c r="N82" s="81">
        <v>2.4946179717197554E-2</v>
      </c>
      <c r="O82" s="88">
        <f>P36</f>
        <v>46212.580986361354</v>
      </c>
      <c r="P82" s="82">
        <f t="shared" si="29"/>
        <v>1152.8273504813169</v>
      </c>
      <c r="Q82" s="75"/>
      <c r="R82" s="82">
        <f t="shared" si="30"/>
        <v>-33.888194320817881</v>
      </c>
      <c r="S82" s="82">
        <f t="shared" si="31"/>
        <v>-247.55110770331788</v>
      </c>
      <c r="T82" s="82">
        <f t="shared" si="32"/>
        <v>-281.43930202413571</v>
      </c>
      <c r="U82" s="89"/>
    </row>
    <row r="83" spans="3:25" x14ac:dyDescent="0.45">
      <c r="C83" s="84" t="s">
        <v>624</v>
      </c>
      <c r="D83" s="83"/>
      <c r="E83" s="79"/>
      <c r="F83" s="80" t="s">
        <v>491</v>
      </c>
      <c r="G83" s="85">
        <f>IFERROR(GETPIVOTDATA(" Cantidad",TD!$A$3,"Proceso",$E$78,"ORD",$D$78,"Tipo",F83)/GETPIVOTDATA(" Cantidad",TD!$A$3,"Proceso",$E$78,"ORD",$D$78,"Tipo","Producción")*-1,0)</f>
        <v>0</v>
      </c>
      <c r="H83" s="82">
        <f>IFERROR(GETPIVOTDATA("Suma de Costo",TD!$A$3,"Proceso",$E$78,"ORD",$D$78,"Tipo",F83),0)</f>
        <v>0</v>
      </c>
      <c r="I83" s="82">
        <f t="shared" si="28"/>
        <v>0</v>
      </c>
      <c r="J83" s="75"/>
      <c r="K83" s="83"/>
      <c r="L83" s="79"/>
      <c r="M83" s="80" t="s">
        <v>491</v>
      </c>
      <c r="N83" s="85">
        <v>0</v>
      </c>
      <c r="O83" s="82">
        <v>0</v>
      </c>
      <c r="P83" s="82">
        <f t="shared" si="29"/>
        <v>0</v>
      </c>
      <c r="Q83" s="75"/>
      <c r="R83" s="82">
        <f t="shared" si="30"/>
        <v>0</v>
      </c>
      <c r="S83" s="82">
        <f t="shared" si="31"/>
        <v>0</v>
      </c>
      <c r="T83" s="82">
        <f t="shared" si="32"/>
        <v>0</v>
      </c>
    </row>
    <row r="84" spans="3:25" x14ac:dyDescent="0.45">
      <c r="C84" s="84"/>
      <c r="D84" s="83"/>
      <c r="E84" s="90"/>
      <c r="F84" s="80" t="s">
        <v>504</v>
      </c>
      <c r="G84" s="85">
        <v>1</v>
      </c>
      <c r="H84" s="82">
        <f>IFERROR(GETPIVOTDATA("Suma de Costo",TD!$A$3,"Proceso",$E$78,"ORD",$D$78,"Tipo",F84),0)</f>
        <v>1539.636971538461</v>
      </c>
      <c r="I84" s="82">
        <f t="shared" si="28"/>
        <v>1539.636971538461</v>
      </c>
      <c r="J84" s="75"/>
      <c r="K84" s="83"/>
      <c r="L84" s="90"/>
      <c r="M84" s="80" t="s">
        <v>504</v>
      </c>
      <c r="N84" s="85">
        <v>1</v>
      </c>
      <c r="O84" s="109">
        <v>1117.2995875639574</v>
      </c>
      <c r="P84" s="82">
        <f t="shared" si="29"/>
        <v>1117.2995875639574</v>
      </c>
      <c r="Q84" s="75"/>
      <c r="R84" s="82">
        <f>+(O84-H84)*N84</f>
        <v>-422.33738397450361</v>
      </c>
      <c r="S84" s="82">
        <f>+(N84-G84)*H84</f>
        <v>0</v>
      </c>
      <c r="T84" s="82">
        <f t="shared" si="32"/>
        <v>-422.33738397450361</v>
      </c>
    </row>
    <row r="85" spans="3:25" x14ac:dyDescent="0.45">
      <c r="D85" s="83"/>
      <c r="E85" s="90"/>
      <c r="F85" s="80" t="s">
        <v>267</v>
      </c>
      <c r="G85" s="122">
        <f>GETPIVOTDATA(" Cantidad",TD!$A$3,"Proceso","Cemento UG","ORD",6,"Tipo",F85)/((GETPIVOTDATA(" Cantidad",TD!$A$3,"Proceso","Cemento UG","ORD",6,"Tipo","Producción"))*-1)</f>
        <v>25.699999999999996</v>
      </c>
      <c r="H85" s="86">
        <f>IFERROR(GETPIVOTDATA("Suma de Costo",TD!$A$3,"Proceso",$E$78,"ORD",$D$78,"Tipo",F85),0)</f>
        <v>525.28044843170676</v>
      </c>
      <c r="I85" s="82">
        <f t="shared" si="28"/>
        <v>13499.707524694861</v>
      </c>
      <c r="J85" s="75"/>
      <c r="K85" s="83"/>
      <c r="L85" s="90"/>
      <c r="M85" s="80" t="s">
        <v>267</v>
      </c>
      <c r="N85" s="128">
        <v>26.405728162478216</v>
      </c>
      <c r="O85" s="88">
        <v>485.33891128999591</v>
      </c>
      <c r="P85" s="82">
        <f t="shared" si="29"/>
        <v>12815.727358196762</v>
      </c>
      <c r="Q85" s="75"/>
      <c r="R85" s="82">
        <f t="shared" si="30"/>
        <v>-1054.685372155544</v>
      </c>
      <c r="S85" s="82">
        <f t="shared" si="31"/>
        <v>370.70520565744374</v>
      </c>
      <c r="T85" s="82">
        <f t="shared" si="32"/>
        <v>-683.9801664980987</v>
      </c>
    </row>
    <row r="86" spans="3:25" x14ac:dyDescent="0.45">
      <c r="D86" s="83"/>
      <c r="E86" s="90"/>
      <c r="F86" s="80" t="s">
        <v>461</v>
      </c>
      <c r="G86" s="85">
        <f>IFERROR(GETPIVOTDATA(" Cantidad",TD!$A$3,"Proceso",$E$78,"ORD",$D$78,"Tipo",F86)/GETPIVOTDATA(" Cantidad",TD!$A$3,"Proceso",$E$78,"ORD",$D$78,"Tipo","Producción")*-1,0)</f>
        <v>1</v>
      </c>
      <c r="H86" s="82">
        <f>IFERROR(GETPIVOTDATA("Suma de Costo",TD!$A$3,"Proceso",$E$78,"ORD",$D$78,"Tipo",F86),0)</f>
        <v>0</v>
      </c>
      <c r="I86" s="82">
        <f t="shared" si="28"/>
        <v>0</v>
      </c>
      <c r="J86" s="75"/>
      <c r="K86" s="83"/>
      <c r="L86" s="90"/>
      <c r="M86" s="80" t="s">
        <v>461</v>
      </c>
      <c r="N86" s="85">
        <v>0</v>
      </c>
      <c r="O86" s="82">
        <v>0</v>
      </c>
      <c r="P86" s="82">
        <f t="shared" si="29"/>
        <v>0</v>
      </c>
      <c r="Q86" s="75"/>
      <c r="R86" s="82">
        <f t="shared" si="30"/>
        <v>0</v>
      </c>
      <c r="S86" s="82">
        <f t="shared" si="31"/>
        <v>0</v>
      </c>
      <c r="T86" s="82">
        <f t="shared" si="32"/>
        <v>0</v>
      </c>
    </row>
    <row r="87" spans="3:25" x14ac:dyDescent="0.45">
      <c r="D87" s="83"/>
      <c r="E87" s="90"/>
      <c r="F87" s="80" t="s">
        <v>32</v>
      </c>
      <c r="G87" s="81">
        <f>IFERROR(GETPIVOTDATA(" Cantidad",TD!$A$3,"Proceso",$E$78,"ORD",$D$78,"Tipo",F87)/GETPIVOTDATA(" Cantidad",TD!$A$3,"Proceso",$E$78,"ORD",$D$78,"Tipo","Producción")*-1,0)</f>
        <v>0</v>
      </c>
      <c r="H87" s="82">
        <f>IFERROR(GETPIVOTDATA("Suma de Costo",TD!$A$3,"Proceso",$E$78,"ORD",$D$78,"Tipo",F87),0)</f>
        <v>0</v>
      </c>
      <c r="I87" s="82">
        <f t="shared" si="28"/>
        <v>0</v>
      </c>
      <c r="J87" s="75"/>
      <c r="K87" s="83"/>
      <c r="L87" s="90"/>
      <c r="M87" s="80" t="s">
        <v>32</v>
      </c>
      <c r="N87" s="81">
        <v>0</v>
      </c>
      <c r="O87" s="82">
        <v>0</v>
      </c>
      <c r="P87" s="82">
        <f t="shared" si="29"/>
        <v>0</v>
      </c>
      <c r="Q87" s="75"/>
      <c r="R87" s="82">
        <f t="shared" si="30"/>
        <v>0</v>
      </c>
      <c r="S87" s="82">
        <f t="shared" si="31"/>
        <v>0</v>
      </c>
      <c r="T87" s="82">
        <f t="shared" si="32"/>
        <v>0</v>
      </c>
    </row>
    <row r="88" spans="3:25" x14ac:dyDescent="0.45">
      <c r="D88" s="83"/>
      <c r="E88" s="90"/>
      <c r="F88" s="80" t="s">
        <v>505</v>
      </c>
      <c r="G88" s="81">
        <f>IFERROR(GETPIVOTDATA(" Cantidad",TD!$A$3,"Proceso",$E$78,"ORD",$D$78,"Tipo",F88)/GETPIVOTDATA(" Cantidad",TD!$A$3,"Proceso",$E$78,"ORD",$D$78,"Tipo","Producción")*-1,0)</f>
        <v>0</v>
      </c>
      <c r="H88" s="82">
        <f>IFERROR(GETPIVOTDATA("Suma de Costo",TD!$A$3,"Proceso",$E$78,"ORD",$D$78,"Tipo",F88),0)</f>
        <v>0</v>
      </c>
      <c r="I88" s="82">
        <f t="shared" si="28"/>
        <v>0</v>
      </c>
      <c r="J88" s="75"/>
      <c r="K88" s="83"/>
      <c r="L88" s="90"/>
      <c r="M88" s="80" t="s">
        <v>505</v>
      </c>
      <c r="N88" s="81">
        <v>0</v>
      </c>
      <c r="O88" s="82">
        <v>0</v>
      </c>
      <c r="P88" s="82">
        <f t="shared" si="29"/>
        <v>0</v>
      </c>
      <c r="Q88" s="75"/>
      <c r="R88" s="82">
        <f>+(O88-H88)*N88</f>
        <v>0</v>
      </c>
      <c r="S88" s="82">
        <f>+(N88-G88)*H88</f>
        <v>0</v>
      </c>
      <c r="T88" s="82">
        <f t="shared" si="32"/>
        <v>0</v>
      </c>
    </row>
    <row r="89" spans="3:25" x14ac:dyDescent="0.45">
      <c r="D89" s="83"/>
      <c r="E89" s="90"/>
      <c r="F89" s="80" t="s">
        <v>57</v>
      </c>
      <c r="G89" s="81">
        <f>IFERROR(GETPIVOTDATA(" Cantidad",TD!$A$3,"Proceso",$E$78,"ORD",$D$78,"Tipo",F89)/GETPIVOTDATA(" Cantidad",TD!$A$3,"Proceso",$E$78,"ORD",$D$78,"Tipo","Producción")*-1,0)</f>
        <v>4.1042700000000008E-2</v>
      </c>
      <c r="H89" s="82">
        <f>IFERROR(GETPIVOTDATA("Suma de Costo",TD!$A$3,"Proceso",$E$78,"ORD",$D$78,"Tipo",F89),0)</f>
        <v>232625.89499161369</v>
      </c>
      <c r="I89" s="82">
        <f t="shared" si="28"/>
        <v>9547.5948203723055</v>
      </c>
      <c r="J89" s="75"/>
      <c r="K89" s="83"/>
      <c r="L89" s="90"/>
      <c r="M89" s="80" t="s">
        <v>57</v>
      </c>
      <c r="N89" s="131">
        <v>4.4430291231297186E-2</v>
      </c>
      <c r="O89" s="88">
        <v>220009.05860218199</v>
      </c>
      <c r="P89" s="82">
        <f t="shared" si="29"/>
        <v>9775.0665472184755</v>
      </c>
      <c r="Q89" s="75"/>
      <c r="R89" s="82">
        <f t="shared" si="30"/>
        <v>-560.56971520007858</v>
      </c>
      <c r="S89" s="82">
        <f t="shared" si="31"/>
        <v>788.04144204624868</v>
      </c>
      <c r="T89" s="82">
        <f t="shared" si="32"/>
        <v>227.47172684616999</v>
      </c>
    </row>
    <row r="90" spans="3:25" x14ac:dyDescent="0.45">
      <c r="D90" s="94"/>
      <c r="E90" s="95" t="s">
        <v>645</v>
      </c>
      <c r="F90" s="95"/>
      <c r="G90" s="96"/>
      <c r="H90" s="96"/>
      <c r="I90" s="97">
        <f>SUM(I78:I89)</f>
        <v>119790.3641825196</v>
      </c>
      <c r="J90" s="75"/>
      <c r="K90" s="94"/>
      <c r="L90" s="95" t="s">
        <v>645</v>
      </c>
      <c r="M90" s="95"/>
      <c r="N90" s="96"/>
      <c r="O90" s="96"/>
      <c r="P90" s="97">
        <f>SUM(P78:P89)</f>
        <v>116780.73828343996</v>
      </c>
      <c r="Q90" s="75"/>
      <c r="R90" s="97">
        <f>+SUM(R78:R89)</f>
        <v>-5535.7647235005816</v>
      </c>
      <c r="S90" s="97">
        <f>+SUM(S78:S89)</f>
        <v>2526.1388244209634</v>
      </c>
      <c r="T90" s="97">
        <f>+SUM(T78:T89)</f>
        <v>-3009.6258990796227</v>
      </c>
      <c r="U90" s="130"/>
    </row>
    <row r="91" spans="3:25" x14ac:dyDescent="0.45">
      <c r="D91" s="98"/>
      <c r="E91" s="99"/>
      <c r="F91" s="99"/>
      <c r="G91" s="100"/>
      <c r="H91" s="100"/>
      <c r="I91" s="101">
        <f>IFERROR(GETPIVOTDATA(" Cantidad",TD!$A$3,"Proceso",E78,"ORD",D78,"Tipo","Producción")*-1,0)</f>
        <v>825412.03405865235</v>
      </c>
      <c r="J91" s="133"/>
      <c r="K91" s="98"/>
      <c r="L91" s="99"/>
      <c r="M91" s="99"/>
      <c r="N91" s="100"/>
      <c r="O91" s="100"/>
      <c r="P91" s="101">
        <v>770686.4</v>
      </c>
      <c r="Q91" s="75"/>
      <c r="R91" s="101"/>
      <c r="S91" s="101"/>
      <c r="T91" s="101"/>
    </row>
    <row r="92" spans="3:25" x14ac:dyDescent="0.45">
      <c r="F92" s="161"/>
      <c r="G92" s="105"/>
      <c r="H92" s="168"/>
      <c r="I92" s="162"/>
      <c r="M92" s="69"/>
      <c r="N92" s="105"/>
      <c r="O92" s="168"/>
      <c r="P92" s="169"/>
      <c r="Q92" s="170"/>
    </row>
    <row r="93" spans="3:25" x14ac:dyDescent="0.45">
      <c r="D93" s="76" t="s">
        <v>644</v>
      </c>
      <c r="E93" s="76" t="s">
        <v>435</v>
      </c>
      <c r="F93" s="76" t="s">
        <v>52</v>
      </c>
      <c r="G93" s="77" t="s">
        <v>620</v>
      </c>
      <c r="H93" s="77" t="s">
        <v>621</v>
      </c>
      <c r="I93" s="77" t="s">
        <v>395</v>
      </c>
      <c r="K93" s="76" t="s">
        <v>644</v>
      </c>
      <c r="L93" s="76" t="s">
        <v>435</v>
      </c>
      <c r="M93" s="76" t="s">
        <v>52</v>
      </c>
      <c r="N93" s="77" t="s">
        <v>620</v>
      </c>
      <c r="O93" s="77" t="s">
        <v>621</v>
      </c>
      <c r="P93" s="77" t="s">
        <v>395</v>
      </c>
      <c r="Q93" s="75"/>
      <c r="R93" s="77" t="s">
        <v>622</v>
      </c>
      <c r="S93" s="77" t="s">
        <v>623</v>
      </c>
      <c r="T93" s="77" t="s">
        <v>395</v>
      </c>
    </row>
    <row r="94" spans="3:25" x14ac:dyDescent="0.45">
      <c r="D94" s="78">
        <v>7</v>
      </c>
      <c r="E94" s="79" t="s">
        <v>469</v>
      </c>
      <c r="F94" s="80" t="s">
        <v>182</v>
      </c>
      <c r="G94" s="134">
        <f>IFERROR(GETPIVOTDATA(" Cantidad",TD!$A$3,"Proceso",$E$94,"ORD",$D$94,"Tipo",F94)/GETPIVOTDATA(" Cantidad",TD!$A$3,"Proceso",$E$94,"ORD",$D$94,"Tipo","Producción")*-1,0)</f>
        <v>0.83000000000000018</v>
      </c>
      <c r="H94" s="82">
        <f>+I74</f>
        <v>146541.57036088477</v>
      </c>
      <c r="I94" s="82">
        <f t="shared" ref="I94:I105" si="33">H94*G94</f>
        <v>121629.50339953438</v>
      </c>
      <c r="J94" s="75"/>
      <c r="K94" s="78">
        <v>7</v>
      </c>
      <c r="L94" s="79" t="s">
        <v>469</v>
      </c>
      <c r="M94" s="80" t="s">
        <v>182</v>
      </c>
      <c r="N94" s="135">
        <v>0.83470232756697382</v>
      </c>
      <c r="O94" s="88">
        <f>P74</f>
        <v>140210.9479746318</v>
      </c>
      <c r="P94" s="82">
        <f t="shared" ref="P94:P105" si="34">+N94*O94</f>
        <v>117034.40462479704</v>
      </c>
      <c r="Q94" s="75"/>
      <c r="R94" s="82">
        <f t="shared" ref="R94:R105" si="35">+(O94-H94)*N94</f>
        <v>-5284.1852407529468</v>
      </c>
      <c r="S94" s="82">
        <f t="shared" ref="S94:S105" si="36">+(N94-G94)*H94</f>
        <v>689.08646601559587</v>
      </c>
      <c r="T94" s="82">
        <f>+P94-I94</f>
        <v>-4595.0987747373438</v>
      </c>
      <c r="X94" s="136"/>
      <c r="Y94" s="69"/>
    </row>
    <row r="95" spans="3:25" x14ac:dyDescent="0.45">
      <c r="D95" s="83"/>
      <c r="E95" s="79"/>
      <c r="F95" s="80" t="s">
        <v>391</v>
      </c>
      <c r="G95" s="112">
        <f>IFERROR(GETPIVOTDATA(" Cantidad",TD!$A$3,"Proceso",$E$94,"ORD",$D$94,"Tipo",F95)/GETPIVOTDATA(" Cantidad",TD!$A$3,"Proceso",$E$94,"ORD",$D$94,"Tipo","Producción")*-1,0)</f>
        <v>6.2216000000000105E-2</v>
      </c>
      <c r="H95" s="296">
        <f>$H$29</f>
        <v>31500</v>
      </c>
      <c r="I95" s="82">
        <f t="shared" si="33"/>
        <v>1959.8040000000033</v>
      </c>
      <c r="J95" s="75"/>
      <c r="K95" s="83"/>
      <c r="L95" s="79"/>
      <c r="M95" s="80" t="s">
        <v>391</v>
      </c>
      <c r="N95" s="107">
        <v>6.114640952535505E-2</v>
      </c>
      <c r="O95" s="297">
        <f>$O$29</f>
        <v>31500</v>
      </c>
      <c r="P95" s="82">
        <f t="shared" si="34"/>
        <v>1926.111900048684</v>
      </c>
      <c r="Q95" s="75"/>
      <c r="R95" s="82">
        <f t="shared" si="35"/>
        <v>0</v>
      </c>
      <c r="S95" s="82">
        <f t="shared" si="36"/>
        <v>-33.692099951319221</v>
      </c>
      <c r="T95" s="82">
        <f>+P95-I95</f>
        <v>-33.692099951319278</v>
      </c>
      <c r="Y95" s="137"/>
    </row>
    <row r="96" spans="3:25" x14ac:dyDescent="0.45">
      <c r="D96" s="83"/>
      <c r="E96" s="79"/>
      <c r="F96" s="80" t="s">
        <v>537</v>
      </c>
      <c r="G96" s="112">
        <f>IFERROR(GETPIVOTDATA(" Cantidad",TD!$A$3,"Proceso",$E$94,"ORD",$D$94,"Tipo",F96)/GETPIVOTDATA(" Cantidad",TD!$A$3,"Proceso",$E$94,"ORD",$D$94,"Tipo","Producción")*-1,0)</f>
        <v>5.0000000000000001E-4</v>
      </c>
      <c r="H96" s="82">
        <f>IFERROR(GETPIVOTDATA("Suma de Costo",TD!$A$3,"Proceso",$E$94,"ORD",$D$94,"Tipo",F96),0)</f>
        <v>4396360.0000000009</v>
      </c>
      <c r="I96" s="82">
        <f t="shared" si="33"/>
        <v>2198.1800000000003</v>
      </c>
      <c r="J96" s="75"/>
      <c r="K96" s="83"/>
      <c r="L96" s="79"/>
      <c r="M96" s="80" t="s">
        <v>537</v>
      </c>
      <c r="N96" s="132">
        <v>5.0095345416523976E-4</v>
      </c>
      <c r="O96" s="88">
        <v>4014954.4513995093</v>
      </c>
      <c r="P96" s="82">
        <f t="shared" si="34"/>
        <v>2011.3053007446895</v>
      </c>
      <c r="Q96" s="75"/>
      <c r="R96" s="82"/>
      <c r="S96" s="82"/>
      <c r="T96" s="82"/>
      <c r="Y96" s="69"/>
    </row>
    <row r="97" spans="3:26" x14ac:dyDescent="0.45">
      <c r="D97" s="83"/>
      <c r="E97" s="79"/>
      <c r="F97" s="80" t="s">
        <v>58</v>
      </c>
      <c r="G97" s="81">
        <f>IFERROR(GETPIVOTDATA(" Cantidad",TD!$A$3,"Proceso",$E$94,"ORD",$D$94,"Tipo",F97)/GETPIVOTDATA(" Cantidad",TD!$A$3,"Proceso",$E$94,"ORD",$D$94,"Tipo","Producción")*-1,0)</f>
        <v>0</v>
      </c>
      <c r="H97" s="82">
        <f>IFERROR(GETPIVOTDATA("Suma de Costo",TD!$A$3,"Proceso",$E$94,"ORD",$D$94,"Tipo",F97),0)</f>
        <v>0</v>
      </c>
      <c r="I97" s="82">
        <f t="shared" si="33"/>
        <v>0</v>
      </c>
      <c r="J97" s="75"/>
      <c r="K97" s="83"/>
      <c r="L97" s="79"/>
      <c r="M97" s="80" t="s">
        <v>58</v>
      </c>
      <c r="N97" s="81">
        <v>0</v>
      </c>
      <c r="O97" s="82">
        <f>O81</f>
        <v>109078.75807676019</v>
      </c>
      <c r="P97" s="82">
        <f t="shared" si="34"/>
        <v>0</v>
      </c>
      <c r="Q97" s="75"/>
      <c r="R97" s="82">
        <f t="shared" ref="R97:R98" si="37">+(O97-H97)*N97</f>
        <v>0</v>
      </c>
      <c r="S97" s="82">
        <f t="shared" ref="S97:S98" si="38">+(N97-G97)*H97</f>
        <v>0</v>
      </c>
      <c r="T97" s="82">
        <f t="shared" ref="T97:T105" si="39">+P97-I97</f>
        <v>0</v>
      </c>
      <c r="U97" s="89"/>
      <c r="Z97" s="71"/>
    </row>
    <row r="98" spans="3:26" x14ac:dyDescent="0.45">
      <c r="D98" s="83"/>
      <c r="E98" s="79"/>
      <c r="F98" s="80" t="s">
        <v>540</v>
      </c>
      <c r="G98" s="81">
        <f>IFERROR(GETPIVOTDATA(" Cantidad",TD!$A$3,"Proceso",$E$94,"ORD",$D$94,"Tipo",F98)/GETPIVOTDATA(" Cantidad",TD!$A$3,"Proceso",$E$94,"ORD",$D$94,"Tipo","Producción")*-1,0)</f>
        <v>3.0049499999999989E-2</v>
      </c>
      <c r="H98" s="82">
        <f>I36</f>
        <v>47571.033250595458</v>
      </c>
      <c r="I98" s="82">
        <f t="shared" si="33"/>
        <v>1429.4857636637678</v>
      </c>
      <c r="J98" s="75"/>
      <c r="K98" s="83"/>
      <c r="L98" s="79"/>
      <c r="M98" s="80" t="s">
        <v>540</v>
      </c>
      <c r="N98" s="81">
        <v>2.4630431055457404E-2</v>
      </c>
      <c r="O98" s="88">
        <f>P36</f>
        <v>46212.580986361354</v>
      </c>
      <c r="P98" s="82">
        <f t="shared" si="34"/>
        <v>1138.235789879315</v>
      </c>
      <c r="Q98" s="75"/>
      <c r="R98" s="82">
        <f t="shared" si="37"/>
        <v>-33.45926483634809</v>
      </c>
      <c r="S98" s="82">
        <f t="shared" si="38"/>
        <v>-257.79070894810457</v>
      </c>
      <c r="T98" s="82">
        <f t="shared" si="39"/>
        <v>-291.24997378445278</v>
      </c>
      <c r="Z98" s="71"/>
    </row>
    <row r="99" spans="3:26" x14ac:dyDescent="0.45">
      <c r="C99" s="84" t="s">
        <v>624</v>
      </c>
      <c r="D99" s="83"/>
      <c r="E99" s="79"/>
      <c r="F99" s="80" t="s">
        <v>491</v>
      </c>
      <c r="G99" s="85">
        <f>IFERROR(GETPIVOTDATA(" Cantidad",TD!$A$3,"Proceso",$E$94,"ORD",$D$94,"Tipo",F99)/GETPIVOTDATA(" Cantidad",TD!$A$3,"Proceso",$E$94,"ORD",$D$94,"Tipo","Producción")*-1,0)</f>
        <v>0</v>
      </c>
      <c r="H99" s="82">
        <f>IFERROR(GETPIVOTDATA("Suma de Costo",TD!$A$3,"Proceso",$E$78,"ORD",$D$78,"Tipo",F99),0)</f>
        <v>0</v>
      </c>
      <c r="I99" s="82">
        <f t="shared" si="33"/>
        <v>0</v>
      </c>
      <c r="J99" s="75"/>
      <c r="K99" s="83"/>
      <c r="L99" s="79"/>
      <c r="M99" s="80" t="s">
        <v>491</v>
      </c>
      <c r="N99" s="85">
        <v>0</v>
      </c>
      <c r="O99" s="82">
        <v>0</v>
      </c>
      <c r="P99" s="82">
        <f t="shared" si="34"/>
        <v>0</v>
      </c>
      <c r="Q99" s="75"/>
      <c r="R99" s="82">
        <f t="shared" si="35"/>
        <v>0</v>
      </c>
      <c r="S99" s="82">
        <f t="shared" si="36"/>
        <v>0</v>
      </c>
      <c r="T99" s="82">
        <f t="shared" si="39"/>
        <v>0</v>
      </c>
      <c r="V99" s="70"/>
      <c r="X99" s="69"/>
      <c r="Z99" s="71"/>
    </row>
    <row r="100" spans="3:26" x14ac:dyDescent="0.45">
      <c r="C100" s="84"/>
      <c r="D100" s="83"/>
      <c r="E100" s="90"/>
      <c r="F100" s="80" t="s">
        <v>504</v>
      </c>
      <c r="G100" s="85">
        <f>IFERROR(GETPIVOTDATA(" Cantidad",TD!$A$3,"Proceso",$E$78,"ORD",$D$78,"Tipo",F100)/GETPIVOTDATA(" Cantidad",TD!$A$3,"Proceso",$E$78,"ORD",$D$78,"Tipo","Producción")*-1,0)</f>
        <v>1</v>
      </c>
      <c r="H100" s="82">
        <f>IFERROR(GETPIVOTDATA("Suma de Costo",TD!$A$3,"Proceso",$E$78,"ORD",$D$78,"Tipo",F100),0)</f>
        <v>1539.636971538461</v>
      </c>
      <c r="I100" s="82">
        <f t="shared" si="33"/>
        <v>1539.636971538461</v>
      </c>
      <c r="J100" s="75"/>
      <c r="K100" s="83"/>
      <c r="L100" s="90"/>
      <c r="M100" s="80" t="s">
        <v>504</v>
      </c>
      <c r="N100" s="85">
        <v>1</v>
      </c>
      <c r="O100" s="109">
        <v>1117.2995875639574</v>
      </c>
      <c r="P100" s="82">
        <f t="shared" si="34"/>
        <v>1117.2995875639574</v>
      </c>
      <c r="Q100" s="75"/>
      <c r="R100" s="82">
        <f>+(O100-H100)*N100</f>
        <v>-422.33738397450361</v>
      </c>
      <c r="S100" s="82">
        <f>+(N100-G100)*H100</f>
        <v>0</v>
      </c>
      <c r="T100" s="82">
        <f t="shared" si="39"/>
        <v>-422.33738397450361</v>
      </c>
      <c r="V100" s="70"/>
      <c r="X100" s="69"/>
    </row>
    <row r="101" spans="3:26" x14ac:dyDescent="0.45">
      <c r="D101" s="83"/>
      <c r="E101" s="90"/>
      <c r="F101" s="80" t="s">
        <v>267</v>
      </c>
      <c r="G101" s="122">
        <f>GETPIVOTDATA(" Cantidad",TD!$A$3,"Proceso","Cemento ART","ORD",7,"Tipo",F101)/((GETPIVOTDATA(" Cantidad",TD!$A$3,"Proceso","Cemento ART","ORD",7,"Tipo","Producción"))*-1)</f>
        <v>34.6</v>
      </c>
      <c r="H101" s="86">
        <f>IFERROR(GETPIVOTDATA("Suma de Costo",TD!$A$3,"Proceso",$E$94,"ORD",$D$94,"Tipo",F101),0)</f>
        <v>525.27888856276604</v>
      </c>
      <c r="I101" s="82">
        <f t="shared" si="33"/>
        <v>18174.649544271706</v>
      </c>
      <c r="J101" s="75"/>
      <c r="K101" s="83"/>
      <c r="L101" s="90"/>
      <c r="M101" s="80" t="s">
        <v>267</v>
      </c>
      <c r="N101" s="138">
        <v>36.732237135557455</v>
      </c>
      <c r="O101" s="88">
        <v>485.33891128999591</v>
      </c>
      <c r="P101" s="82">
        <f t="shared" si="34"/>
        <v>17827.583980617412</v>
      </c>
      <c r="Q101" s="75"/>
      <c r="R101" s="82">
        <f t="shared" si="35"/>
        <v>-1467.084716372168</v>
      </c>
      <c r="S101" s="82">
        <f t="shared" si="36"/>
        <v>1120.0191527178749</v>
      </c>
      <c r="T101" s="82">
        <f t="shared" si="39"/>
        <v>-347.06556365429424</v>
      </c>
      <c r="V101" s="70"/>
      <c r="X101" s="69"/>
      <c r="Z101" s="123"/>
    </row>
    <row r="102" spans="3:26" x14ac:dyDescent="0.45">
      <c r="D102" s="83"/>
      <c r="E102" s="90"/>
      <c r="F102" s="80" t="s">
        <v>461</v>
      </c>
      <c r="G102" s="85">
        <f>IFERROR(GETPIVOTDATA(" Cantidad",TD!$A$3,"Proceso",$E$94,"ORD",$D$94,"Tipo",F102)/GETPIVOTDATA(" Cantidad",TD!$A$3,"Proceso",$E$94,"ORD",$D$94,"Tipo","Producción")*-1,0)</f>
        <v>1</v>
      </c>
      <c r="H102" s="82">
        <f>IFERROR(GETPIVOTDATA("Suma de Costo",TD!$A$3,"Proceso",$E$94,"ORD",$D$94,"Tipo",F102),0)</f>
        <v>0</v>
      </c>
      <c r="I102" s="82">
        <f t="shared" si="33"/>
        <v>0</v>
      </c>
      <c r="J102" s="75"/>
      <c r="K102" s="83"/>
      <c r="L102" s="90"/>
      <c r="M102" s="80" t="s">
        <v>461</v>
      </c>
      <c r="N102" s="85">
        <v>0</v>
      </c>
      <c r="O102" s="82">
        <v>0</v>
      </c>
      <c r="P102" s="82">
        <f t="shared" si="34"/>
        <v>0</v>
      </c>
      <c r="Q102" s="75"/>
      <c r="R102" s="82">
        <f t="shared" si="35"/>
        <v>0</v>
      </c>
      <c r="S102" s="82">
        <f t="shared" si="36"/>
        <v>0</v>
      </c>
      <c r="T102" s="82">
        <f t="shared" si="39"/>
        <v>0</v>
      </c>
      <c r="V102" s="70"/>
      <c r="X102" s="69"/>
      <c r="Y102" s="354" t="s">
        <v>780</v>
      </c>
      <c r="Z102" s="354"/>
    </row>
    <row r="103" spans="3:26" x14ac:dyDescent="0.45">
      <c r="D103" s="83"/>
      <c r="E103" s="90"/>
      <c r="F103" s="80" t="s">
        <v>32</v>
      </c>
      <c r="G103" s="81">
        <f>IFERROR(GETPIVOTDATA(" Cantidad",TD!$A$3,"Proceso",$E$94,"ORD",$D$94,"Tipo",F103)/GETPIVOTDATA(" Cantidad",TD!$A$3,"Proceso",$E$94,"ORD",$D$94,"Tipo","Producción")*-1,0)</f>
        <v>0</v>
      </c>
      <c r="H103" s="82">
        <f>IFERROR(GETPIVOTDATA("Suma de Costo",TD!$A$3,"Proceso",$E$94,"ORD",$D$94,"Tipo",F103),0)</f>
        <v>0</v>
      </c>
      <c r="I103" s="82">
        <f t="shared" si="33"/>
        <v>0</v>
      </c>
      <c r="J103" s="75"/>
      <c r="K103" s="83"/>
      <c r="L103" s="90"/>
      <c r="M103" s="80" t="s">
        <v>32</v>
      </c>
      <c r="N103" s="81">
        <v>0</v>
      </c>
      <c r="O103" s="82">
        <v>0</v>
      </c>
      <c r="P103" s="82">
        <f t="shared" si="34"/>
        <v>0</v>
      </c>
      <c r="Q103" s="75"/>
      <c r="R103" s="82">
        <f t="shared" si="35"/>
        <v>0</v>
      </c>
      <c r="S103" s="82">
        <f t="shared" si="36"/>
        <v>0</v>
      </c>
      <c r="T103" s="82">
        <f t="shared" si="39"/>
        <v>0</v>
      </c>
      <c r="Y103" s="329" t="s">
        <v>647</v>
      </c>
      <c r="Z103" s="330">
        <f>((I114*I115)+(I122*I123)+(I130*I131)+(I138*I139)+(I146*I147)+(I196*I197)+(I210*I211)+(I203*I204))/(I115+I123+I131+I139+I147+I197+I204+I211)</f>
        <v>155760.38111975958</v>
      </c>
    </row>
    <row r="104" spans="3:26" x14ac:dyDescent="0.45">
      <c r="D104" s="83"/>
      <c r="E104" s="90"/>
      <c r="F104" s="80" t="s">
        <v>505</v>
      </c>
      <c r="G104" s="81">
        <f>IFERROR(GETPIVOTDATA(" Cantidad",TD!$A$3,"Proceso",$E$94,"ORD",$D$94,"Tipo",F104)/GETPIVOTDATA(" Cantidad",TD!$A$3,"Proceso",$E$94,"ORD",$D$94,"Tipo","Producción")*-1,0)</f>
        <v>0</v>
      </c>
      <c r="H104" s="82">
        <f>IFERROR(GETPIVOTDATA("Suma de Costo",TD!$A$3,"Proceso",$E$94,"ORD",$D$94,"Tipo",F104),0)</f>
        <v>0</v>
      </c>
      <c r="I104" s="82">
        <f t="shared" si="33"/>
        <v>0</v>
      </c>
      <c r="J104" s="75"/>
      <c r="K104" s="83"/>
      <c r="L104" s="90"/>
      <c r="M104" s="80" t="s">
        <v>505</v>
      </c>
      <c r="N104" s="81">
        <v>0</v>
      </c>
      <c r="O104" s="82">
        <v>0</v>
      </c>
      <c r="P104" s="82">
        <f t="shared" si="34"/>
        <v>0</v>
      </c>
      <c r="Q104" s="75"/>
      <c r="R104" s="82">
        <f>+(O104-H104)*N104</f>
        <v>0</v>
      </c>
      <c r="S104" s="82">
        <f>+(N104-G104)*H104</f>
        <v>0</v>
      </c>
      <c r="T104" s="82">
        <f t="shared" si="39"/>
        <v>0</v>
      </c>
      <c r="Y104" s="329" t="s">
        <v>686</v>
      </c>
      <c r="Z104" s="330">
        <v>127923.07664252327</v>
      </c>
    </row>
    <row r="105" spans="3:26" x14ac:dyDescent="0.45">
      <c r="D105" s="83"/>
      <c r="E105" s="90"/>
      <c r="F105" s="80" t="s">
        <v>57</v>
      </c>
      <c r="G105" s="81">
        <f>IFERROR(GETPIVOTDATA(" Cantidad",TD!$A$3,"Proceso",$E$94,"ORD",$D$94,"Tipo",F105)/GETPIVOTDATA(" Cantidad",TD!$A$3,"Proceso",$E$94,"ORD",$D$94,"Tipo","Producción")*-1,0)</f>
        <v>7.9045199999999982E-2</v>
      </c>
      <c r="H105" s="82">
        <f>+H89</f>
        <v>232625.89499161369</v>
      </c>
      <c r="I105" s="82">
        <f t="shared" si="33"/>
        <v>18387.960394791098</v>
      </c>
      <c r="J105" s="75"/>
      <c r="K105" s="83"/>
      <c r="L105" s="90"/>
      <c r="M105" s="80" t="s">
        <v>57</v>
      </c>
      <c r="N105" s="81">
        <v>8.2426670901001239E-2</v>
      </c>
      <c r="O105" s="88">
        <v>220009.05860218199</v>
      </c>
      <c r="P105" s="82">
        <f t="shared" si="34"/>
        <v>18134.614268641151</v>
      </c>
      <c r="Q105" s="75"/>
      <c r="R105" s="82">
        <f t="shared" si="35"/>
        <v>-1039.9638208834635</v>
      </c>
      <c r="S105" s="82">
        <f t="shared" si="36"/>
        <v>786.6176947335158</v>
      </c>
      <c r="T105" s="82">
        <f t="shared" si="39"/>
        <v>-253.34612614994694</v>
      </c>
      <c r="Y105" s="329" t="s">
        <v>648</v>
      </c>
      <c r="Z105" s="330">
        <f>((P114*P115)+(P122*P123)+(P130*P131)+(P138*P139)+(P146*P147)+(P196*P197)+(P203*P204)+(P210*P211))/(P115+P123+P131+P139+P147+P197+P204+P211)</f>
        <v>135655.64752327933</v>
      </c>
    </row>
    <row r="106" spans="3:26" x14ac:dyDescent="0.45">
      <c r="D106" s="94"/>
      <c r="E106" s="95" t="s">
        <v>649</v>
      </c>
      <c r="F106" s="95"/>
      <c r="G106" s="96"/>
      <c r="H106" s="96"/>
      <c r="I106" s="97">
        <f>SUM(I94:I105)</f>
        <v>165319.2200737994</v>
      </c>
      <c r="J106" s="75"/>
      <c r="K106" s="94"/>
      <c r="L106" s="95" t="s">
        <v>649</v>
      </c>
      <c r="M106" s="95"/>
      <c r="N106" s="96"/>
      <c r="O106" s="96"/>
      <c r="P106" s="97">
        <f>SUM(P94:P105)</f>
        <v>159189.55545229226</v>
      </c>
      <c r="Q106" s="75"/>
      <c r="R106" s="97">
        <f>+SUM(R94:R105)</f>
        <v>-8247.0304268194304</v>
      </c>
      <c r="S106" s="97">
        <f>+SUM(S94:S105)</f>
        <v>2304.2405045675628</v>
      </c>
      <c r="T106" s="97">
        <f>+SUM(T94:T105)</f>
        <v>-5942.7899222518608</v>
      </c>
      <c r="U106" s="69"/>
      <c r="Y106" s="329" t="s">
        <v>650</v>
      </c>
      <c r="Z106" s="331">
        <f>Z103-Z104</f>
        <v>27837.304477236306</v>
      </c>
    </row>
    <row r="107" spans="3:26" x14ac:dyDescent="0.45">
      <c r="D107" s="98"/>
      <c r="E107" s="99"/>
      <c r="F107" s="99"/>
      <c r="G107" s="100"/>
      <c r="H107" s="100"/>
      <c r="I107" s="101">
        <f>IFERROR(GETPIVOTDATA(" Cantidad",TD!$A$3,"Proceso",E94,"ORD",D94,"Tipo","Producción")*-1,0)</f>
        <v>440847.09331369615</v>
      </c>
      <c r="J107" s="133"/>
      <c r="K107" s="98"/>
      <c r="L107" s="99"/>
      <c r="M107" s="99"/>
      <c r="N107" s="100"/>
      <c r="O107" s="100"/>
      <c r="P107" s="101">
        <v>420766.625</v>
      </c>
      <c r="Q107" s="75"/>
      <c r="R107" s="101"/>
      <c r="S107" s="101"/>
      <c r="T107" s="101"/>
      <c r="Y107" s="329" t="s">
        <v>651</v>
      </c>
      <c r="Z107" s="331">
        <f>Z103-Z105</f>
        <v>20104.733596480248</v>
      </c>
    </row>
    <row r="108" spans="3:26" x14ac:dyDescent="0.45">
      <c r="G108" s="69"/>
      <c r="H108" s="105"/>
      <c r="I108" s="93"/>
      <c r="O108" s="69"/>
      <c r="P108" s="93"/>
      <c r="Q108" s="75"/>
      <c r="Z108" s="74"/>
    </row>
    <row r="109" spans="3:26" x14ac:dyDescent="0.45">
      <c r="D109" s="76" t="s">
        <v>644</v>
      </c>
      <c r="E109" s="76" t="s">
        <v>435</v>
      </c>
      <c r="F109" s="76" t="s">
        <v>52</v>
      </c>
      <c r="G109" s="77" t="s">
        <v>620</v>
      </c>
      <c r="H109" s="77" t="s">
        <v>621</v>
      </c>
      <c r="I109" s="77" t="s">
        <v>395</v>
      </c>
      <c r="K109" s="76" t="s">
        <v>644</v>
      </c>
      <c r="L109" s="76" t="s">
        <v>435</v>
      </c>
      <c r="M109" s="76" t="s">
        <v>52</v>
      </c>
      <c r="N109" s="77" t="s">
        <v>620</v>
      </c>
      <c r="O109" s="77" t="s">
        <v>621</v>
      </c>
      <c r="P109" s="77" t="s">
        <v>395</v>
      </c>
      <c r="Q109" s="75"/>
      <c r="R109" s="77" t="s">
        <v>622</v>
      </c>
      <c r="S109" s="77" t="s">
        <v>623</v>
      </c>
      <c r="T109" s="77" t="s">
        <v>395</v>
      </c>
      <c r="Y109" s="74"/>
      <c r="Z109" s="74"/>
    </row>
    <row r="110" spans="3:26" x14ac:dyDescent="0.45">
      <c r="D110" s="139">
        <v>8</v>
      </c>
      <c r="E110" s="140" t="s">
        <v>652</v>
      </c>
      <c r="F110" s="141" t="s">
        <v>653</v>
      </c>
      <c r="G110" s="85">
        <f>+GETPIVOTDATA(" Cantidad",TD!$A$3,"Proceso","CEMENTO UG 50 KG","ORD",8,"Tipo","Cemento UG")/I115</f>
        <v>1.0000000000000002</v>
      </c>
      <c r="H110" s="142">
        <f>+I90</f>
        <v>119790.3641825196</v>
      </c>
      <c r="I110" s="142">
        <f>H110*G110</f>
        <v>119790.36418251962</v>
      </c>
      <c r="J110" s="75"/>
      <c r="K110" s="139">
        <v>8</v>
      </c>
      <c r="L110" s="140" t="s">
        <v>652</v>
      </c>
      <c r="M110" s="141" t="s">
        <v>653</v>
      </c>
      <c r="N110" s="85">
        <v>1.0000004640190849</v>
      </c>
      <c r="O110" s="143">
        <v>94794.811293073071</v>
      </c>
      <c r="P110" s="82">
        <f t="shared" ref="P110:P113" si="40">+N110*O110</f>
        <v>94794.855279674666</v>
      </c>
      <c r="Q110" s="75"/>
      <c r="R110" s="82">
        <f>+(O110-H110)*N110</f>
        <v>-24995.564487860105</v>
      </c>
      <c r="S110" s="82">
        <f>+(N110-G110)*H110</f>
        <v>5.5585015145243027E-2</v>
      </c>
      <c r="T110" s="82">
        <f>+P110-I110</f>
        <v>-24995.508902844958</v>
      </c>
      <c r="Y110" s="74"/>
      <c r="Z110" s="74"/>
    </row>
    <row r="111" spans="3:26" x14ac:dyDescent="0.45">
      <c r="D111" s="144"/>
      <c r="E111" s="140"/>
      <c r="F111" s="141" t="s">
        <v>507</v>
      </c>
      <c r="G111" s="85">
        <v>1</v>
      </c>
      <c r="H111" s="86">
        <f>IFERROR(GETPIVOTDATA("Suma de Costo",TD!$A$3,"Proceso","Cementos","ORD",21,"Tipo","Empaque y Granel"),0)</f>
        <v>3679.9846153846147</v>
      </c>
      <c r="I111" s="142">
        <f t="shared" ref="I111:I113" si="41">H111*G111</f>
        <v>3679.9846153846147</v>
      </c>
      <c r="J111" s="75"/>
      <c r="K111" s="144"/>
      <c r="L111" s="140"/>
      <c r="M111" s="141" t="s">
        <v>507</v>
      </c>
      <c r="N111" s="85">
        <v>1</v>
      </c>
      <c r="O111" s="142">
        <v>3476.5359612973375</v>
      </c>
      <c r="P111" s="82">
        <f t="shared" si="40"/>
        <v>3476.5359612973375</v>
      </c>
      <c r="Q111" s="75"/>
      <c r="R111" s="82">
        <f>+(O111-H111)*N111</f>
        <v>-203.44865408727719</v>
      </c>
      <c r="S111" s="82">
        <f>+(N111-G111)*H111</f>
        <v>0</v>
      </c>
      <c r="T111" s="82">
        <f>+P111-I111</f>
        <v>-203.44865408727719</v>
      </c>
      <c r="Y111" s="74"/>
      <c r="Z111" s="71"/>
    </row>
    <row r="112" spans="3:26" x14ac:dyDescent="0.45">
      <c r="D112" s="144"/>
      <c r="E112" s="140"/>
      <c r="F112" s="141" t="s">
        <v>267</v>
      </c>
      <c r="G112" s="122">
        <f>GETPIVOTDATA(" Cantidad",TD!$A$3,"Proceso","CEMENTOS","ORD",21,"Tipo",F112)/((GETPIVOTDATA(" Cantidad",TD!$A$3,"Proceso","CEMENTOS","ORD",21,"Tipo","Producción"))*-1)</f>
        <v>1.5</v>
      </c>
      <c r="H112" s="86">
        <f>IFERROR(GETPIVOTDATA("Suma de Costo",TD!$A$3,"Proceso",$E$110,"ORD",$D$110,"Tipo",F112),0)</f>
        <v>525.24409409393547</v>
      </c>
      <c r="I112" s="142">
        <f t="shared" si="41"/>
        <v>787.86614114090321</v>
      </c>
      <c r="J112" s="75"/>
      <c r="K112" s="144"/>
      <c r="L112" s="140"/>
      <c r="M112" s="141" t="s">
        <v>267</v>
      </c>
      <c r="N112" s="129">
        <v>1.3317683934468676</v>
      </c>
      <c r="O112" s="88">
        <v>485.33891128999591</v>
      </c>
      <c r="P112" s="82">
        <f t="shared" si="40"/>
        <v>646.35902216592967</v>
      </c>
      <c r="Q112" s="75"/>
      <c r="R112" s="82">
        <f>+(O112-H112)*N112</f>
        <v>-53.144461193006165</v>
      </c>
      <c r="S112" s="82">
        <f>+(N112-G112)*H112</f>
        <v>-88.362657781967414</v>
      </c>
      <c r="T112" s="82">
        <f>+P112-I112</f>
        <v>-141.50711897497354</v>
      </c>
      <c r="Y112" s="74"/>
      <c r="Z112" s="71"/>
    </row>
    <row r="113" spans="4:26" x14ac:dyDescent="0.45">
      <c r="D113" s="144"/>
      <c r="E113" s="145"/>
      <c r="F113" s="141" t="s">
        <v>413</v>
      </c>
      <c r="G113" s="174">
        <f>+GETPIVOTDATA(" Cantidad",TD!$A$3,"Proceso","CEMENTO UG 50 KG","ORD",8,"Tipo","Sacos")/I115</f>
        <v>20.400000000000002</v>
      </c>
      <c r="H113" s="142">
        <f>+GETPIVOTDATA("Valor",TD!$A$3,"Proceso","CEMENTO UG 50 KG","ORD",8,"Tipo","Sacos")/GETPIVOTDATA(" Cantidad",TD!$A$3,"Proceso","CEMENTO UG 50 KG","ORD",8,"Tipo","Sacos")</f>
        <v>1000.7975366477306</v>
      </c>
      <c r="I113" s="142">
        <f t="shared" si="41"/>
        <v>20416.269747613707</v>
      </c>
      <c r="J113" s="75"/>
      <c r="K113" s="144"/>
      <c r="L113" s="145"/>
      <c r="M113" s="141" t="s">
        <v>413</v>
      </c>
      <c r="N113" s="142">
        <v>20.052617717827491</v>
      </c>
      <c r="O113" s="142">
        <v>1005.6136454781605</v>
      </c>
      <c r="P113" s="82">
        <f t="shared" si="40"/>
        <v>20165.186004604453</v>
      </c>
      <c r="Q113" s="75"/>
      <c r="R113" s="82">
        <f>+(O113-H113)*N113</f>
        <v>96.575589264064561</v>
      </c>
      <c r="S113" s="82">
        <f>+(N113-G113)*H113</f>
        <v>-347.65933227331561</v>
      </c>
      <c r="T113" s="82">
        <f>+P113-I113</f>
        <v>-251.08374300925425</v>
      </c>
      <c r="Y113" s="74"/>
    </row>
    <row r="114" spans="4:26" x14ac:dyDescent="0.45">
      <c r="D114" s="146"/>
      <c r="E114" s="147" t="s">
        <v>654</v>
      </c>
      <c r="F114" s="147"/>
      <c r="G114" s="96"/>
      <c r="H114" s="96"/>
      <c r="I114" s="97">
        <f>SUM(I110:I113)</f>
        <v>144674.48468665883</v>
      </c>
      <c r="J114" s="75"/>
      <c r="K114" s="146"/>
      <c r="L114" s="147" t="s">
        <v>654</v>
      </c>
      <c r="M114" s="147"/>
      <c r="N114" s="96"/>
      <c r="O114" s="96"/>
      <c r="P114" s="97">
        <f>SUM(P110:P113)</f>
        <v>119082.93626774239</v>
      </c>
      <c r="Q114" s="75"/>
      <c r="R114" s="97">
        <f>+SUM(R110:R113)</f>
        <v>-25155.582013876323</v>
      </c>
      <c r="S114" s="97">
        <f>+SUM(S110:S113)</f>
        <v>-435.96640504013777</v>
      </c>
      <c r="T114" s="97">
        <f>+SUM(T110:T113)</f>
        <v>-25591.548418916464</v>
      </c>
      <c r="Y114" s="74"/>
      <c r="Z114" s="74"/>
    </row>
    <row r="115" spans="4:26" x14ac:dyDescent="0.45">
      <c r="D115" s="148"/>
      <c r="E115" s="149"/>
      <c r="F115" s="149"/>
      <c r="G115" s="100"/>
      <c r="H115" s="100"/>
      <c r="I115" s="101">
        <f>GETPIVOTDATA(" Cantidad",TD!$A$3,"Proceso","CEMENTO UG 50 KG","ORD",8,"Tipo","Producción")*50/-1000</f>
        <v>747197.67785419698</v>
      </c>
      <c r="K115" s="148"/>
      <c r="L115" s="149"/>
      <c r="M115" s="149"/>
      <c r="N115" s="100"/>
      <c r="O115" s="100"/>
      <c r="P115" s="101">
        <v>700402.22500000009</v>
      </c>
      <c r="Q115" s="75"/>
      <c r="R115" s="101"/>
      <c r="S115" s="101"/>
      <c r="T115" s="101"/>
      <c r="Y115" s="74"/>
    </row>
    <row r="116" spans="4:26" x14ac:dyDescent="0.45">
      <c r="F116" s="105"/>
      <c r="G116" s="69"/>
      <c r="H116" s="69"/>
      <c r="I116" s="69"/>
      <c r="M116" s="105">
        <f>(O113*P115+O121*P123+O129*P131+O137*P139+O145*P147)/(P115+P123+P131+P139+P147)</f>
        <v>981.59401191496886</v>
      </c>
      <c r="N116" s="69"/>
      <c r="O116" s="69"/>
      <c r="P116" s="69"/>
      <c r="Q116" s="75"/>
      <c r="Y116" s="74"/>
    </row>
    <row r="117" spans="4:26" x14ac:dyDescent="0.45">
      <c r="D117" s="76" t="s">
        <v>644</v>
      </c>
      <c r="E117" s="76" t="s">
        <v>435</v>
      </c>
      <c r="F117" s="76" t="s">
        <v>52</v>
      </c>
      <c r="G117" s="77" t="s">
        <v>620</v>
      </c>
      <c r="H117" s="77" t="s">
        <v>621</v>
      </c>
      <c r="I117" s="77" t="s">
        <v>395</v>
      </c>
      <c r="K117" s="76" t="s">
        <v>644</v>
      </c>
      <c r="L117" s="76" t="s">
        <v>435</v>
      </c>
      <c r="M117" s="76" t="s">
        <v>52</v>
      </c>
      <c r="N117" s="77" t="s">
        <v>620</v>
      </c>
      <c r="O117" s="77" t="s">
        <v>621</v>
      </c>
      <c r="P117" s="77" t="s">
        <v>395</v>
      </c>
      <c r="Q117" s="75"/>
      <c r="R117" s="77" t="s">
        <v>622</v>
      </c>
      <c r="S117" s="77" t="s">
        <v>623</v>
      </c>
      <c r="T117" s="77" t="s">
        <v>395</v>
      </c>
      <c r="Y117" s="74"/>
    </row>
    <row r="118" spans="4:26" x14ac:dyDescent="0.45">
      <c r="D118" s="139">
        <v>9</v>
      </c>
      <c r="E118" s="140" t="s">
        <v>655</v>
      </c>
      <c r="F118" s="141" t="s">
        <v>653</v>
      </c>
      <c r="G118" s="150">
        <f>IFERROR(GETPIVOTDATA(" Cantidad",TD!$A$3,"Proceso","CEMENTO UG 42,5 KG","ORD",9,"Tipo","Cemento UG")/I123,0)</f>
        <v>0.99999999999999978</v>
      </c>
      <c r="H118" s="142">
        <f>+$I$90</f>
        <v>119790.3641825196</v>
      </c>
      <c r="I118" s="142">
        <f>H118*G118</f>
        <v>119790.36418251957</v>
      </c>
      <c r="J118" s="75"/>
      <c r="K118" s="139">
        <v>9</v>
      </c>
      <c r="L118" s="140" t="s">
        <v>655</v>
      </c>
      <c r="M118" s="141" t="s">
        <v>653</v>
      </c>
      <c r="N118" s="150">
        <v>1.0000011778564921</v>
      </c>
      <c r="O118" s="143">
        <v>94794.811293073071</v>
      </c>
      <c r="P118" s="142">
        <f t="shared" ref="P118:P121" si="42">+N118*O118</f>
        <v>94794.922947756975</v>
      </c>
      <c r="Q118" s="75"/>
      <c r="R118" s="82">
        <f>+(O118-H118)*N118</f>
        <v>-24995.582330620768</v>
      </c>
      <c r="S118" s="82">
        <f>+(N118-G118)*H118</f>
        <v>0.14109585817219777</v>
      </c>
      <c r="T118" s="82">
        <f>+P118-I118</f>
        <v>-24995.441234762591</v>
      </c>
      <c r="Y118" s="74"/>
    </row>
    <row r="119" spans="4:26" x14ac:dyDescent="0.45">
      <c r="D119" s="144"/>
      <c r="E119" s="140"/>
      <c r="F119" s="141" t="s">
        <v>507</v>
      </c>
      <c r="G119" s="150">
        <f>$G$111</f>
        <v>1</v>
      </c>
      <c r="H119" s="86">
        <f>IFERROR(GETPIVOTDATA("Suma de Costo",TD!$A$3,"Proceso","Cementos","ORD",21,"Tipo","Empaque y Granel"),0)</f>
        <v>3679.9846153846147</v>
      </c>
      <c r="I119" s="142">
        <f t="shared" ref="I119:I121" si="43">H119*G119</f>
        <v>3679.9846153846147</v>
      </c>
      <c r="J119" s="75"/>
      <c r="K119" s="144"/>
      <c r="L119" s="140"/>
      <c r="M119" s="141" t="s">
        <v>507</v>
      </c>
      <c r="N119" s="150">
        <v>1</v>
      </c>
      <c r="O119" s="142">
        <v>3476.5359612973375</v>
      </c>
      <c r="P119" s="142">
        <f t="shared" si="42"/>
        <v>3476.5359612973375</v>
      </c>
      <c r="Q119" s="75"/>
      <c r="R119" s="82">
        <f>+(O119-H119)*N119</f>
        <v>-203.44865408727719</v>
      </c>
      <c r="S119" s="82">
        <f>+(N119-G119)*H119</f>
        <v>0</v>
      </c>
      <c r="T119" s="82">
        <f>+P119-I119</f>
        <v>-203.44865408727719</v>
      </c>
      <c r="Y119" s="74"/>
    </row>
    <row r="120" spans="4:26" x14ac:dyDescent="0.45">
      <c r="D120" s="144"/>
      <c r="E120" s="140"/>
      <c r="F120" s="141" t="s">
        <v>267</v>
      </c>
      <c r="G120" s="122">
        <f>GETPIVOTDATA(" Cantidad",TD!$A$3,"Proceso","CEMENTOS","ORD",21,"Tipo",F120)/((GETPIVOTDATA(" Cantidad",TD!$A$3,"Proceso","CEMENTOS","ORD",21,"Tipo","Producción"))*-1)</f>
        <v>1.5</v>
      </c>
      <c r="H120" s="86">
        <f>IFERROR(GETPIVOTDATA("Suma de Costo",TD!$A$3,"Proceso",$E$118,"ORD",$D$118,"Tipo",F120),0)</f>
        <v>525.24409409393547</v>
      </c>
      <c r="I120" s="142">
        <f t="shared" si="43"/>
        <v>787.86614114090321</v>
      </c>
      <c r="J120" s="75"/>
      <c r="K120" s="144"/>
      <c r="L120" s="140"/>
      <c r="M120" s="141" t="s">
        <v>267</v>
      </c>
      <c r="N120" s="129">
        <v>1.3270062922079575</v>
      </c>
      <c r="O120" s="88">
        <v>485.33891128999591</v>
      </c>
      <c r="P120" s="142">
        <f t="shared" si="42"/>
        <v>644.0477891351843</v>
      </c>
      <c r="Q120" s="75"/>
      <c r="R120" s="82">
        <f>+(O120-H120)*N120</f>
        <v>-52.954428672536594</v>
      </c>
      <c r="S120" s="82">
        <f>+(N120-G120)*H120</f>
        <v>-90.863923333182342</v>
      </c>
      <c r="T120" s="82">
        <f>+P120-I120</f>
        <v>-143.81835200571891</v>
      </c>
      <c r="Y120" s="74"/>
    </row>
    <row r="121" spans="4:26" x14ac:dyDescent="0.45">
      <c r="D121" s="144"/>
      <c r="E121" s="145"/>
      <c r="F121" s="141" t="s">
        <v>413</v>
      </c>
      <c r="G121" s="142">
        <f>IFERROR(GETPIVOTDATA(" Cantidad",TD!$A$3,"Proceso","CEMENTO UG 42,5 KG","ORD",9,"Tipo","Sacos")/I123,0)</f>
        <v>24</v>
      </c>
      <c r="H121" s="142">
        <f>IFERROR(GETPIVOTDATA("Valor",TD!$A$3,"Proceso","CEMENTO UG 42,5 KG","ORD",9,"Tipo","Sacos")/GETPIVOTDATA(" Cantidad",TD!$A$3,"Proceso","CEMENTO UG 42,5 KG","ORD",9,"Tipo","Sacos"),0)</f>
        <v>976.38355641164867</v>
      </c>
      <c r="I121" s="142">
        <f t="shared" si="43"/>
        <v>23433.205353879566</v>
      </c>
      <c r="J121" s="75"/>
      <c r="K121" s="144"/>
      <c r="L121" s="145"/>
      <c r="M121" s="141" t="s">
        <v>413</v>
      </c>
      <c r="N121" s="143">
        <v>23.958042203259584</v>
      </c>
      <c r="O121" s="142">
        <v>917.44928757585501</v>
      </c>
      <c r="P121" s="142">
        <f t="shared" si="42"/>
        <v>21980.288751092772</v>
      </c>
      <c r="Q121" s="75"/>
      <c r="R121" s="82">
        <f>+(O121-H121)*N121</f>
        <v>-1411.9496999861906</v>
      </c>
      <c r="S121" s="82">
        <f>+(N121-G121)*H121</f>
        <v>-40.966902800604345</v>
      </c>
      <c r="T121" s="82">
        <f>+P121-I121</f>
        <v>-1452.9166027867941</v>
      </c>
      <c r="Y121" s="74"/>
    </row>
    <row r="122" spans="4:26" x14ac:dyDescent="0.45">
      <c r="D122" s="146"/>
      <c r="E122" s="147" t="s">
        <v>656</v>
      </c>
      <c r="F122" s="147"/>
      <c r="G122" s="96"/>
      <c r="H122" s="96"/>
      <c r="I122" s="97">
        <f>SUM(I118:I121)</f>
        <v>147691.42029292465</v>
      </c>
      <c r="J122" s="75"/>
      <c r="K122" s="146"/>
      <c r="L122" s="147" t="s">
        <v>656</v>
      </c>
      <c r="M122" s="147"/>
      <c r="N122" s="96"/>
      <c r="O122" s="96"/>
      <c r="P122" s="97">
        <f>SUM(P118:P121)</f>
        <v>120895.79544928228</v>
      </c>
      <c r="Q122" s="75"/>
      <c r="R122" s="97">
        <f>+SUM(R118:R121)</f>
        <v>-26663.935113366773</v>
      </c>
      <c r="S122" s="97">
        <f>+SUM(S118:S121)</f>
        <v>-131.68973027561449</v>
      </c>
      <c r="T122" s="97">
        <f>+SUM(T118:T121)</f>
        <v>-26795.624843642381</v>
      </c>
      <c r="Y122" s="74"/>
    </row>
    <row r="123" spans="4:26" x14ac:dyDescent="0.45">
      <c r="D123" s="148"/>
      <c r="E123" s="149"/>
      <c r="F123" s="149"/>
      <c r="G123" s="100"/>
      <c r="H123" s="100"/>
      <c r="I123" s="101">
        <f>IFERROR(GETPIVOTDATA(" Cantidad",TD!$A$3,"Proceso","CEMENTO UG 42,5 KG","ORD",9,"Tipo","Producción")*42.5/-1000,0)</f>
        <v>33066.640200463771</v>
      </c>
      <c r="K123" s="148"/>
      <c r="L123" s="149"/>
      <c r="M123" s="149"/>
      <c r="N123" s="100"/>
      <c r="O123" s="100"/>
      <c r="P123" s="101">
        <v>30882.369999999995</v>
      </c>
      <c r="Q123" s="75"/>
      <c r="R123" s="101"/>
      <c r="S123" s="101"/>
      <c r="T123" s="101"/>
      <c r="Y123" s="74"/>
    </row>
    <row r="124" spans="4:26" x14ac:dyDescent="0.45">
      <c r="F124" s="69"/>
      <c r="G124" s="69"/>
      <c r="H124" s="105"/>
      <c r="I124" s="69"/>
      <c r="M124" s="69"/>
      <c r="N124" s="69"/>
      <c r="O124" s="105"/>
      <c r="P124" s="69"/>
      <c r="Q124" s="75"/>
      <c r="Y124" s="74"/>
    </row>
    <row r="125" spans="4:26" x14ac:dyDescent="0.45">
      <c r="D125" s="76" t="s">
        <v>644</v>
      </c>
      <c r="E125" s="76" t="s">
        <v>435</v>
      </c>
      <c r="F125" s="76" t="s">
        <v>52</v>
      </c>
      <c r="G125" s="77" t="s">
        <v>620</v>
      </c>
      <c r="H125" s="77" t="s">
        <v>621</v>
      </c>
      <c r="I125" s="77" t="s">
        <v>395</v>
      </c>
      <c r="K125" s="76" t="s">
        <v>644</v>
      </c>
      <c r="L125" s="76" t="s">
        <v>435</v>
      </c>
      <c r="M125" s="76" t="s">
        <v>52</v>
      </c>
      <c r="N125" s="77" t="s">
        <v>620</v>
      </c>
      <c r="O125" s="77" t="s">
        <v>621</v>
      </c>
      <c r="P125" s="77" t="s">
        <v>395</v>
      </c>
      <c r="Q125" s="75"/>
      <c r="R125" s="77" t="s">
        <v>622</v>
      </c>
      <c r="S125" s="77" t="s">
        <v>623</v>
      </c>
      <c r="T125" s="77" t="s">
        <v>395</v>
      </c>
      <c r="Y125" s="74"/>
    </row>
    <row r="126" spans="4:26" x14ac:dyDescent="0.45">
      <c r="D126" s="139">
        <v>10</v>
      </c>
      <c r="E126" s="140" t="s">
        <v>657</v>
      </c>
      <c r="F126" s="141" t="s">
        <v>653</v>
      </c>
      <c r="G126" s="150">
        <f>IFERROR(GETPIVOTDATA(" Cantidad",TD!$A$3,"Proceso","CEMENTO UG 25 KG","ORD",10,"Tipo","Cemento UG")/I131,0)</f>
        <v>1.0000000000000002</v>
      </c>
      <c r="H126" s="142">
        <f>+$I$90</f>
        <v>119790.3641825196</v>
      </c>
      <c r="I126" s="142">
        <f>H126*G126</f>
        <v>119790.36418251962</v>
      </c>
      <c r="J126" s="75"/>
      <c r="K126" s="139">
        <v>10</v>
      </c>
      <c r="L126" s="140" t="s">
        <v>657</v>
      </c>
      <c r="M126" s="141" t="s">
        <v>653</v>
      </c>
      <c r="N126" s="150">
        <v>1.0000099069289063</v>
      </c>
      <c r="O126" s="143">
        <v>94794.811293073071</v>
      </c>
      <c r="P126" s="142">
        <f t="shared" ref="P126:P129" si="44">+N126*O126</f>
        <v>94795.750418529249</v>
      </c>
      <c r="Q126" s="75"/>
      <c r="R126" s="82">
        <f>+(O126-H126)*N126</f>
        <v>-24995.800518611974</v>
      </c>
      <c r="S126" s="82">
        <f>+(N126-G126)*H126</f>
        <v>1.1867546215947637</v>
      </c>
      <c r="T126" s="82">
        <f>+P126-I126</f>
        <v>-24994.613763990375</v>
      </c>
      <c r="Y126" s="74"/>
    </row>
    <row r="127" spans="4:26" x14ac:dyDescent="0.45">
      <c r="D127" s="144"/>
      <c r="E127" s="140"/>
      <c r="F127" s="141" t="s">
        <v>507</v>
      </c>
      <c r="G127" s="150">
        <f>$G$111</f>
        <v>1</v>
      </c>
      <c r="H127" s="86">
        <f>IFERROR(GETPIVOTDATA("Suma de Costo",TD!$A$3,"Proceso","Cementos","ORD",21,"Tipo","Empaque y Granel"),0)</f>
        <v>3679.9846153846147</v>
      </c>
      <c r="I127" s="142">
        <f t="shared" ref="I127:I129" si="45">H127*G127</f>
        <v>3679.9846153846147</v>
      </c>
      <c r="J127" s="75"/>
      <c r="K127" s="144"/>
      <c r="L127" s="140"/>
      <c r="M127" s="141" t="s">
        <v>507</v>
      </c>
      <c r="N127" s="150">
        <v>1</v>
      </c>
      <c r="O127" s="142">
        <v>3476.5359612973375</v>
      </c>
      <c r="P127" s="142">
        <f t="shared" si="44"/>
        <v>3476.5359612973375</v>
      </c>
      <c r="Q127" s="75"/>
      <c r="R127" s="82">
        <f>+(O127-H127)*N127</f>
        <v>-203.44865408727719</v>
      </c>
      <c r="S127" s="82">
        <f>+(N127-G127)*H127</f>
        <v>0</v>
      </c>
      <c r="T127" s="82">
        <f>+P127-I127</f>
        <v>-203.44865408727719</v>
      </c>
      <c r="Y127" s="74"/>
    </row>
    <row r="128" spans="4:26" x14ac:dyDescent="0.45">
      <c r="D128" s="144"/>
      <c r="E128" s="140"/>
      <c r="F128" s="141" t="s">
        <v>267</v>
      </c>
      <c r="G128" s="122">
        <f>GETPIVOTDATA(" Cantidad",TD!$A$3,"Proceso","CEMENTOS","ORD",21,"Tipo",F128)/((GETPIVOTDATA(" Cantidad",TD!$A$3,"Proceso","CEMENTOS","ORD",21,"Tipo","Producción"))*-1)</f>
        <v>1.5</v>
      </c>
      <c r="H128" s="86">
        <f>IFERROR(GETPIVOTDATA("Suma de Costo",TD!$A$3,"Proceso",$E$126,"ORD",$D$126,"Tipo",F128),0)</f>
        <v>525.24409409393547</v>
      </c>
      <c r="I128" s="142">
        <f t="shared" si="45"/>
        <v>787.86614114090321</v>
      </c>
      <c r="J128" s="75"/>
      <c r="K128" s="144"/>
      <c r="L128" s="140"/>
      <c r="M128" s="141" t="s">
        <v>267</v>
      </c>
      <c r="N128" s="129">
        <v>1.3356730961986683</v>
      </c>
      <c r="O128" s="88">
        <v>485.33891128999591</v>
      </c>
      <c r="P128" s="142">
        <f t="shared" si="44"/>
        <v>648.25412634839961</v>
      </c>
      <c r="Q128" s="75"/>
      <c r="R128" s="82">
        <f>+(O128-H128)*N128</f>
        <v>-53.300279070111813</v>
      </c>
      <c r="S128" s="82">
        <f>+(N128-G128)*H128</f>
        <v>-86.311735722391774</v>
      </c>
      <c r="T128" s="82">
        <f>+P128-I128</f>
        <v>-139.6120147925036</v>
      </c>
      <c r="Y128" s="74"/>
    </row>
    <row r="129" spans="4:25" x14ac:dyDescent="0.45">
      <c r="D129" s="144"/>
      <c r="E129" s="145"/>
      <c r="F129" s="141" t="s">
        <v>413</v>
      </c>
      <c r="G129" s="142">
        <f>IFERROR(GETPIVOTDATA(" Cantidad",TD!$A$3,"Proceso","CEMENTO UG 25 KG","ORD",10,"Tipo","Sacos")/I131,0)</f>
        <v>40.800000000000004</v>
      </c>
      <c r="H129" s="142">
        <f>IFERROR(GETPIVOTDATA("Valor",TD!$A$3,"Proceso","CEMENTO UG 25 KG","ORD",10,"Tipo","Sacos")/GETPIVOTDATA(" Cantidad",TD!$A$3,"Proceso","CEMENTO UG 25 KG","ORD",10,"Tipo","Sacos"),0)</f>
        <v>745.38347000187287</v>
      </c>
      <c r="I129" s="142">
        <f t="shared" si="45"/>
        <v>30411.645576076415</v>
      </c>
      <c r="J129" s="75"/>
      <c r="K129" s="144"/>
      <c r="L129" s="145"/>
      <c r="M129" s="141" t="s">
        <v>413</v>
      </c>
      <c r="N129" s="143">
        <v>40.054569049177466</v>
      </c>
      <c r="O129" s="142">
        <v>672.00975472284699</v>
      </c>
      <c r="P129" s="142">
        <f t="shared" si="44"/>
        <v>26917.061122267089</v>
      </c>
      <c r="Q129" s="75"/>
      <c r="R129" s="82">
        <f>+(O129-H129)*N129</f>
        <v>-2938.9525450384294</v>
      </c>
      <c r="S129" s="82">
        <f>+(N129-G129)*H129</f>
        <v>-555.63190877089869</v>
      </c>
      <c r="T129" s="82">
        <f>+P129-I129</f>
        <v>-3494.5844538093261</v>
      </c>
      <c r="Y129" s="74"/>
    </row>
    <row r="130" spans="4:25" x14ac:dyDescent="0.45">
      <c r="D130" s="146"/>
      <c r="E130" s="147" t="s">
        <v>658</v>
      </c>
      <c r="F130" s="147"/>
      <c r="G130" s="96"/>
      <c r="H130" s="96"/>
      <c r="I130" s="97">
        <f>SUM(I126:I129)</f>
        <v>154669.86051512155</v>
      </c>
      <c r="J130" s="75"/>
      <c r="K130" s="146"/>
      <c r="L130" s="147" t="s">
        <v>658</v>
      </c>
      <c r="M130" s="147"/>
      <c r="N130" s="96"/>
      <c r="O130" s="96"/>
      <c r="P130" s="97">
        <f>SUM(P126:P129)</f>
        <v>125837.60162844208</v>
      </c>
      <c r="Q130" s="75"/>
      <c r="R130" s="97">
        <f>+SUM(R126:R129)</f>
        <v>-28191.50199680779</v>
      </c>
      <c r="S130" s="97">
        <f>+SUM(S126:S129)</f>
        <v>-640.75688987169565</v>
      </c>
      <c r="T130" s="97">
        <f>+SUM(T126:T129)</f>
        <v>-28832.258886679483</v>
      </c>
      <c r="Y130" s="74"/>
    </row>
    <row r="131" spans="4:25" x14ac:dyDescent="0.45">
      <c r="D131" s="148"/>
      <c r="E131" s="149"/>
      <c r="F131" s="149"/>
      <c r="G131" s="100"/>
      <c r="H131" s="100"/>
      <c r="I131" s="101">
        <f>IFERROR(GETPIVOTDATA(" Cantidad",TD!$A$3,"Proceso","CEMENTO UG 25 KG","ORD",10,"Tipo","Producción")*25/-1000,0)</f>
        <v>7401.455796708271</v>
      </c>
      <c r="K131" s="148"/>
      <c r="L131" s="149"/>
      <c r="M131" s="149"/>
      <c r="N131" s="100"/>
      <c r="O131" s="100"/>
      <c r="P131" s="101">
        <v>6939.5874999999996</v>
      </c>
      <c r="Q131" s="75"/>
      <c r="R131" s="101"/>
      <c r="S131" s="101"/>
      <c r="T131" s="101"/>
      <c r="Y131" s="74"/>
    </row>
    <row r="132" spans="4:25" x14ac:dyDescent="0.45">
      <c r="G132" s="69"/>
      <c r="H132" s="69"/>
      <c r="I132" s="69"/>
      <c r="N132" s="69"/>
      <c r="O132" s="69"/>
      <c r="P132" s="69"/>
      <c r="Q132" s="75"/>
      <c r="Y132" s="74"/>
    </row>
    <row r="133" spans="4:25" x14ac:dyDescent="0.45">
      <c r="D133" s="76" t="s">
        <v>644</v>
      </c>
      <c r="E133" s="76" t="s">
        <v>435</v>
      </c>
      <c r="F133" s="76" t="s">
        <v>52</v>
      </c>
      <c r="G133" s="77" t="s">
        <v>620</v>
      </c>
      <c r="H133" s="77" t="s">
        <v>621</v>
      </c>
      <c r="I133" s="77" t="s">
        <v>395</v>
      </c>
      <c r="K133" s="76" t="s">
        <v>644</v>
      </c>
      <c r="L133" s="76" t="s">
        <v>435</v>
      </c>
      <c r="M133" s="76" t="s">
        <v>52</v>
      </c>
      <c r="N133" s="77" t="s">
        <v>620</v>
      </c>
      <c r="O133" s="77" t="s">
        <v>621</v>
      </c>
      <c r="P133" s="77" t="s">
        <v>395</v>
      </c>
      <c r="Q133" s="75"/>
      <c r="R133" s="77" t="s">
        <v>622</v>
      </c>
      <c r="S133" s="77" t="s">
        <v>623</v>
      </c>
      <c r="T133" s="77" t="s">
        <v>395</v>
      </c>
      <c r="Y133" s="74"/>
    </row>
    <row r="134" spans="4:25" x14ac:dyDescent="0.45">
      <c r="D134" s="139">
        <v>11</v>
      </c>
      <c r="E134" s="140" t="s">
        <v>659</v>
      </c>
      <c r="F134" s="141" t="s">
        <v>653</v>
      </c>
      <c r="G134" s="150">
        <f>IFERROR(GETPIVOTDATA(" Cantidad",TD!$A$3,"Proceso","CEMENTO ART 42,5 KG","ORD",11,"Tipo","Cemento ART")/I139,0)</f>
        <v>0.99999999999999989</v>
      </c>
      <c r="H134" s="142">
        <f>+I106</f>
        <v>165319.2200737994</v>
      </c>
      <c r="I134" s="142">
        <f>H134*G134</f>
        <v>165319.22007379937</v>
      </c>
      <c r="J134" s="75"/>
      <c r="K134" s="139">
        <v>11</v>
      </c>
      <c r="L134" s="140" t="s">
        <v>659</v>
      </c>
      <c r="M134" s="141" t="s">
        <v>653</v>
      </c>
      <c r="N134" s="150">
        <v>1.0000055127500393</v>
      </c>
      <c r="O134" s="143">
        <v>134698.03248305281</v>
      </c>
      <c r="P134" s="142">
        <f t="shared" ref="P134:P137" si="46">+N134*O134</f>
        <v>134698.77503963668</v>
      </c>
      <c r="Q134" s="75"/>
      <c r="R134" s="82">
        <f>+(O134-H134)*N134</f>
        <v>-30621.356397699685</v>
      </c>
      <c r="S134" s="82">
        <f>+(N134-G134)*H134</f>
        <v>0.9113635369853802</v>
      </c>
      <c r="T134" s="82">
        <f>+P134-I134</f>
        <v>-30620.445034162694</v>
      </c>
      <c r="Y134" s="74"/>
    </row>
    <row r="135" spans="4:25" x14ac:dyDescent="0.45">
      <c r="D135" s="144"/>
      <c r="E135" s="140"/>
      <c r="F135" s="141" t="s">
        <v>507</v>
      </c>
      <c r="G135" s="150">
        <f>$G$111</f>
        <v>1</v>
      </c>
      <c r="H135" s="86">
        <f>IFERROR(GETPIVOTDATA("Suma de Costo",TD!$A$3,"Proceso","Cementos","ORD",21,"Tipo","Empaque y Granel"),0)</f>
        <v>3679.9846153846147</v>
      </c>
      <c r="I135" s="142">
        <f t="shared" ref="I135:I137" si="47">H135*G135</f>
        <v>3679.9846153846147</v>
      </c>
      <c r="J135" s="75"/>
      <c r="K135" s="144"/>
      <c r="L135" s="140"/>
      <c r="M135" s="141" t="s">
        <v>507</v>
      </c>
      <c r="N135" s="150">
        <v>1</v>
      </c>
      <c r="O135" s="142">
        <v>3476.5359612973375</v>
      </c>
      <c r="P135" s="142">
        <f t="shared" si="46"/>
        <v>3476.5359612973375</v>
      </c>
      <c r="Q135" s="75"/>
      <c r="R135" s="82">
        <f>+(O135-H135)*N135</f>
        <v>-203.44865408727719</v>
      </c>
      <c r="S135" s="82">
        <f>+(N135-G135)*H135</f>
        <v>0</v>
      </c>
      <c r="T135" s="82">
        <f>+P135-I135</f>
        <v>-203.44865408727719</v>
      </c>
      <c r="Y135" s="74"/>
    </row>
    <row r="136" spans="4:25" x14ac:dyDescent="0.45">
      <c r="D136" s="144"/>
      <c r="E136" s="140"/>
      <c r="F136" s="141" t="s">
        <v>267</v>
      </c>
      <c r="G136" s="122">
        <f>GETPIVOTDATA(" Cantidad",TD!$A$3,"Proceso","CEMENTOS","ORD",21,"Tipo",F136)/((GETPIVOTDATA(" Cantidad",TD!$A$3,"Proceso","CEMENTOS","ORD",21,"Tipo","Producción"))*-1)</f>
        <v>1.5</v>
      </c>
      <c r="H136" s="86">
        <f>IFERROR(GETPIVOTDATA("Suma de Costo",TD!$A$3,"Proceso",$E$134,"ORD",$D$134,"Tipo",F136),0)</f>
        <v>525.24409409393547</v>
      </c>
      <c r="I136" s="142">
        <f t="shared" si="47"/>
        <v>787.86614114090321</v>
      </c>
      <c r="J136" s="75"/>
      <c r="K136" s="144"/>
      <c r="L136" s="140"/>
      <c r="M136" s="141" t="s">
        <v>267</v>
      </c>
      <c r="N136" s="129">
        <v>1.3367115149763185</v>
      </c>
      <c r="O136" s="88">
        <v>485.33891128999591</v>
      </c>
      <c r="P136" s="142">
        <f t="shared" si="46"/>
        <v>648.75811138740744</v>
      </c>
      <c r="Q136" s="75"/>
      <c r="R136" s="82">
        <f>+(O136-H136)*N136</f>
        <v>-53.34171736126099</v>
      </c>
      <c r="S136" s="82">
        <f>+(N136-G136)*H136</f>
        <v>-85.766312392234767</v>
      </c>
      <c r="T136" s="82">
        <f>+P136-I136</f>
        <v>-139.10802975349577</v>
      </c>
    </row>
    <row r="137" spans="4:25" x14ac:dyDescent="0.45">
      <c r="D137" s="144"/>
      <c r="E137" s="145"/>
      <c r="F137" s="141" t="s">
        <v>413</v>
      </c>
      <c r="G137" s="142">
        <f>IFERROR(GETPIVOTDATA(" Cantidad",TD!$A$3,"Proceso","CEMENTO ART 42,5 KG","ORD",11,"Tipo","Sacos")/I139,0)</f>
        <v>23.999999999999996</v>
      </c>
      <c r="H137" s="142">
        <f>IFERROR(GETPIVOTDATA("Valor",TD!$A$3,"Proceso","CEMENTO ART 42,5 KG","ORD",11,"Tipo","Sacos")/GETPIVOTDATA(" Cantidad",TD!$A$3,"Proceso","CEMENTO ART 42,5 KG","ORD",11,"Tipo","Sacos"),0)</f>
        <v>908.21604113078456</v>
      </c>
      <c r="I137" s="142">
        <f t="shared" si="47"/>
        <v>21797.184987138826</v>
      </c>
      <c r="J137" s="75"/>
      <c r="K137" s="144"/>
      <c r="L137" s="145"/>
      <c r="M137" s="141" t="s">
        <v>413</v>
      </c>
      <c r="N137" s="142">
        <v>23.641780592312756</v>
      </c>
      <c r="O137" s="142">
        <v>825.34956693524748</v>
      </c>
      <c r="P137" s="142">
        <f t="shared" si="46"/>
        <v>19512.733373443472</v>
      </c>
      <c r="Q137" s="75"/>
      <c r="R137" s="82">
        <f>+(O137-H137)*N137</f>
        <v>-1959.1110013894343</v>
      </c>
      <c r="S137" s="82">
        <f>+(N137-G137)*H137</f>
        <v>-325.3406123059201</v>
      </c>
      <c r="T137" s="82">
        <f>+P137-I137</f>
        <v>-2284.4516136953534</v>
      </c>
    </row>
    <row r="138" spans="4:25" x14ac:dyDescent="0.45">
      <c r="D138" s="146"/>
      <c r="E138" s="147" t="s">
        <v>660</v>
      </c>
      <c r="F138" s="147"/>
      <c r="G138" s="96"/>
      <c r="H138" s="96"/>
      <c r="I138" s="97">
        <f>SUM(I134:I137)</f>
        <v>191584.25581746368</v>
      </c>
      <c r="J138" s="75"/>
      <c r="K138" s="146"/>
      <c r="L138" s="147" t="s">
        <v>660</v>
      </c>
      <c r="M138" s="147"/>
      <c r="N138" s="96"/>
      <c r="O138" s="96"/>
      <c r="P138" s="97">
        <f>SUM(P134:P137)</f>
        <v>158336.8024857649</v>
      </c>
      <c r="Q138" s="75"/>
      <c r="R138" s="97">
        <f>+SUM(R134:R137)</f>
        <v>-32837.257770537661</v>
      </c>
      <c r="S138" s="97">
        <f>+SUM(S134:S137)</f>
        <v>-410.19556116116951</v>
      </c>
      <c r="T138" s="97">
        <f>+SUM(T134:T137)</f>
        <v>-33247.453331698824</v>
      </c>
    </row>
    <row r="139" spans="4:25" x14ac:dyDescent="0.45">
      <c r="D139" s="148"/>
      <c r="E139" s="149"/>
      <c r="F139" s="149"/>
      <c r="G139" s="100"/>
      <c r="H139" s="100"/>
      <c r="I139" s="101">
        <f>+GETPIVOTDATA(" Cantidad",TD!$A$3,"Proceso","CEMENTO ART 42,5 KG","ORD",11,"Tipo","Producción")*42.5/-1000</f>
        <v>92101.888091158035</v>
      </c>
      <c r="K139" s="148"/>
      <c r="L139" s="149"/>
      <c r="M139" s="149"/>
      <c r="N139" s="100"/>
      <c r="O139" s="100"/>
      <c r="P139" s="101">
        <v>79429.503750000018</v>
      </c>
      <c r="Q139" s="75"/>
      <c r="R139" s="101"/>
      <c r="S139" s="101"/>
      <c r="T139" s="101"/>
    </row>
    <row r="140" spans="4:25" x14ac:dyDescent="0.45">
      <c r="G140" s="69"/>
      <c r="I140" s="69"/>
      <c r="N140" s="69"/>
      <c r="P140" s="69"/>
      <c r="Q140" s="75"/>
    </row>
    <row r="141" spans="4:25" x14ac:dyDescent="0.45">
      <c r="D141" s="76" t="s">
        <v>644</v>
      </c>
      <c r="E141" s="76" t="s">
        <v>435</v>
      </c>
      <c r="F141" s="76" t="s">
        <v>52</v>
      </c>
      <c r="G141" s="77" t="s">
        <v>620</v>
      </c>
      <c r="H141" s="77" t="s">
        <v>621</v>
      </c>
      <c r="I141" s="77" t="s">
        <v>395</v>
      </c>
      <c r="K141" s="76" t="s">
        <v>644</v>
      </c>
      <c r="L141" s="76" t="s">
        <v>435</v>
      </c>
      <c r="M141" s="76" t="s">
        <v>52</v>
      </c>
      <c r="N141" s="77" t="s">
        <v>620</v>
      </c>
      <c r="O141" s="77" t="s">
        <v>621</v>
      </c>
      <c r="P141" s="77" t="s">
        <v>395</v>
      </c>
      <c r="Q141" s="75"/>
      <c r="R141" s="77" t="s">
        <v>622</v>
      </c>
      <c r="S141" s="77" t="s">
        <v>623</v>
      </c>
      <c r="T141" s="77" t="s">
        <v>395</v>
      </c>
    </row>
    <row r="142" spans="4:25" x14ac:dyDescent="0.45">
      <c r="D142" s="139">
        <v>14</v>
      </c>
      <c r="E142" s="140" t="s">
        <v>487</v>
      </c>
      <c r="F142" s="141" t="s">
        <v>653</v>
      </c>
      <c r="G142" s="85">
        <f>+GETPIVOTDATA(" Cantidad",TD!$A$3,"Proceso","CEMENTO TOPEX 50 KG","ORD",14,"Tipo","Cemento UG TP")/I147</f>
        <v>1.0000000000000002</v>
      </c>
      <c r="H142" s="142">
        <f>+I90</f>
        <v>119790.3641825196</v>
      </c>
      <c r="I142" s="142">
        <f>H142*G142</f>
        <v>119790.36418251962</v>
      </c>
      <c r="J142" s="75"/>
      <c r="K142" s="139">
        <v>14</v>
      </c>
      <c r="L142" s="140" t="s">
        <v>487</v>
      </c>
      <c r="M142" s="141" t="s">
        <v>653</v>
      </c>
      <c r="N142" s="85">
        <v>1.0000038502605308</v>
      </c>
      <c r="O142" s="143">
        <v>94794.811293073071</v>
      </c>
      <c r="P142" s="142">
        <f t="shared" ref="P142:P145" si="48">+N142*O142</f>
        <v>94795.176277793522</v>
      </c>
      <c r="Q142" s="75"/>
      <c r="R142" s="82">
        <f>+(O142-H142)*N142</f>
        <v>-24995.64912883726</v>
      </c>
      <c r="S142" s="82">
        <f>+(N142-G142)*H142</f>
        <v>0.46122411116109463</v>
      </c>
      <c r="T142" s="82">
        <f>+P142-I142</f>
        <v>-24995.187904726103</v>
      </c>
    </row>
    <row r="143" spans="4:25" x14ac:dyDescent="0.45">
      <c r="D143" s="144"/>
      <c r="E143" s="140"/>
      <c r="F143" s="141" t="s">
        <v>507</v>
      </c>
      <c r="G143" s="150">
        <f>$G$111</f>
        <v>1</v>
      </c>
      <c r="H143" s="86">
        <f>IFERROR(GETPIVOTDATA("Suma de Costo",TD!$A$3,"Proceso","Cementos","ORD",21,"Tipo","Empaque y Granel"),0)</f>
        <v>3679.9846153846147</v>
      </c>
      <c r="I143" s="142">
        <f t="shared" ref="I143:I145" si="49">H143*G143</f>
        <v>3679.9846153846147</v>
      </c>
      <c r="J143" s="75"/>
      <c r="K143" s="144"/>
      <c r="L143" s="140"/>
      <c r="M143" s="141" t="s">
        <v>507</v>
      </c>
      <c r="N143" s="150">
        <v>1</v>
      </c>
      <c r="O143" s="142">
        <v>3476.5359612973375</v>
      </c>
      <c r="P143" s="142">
        <f t="shared" si="48"/>
        <v>3476.5359612973375</v>
      </c>
      <c r="Q143" s="75"/>
      <c r="R143" s="82">
        <f>+(O143-H143)*N143</f>
        <v>-203.44865408727719</v>
      </c>
      <c r="S143" s="82">
        <f>+(N143-G143)*H143</f>
        <v>0</v>
      </c>
      <c r="T143" s="82">
        <f>+P143-I143</f>
        <v>-203.44865408727719</v>
      </c>
    </row>
    <row r="144" spans="4:25" x14ac:dyDescent="0.45">
      <c r="D144" s="144"/>
      <c r="E144" s="140"/>
      <c r="F144" s="141" t="s">
        <v>267</v>
      </c>
      <c r="G144" s="122">
        <f>GETPIVOTDATA(" Cantidad",TD!$A$3,"Proceso","CEMENTOS","ORD",21,"Tipo",F144)/((GETPIVOTDATA(" Cantidad",TD!$A$3,"Proceso","CEMENTOS","ORD",21,"Tipo","Producción"))*-1)</f>
        <v>1.5</v>
      </c>
      <c r="H144" s="86">
        <f>IFERROR(GETPIVOTDATA("Suma de Costo",TD!$A$3,"Proceso",$E$142,"ORD",$D$142,"Tipo",F144),0)</f>
        <v>525.24409409393547</v>
      </c>
      <c r="I144" s="142">
        <f t="shared" si="49"/>
        <v>787.86614114090321</v>
      </c>
      <c r="J144" s="75"/>
      <c r="K144" s="144"/>
      <c r="L144" s="140"/>
      <c r="M144" s="141" t="s">
        <v>267</v>
      </c>
      <c r="N144" s="129">
        <v>1.3282183545944224</v>
      </c>
      <c r="O144" s="88">
        <v>485.33891128999591</v>
      </c>
      <c r="P144" s="142">
        <f t="shared" si="48"/>
        <v>644.63605017424675</v>
      </c>
      <c r="Q144" s="75"/>
      <c r="R144" s="82">
        <f>+(O144-H144)*N144</f>
        <v>-53.002796243638251</v>
      </c>
      <c r="S144" s="82">
        <f>+(N144-G144)*H144</f>
        <v>-90.227294723018261</v>
      </c>
      <c r="T144" s="82">
        <f>+P144-I144</f>
        <v>-143.23009096665646</v>
      </c>
    </row>
    <row r="145" spans="4:20" x14ac:dyDescent="0.45">
      <c r="D145" s="144"/>
      <c r="E145" s="145"/>
      <c r="F145" s="141" t="s">
        <v>413</v>
      </c>
      <c r="G145" s="142">
        <f>+GETPIVOTDATA(" Cantidad",TD!$A$3,"Proceso","CEMENTO TOPEX 50 KG","ORD",14,"Tipo","Sacos")/I147</f>
        <v>20.400000000000002</v>
      </c>
      <c r="H145" s="142">
        <f>+GETPIVOTDATA("Valor",TD!$A$3,"Proceso","CEMENTO TOPEX 50 KG","ORD",14,"Tipo","Sacos")/GETPIVOTDATA(" Cantidad",TD!$A$3,"Proceso","CEMENTO TOPEX 50 KG","ORD",14,"Tipo","Sacos")</f>
        <v>1143.1655715120974</v>
      </c>
      <c r="I145" s="142">
        <f t="shared" si="49"/>
        <v>23320.577658846789</v>
      </c>
      <c r="J145" s="75"/>
      <c r="K145" s="144"/>
      <c r="L145" s="145"/>
      <c r="M145" s="141" t="s">
        <v>413</v>
      </c>
      <c r="N145" s="151">
        <v>19.985986073820111</v>
      </c>
      <c r="O145" s="142">
        <v>972.3969015260991</v>
      </c>
      <c r="P145" s="142">
        <f t="shared" si="48"/>
        <v>19434.310932126442</v>
      </c>
      <c r="Q145" s="75"/>
      <c r="R145" s="82">
        <f>+(O145-H145)*N145</f>
        <v>-3412.9802601849437</v>
      </c>
      <c r="S145" s="82">
        <f>+(N145-G145)*H145</f>
        <v>-473.2864665354021</v>
      </c>
      <c r="T145" s="82">
        <f>+P145-I145</f>
        <v>-3886.2667267203469</v>
      </c>
    </row>
    <row r="146" spans="4:20" x14ac:dyDescent="0.45">
      <c r="D146" s="146"/>
      <c r="E146" s="147" t="s">
        <v>654</v>
      </c>
      <c r="F146" s="147"/>
      <c r="G146" s="96"/>
      <c r="H146" s="96"/>
      <c r="I146" s="97">
        <f>SUM(I142:I145)</f>
        <v>147578.79259789194</v>
      </c>
      <c r="J146" s="75"/>
      <c r="K146" s="146"/>
      <c r="L146" s="147" t="s">
        <v>654</v>
      </c>
      <c r="M146" s="147"/>
      <c r="N146" s="96"/>
      <c r="O146" s="96"/>
      <c r="P146" s="97">
        <f>SUM(P142:P145)</f>
        <v>118350.65922139154</v>
      </c>
      <c r="Q146" s="75"/>
      <c r="R146" s="97">
        <f>+SUM(R142:R145)</f>
        <v>-28665.080839353122</v>
      </c>
      <c r="S146" s="97">
        <f>+SUM(S142:S145)</f>
        <v>-563.05253714725927</v>
      </c>
      <c r="T146" s="97">
        <f>+SUM(T142:T145)</f>
        <v>-29228.133376500384</v>
      </c>
    </row>
    <row r="147" spans="4:20" x14ac:dyDescent="0.45">
      <c r="D147" s="148"/>
      <c r="E147" s="149"/>
      <c r="F147" s="149"/>
      <c r="G147" s="100"/>
      <c r="H147" s="100"/>
      <c r="I147" s="101">
        <f>GETPIVOTDATA(" Cantidad",TD!$A$3,"Proceso","CEMENTO TOPEX 50 KG","ORD",14,"Tipo","Producción")*50/-1000</f>
        <v>33980.72038357464</v>
      </c>
      <c r="K147" s="148"/>
      <c r="L147" s="149"/>
      <c r="M147" s="149"/>
      <c r="N147" s="100"/>
      <c r="O147" s="100"/>
      <c r="P147" s="101">
        <v>30842.068749999999</v>
      </c>
      <c r="Q147" s="75"/>
      <c r="R147" s="101"/>
      <c r="S147" s="101"/>
      <c r="T147" s="101"/>
    </row>
    <row r="148" spans="4:20" x14ac:dyDescent="0.45">
      <c r="G148" s="69"/>
      <c r="H148" s="69"/>
      <c r="N148" s="69"/>
      <c r="O148" s="69"/>
      <c r="Q148" s="75"/>
    </row>
    <row r="149" spans="4:20" x14ac:dyDescent="0.45">
      <c r="D149" s="76"/>
      <c r="E149" s="76"/>
      <c r="F149" s="76"/>
      <c r="G149" s="77"/>
      <c r="H149" s="77"/>
      <c r="I149" s="77"/>
      <c r="K149" s="76"/>
      <c r="L149" s="76"/>
      <c r="M149" s="76"/>
      <c r="N149" s="77"/>
      <c r="O149" s="77"/>
      <c r="P149" s="77"/>
      <c r="Q149" s="75"/>
      <c r="R149" s="77"/>
      <c r="S149" s="77"/>
      <c r="T149" s="77"/>
    </row>
    <row r="150" spans="4:20" x14ac:dyDescent="0.45">
      <c r="D150" s="139"/>
      <c r="E150" s="152"/>
      <c r="F150" s="141"/>
      <c r="G150" s="85"/>
      <c r="H150" s="142"/>
      <c r="I150" s="142"/>
      <c r="J150" s="75"/>
      <c r="K150" s="139"/>
      <c r="L150" s="152"/>
      <c r="M150" s="141"/>
      <c r="N150" s="85"/>
      <c r="O150" s="143"/>
      <c r="P150" s="142"/>
      <c r="Q150" s="75"/>
      <c r="R150" s="82"/>
      <c r="S150" s="82"/>
      <c r="T150" s="82"/>
    </row>
    <row r="151" spans="4:20" x14ac:dyDescent="0.45">
      <c r="D151" s="144"/>
      <c r="E151" s="140"/>
      <c r="F151" s="141"/>
      <c r="G151" s="150"/>
      <c r="H151" s="142"/>
      <c r="I151" s="142"/>
      <c r="J151" s="75"/>
      <c r="K151" s="144"/>
      <c r="L151" s="140"/>
      <c r="M151" s="141"/>
      <c r="N151" s="150"/>
      <c r="O151" s="142"/>
      <c r="P151" s="142"/>
      <c r="Q151" s="75"/>
      <c r="R151" s="82"/>
      <c r="S151" s="82"/>
      <c r="T151" s="82"/>
    </row>
    <row r="152" spans="4:20" x14ac:dyDescent="0.45">
      <c r="D152" s="144"/>
      <c r="E152" s="140"/>
      <c r="F152" s="141"/>
      <c r="G152" s="122"/>
      <c r="H152" s="86"/>
      <c r="I152" s="142"/>
      <c r="J152" s="75"/>
      <c r="K152" s="144"/>
      <c r="L152" s="140"/>
      <c r="M152" s="141"/>
      <c r="N152" s="129"/>
      <c r="O152" s="88"/>
      <c r="P152" s="142"/>
      <c r="Q152" s="75"/>
      <c r="R152" s="82"/>
      <c r="S152" s="82"/>
      <c r="T152" s="82"/>
    </row>
    <row r="153" spans="4:20" x14ac:dyDescent="0.45">
      <c r="D153" s="144"/>
      <c r="E153" s="153"/>
      <c r="F153" s="154"/>
      <c r="G153" s="150"/>
      <c r="H153" s="142"/>
      <c r="I153" s="142"/>
      <c r="J153" s="75"/>
      <c r="K153" s="144"/>
      <c r="L153" s="153"/>
      <c r="M153" s="154"/>
      <c r="N153" s="150"/>
      <c r="O153" s="142"/>
      <c r="P153" s="142"/>
      <c r="Q153" s="75"/>
      <c r="R153" s="82"/>
      <c r="S153" s="82"/>
      <c r="T153" s="82"/>
    </row>
    <row r="154" spans="4:20" x14ac:dyDescent="0.45">
      <c r="D154" s="144"/>
      <c r="E154" s="145"/>
      <c r="F154" s="141"/>
      <c r="G154" s="155"/>
      <c r="H154" s="142"/>
      <c r="I154" s="142"/>
      <c r="J154" s="75"/>
      <c r="K154" s="144"/>
      <c r="L154" s="145"/>
      <c r="M154" s="141"/>
      <c r="N154" s="155"/>
      <c r="O154" s="142"/>
      <c r="P154" s="142"/>
      <c r="Q154" s="75"/>
      <c r="R154" s="82"/>
      <c r="S154" s="82"/>
      <c r="T154" s="82"/>
    </row>
    <row r="155" spans="4:20" x14ac:dyDescent="0.45">
      <c r="D155" s="146"/>
      <c r="E155" s="147"/>
      <c r="F155" s="147"/>
      <c r="G155" s="96"/>
      <c r="H155" s="96"/>
      <c r="I155" s="97"/>
      <c r="K155" s="146"/>
      <c r="L155" s="147"/>
      <c r="M155" s="147"/>
      <c r="N155" s="96"/>
      <c r="O155" s="96"/>
      <c r="P155" s="97"/>
      <c r="Q155" s="75"/>
      <c r="R155" s="97"/>
      <c r="S155" s="97"/>
      <c r="T155" s="97"/>
    </row>
    <row r="156" spans="4:20" x14ac:dyDescent="0.45">
      <c r="D156" s="148"/>
      <c r="E156" s="149"/>
      <c r="F156" s="149"/>
      <c r="G156" s="100"/>
      <c r="H156" s="100"/>
      <c r="I156" s="101"/>
      <c r="K156" s="148"/>
      <c r="L156" s="149"/>
      <c r="M156" s="149"/>
      <c r="N156" s="100"/>
      <c r="O156" s="100"/>
      <c r="P156" s="101"/>
      <c r="Q156" s="75"/>
      <c r="R156" s="101"/>
      <c r="S156" s="101"/>
      <c r="T156" s="101"/>
    </row>
    <row r="157" spans="4:20" x14ac:dyDescent="0.45">
      <c r="G157" s="156"/>
      <c r="H157" s="69"/>
      <c r="N157" s="156"/>
      <c r="O157" s="69"/>
      <c r="Q157" s="75"/>
    </row>
    <row r="158" spans="4:20" x14ac:dyDescent="0.45">
      <c r="D158" s="76" t="s">
        <v>644</v>
      </c>
      <c r="E158" s="76" t="s">
        <v>435</v>
      </c>
      <c r="F158" s="76" t="s">
        <v>52</v>
      </c>
      <c r="G158" s="77" t="s">
        <v>620</v>
      </c>
      <c r="H158" s="77" t="s">
        <v>621</v>
      </c>
      <c r="I158" s="77" t="s">
        <v>395</v>
      </c>
      <c r="K158" s="76" t="s">
        <v>644</v>
      </c>
      <c r="L158" s="76" t="s">
        <v>435</v>
      </c>
      <c r="M158" s="76" t="s">
        <v>52</v>
      </c>
      <c r="N158" s="77" t="s">
        <v>620</v>
      </c>
      <c r="O158" s="77" t="s">
        <v>621</v>
      </c>
      <c r="P158" s="77" t="s">
        <v>395</v>
      </c>
      <c r="Q158" s="75"/>
      <c r="R158" s="77" t="s">
        <v>622</v>
      </c>
      <c r="S158" s="77" t="s">
        <v>623</v>
      </c>
      <c r="T158" s="77" t="s">
        <v>395</v>
      </c>
    </row>
    <row r="159" spans="4:20" x14ac:dyDescent="0.45">
      <c r="D159" s="78">
        <v>16</v>
      </c>
      <c r="E159" s="79" t="s">
        <v>178</v>
      </c>
      <c r="F159" s="80" t="s">
        <v>182</v>
      </c>
      <c r="G159" s="81">
        <f>IFERROR(GETPIVOTDATA(" Cantidad",TD!$A$3,"Proceso",$E$159,"ORD",$D$159,"Tipo",F159)/GETPIVOTDATA(" Cantidad",TD!$A$3,"Proceso",$E$159,"ORD",$D$159,"Tipo","Producción")*-1,0)</f>
        <v>0.91400000000000003</v>
      </c>
      <c r="H159" s="82">
        <f>+I74</f>
        <v>146541.57036088477</v>
      </c>
      <c r="I159" s="82">
        <f t="shared" ref="I159:I166" si="50">H159*G159</f>
        <v>133938.99530984869</v>
      </c>
      <c r="J159" s="75"/>
      <c r="K159" s="78">
        <v>16</v>
      </c>
      <c r="L159" s="79" t="s">
        <v>178</v>
      </c>
      <c r="M159" s="80" t="s">
        <v>182</v>
      </c>
      <c r="N159" s="81">
        <v>0.9133710963947097</v>
      </c>
      <c r="O159" s="88">
        <f>P74</f>
        <v>140210.9479746318</v>
      </c>
      <c r="P159" s="142">
        <f t="shared" ref="P159:P166" si="51">+N159*O159</f>
        <v>128064.62727813104</v>
      </c>
      <c r="Q159" s="75"/>
      <c r="R159" s="82">
        <f t="shared" ref="R159:R166" si="52">+(O159-H159)*N159</f>
        <v>-5782.2075097927718</v>
      </c>
      <c r="S159" s="82">
        <f t="shared" ref="S159:S166" si="53">+(N159-G159)*H159</f>
        <v>-92.160521924867268</v>
      </c>
      <c r="T159" s="82">
        <f>+P159-I159</f>
        <v>-5874.3680317176477</v>
      </c>
    </row>
    <row r="160" spans="4:20" x14ac:dyDescent="0.45">
      <c r="D160" s="83"/>
      <c r="E160" s="79"/>
      <c r="F160" s="80" t="s">
        <v>391</v>
      </c>
      <c r="G160" s="81">
        <f>IFERROR(GETPIVOTDATA(" Cantidad",TD!$A$3,"Proceso",$E$159,"ORD",$D$159,"Tipo",F160)/GETPIVOTDATA(" Cantidad",TD!$A$3,"Proceso",$E$159,"ORD",$D$159,"Tipo","Producción")*-1,0)</f>
        <v>0</v>
      </c>
      <c r="H160" s="296">
        <f>$H$29</f>
        <v>31500</v>
      </c>
      <c r="I160" s="82">
        <f t="shared" si="50"/>
        <v>0</v>
      </c>
      <c r="J160" s="75"/>
      <c r="K160" s="83"/>
      <c r="L160" s="79"/>
      <c r="M160" s="80" t="s">
        <v>391</v>
      </c>
      <c r="N160" s="81">
        <v>1.1071998780203523E-3</v>
      </c>
      <c r="O160" s="297">
        <f>$O$29</f>
        <v>31500</v>
      </c>
      <c r="P160" s="142">
        <f t="shared" si="51"/>
        <v>34.876796157641095</v>
      </c>
      <c r="Q160" s="75"/>
      <c r="R160" s="82">
        <f t="shared" si="52"/>
        <v>0</v>
      </c>
      <c r="S160" s="82">
        <f t="shared" si="53"/>
        <v>34.876796157641095</v>
      </c>
      <c r="T160" s="82">
        <f>+P160-I160</f>
        <v>34.876796157641095</v>
      </c>
    </row>
    <row r="161" spans="3:20" x14ac:dyDescent="0.45">
      <c r="D161" s="83"/>
      <c r="E161" s="79"/>
      <c r="F161" s="80" t="s">
        <v>540</v>
      </c>
      <c r="G161" s="81">
        <f>IFERROR(GETPIVOTDATA(" Cantidad",TD!$A$3,"Proceso",$E$159,"ORD",$D$159,"Tipo",F161)/GETPIVOTDATA(" Cantidad",TD!$A$3,"Proceso",$E$159,"ORD",$D$159,"Tipo","Producción")*-1,0)</f>
        <v>0</v>
      </c>
      <c r="H161" s="82">
        <f>I36</f>
        <v>47571.033250595458</v>
      </c>
      <c r="I161" s="82">
        <f t="shared" si="50"/>
        <v>0</v>
      </c>
      <c r="J161" s="75"/>
      <c r="K161" s="83"/>
      <c r="L161" s="79"/>
      <c r="M161" s="80" t="s">
        <v>540</v>
      </c>
      <c r="N161" s="126">
        <v>1.4778303456627585E-3</v>
      </c>
      <c r="O161" s="88">
        <f>P36</f>
        <v>46212.580986361354</v>
      </c>
      <c r="P161" s="142">
        <f t="shared" si="51"/>
        <v>68.294354533042622</v>
      </c>
      <c r="Q161" s="75"/>
      <c r="R161" s="82"/>
      <c r="S161" s="82"/>
      <c r="T161" s="82"/>
    </row>
    <row r="162" spans="3:20" x14ac:dyDescent="0.45">
      <c r="C162" s="84" t="s">
        <v>624</v>
      </c>
      <c r="D162" s="83"/>
      <c r="E162" s="79"/>
      <c r="F162" s="80" t="s">
        <v>491</v>
      </c>
      <c r="G162" s="85">
        <f>IFERROR(GETPIVOTDATA(" Cantidad",TD!$A$3,"Proceso",$E$159,"ORD",$D$159,"Tipo",F162)/GETPIVOTDATA(" Cantidad",TD!$A$3,"Proceso",$E$159,"ORD",$D$159,"Tipo","Producción")*-1,0)</f>
        <v>0</v>
      </c>
      <c r="H162" s="82">
        <f>IFERROR(GETPIVOTDATA("Suma de Costo",TD!$A$3,"Proceso",$E$78,"ORD",$D$78,"Tipo",F162),0)</f>
        <v>0</v>
      </c>
      <c r="I162" s="82">
        <f t="shared" si="50"/>
        <v>0</v>
      </c>
      <c r="J162" s="75"/>
      <c r="K162" s="83"/>
      <c r="L162" s="79"/>
      <c r="M162" s="80" t="s">
        <v>491</v>
      </c>
      <c r="N162" s="85">
        <v>0</v>
      </c>
      <c r="O162" s="82">
        <v>0</v>
      </c>
      <c r="P162" s="142">
        <f t="shared" si="51"/>
        <v>0</v>
      </c>
      <c r="Q162" s="75"/>
      <c r="R162" s="82">
        <f t="shared" si="52"/>
        <v>0</v>
      </c>
      <c r="S162" s="82">
        <f t="shared" si="53"/>
        <v>0</v>
      </c>
      <c r="T162" s="82">
        <f>+P162-I162</f>
        <v>0</v>
      </c>
    </row>
    <row r="163" spans="3:20" x14ac:dyDescent="0.45">
      <c r="C163" s="84"/>
      <c r="D163" s="83"/>
      <c r="E163" s="90"/>
      <c r="F163" s="80" t="s">
        <v>504</v>
      </c>
      <c r="G163" s="85">
        <f>IFERROR(GETPIVOTDATA(" Cantidad",TD!$A$3,"Proceso",$E$159,"ORD",$D$159,"Tipo",F163)/GETPIVOTDATA(" Cantidad",TD!$A$3,"Proceso",$E$159,"ORD",$D$159,"Tipo","Producción")*-1,0)</f>
        <v>1</v>
      </c>
      <c r="H163" s="82">
        <f>IFERROR(GETPIVOTDATA("Suma de Costo",TD!$A$3,"Proceso",$E$78,"ORD",$D$78,"Tipo",F163),0)</f>
        <v>1539.636971538461</v>
      </c>
      <c r="I163" s="82">
        <f t="shared" si="50"/>
        <v>1539.636971538461</v>
      </c>
      <c r="J163" s="75"/>
      <c r="K163" s="83"/>
      <c r="L163" s="90"/>
      <c r="M163" s="80" t="s">
        <v>504</v>
      </c>
      <c r="N163" s="85">
        <v>1</v>
      </c>
      <c r="O163" s="109">
        <v>1117.2995875639574</v>
      </c>
      <c r="P163" s="142">
        <f t="shared" si="51"/>
        <v>1117.2995875639574</v>
      </c>
      <c r="Q163" s="75"/>
      <c r="R163" s="82">
        <f>+(O163-H163)*N163</f>
        <v>-422.33738397450361</v>
      </c>
      <c r="S163" s="82">
        <f>+(N163-G163)*H163</f>
        <v>0</v>
      </c>
      <c r="T163" s="82">
        <f>+P163-I163</f>
        <v>-422.33738397450361</v>
      </c>
    </row>
    <row r="164" spans="3:20" x14ac:dyDescent="0.45">
      <c r="D164" s="83"/>
      <c r="E164" s="90"/>
      <c r="F164" s="80" t="s">
        <v>267</v>
      </c>
      <c r="G164" s="122">
        <f>GETPIVOTDATA(" Cantidad",TD!$A$3,"Proceso","Cemento ART","ORD",7,"Tipo",F164)/((GETPIVOTDATA(" Cantidad",TD!$A$3,"Proceso","Cemento ART","ORD",7,"Tipo","Producción"))*-1)</f>
        <v>34.6</v>
      </c>
      <c r="H164" s="86">
        <f>IFERROR(GETPIVOTDATA("Suma de Costo",TD!$A$3,"Proceso",$E$159,"ORD",$D$159,"Tipo",F164),0)</f>
        <v>525.24404117828294</v>
      </c>
      <c r="I164" s="82">
        <f t="shared" si="50"/>
        <v>18173.44382476859</v>
      </c>
      <c r="J164" s="75"/>
      <c r="K164" s="83"/>
      <c r="L164" s="90"/>
      <c r="M164" s="80" t="s">
        <v>267</v>
      </c>
      <c r="N164" s="138">
        <v>35.488841543173528</v>
      </c>
      <c r="O164" s="88">
        <v>485.33891128999591</v>
      </c>
      <c r="P164" s="142">
        <f t="shared" si="51"/>
        <v>17224.115717507018</v>
      </c>
      <c r="Q164" s="75"/>
      <c r="R164" s="82">
        <f t="shared" si="52"/>
        <v>-1416.1868313651767</v>
      </c>
      <c r="S164" s="82">
        <f t="shared" si="53"/>
        <v>466.85872410360446</v>
      </c>
      <c r="T164" s="82">
        <f>+P164-I164</f>
        <v>-949.32810726157186</v>
      </c>
    </row>
    <row r="165" spans="3:20" x14ac:dyDescent="0.45">
      <c r="D165" s="83"/>
      <c r="E165" s="90"/>
      <c r="F165" s="80" t="s">
        <v>461</v>
      </c>
      <c r="G165" s="85">
        <f>IFERROR(GETPIVOTDATA(" Cantidad",TD!$A$3,"Proceso",$E$159,"ORD",$D$159,"Tipo",F165)/GETPIVOTDATA(" Cantidad",TD!$A$3,"Proceso",$E$159,"ORD",$D$159,"Tipo","Producción")*-1,0)</f>
        <v>1</v>
      </c>
      <c r="H165" s="82">
        <f>IFERROR(GETPIVOTDATA("Suma de Costo",TD!$A$3,"Proceso",$E$94,"ORD",$D$94,"Tipo",F165),0)</f>
        <v>0</v>
      </c>
      <c r="I165" s="82">
        <f t="shared" si="50"/>
        <v>0</v>
      </c>
      <c r="J165" s="75"/>
      <c r="K165" s="83"/>
      <c r="L165" s="90"/>
      <c r="M165" s="80" t="s">
        <v>461</v>
      </c>
      <c r="N165" s="85">
        <v>0</v>
      </c>
      <c r="O165" s="82">
        <v>0</v>
      </c>
      <c r="P165" s="142">
        <f t="shared" si="51"/>
        <v>0</v>
      </c>
      <c r="Q165" s="75"/>
      <c r="R165" s="82">
        <f t="shared" si="52"/>
        <v>0</v>
      </c>
      <c r="S165" s="82">
        <f t="shared" si="53"/>
        <v>0</v>
      </c>
      <c r="T165" s="82">
        <f>+P165-I165</f>
        <v>0</v>
      </c>
    </row>
    <row r="166" spans="3:20" x14ac:dyDescent="0.45">
      <c r="D166" s="83"/>
      <c r="E166" s="90"/>
      <c r="F166" s="80" t="s">
        <v>57</v>
      </c>
      <c r="G166" s="81">
        <f>IFERROR(GETPIVOTDATA(" Cantidad",TD!$A$3,"Proceso",$E$159,"ORD",$D$159,"Tipo",F166)/GETPIVOTDATA(" Cantidad",TD!$A$3,"Proceso",$E$159,"ORD",$D$159,"Tipo","Producción")*-1,0)</f>
        <v>8.7152399999999991E-2</v>
      </c>
      <c r="H166" s="82">
        <f>+H105</f>
        <v>232625.89499161369</v>
      </c>
      <c r="I166" s="82">
        <f t="shared" si="50"/>
        <v>20273.905050667112</v>
      </c>
      <c r="J166" s="75"/>
      <c r="K166" s="83"/>
      <c r="L166" s="90"/>
      <c r="M166" s="80" t="s">
        <v>57</v>
      </c>
      <c r="N166" s="81">
        <v>8.629242536297009E-2</v>
      </c>
      <c r="O166" s="88">
        <v>220009.05860218199</v>
      </c>
      <c r="P166" s="142">
        <f t="shared" si="51"/>
        <v>18985.115268606103</v>
      </c>
      <c r="Q166" s="75"/>
      <c r="R166" s="82">
        <f t="shared" si="52"/>
        <v>-1088.7374124518401</v>
      </c>
      <c r="S166" s="82">
        <f t="shared" si="53"/>
        <v>-200.05236960916875</v>
      </c>
      <c r="T166" s="82">
        <f>+P166-I166</f>
        <v>-1288.7897820610087</v>
      </c>
    </row>
    <row r="167" spans="3:20" x14ac:dyDescent="0.45">
      <c r="D167" s="94"/>
      <c r="E167" s="95" t="s">
        <v>661</v>
      </c>
      <c r="F167" s="95"/>
      <c r="G167" s="96"/>
      <c r="H167" s="96"/>
      <c r="I167" s="97">
        <f>SUM(I159:I166)</f>
        <v>173925.98115682285</v>
      </c>
      <c r="J167" s="75"/>
      <c r="K167" s="94"/>
      <c r="L167" s="95" t="s">
        <v>661</v>
      </c>
      <c r="M167" s="95"/>
      <c r="N167" s="96"/>
      <c r="O167" s="96"/>
      <c r="P167" s="97">
        <f>SUM(P159:P166)</f>
        <v>165494.32900249882</v>
      </c>
      <c r="Q167" s="75"/>
      <c r="R167" s="97">
        <f>+SUM(R159:R166)</f>
        <v>-8709.4691375842922</v>
      </c>
      <c r="S167" s="97">
        <f>+SUM(S162:S166)</f>
        <v>266.80635449443571</v>
      </c>
      <c r="T167" s="97">
        <f>+SUM(T159:T166)</f>
        <v>-8499.9465088570905</v>
      </c>
    </row>
    <row r="168" spans="3:20" x14ac:dyDescent="0.45">
      <c r="D168" s="98"/>
      <c r="E168" s="99"/>
      <c r="F168" s="99"/>
      <c r="G168" s="100"/>
      <c r="H168" s="100"/>
      <c r="I168" s="101">
        <f>IFERROR(GETPIVOTDATA(" Cantidad",TD!$A$3,"Proceso",E159,"ORD",D159,"Tipo","Producción")*-1,0)</f>
        <v>33740.872627651726</v>
      </c>
      <c r="J168" s="133"/>
      <c r="K168" s="98"/>
      <c r="L168" s="99"/>
      <c r="M168" s="99"/>
      <c r="N168" s="100"/>
      <c r="O168" s="100"/>
      <c r="P168" s="101">
        <v>42630.0625</v>
      </c>
      <c r="Q168" s="75"/>
      <c r="R168" s="101"/>
      <c r="S168" s="101"/>
      <c r="T168" s="101"/>
    </row>
    <row r="169" spans="3:20" s="84" customFormat="1" x14ac:dyDescent="0.45">
      <c r="I169" s="157"/>
      <c r="P169" s="157"/>
      <c r="Q169" s="158"/>
    </row>
    <row r="170" spans="3:20" ht="23.4" customHeight="1" x14ac:dyDescent="0.45">
      <c r="K170" s="76" t="s">
        <v>644</v>
      </c>
      <c r="Q170" s="75"/>
    </row>
    <row r="171" spans="3:20" ht="23.4" customHeight="1" x14ac:dyDescent="0.45">
      <c r="K171" s="78">
        <v>15</v>
      </c>
      <c r="Q171" s="75"/>
    </row>
    <row r="172" spans="3:20" ht="23.4" customHeight="1" x14ac:dyDescent="0.45">
      <c r="K172" s="83"/>
      <c r="Q172" s="75"/>
    </row>
    <row r="173" spans="3:20" ht="23.4" customHeight="1" x14ac:dyDescent="0.45">
      <c r="K173" s="83"/>
      <c r="Q173" s="75"/>
    </row>
    <row r="174" spans="3:20" ht="23.4" customHeight="1" x14ac:dyDescent="0.45">
      <c r="K174" s="83"/>
      <c r="Q174" s="75"/>
    </row>
    <row r="175" spans="3:20" ht="23.4" customHeight="1" x14ac:dyDescent="0.45">
      <c r="K175" s="83"/>
      <c r="Q175" s="75"/>
    </row>
    <row r="176" spans="3:20" ht="23.4" customHeight="1" x14ac:dyDescent="0.45">
      <c r="K176" s="83"/>
      <c r="Q176" s="75"/>
    </row>
    <row r="177" spans="4:20" ht="23.4" customHeight="1" x14ac:dyDescent="0.45">
      <c r="K177" s="83"/>
      <c r="Q177" s="75"/>
    </row>
    <row r="178" spans="4:20" ht="23.4" customHeight="1" x14ac:dyDescent="0.45">
      <c r="K178" s="94"/>
      <c r="Q178" s="75"/>
    </row>
    <row r="179" spans="4:20" ht="23.4" customHeight="1" x14ac:dyDescent="0.45">
      <c r="K179" s="98"/>
      <c r="Q179" s="75"/>
    </row>
    <row r="180" spans="4:20" ht="23.4" customHeight="1" x14ac:dyDescent="0.45">
      <c r="Q180" s="75"/>
    </row>
    <row r="181" spans="4:20" ht="23.4" customHeight="1" x14ac:dyDescent="0.45">
      <c r="D181" s="76"/>
      <c r="E181" s="76"/>
      <c r="F181" s="76"/>
      <c r="G181" s="77"/>
      <c r="H181" s="77"/>
      <c r="I181" s="77"/>
      <c r="K181" s="76"/>
      <c r="L181" s="76"/>
      <c r="M181" s="76"/>
      <c r="N181" s="77"/>
      <c r="O181" s="77"/>
      <c r="P181" s="77"/>
      <c r="Q181" s="75"/>
      <c r="R181" s="77"/>
      <c r="S181" s="77"/>
      <c r="T181" s="77"/>
    </row>
    <row r="182" spans="4:20" ht="23.4" customHeight="1" x14ac:dyDescent="0.45">
      <c r="D182" s="78"/>
      <c r="E182" s="79"/>
      <c r="F182" s="80"/>
      <c r="G182" s="85"/>
      <c r="H182" s="82"/>
      <c r="I182" s="82"/>
      <c r="K182" s="78"/>
      <c r="L182" s="79"/>
      <c r="M182" s="80"/>
      <c r="N182" s="85"/>
      <c r="O182" s="82"/>
      <c r="P182" s="82"/>
      <c r="Q182" s="75"/>
      <c r="R182" s="82"/>
      <c r="S182" s="82"/>
      <c r="T182" s="82"/>
    </row>
    <row r="183" spans="4:20" ht="23.4" customHeight="1" x14ac:dyDescent="0.45">
      <c r="D183" s="83"/>
      <c r="E183" s="79"/>
      <c r="F183" s="80"/>
      <c r="G183" s="85"/>
      <c r="H183" s="82"/>
      <c r="I183" s="82"/>
      <c r="K183" s="83"/>
      <c r="L183" s="79"/>
      <c r="M183" s="80"/>
      <c r="N183" s="85"/>
      <c r="O183" s="82"/>
      <c r="P183" s="82"/>
      <c r="Q183" s="75"/>
      <c r="R183" s="82"/>
      <c r="S183" s="82"/>
      <c r="T183" s="82"/>
    </row>
    <row r="184" spans="4:20" ht="23.4" customHeight="1" x14ac:dyDescent="0.45">
      <c r="D184" s="83"/>
      <c r="E184" s="79"/>
      <c r="F184" s="80"/>
      <c r="G184" s="85"/>
      <c r="H184" s="82"/>
      <c r="I184" s="82"/>
      <c r="K184" s="83"/>
      <c r="L184" s="79"/>
      <c r="M184" s="80"/>
      <c r="N184" s="85"/>
      <c r="O184" s="82"/>
      <c r="P184" s="82"/>
      <c r="Q184" s="75"/>
      <c r="R184" s="82"/>
      <c r="S184" s="82"/>
      <c r="T184" s="82"/>
    </row>
    <row r="185" spans="4:20" ht="23.4" customHeight="1" x14ac:dyDescent="0.45">
      <c r="D185" s="83"/>
      <c r="E185" s="90"/>
      <c r="F185" s="80"/>
      <c r="G185" s="85"/>
      <c r="H185" s="82"/>
      <c r="I185" s="82"/>
      <c r="K185" s="83"/>
      <c r="L185" s="90"/>
      <c r="M185" s="80"/>
      <c r="N185" s="85"/>
      <c r="O185" s="82"/>
      <c r="P185" s="82"/>
      <c r="Q185" s="75"/>
      <c r="R185" s="82"/>
      <c r="S185" s="82"/>
      <c r="T185" s="82"/>
    </row>
    <row r="186" spans="4:20" ht="23.4" customHeight="1" x14ac:dyDescent="0.45">
      <c r="D186" s="83"/>
      <c r="E186" s="90"/>
      <c r="F186" s="80"/>
      <c r="G186" s="85"/>
      <c r="H186" s="82"/>
      <c r="I186" s="82"/>
      <c r="K186" s="83"/>
      <c r="L186" s="90"/>
      <c r="M186" s="80"/>
      <c r="N186" s="85"/>
      <c r="O186" s="82"/>
      <c r="P186" s="82"/>
      <c r="Q186" s="75"/>
      <c r="R186" s="82"/>
      <c r="S186" s="82"/>
      <c r="T186" s="82"/>
    </row>
    <row r="187" spans="4:20" ht="23.4" customHeight="1" x14ac:dyDescent="0.45">
      <c r="D187" s="83"/>
      <c r="E187" s="90"/>
      <c r="F187" s="80"/>
      <c r="G187" s="85"/>
      <c r="H187" s="82"/>
      <c r="I187" s="82"/>
      <c r="K187" s="83"/>
      <c r="L187" s="90"/>
      <c r="M187" s="80"/>
      <c r="N187" s="85"/>
      <c r="O187" s="82"/>
      <c r="P187" s="82"/>
      <c r="Q187" s="75"/>
      <c r="R187" s="82"/>
      <c r="S187" s="82"/>
      <c r="T187" s="82"/>
    </row>
    <row r="188" spans="4:20" ht="23.4" customHeight="1" x14ac:dyDescent="0.45">
      <c r="D188" s="83"/>
      <c r="E188" s="90"/>
      <c r="F188" s="80"/>
      <c r="G188" s="85"/>
      <c r="H188" s="82"/>
      <c r="I188" s="82"/>
      <c r="K188" s="83"/>
      <c r="L188" s="90"/>
      <c r="M188" s="80"/>
      <c r="N188" s="85"/>
      <c r="O188" s="82"/>
      <c r="P188" s="82"/>
      <c r="Q188" s="75"/>
      <c r="R188" s="82"/>
      <c r="S188" s="82"/>
      <c r="T188" s="82"/>
    </row>
    <row r="189" spans="4:20" ht="23.4" customHeight="1" x14ac:dyDescent="0.45">
      <c r="D189" s="94"/>
      <c r="E189" s="95"/>
      <c r="F189" s="95"/>
      <c r="G189" s="96"/>
      <c r="H189" s="96"/>
      <c r="I189" s="97"/>
      <c r="K189" s="94"/>
      <c r="L189" s="95"/>
      <c r="M189" s="95"/>
      <c r="N189" s="96"/>
      <c r="O189" s="96"/>
      <c r="P189" s="97"/>
      <c r="Q189" s="75"/>
      <c r="R189" s="97"/>
      <c r="S189" s="97"/>
      <c r="T189" s="97"/>
    </row>
    <row r="190" spans="4:20" ht="23.4" customHeight="1" x14ac:dyDescent="0.45">
      <c r="D190" s="98"/>
      <c r="E190" s="99"/>
      <c r="F190" s="99"/>
      <c r="G190" s="100"/>
      <c r="H190" s="100"/>
      <c r="I190" s="101"/>
      <c r="K190" s="98"/>
      <c r="L190" s="99"/>
      <c r="M190" s="99"/>
      <c r="N190" s="100"/>
      <c r="O190" s="100"/>
      <c r="P190" s="101"/>
      <c r="Q190" s="75"/>
    </row>
    <row r="191" spans="4:20" ht="23.4" customHeight="1" x14ac:dyDescent="0.45">
      <c r="Q191" s="75"/>
    </row>
    <row r="192" spans="4:20" x14ac:dyDescent="0.45">
      <c r="D192" s="76" t="s">
        <v>644</v>
      </c>
      <c r="E192" s="76" t="s">
        <v>435</v>
      </c>
      <c r="F192" s="76" t="s">
        <v>52</v>
      </c>
      <c r="G192" s="77" t="s">
        <v>620</v>
      </c>
      <c r="H192" s="77" t="s">
        <v>621</v>
      </c>
      <c r="I192" s="77" t="s">
        <v>395</v>
      </c>
      <c r="J192" s="140"/>
      <c r="L192" s="76" t="s">
        <v>435</v>
      </c>
      <c r="M192" s="76" t="s">
        <v>52</v>
      </c>
      <c r="N192" s="77" t="s">
        <v>620</v>
      </c>
      <c r="O192" s="77" t="s">
        <v>621</v>
      </c>
      <c r="P192" s="77" t="s">
        <v>395</v>
      </c>
      <c r="Q192" s="75"/>
      <c r="R192" s="77" t="s">
        <v>622</v>
      </c>
      <c r="S192" s="77" t="s">
        <v>623</v>
      </c>
      <c r="T192" s="77" t="s">
        <v>395</v>
      </c>
    </row>
    <row r="193" spans="4:20" x14ac:dyDescent="0.45">
      <c r="D193" s="139">
        <v>14</v>
      </c>
      <c r="E193" s="140" t="s">
        <v>662</v>
      </c>
      <c r="F193" s="141" t="s">
        <v>653</v>
      </c>
      <c r="G193" s="85">
        <v>1</v>
      </c>
      <c r="H193" s="142">
        <f>+I106</f>
        <v>165319.2200737994</v>
      </c>
      <c r="I193" s="142">
        <f>H193*G193</f>
        <v>165319.2200737994</v>
      </c>
      <c r="J193" s="75"/>
      <c r="L193" s="140" t="s">
        <v>662</v>
      </c>
      <c r="M193" s="141" t="s">
        <v>653</v>
      </c>
      <c r="N193" s="85">
        <v>1</v>
      </c>
      <c r="O193" s="143">
        <f>P106</f>
        <v>159189.55545229226</v>
      </c>
      <c r="P193" s="142">
        <f t="shared" ref="P193:P195" si="54">+N193*O193</f>
        <v>159189.55545229226</v>
      </c>
      <c r="Q193" s="75"/>
      <c r="R193" s="82">
        <f>+(O193-H193)*N193</f>
        <v>-6129.6646215071378</v>
      </c>
      <c r="S193" s="82">
        <f>+(N193-G193)*H193</f>
        <v>0</v>
      </c>
      <c r="T193" s="82">
        <f>+P193-I193</f>
        <v>-6129.6646215071378</v>
      </c>
    </row>
    <row r="194" spans="4:20" x14ac:dyDescent="0.45">
      <c r="D194" s="144"/>
      <c r="E194" s="140"/>
      <c r="F194" s="141" t="s">
        <v>507</v>
      </c>
      <c r="G194" s="150">
        <v>1</v>
      </c>
      <c r="H194" s="86">
        <f>IFERROR(GETPIVOTDATA("Suma de Costo",TD!$A$3,"Proceso","Cementos","ORD",21,"Tipo","Empaque y Granel"),0)</f>
        <v>3679.9846153846147</v>
      </c>
      <c r="I194" s="142">
        <f t="shared" ref="I194:I195" si="55">H194*G194</f>
        <v>3679.9846153846147</v>
      </c>
      <c r="J194" s="75"/>
      <c r="L194" s="140"/>
      <c r="M194" s="141" t="s">
        <v>507</v>
      </c>
      <c r="N194" s="150">
        <v>1</v>
      </c>
      <c r="O194" s="142">
        <v>3476.5359612973375</v>
      </c>
      <c r="P194" s="142">
        <f t="shared" si="54"/>
        <v>3476.5359612973375</v>
      </c>
      <c r="Q194" s="75"/>
      <c r="R194" s="82">
        <f>+(O194-H194)*N194</f>
        <v>-203.44865408727719</v>
      </c>
      <c r="S194" s="82">
        <f>+(N194-G194)*H194</f>
        <v>0</v>
      </c>
      <c r="T194" s="82">
        <f>+P194-I194</f>
        <v>-203.44865408727719</v>
      </c>
    </row>
    <row r="195" spans="4:20" x14ac:dyDescent="0.45">
      <c r="D195" s="144"/>
      <c r="E195" s="140"/>
      <c r="F195" s="141" t="s">
        <v>267</v>
      </c>
      <c r="G195" s="122">
        <f>GETPIVOTDATA(" Cantidad",TD!$A$3,"Proceso","CEMENTOS","ORD",21,"Tipo",F195)/((GETPIVOTDATA(" Cantidad",TD!$A$3,"Proceso","CEMENTOS","ORD",21,"Tipo","Producción"))*-1)</f>
        <v>1.5</v>
      </c>
      <c r="H195" s="86">
        <f>IFERROR(GETPIVOTDATA("Suma de Costo",TD!$A$3,"Proceso","Cementos","ORD",21,"Tipo",F195),0)</f>
        <v>525.27897452694594</v>
      </c>
      <c r="I195" s="142">
        <f t="shared" si="55"/>
        <v>787.91846179041886</v>
      </c>
      <c r="J195" s="75"/>
      <c r="L195" s="140"/>
      <c r="M195" s="141" t="s">
        <v>267</v>
      </c>
      <c r="N195" s="129">
        <v>1.3311492163447392</v>
      </c>
      <c r="O195" s="88">
        <v>485.33891128999591</v>
      </c>
      <c r="P195" s="142">
        <f t="shared" si="54"/>
        <v>646.05851142528695</v>
      </c>
      <c r="Q195" s="75"/>
      <c r="R195" s="82">
        <f>+(O195-H195)*N195</f>
        <v>-53.166183878625368</v>
      </c>
      <c r="S195" s="82">
        <f>+(N195-G195)*H195</f>
        <v>-88.693766486506618</v>
      </c>
      <c r="T195" s="82">
        <f>+P195-I195</f>
        <v>-141.85995036513191</v>
      </c>
    </row>
    <row r="196" spans="4:20" x14ac:dyDescent="0.45">
      <c r="D196" s="146"/>
      <c r="E196" s="147" t="s">
        <v>663</v>
      </c>
      <c r="F196" s="147"/>
      <c r="G196" s="96"/>
      <c r="H196" s="96" t="s">
        <v>633</v>
      </c>
      <c r="I196" s="97">
        <f>SUM(I193:I195)</f>
        <v>169787.12315097442</v>
      </c>
      <c r="J196" s="75"/>
      <c r="L196" s="147" t="s">
        <v>663</v>
      </c>
      <c r="M196" s="147"/>
      <c r="N196" s="96"/>
      <c r="O196" s="96"/>
      <c r="P196" s="97">
        <f>SUM(P193:P195)</f>
        <v>163312.14992501488</v>
      </c>
      <c r="Q196" s="75"/>
      <c r="R196" s="97">
        <f t="shared" ref="R196:S196" si="56">+SUM(R193:R195)</f>
        <v>-6386.2794594730403</v>
      </c>
      <c r="S196" s="97">
        <f t="shared" si="56"/>
        <v>-88.693766486506618</v>
      </c>
      <c r="T196" s="97">
        <f>+SUM(T193:T195)</f>
        <v>-6474.9732259595467</v>
      </c>
    </row>
    <row r="197" spans="4:20" x14ac:dyDescent="0.45">
      <c r="D197" s="148"/>
      <c r="E197" s="149"/>
      <c r="F197" s="149"/>
      <c r="G197" s="100"/>
      <c r="H197" s="100"/>
      <c r="I197" s="101">
        <f>I107-I139-I156</f>
        <v>348745.20522253809</v>
      </c>
      <c r="L197" s="149"/>
      <c r="M197" s="149"/>
      <c r="N197" s="100"/>
      <c r="O197" s="100"/>
      <c r="P197" s="101">
        <v>341337.12125000003</v>
      </c>
      <c r="Q197" s="75"/>
      <c r="R197" s="101"/>
      <c r="S197" s="101"/>
      <c r="T197" s="101"/>
    </row>
    <row r="198" spans="4:20" x14ac:dyDescent="0.45">
      <c r="I198" s="71"/>
      <c r="Q198" s="75"/>
    </row>
    <row r="199" spans="4:20" x14ac:dyDescent="0.45">
      <c r="D199" s="76" t="s">
        <v>644</v>
      </c>
      <c r="E199" s="76" t="s">
        <v>435</v>
      </c>
      <c r="F199" s="76" t="s">
        <v>52</v>
      </c>
      <c r="G199" s="77" t="s">
        <v>620</v>
      </c>
      <c r="H199" s="77" t="s">
        <v>621</v>
      </c>
      <c r="I199" s="77" t="s">
        <v>395</v>
      </c>
      <c r="L199" s="76" t="s">
        <v>435</v>
      </c>
      <c r="M199" s="76" t="s">
        <v>52</v>
      </c>
      <c r="N199" s="77" t="s">
        <v>620</v>
      </c>
      <c r="O199" s="77" t="s">
        <v>621</v>
      </c>
      <c r="P199" s="77" t="s">
        <v>395</v>
      </c>
      <c r="Q199" s="75"/>
      <c r="R199" s="77" t="s">
        <v>622</v>
      </c>
      <c r="S199" s="77" t="s">
        <v>623</v>
      </c>
      <c r="T199" s="77" t="s">
        <v>395</v>
      </c>
    </row>
    <row r="200" spans="4:20" x14ac:dyDescent="0.45">
      <c r="D200" s="139">
        <v>14</v>
      </c>
      <c r="E200" s="140" t="s">
        <v>664</v>
      </c>
      <c r="F200" s="141" t="s">
        <v>653</v>
      </c>
      <c r="G200" s="85">
        <v>1</v>
      </c>
      <c r="H200" s="142">
        <f>+I90</f>
        <v>119790.3641825196</v>
      </c>
      <c r="I200" s="142">
        <f>H200*G200</f>
        <v>119790.3641825196</v>
      </c>
      <c r="J200" s="75"/>
      <c r="L200" s="140" t="s">
        <v>664</v>
      </c>
      <c r="M200" s="141" t="s">
        <v>653</v>
      </c>
      <c r="N200" s="85">
        <v>1</v>
      </c>
      <c r="O200" s="143">
        <f>P90</f>
        <v>116780.73828343996</v>
      </c>
      <c r="P200" s="142">
        <f t="shared" ref="P200:P202" si="57">+N200*O200</f>
        <v>116780.73828343996</v>
      </c>
      <c r="Q200" s="75"/>
      <c r="R200" s="82">
        <f>+(O200-H200)*N200</f>
        <v>-3009.6258990796341</v>
      </c>
      <c r="S200" s="82">
        <f>+(N200-G200)*H200</f>
        <v>0</v>
      </c>
      <c r="T200" s="82">
        <f>+P200-I200</f>
        <v>-3009.6258990796341</v>
      </c>
    </row>
    <row r="201" spans="4:20" x14ac:dyDescent="0.45">
      <c r="D201" s="144"/>
      <c r="E201" s="140"/>
      <c r="F201" s="141" t="s">
        <v>507</v>
      </c>
      <c r="G201" s="150">
        <v>1</v>
      </c>
      <c r="H201" s="86">
        <f>IFERROR(GETPIVOTDATA("Suma de Costo",TD!$A$3,"Proceso","Cementos","ORD",21,"Tipo","Empaque y Granel"),0)</f>
        <v>3679.9846153846147</v>
      </c>
      <c r="I201" s="142">
        <f t="shared" ref="I201:I202" si="58">H201*G201</f>
        <v>3679.9846153846147</v>
      </c>
      <c r="J201" s="75"/>
      <c r="L201" s="140"/>
      <c r="M201" s="141" t="s">
        <v>507</v>
      </c>
      <c r="N201" s="150">
        <v>1</v>
      </c>
      <c r="O201" s="142">
        <v>3476.5359612973375</v>
      </c>
      <c r="P201" s="142">
        <f t="shared" si="57"/>
        <v>3476.5359612973375</v>
      </c>
      <c r="Q201" s="75"/>
      <c r="R201" s="82">
        <f>+(O201-H201)*N201</f>
        <v>-203.44865408727719</v>
      </c>
      <c r="S201" s="82">
        <f>+(N201-G201)*H201</f>
        <v>0</v>
      </c>
      <c r="T201" s="82">
        <f>+P201-I201</f>
        <v>-203.44865408727719</v>
      </c>
    </row>
    <row r="202" spans="4:20" x14ac:dyDescent="0.45">
      <c r="D202" s="144"/>
      <c r="E202" s="140"/>
      <c r="F202" s="141" t="s">
        <v>267</v>
      </c>
      <c r="G202" s="122">
        <f>GETPIVOTDATA(" Cantidad",TD!$A$3,"Proceso","CEMENTOS","ORD",21,"Tipo",F202)/((GETPIVOTDATA(" Cantidad",TD!$A$3,"Proceso","CEMENTOS","ORD",21,"Tipo","Producción"))*-1)</f>
        <v>1.5</v>
      </c>
      <c r="H202" s="86">
        <f>IFERROR(GETPIVOTDATA("Suma de Costo",TD!$A$3,"Proceso","Cementos","ORD",21,"Tipo",F202),0)</f>
        <v>525.27897452694594</v>
      </c>
      <c r="I202" s="142">
        <f t="shared" si="58"/>
        <v>787.91846179041886</v>
      </c>
      <c r="J202" s="75"/>
      <c r="L202" s="140"/>
      <c r="M202" s="141" t="s">
        <v>267</v>
      </c>
      <c r="N202" s="129">
        <v>1.4310429338621007</v>
      </c>
      <c r="O202" s="88">
        <v>485.33891128999591</v>
      </c>
      <c r="P202" s="142">
        <f t="shared" si="57"/>
        <v>694.5408195298736</v>
      </c>
      <c r="Q202" s="75"/>
      <c r="R202" s="82">
        <f>+(O202-H202)*N202</f>
        <v>-57.155945273242814</v>
      </c>
      <c r="S202" s="82">
        <f>+(N202-G202)*H202</f>
        <v>-36.221696987302543</v>
      </c>
      <c r="T202" s="82">
        <f>+P202-I202</f>
        <v>-93.377642260545258</v>
      </c>
    </row>
    <row r="203" spans="4:20" x14ac:dyDescent="0.45">
      <c r="D203" s="146"/>
      <c r="E203" s="147" t="s">
        <v>665</v>
      </c>
      <c r="F203" s="147"/>
      <c r="G203" s="96"/>
      <c r="H203" s="96"/>
      <c r="I203" s="97">
        <f>SUM(I200:I202)</f>
        <v>124258.26725969464</v>
      </c>
      <c r="J203" s="75"/>
      <c r="L203" s="147" t="s">
        <v>665</v>
      </c>
      <c r="M203" s="147"/>
      <c r="N203" s="96"/>
      <c r="O203" s="96"/>
      <c r="P203" s="97">
        <f>SUM(P200:P202)</f>
        <v>120951.81506426718</v>
      </c>
      <c r="Q203" s="75"/>
      <c r="R203" s="97">
        <f>+SUM(R196:R202)</f>
        <v>-9656.5099579131947</v>
      </c>
      <c r="S203" s="97">
        <f>+SUM(S198:S202)</f>
        <v>-36.221696987302543</v>
      </c>
      <c r="T203" s="97">
        <f>+SUM(T196:T202)</f>
        <v>-9781.4254213870045</v>
      </c>
    </row>
    <row r="204" spans="4:20" x14ac:dyDescent="0.45">
      <c r="D204" s="148"/>
      <c r="E204" s="149"/>
      <c r="F204" s="149"/>
      <c r="G204" s="100"/>
      <c r="H204" s="100"/>
      <c r="I204" s="101">
        <f>I91-I115-I123-I131-I147</f>
        <v>3765.5398237086847</v>
      </c>
      <c r="L204" s="149"/>
      <c r="M204" s="149"/>
      <c r="N204" s="100"/>
      <c r="O204" s="100"/>
      <c r="P204" s="101">
        <v>1620.1487499999366</v>
      </c>
      <c r="Q204" s="75"/>
      <c r="R204" s="101"/>
      <c r="S204" s="101"/>
      <c r="T204" s="101"/>
    </row>
    <row r="205" spans="4:20" x14ac:dyDescent="0.45">
      <c r="I205" s="70"/>
      <c r="Q205" s="75"/>
    </row>
    <row r="206" spans="4:20" x14ac:dyDescent="0.45">
      <c r="D206" s="76" t="s">
        <v>644</v>
      </c>
      <c r="E206" s="76" t="s">
        <v>435</v>
      </c>
      <c r="F206" s="76" t="s">
        <v>52</v>
      </c>
      <c r="G206" s="77" t="s">
        <v>620</v>
      </c>
      <c r="H206" s="77" t="s">
        <v>621</v>
      </c>
      <c r="I206" s="77" t="s">
        <v>395</v>
      </c>
      <c r="L206" s="76" t="s">
        <v>435</v>
      </c>
      <c r="M206" s="76" t="s">
        <v>52</v>
      </c>
      <c r="N206" s="77" t="s">
        <v>620</v>
      </c>
      <c r="O206" s="77" t="s">
        <v>621</v>
      </c>
      <c r="P206" s="77" t="s">
        <v>395</v>
      </c>
      <c r="Q206" s="75"/>
      <c r="R206" s="77" t="s">
        <v>622</v>
      </c>
      <c r="S206" s="77" t="s">
        <v>623</v>
      </c>
      <c r="T206" s="77" t="s">
        <v>395</v>
      </c>
    </row>
    <row r="207" spans="4:20" x14ac:dyDescent="0.45">
      <c r="D207" s="139">
        <v>14</v>
      </c>
      <c r="E207" s="140" t="s">
        <v>61</v>
      </c>
      <c r="F207" s="141" t="s">
        <v>653</v>
      </c>
      <c r="G207" s="85">
        <v>1</v>
      </c>
      <c r="H207" s="142">
        <f>I167</f>
        <v>173925.98115682285</v>
      </c>
      <c r="I207" s="142">
        <f>H207*G207</f>
        <v>173925.98115682285</v>
      </c>
      <c r="J207" s="75"/>
      <c r="L207" s="140" t="s">
        <v>61</v>
      </c>
      <c r="M207" s="141" t="s">
        <v>653</v>
      </c>
      <c r="N207" s="85">
        <v>1</v>
      </c>
      <c r="O207" s="143">
        <f>P167</f>
        <v>165494.32900249882</v>
      </c>
      <c r="P207" s="142">
        <f t="shared" ref="P207:P209" si="59">+N207*O207</f>
        <v>165494.32900249882</v>
      </c>
      <c r="Q207" s="75"/>
      <c r="R207" s="82">
        <f>+(O207-H207)*N207</f>
        <v>-8431.6521543240233</v>
      </c>
      <c r="S207" s="82">
        <f>+(N207-G207)*H207</f>
        <v>0</v>
      </c>
      <c r="T207" s="82">
        <f>+P207-I207</f>
        <v>-8431.6521543240233</v>
      </c>
    </row>
    <row r="208" spans="4:20" x14ac:dyDescent="0.45">
      <c r="D208" s="144"/>
      <c r="E208" s="140"/>
      <c r="F208" s="141" t="s">
        <v>507</v>
      </c>
      <c r="G208" s="150">
        <v>1</v>
      </c>
      <c r="H208" s="86">
        <f>IFERROR(GETPIVOTDATA("Suma de Costo",TD!$A$3,"Proceso","Cementos","ORD",21,"Tipo","Empaque y Granel"),0)</f>
        <v>3679.9846153846147</v>
      </c>
      <c r="I208" s="142">
        <f t="shared" ref="I208:I209" si="60">H208*G208</f>
        <v>3679.9846153846147</v>
      </c>
      <c r="J208" s="75"/>
      <c r="L208" s="140"/>
      <c r="M208" s="141" t="s">
        <v>507</v>
      </c>
      <c r="N208" s="150">
        <v>1</v>
      </c>
      <c r="O208" s="142">
        <v>3476.5359612973375</v>
      </c>
      <c r="P208" s="142">
        <f t="shared" si="59"/>
        <v>3476.5359612973375</v>
      </c>
      <c r="Q208" s="75"/>
      <c r="R208" s="82">
        <f>+(O208-H208)*N208</f>
        <v>-203.44865408727719</v>
      </c>
      <c r="S208" s="82">
        <f>+(N208-G208)*H208</f>
        <v>0</v>
      </c>
      <c r="T208" s="82">
        <f>+P208-I208</f>
        <v>-203.44865408727719</v>
      </c>
    </row>
    <row r="209" spans="4:20" x14ac:dyDescent="0.45">
      <c r="D209" s="144"/>
      <c r="E209" s="140"/>
      <c r="F209" s="141" t="s">
        <v>267</v>
      </c>
      <c r="G209" s="122">
        <f>GETPIVOTDATA(" Cantidad",TD!$A$3,"Proceso","CEMENTOS","ORD",21,"Tipo",F209)/((GETPIVOTDATA(" Cantidad",TD!$A$3,"Proceso","CEMENTOS","ORD",21,"Tipo","Producción"))*-1)</f>
        <v>1.5</v>
      </c>
      <c r="H209" s="86">
        <f>IFERROR(GETPIVOTDATA("Suma de Costo",TD!$A$3,"Proceso","Cementos","ORD",21,"Tipo",F209),0)</f>
        <v>525.27897452694594</v>
      </c>
      <c r="I209" s="142">
        <f t="shared" si="60"/>
        <v>787.91846179041886</v>
      </c>
      <c r="J209" s="75"/>
      <c r="L209" s="140"/>
      <c r="M209" s="141" t="s">
        <v>267</v>
      </c>
      <c r="N209" s="129">
        <v>1.3091657089861932</v>
      </c>
      <c r="O209" s="88">
        <v>485.33891128999591</v>
      </c>
      <c r="P209" s="142">
        <f t="shared" si="59"/>
        <v>635.3890598975546</v>
      </c>
      <c r="Q209" s="75"/>
      <c r="R209" s="82">
        <f>+(O209-H209)*N209</f>
        <v>-52.288161204555088</v>
      </c>
      <c r="S209" s="82">
        <f>+(N209-G209)*H209</f>
        <v>-100.2412406883092</v>
      </c>
      <c r="T209" s="82">
        <f>+P209-I209</f>
        <v>-152.52940189286426</v>
      </c>
    </row>
    <row r="210" spans="4:20" x14ac:dyDescent="0.45">
      <c r="D210" s="146"/>
      <c r="E210" s="147" t="s">
        <v>666</v>
      </c>
      <c r="F210" s="147"/>
      <c r="G210" s="96"/>
      <c r="H210" s="96"/>
      <c r="I210" s="97">
        <f>SUM(I207:I209)</f>
        <v>178393.88423399787</v>
      </c>
      <c r="J210" s="75"/>
      <c r="L210" s="147" t="s">
        <v>666</v>
      </c>
      <c r="M210" s="147"/>
      <c r="N210" s="96"/>
      <c r="O210" s="96"/>
      <c r="P210" s="97">
        <f>SUM(P207:P209)</f>
        <v>169606.25402369371</v>
      </c>
      <c r="Q210" s="75"/>
      <c r="R210" s="97">
        <f>+SUM(R203:R209)</f>
        <v>-18343.898927529051</v>
      </c>
      <c r="S210" s="97">
        <f>+SUM(S205:S209)</f>
        <v>-100.2412406883092</v>
      </c>
      <c r="T210" s="97">
        <f>+SUM(T203:T209)</f>
        <v>-18569.055631691172</v>
      </c>
    </row>
    <row r="211" spans="4:20" x14ac:dyDescent="0.45">
      <c r="D211" s="148"/>
      <c r="E211" s="149"/>
      <c r="F211" s="149"/>
      <c r="G211" s="100"/>
      <c r="H211" s="100"/>
      <c r="I211" s="101">
        <f>I168</f>
        <v>33740.872627651726</v>
      </c>
      <c r="J211" s="75"/>
      <c r="L211" s="149"/>
      <c r="M211" s="149"/>
      <c r="N211" s="100"/>
      <c r="O211" s="100"/>
      <c r="P211" s="101">
        <v>42630.0625</v>
      </c>
      <c r="Q211" s="75"/>
      <c r="R211" s="101"/>
      <c r="S211" s="101"/>
      <c r="T211" s="101"/>
    </row>
    <row r="212" spans="4:20" x14ac:dyDescent="0.45">
      <c r="E212" s="71"/>
      <c r="L212" s="71"/>
      <c r="P212" s="69"/>
    </row>
    <row r="213" spans="4:20" x14ac:dyDescent="0.45">
      <c r="E213" s="71"/>
      <c r="H213" s="159" t="s">
        <v>667</v>
      </c>
      <c r="I213" s="160">
        <f>I197+I204+I211+I115+I123+I131+I139+I147+I156</f>
        <v>1300000.0000000005</v>
      </c>
      <c r="L213" s="71"/>
      <c r="O213" s="159" t="s">
        <v>667</v>
      </c>
      <c r="P213" s="160">
        <f>P197+P204+P211+P115+P123+P131+P139+P147+P156</f>
        <v>1234083.0875000001</v>
      </c>
    </row>
  </sheetData>
  <mergeCells count="5">
    <mergeCell ref="E4:I4"/>
    <mergeCell ref="L4:P4"/>
    <mergeCell ref="R4:T4"/>
    <mergeCell ref="J49:J53"/>
    <mergeCell ref="Y102:Z102"/>
  </mergeCells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4F679F-9402-445E-A69B-E3B20DF65369}">
  <dimension ref="C4:K26"/>
  <sheetViews>
    <sheetView tabSelected="1" workbookViewId="0"/>
  </sheetViews>
  <sheetFormatPr baseColWidth="10" defaultColWidth="11.44140625" defaultRowHeight="14.4" x14ac:dyDescent="0.3"/>
  <cols>
    <col min="3" max="3" width="16.6640625" customWidth="1"/>
    <col min="4" max="4" width="13" bestFit="1" customWidth="1"/>
  </cols>
  <sheetData>
    <row r="4" spans="3:10" x14ac:dyDescent="0.3">
      <c r="C4" s="261" t="s">
        <v>765</v>
      </c>
      <c r="D4" s="262" t="s">
        <v>766</v>
      </c>
      <c r="E4" s="261" t="s">
        <v>767</v>
      </c>
      <c r="F4" s="261" t="s">
        <v>768</v>
      </c>
    </row>
    <row r="5" spans="3:10" x14ac:dyDescent="0.3">
      <c r="C5" s="263" t="s">
        <v>769</v>
      </c>
      <c r="D5" s="264">
        <f>Costo!G66</f>
        <v>30.700000000000003</v>
      </c>
      <c r="E5" s="264">
        <v>1</v>
      </c>
      <c r="F5" s="265">
        <f t="shared" ref="F5:F10" si="0">+D5*E5</f>
        <v>30.700000000000003</v>
      </c>
    </row>
    <row r="6" spans="3:10" x14ac:dyDescent="0.3">
      <c r="C6" s="263" t="s">
        <v>459</v>
      </c>
      <c r="D6" s="264">
        <f>Costo!G33</f>
        <v>15.1</v>
      </c>
      <c r="E6" s="264">
        <f>Costo!G62</f>
        <v>1.56</v>
      </c>
      <c r="F6" s="265">
        <f t="shared" si="0"/>
        <v>23.556000000000001</v>
      </c>
    </row>
    <row r="7" spans="3:10" x14ac:dyDescent="0.3">
      <c r="C7" s="263" t="s">
        <v>770</v>
      </c>
      <c r="D7" s="264">
        <f>Costo!G44</f>
        <v>27.999999999999996</v>
      </c>
      <c r="E7" s="264">
        <f>Costo!G63</f>
        <v>0.11141634233453897</v>
      </c>
      <c r="F7" s="266">
        <f t="shared" si="0"/>
        <v>3.1196575853670905</v>
      </c>
    </row>
    <row r="8" spans="3:10" x14ac:dyDescent="0.3">
      <c r="C8" s="263" t="s">
        <v>642</v>
      </c>
      <c r="D8" s="264">
        <f>Costo!G56</f>
        <v>8.4000000000000021</v>
      </c>
      <c r="E8" s="264">
        <f>Costo!G64</f>
        <v>1.9172729591836735E-2</v>
      </c>
      <c r="F8" s="266">
        <f t="shared" si="0"/>
        <v>0.16105092857142861</v>
      </c>
    </row>
    <row r="9" spans="3:10" x14ac:dyDescent="0.3">
      <c r="C9" s="263" t="s">
        <v>441</v>
      </c>
      <c r="D9" s="264">
        <f>Costo!G9</f>
        <v>1.27</v>
      </c>
      <c r="E9" s="264">
        <f>Costo!G28*Costo!G62</f>
        <v>1.2968464574257426</v>
      </c>
      <c r="F9" s="266">
        <f t="shared" si="0"/>
        <v>1.6469950009306931</v>
      </c>
    </row>
    <row r="10" spans="3:10" x14ac:dyDescent="0.3">
      <c r="C10" s="263" t="s">
        <v>471</v>
      </c>
      <c r="D10" s="264">
        <f>Costo!G23</f>
        <v>1.2700000000000002</v>
      </c>
      <c r="E10" s="264">
        <f>Costo!G29*Costo!G62</f>
        <v>0.28518360000000004</v>
      </c>
      <c r="F10" s="266">
        <f t="shared" si="0"/>
        <v>0.36218317200000011</v>
      </c>
    </row>
    <row r="11" spans="3:10" x14ac:dyDescent="0.3">
      <c r="C11" s="267"/>
      <c r="D11" s="268"/>
      <c r="E11" s="262" t="s">
        <v>395</v>
      </c>
      <c r="F11" s="269">
        <f>SUM(F5:F10)</f>
        <v>59.545886686869217</v>
      </c>
    </row>
    <row r="12" spans="3:10" ht="15" thickBot="1" x14ac:dyDescent="0.35"/>
    <row r="13" spans="3:10" x14ac:dyDescent="0.3">
      <c r="C13" s="370" t="s">
        <v>669</v>
      </c>
      <c r="D13" s="371" t="s">
        <v>766</v>
      </c>
      <c r="E13" s="370" t="s">
        <v>767</v>
      </c>
      <c r="F13" s="370"/>
      <c r="G13" s="374"/>
      <c r="H13" s="375" t="s">
        <v>768</v>
      </c>
      <c r="I13" s="376"/>
      <c r="J13" s="377"/>
    </row>
    <row r="14" spans="3:10" x14ac:dyDescent="0.3">
      <c r="C14" s="370"/>
      <c r="D14" s="372"/>
      <c r="E14" s="370" t="s">
        <v>771</v>
      </c>
      <c r="F14" s="378" t="s">
        <v>772</v>
      </c>
      <c r="G14" s="374"/>
      <c r="H14" s="379" t="s">
        <v>771</v>
      </c>
      <c r="I14" s="374" t="s">
        <v>772</v>
      </c>
      <c r="J14" s="381"/>
    </row>
    <row r="15" spans="3:10" x14ac:dyDescent="0.3">
      <c r="C15" s="370"/>
      <c r="D15" s="373"/>
      <c r="E15" s="370"/>
      <c r="F15" s="270" t="s">
        <v>646</v>
      </c>
      <c r="G15" s="271" t="s">
        <v>671</v>
      </c>
      <c r="H15" s="380"/>
      <c r="I15" s="272" t="s">
        <v>646</v>
      </c>
      <c r="J15" s="273" t="s">
        <v>671</v>
      </c>
    </row>
    <row r="16" spans="3:10" x14ac:dyDescent="0.3">
      <c r="C16" s="261" t="s">
        <v>773</v>
      </c>
      <c r="D16" s="274"/>
      <c r="E16" s="275">
        <f>(Costo!I115+Costo!I123+Costo!I131+Costo!I147)/(Costo!I115+Costo!I123+Costo!I131+Costo!I139+Costo!I147+Costo!I197+Costo!I204+Costo!I211)</f>
        <v>0.63203576479611046</v>
      </c>
      <c r="F16" s="276">
        <f>(Costo!I139)/(Costo!I115+Costo!I123+Costo!I131+Costo!I139+Costo!I147+Costo!I197+Costo!I204+Costo!I211)</f>
        <v>7.0847606223967713E-2</v>
      </c>
      <c r="G16" s="277">
        <v>0</v>
      </c>
      <c r="H16" s="278"/>
      <c r="I16" s="274"/>
      <c r="J16" s="279"/>
    </row>
    <row r="17" spans="3:11" x14ac:dyDescent="0.3">
      <c r="C17" s="263" t="s">
        <v>182</v>
      </c>
      <c r="D17" s="280">
        <f>F11</f>
        <v>59.545886686869217</v>
      </c>
      <c r="E17" s="281">
        <f>Costo!G78</f>
        <v>0.52</v>
      </c>
      <c r="F17" s="281">
        <f>Costo!G94</f>
        <v>0.83000000000000018</v>
      </c>
      <c r="G17" s="282">
        <f>Costo!G159</f>
        <v>0.91400000000000003</v>
      </c>
      <c r="H17" s="283">
        <f>+(D17*E17*E$16)</f>
        <v>19.570267616950918</v>
      </c>
      <c r="I17" s="284">
        <f>+(D17*F17*F$16)</f>
        <v>3.5015073317660992</v>
      </c>
      <c r="J17" s="285">
        <f>+(D17*G17*G$16)</f>
        <v>0</v>
      </c>
    </row>
    <row r="18" spans="3:11" x14ac:dyDescent="0.3">
      <c r="C18" s="263" t="s">
        <v>774</v>
      </c>
      <c r="D18" s="280">
        <f>(Costo!G85*Costo!I91+Costo!G101*Costo!I107+Costo!G164*Costo!I168)/(Costo!I91+Costo!I107+Costo!I168)</f>
        <v>28.949102228367689</v>
      </c>
      <c r="E18" s="274">
        <v>1</v>
      </c>
      <c r="F18" s="274">
        <v>1</v>
      </c>
      <c r="G18" s="286">
        <v>1</v>
      </c>
      <c r="H18" s="283">
        <f>+(D18*E18*E$16)</f>
        <v>18.296867967067158</v>
      </c>
      <c r="I18" s="287">
        <f>+(D18*F18*F$16)</f>
        <v>2.0509745952127805</v>
      </c>
      <c r="J18" s="288">
        <f>+(D18*G18*G$16)</f>
        <v>0</v>
      </c>
    </row>
    <row r="19" spans="3:11" x14ac:dyDescent="0.3">
      <c r="C19" s="263" t="s">
        <v>35</v>
      </c>
      <c r="D19" s="280">
        <f>(Costo!G112*Costo!I115+Costo!G120*Costo!I123+Costo!G128*Costo!I131+Costo!G136*Costo!I139+Costo!G144*Costo!I147+Costo!G195*Costo!I197+Costo!G202*Costo!I204+Costo!G209*Costo!I211)/(Costo!I115+Costo!I123+Costo!I131+Costo!I139+Costo!I147+Costo!I197+Costo!I204+Costo!I211)</f>
        <v>1.5000000000000002</v>
      </c>
      <c r="E19" s="274">
        <v>1</v>
      </c>
      <c r="F19" s="274">
        <v>1</v>
      </c>
      <c r="G19" s="286">
        <v>1</v>
      </c>
      <c r="H19" s="283">
        <f>+(D19*E19*(E$16/(E$16+F$16)))</f>
        <v>1.3488064823873664</v>
      </c>
      <c r="I19" s="287">
        <f>+(D19*F19*(F$16/(E$16+F$16)))</f>
        <v>0.15119351761263378</v>
      </c>
      <c r="J19" s="288">
        <f>+(D19*G19*G$16)</f>
        <v>0</v>
      </c>
    </row>
    <row r="20" spans="3:11" x14ac:dyDescent="0.3">
      <c r="C20" s="289" t="s">
        <v>775</v>
      </c>
      <c r="D20" s="280"/>
      <c r="E20" s="275">
        <f>(Costo!I204)/(Costo!I115+Costo!I123+Costo!I131+Costo!I139+Costo!I147+Costo!I197+Costo!I204+Costo!I211)</f>
        <v>2.8965690951605269E-3</v>
      </c>
      <c r="F20" s="275">
        <f>(Costo!I197)/(Costo!I115+Costo!I123+Costo!I131+Costo!I139+Costo!I147+Costo!I197+Costo!I204+Costo!I211)</f>
        <v>0.26826554247887546</v>
      </c>
      <c r="G20" s="290">
        <f>(Costo!I211)/(Costo!I115+Costo!I123+Costo!I131+Costo!I139+Costo!I147+Costo!I197+Costo!I204+Costo!I211)</f>
        <v>2.5954517405885943E-2</v>
      </c>
      <c r="H20" s="283"/>
      <c r="I20" s="287"/>
      <c r="J20" s="288"/>
    </row>
    <row r="21" spans="3:11" x14ac:dyDescent="0.3">
      <c r="C21" s="263" t="s">
        <v>182</v>
      </c>
      <c r="D21" s="280">
        <f>F11</f>
        <v>59.545886686869217</v>
      </c>
      <c r="E21" s="281">
        <f>+E17</f>
        <v>0.52</v>
      </c>
      <c r="F21" s="281">
        <f>+F17</f>
        <v>0.83000000000000018</v>
      </c>
      <c r="G21" s="281">
        <f>+G17</f>
        <v>0.91400000000000003</v>
      </c>
      <c r="H21" s="283">
        <f>+(D21*E21*E$20)</f>
        <v>8.968896306298034E-2</v>
      </c>
      <c r="I21" s="287">
        <f>+(D21*F21*F$20)</f>
        <v>13.258510963384056</v>
      </c>
      <c r="J21" s="288">
        <f>+(D21*G21*G$20)</f>
        <v>1.4125730637514189</v>
      </c>
    </row>
    <row r="22" spans="3:11" ht="15" thickBot="1" x14ac:dyDescent="0.35">
      <c r="C22" s="263" t="s">
        <v>774</v>
      </c>
      <c r="D22" s="280">
        <f>D18</f>
        <v>28.949102228367689</v>
      </c>
      <c r="E22" s="274">
        <v>1</v>
      </c>
      <c r="F22" s="274">
        <v>1</v>
      </c>
      <c r="G22" s="291">
        <v>1</v>
      </c>
      <c r="H22" s="333">
        <f>+(D22*E22*E$20)</f>
        <v>8.3853074847332593E-2</v>
      </c>
      <c r="I22" s="334">
        <f>+(D22*F22*F$20)</f>
        <v>7.7660466135694808</v>
      </c>
      <c r="J22" s="292">
        <f>+(D22*G22*G$20)</f>
        <v>0.75135997767094076</v>
      </c>
    </row>
    <row r="23" spans="3:11" ht="15" thickBot="1" x14ac:dyDescent="0.35">
      <c r="C23" s="293"/>
      <c r="D23" s="293"/>
      <c r="E23" s="293"/>
      <c r="G23" s="367" t="s">
        <v>395</v>
      </c>
      <c r="H23" s="368"/>
      <c r="I23" s="369"/>
      <c r="J23" s="332">
        <f>SUM(H17:J22)</f>
        <v>68.281650167283175</v>
      </c>
    </row>
    <row r="24" spans="3:11" x14ac:dyDescent="0.3">
      <c r="J24" s="163"/>
    </row>
    <row r="25" spans="3:11" x14ac:dyDescent="0.3">
      <c r="E25" s="294"/>
      <c r="F25" s="294"/>
      <c r="J25" s="295"/>
      <c r="K25" s="163"/>
    </row>
    <row r="26" spans="3:11" x14ac:dyDescent="0.3">
      <c r="E26" s="294"/>
      <c r="F26" s="294"/>
    </row>
  </sheetData>
  <mergeCells count="9">
    <mergeCell ref="G23:I23"/>
    <mergeCell ref="C13:C15"/>
    <mergeCell ref="D13:D15"/>
    <mergeCell ref="E13:G13"/>
    <mergeCell ref="H13:J13"/>
    <mergeCell ref="E14:E15"/>
    <mergeCell ref="F14:G14"/>
    <mergeCell ref="H14:H15"/>
    <mergeCell ref="I14:J14"/>
  </mergeCells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39B1D3-554F-43FD-B80F-009ECD1098B4}">
  <dimension ref="B1:AA104"/>
  <sheetViews>
    <sheetView zoomScale="110" zoomScaleNormal="110" workbookViewId="0">
      <selection activeCell="C25" sqref="C25"/>
    </sheetView>
  </sheetViews>
  <sheetFormatPr baseColWidth="10" defaultColWidth="11.44140625" defaultRowHeight="14.4" outlineLevelRow="1" x14ac:dyDescent="0.3"/>
  <cols>
    <col min="1" max="1" width="11.44140625" style="220"/>
    <col min="2" max="2" width="15" style="220" bestFit="1" customWidth="1"/>
    <col min="3" max="3" width="11.44140625" style="220"/>
    <col min="4" max="4" width="12" style="220" bestFit="1" customWidth="1"/>
    <col min="5" max="6" width="11.44140625" style="220"/>
    <col min="7" max="7" width="11.88671875" style="220" bestFit="1" customWidth="1"/>
    <col min="8" max="11" width="11.44140625" style="220"/>
    <col min="12" max="12" width="3.44140625" style="220" customWidth="1"/>
    <col min="13" max="13" width="2.33203125" style="220" customWidth="1"/>
    <col min="14" max="16384" width="11.44140625" style="220"/>
  </cols>
  <sheetData>
    <row r="1" spans="2:24" ht="15" thickBot="1" x14ac:dyDescent="0.35"/>
    <row r="2" spans="2:24" x14ac:dyDescent="0.3">
      <c r="B2" s="222" t="s">
        <v>182</v>
      </c>
      <c r="N2" s="382" t="s">
        <v>715</v>
      </c>
      <c r="O2" s="383"/>
      <c r="P2" s="383"/>
      <c r="Q2" s="383"/>
      <c r="R2" s="383"/>
      <c r="S2" s="383"/>
      <c r="T2" s="383"/>
      <c r="U2" s="223"/>
      <c r="W2" s="222"/>
    </row>
    <row r="3" spans="2:24" x14ac:dyDescent="0.3">
      <c r="B3" s="220" t="s">
        <v>716</v>
      </c>
      <c r="C3" s="230">
        <f>Costo!P74</f>
        <v>113462.98244591446</v>
      </c>
      <c r="N3" s="225" t="s">
        <v>717</v>
      </c>
      <c r="U3" s="226"/>
      <c r="X3" s="227"/>
    </row>
    <row r="4" spans="2:24" x14ac:dyDescent="0.3">
      <c r="B4" s="220" t="s">
        <v>719</v>
      </c>
      <c r="C4" s="230">
        <f>-('Costo Arrastrado'!Q4+'Costo Arrastrado'!Q5+'Costo Arrastrado'!Q10)</f>
        <v>2259.3561968972108</v>
      </c>
      <c r="D4" s="228"/>
      <c r="N4" s="229" t="s">
        <v>720</v>
      </c>
      <c r="U4" s="226"/>
      <c r="X4" s="227"/>
    </row>
    <row r="5" spans="2:24" x14ac:dyDescent="0.3">
      <c r="B5" s="220" t="s">
        <v>51</v>
      </c>
      <c r="C5" s="230">
        <f>-'Costo Arrastrado'!Q6</f>
        <v>584.02781863159328</v>
      </c>
      <c r="D5" s="228"/>
      <c r="N5" s="229"/>
      <c r="U5" s="226"/>
      <c r="X5" s="227"/>
    </row>
    <row r="6" spans="2:24" x14ac:dyDescent="0.3">
      <c r="B6" s="220" t="s">
        <v>485</v>
      </c>
      <c r="C6" s="230">
        <f>-'Costo Arrastrado'!Q7</f>
        <v>6.0515930277381074</v>
      </c>
      <c r="N6" s="229"/>
      <c r="U6" s="226"/>
      <c r="X6" s="227"/>
    </row>
    <row r="7" spans="2:24" x14ac:dyDescent="0.3">
      <c r="B7" s="220" t="s">
        <v>625</v>
      </c>
      <c r="C7" s="230">
        <f>-'Costo Arrastrado'!Q8</f>
        <v>0</v>
      </c>
      <c r="N7" s="225" t="s">
        <v>725</v>
      </c>
      <c r="U7" s="226"/>
      <c r="X7" s="227"/>
    </row>
    <row r="8" spans="2:24" x14ac:dyDescent="0.3">
      <c r="B8" s="220" t="s">
        <v>267</v>
      </c>
      <c r="C8" s="230">
        <f>-'Costo Arrastrado'!Q9</f>
        <v>1020.4896153714926</v>
      </c>
      <c r="N8" s="225"/>
      <c r="U8" s="226"/>
      <c r="X8" s="227"/>
    </row>
    <row r="9" spans="2:24" x14ac:dyDescent="0.3">
      <c r="B9" s="220" t="s">
        <v>760</v>
      </c>
      <c r="C9" s="230">
        <f>-'Costo Arrastrado'!O11</f>
        <v>11471.852275706231</v>
      </c>
      <c r="N9" s="225" t="s">
        <v>721</v>
      </c>
      <c r="U9" s="226"/>
      <c r="X9" s="227"/>
    </row>
    <row r="10" spans="2:24" x14ac:dyDescent="0.3">
      <c r="B10" s="220" t="s">
        <v>761</v>
      </c>
      <c r="C10" s="230">
        <f>-'Costo Arrastrado'!P11</f>
        <v>-7485.989243838173</v>
      </c>
      <c r="N10" s="229"/>
      <c r="U10" s="226"/>
      <c r="X10" s="227"/>
    </row>
    <row r="11" spans="2:24" x14ac:dyDescent="0.3">
      <c r="B11" s="220" t="s">
        <v>642</v>
      </c>
      <c r="C11" s="230">
        <f>-'Costo Arrastrado'!Q12</f>
        <v>1152.9382255211121</v>
      </c>
      <c r="N11" s="229" t="s">
        <v>722</v>
      </c>
      <c r="U11" s="226"/>
      <c r="X11" s="227"/>
    </row>
    <row r="12" spans="2:24" x14ac:dyDescent="0.3">
      <c r="B12" s="220" t="s">
        <v>700</v>
      </c>
      <c r="C12" s="230">
        <f>-'Costo Arrastrado'!Q13</f>
        <v>-87.636992903412676</v>
      </c>
      <c r="N12" s="229" t="s">
        <v>726</v>
      </c>
      <c r="U12" s="226"/>
      <c r="X12" s="227"/>
    </row>
    <row r="13" spans="2:24" x14ac:dyDescent="0.3">
      <c r="B13" s="220" t="s">
        <v>461</v>
      </c>
      <c r="C13" s="230">
        <f>-'Costo Arrastrado'!Q14</f>
        <v>-216.86495332210285</v>
      </c>
      <c r="N13" s="229"/>
      <c r="U13" s="226"/>
      <c r="X13" s="227"/>
    </row>
    <row r="14" spans="2:24" x14ac:dyDescent="0.3">
      <c r="B14" s="220" t="s">
        <v>723</v>
      </c>
      <c r="C14" s="230">
        <f>-('Costo Arrastrado'!Q15+'Costo Arrastrado'!Q16)</f>
        <v>-301.99155340827519</v>
      </c>
      <c r="N14" s="229" t="s">
        <v>724</v>
      </c>
      <c r="U14" s="226"/>
      <c r="X14" s="227"/>
    </row>
    <row r="15" spans="2:24" x14ac:dyDescent="0.3">
      <c r="B15" s="220" t="s">
        <v>728</v>
      </c>
      <c r="C15" s="230">
        <f>+SUM(C3:C14)</f>
        <v>121865.21542759787</v>
      </c>
      <c r="D15" s="228"/>
      <c r="N15" s="229" t="s">
        <v>729</v>
      </c>
      <c r="U15" s="226"/>
      <c r="X15" s="227"/>
    </row>
    <row r="16" spans="2:24" x14ac:dyDescent="0.3">
      <c r="C16" s="232"/>
      <c r="D16" s="233"/>
      <c r="N16" s="229"/>
      <c r="U16" s="226"/>
      <c r="X16" s="227"/>
    </row>
    <row r="17" spans="2:21" x14ac:dyDescent="0.3">
      <c r="N17" s="225" t="s">
        <v>736</v>
      </c>
      <c r="U17" s="226"/>
    </row>
    <row r="18" spans="2:21" x14ac:dyDescent="0.3">
      <c r="N18" s="229"/>
      <c r="U18" s="226"/>
    </row>
    <row r="19" spans="2:21" x14ac:dyDescent="0.3">
      <c r="N19" s="225" t="s">
        <v>739</v>
      </c>
      <c r="U19" s="226"/>
    </row>
    <row r="20" spans="2:21" x14ac:dyDescent="0.3">
      <c r="N20" s="225"/>
      <c r="U20" s="226"/>
    </row>
    <row r="21" spans="2:21" x14ac:dyDescent="0.3">
      <c r="N21" s="225" t="s">
        <v>740</v>
      </c>
      <c r="U21" s="226"/>
    </row>
    <row r="22" spans="2:21" x14ac:dyDescent="0.3">
      <c r="N22" s="229"/>
      <c r="U22" s="226"/>
    </row>
    <row r="23" spans="2:21" x14ac:dyDescent="0.3">
      <c r="N23" s="229" t="s">
        <v>741</v>
      </c>
      <c r="U23" s="226"/>
    </row>
    <row r="24" spans="2:21" x14ac:dyDescent="0.3">
      <c r="N24" s="251"/>
      <c r="U24" s="226"/>
    </row>
    <row r="25" spans="2:21" x14ac:dyDescent="0.3">
      <c r="N25" s="252">
        <f>C15-C3</f>
        <v>8402.2329816834099</v>
      </c>
      <c r="O25" s="253" t="s">
        <v>742</v>
      </c>
      <c r="T25" s="254"/>
      <c r="U25" s="226"/>
    </row>
    <row r="26" spans="2:21" ht="15" thickBot="1" x14ac:dyDescent="0.35">
      <c r="N26" s="255"/>
      <c r="O26" s="256"/>
      <c r="P26" s="257"/>
      <c r="Q26" s="257"/>
      <c r="R26" s="257"/>
      <c r="S26" s="257"/>
      <c r="T26" s="257"/>
      <c r="U26" s="258"/>
    </row>
    <row r="27" spans="2:21" ht="15" thickBot="1" x14ac:dyDescent="0.35"/>
    <row r="28" spans="2:21" x14ac:dyDescent="0.3">
      <c r="N28" s="382" t="s">
        <v>743</v>
      </c>
      <c r="O28" s="383"/>
      <c r="P28" s="383"/>
      <c r="Q28" s="383"/>
      <c r="R28" s="383"/>
      <c r="S28" s="383"/>
      <c r="T28" s="383"/>
      <c r="U28" s="223"/>
    </row>
    <row r="29" spans="2:21" x14ac:dyDescent="0.3">
      <c r="B29" s="222" t="s">
        <v>465</v>
      </c>
      <c r="N29" s="229" t="s">
        <v>744</v>
      </c>
      <c r="U29" s="226"/>
    </row>
    <row r="30" spans="2:21" x14ac:dyDescent="0.3">
      <c r="B30" s="220" t="s">
        <v>716</v>
      </c>
      <c r="C30" s="230">
        <f>Costo!P90</f>
        <v>95900.546349588723</v>
      </c>
      <c r="N30" s="229"/>
      <c r="U30" s="226"/>
    </row>
    <row r="31" spans="2:21" x14ac:dyDescent="0.3">
      <c r="B31" s="213" t="s">
        <v>745</v>
      </c>
      <c r="C31" s="230">
        <f>-'Costo Arrastrado'!O22</f>
        <v>4494.4954543656677</v>
      </c>
      <c r="N31" s="229" t="s">
        <v>746</v>
      </c>
      <c r="U31" s="226"/>
    </row>
    <row r="32" spans="2:21" x14ac:dyDescent="0.3">
      <c r="B32" s="213" t="s">
        <v>747</v>
      </c>
      <c r="C32" s="230">
        <f>-'Costo Arrastrado'!P22</f>
        <v>-1817.4123726402479</v>
      </c>
      <c r="N32" s="229"/>
      <c r="U32" s="226"/>
    </row>
    <row r="33" spans="2:27" x14ac:dyDescent="0.3">
      <c r="B33" s="213" t="s">
        <v>2</v>
      </c>
      <c r="C33" s="230">
        <f>-'Costo Arrastrado'!Q23</f>
        <v>571.76847438850041</v>
      </c>
      <c r="N33" s="229" t="s">
        <v>748</v>
      </c>
      <c r="U33" s="226"/>
    </row>
    <row r="34" spans="2:27" x14ac:dyDescent="0.3">
      <c r="B34" s="213" t="s">
        <v>537</v>
      </c>
      <c r="C34" s="230">
        <f>-'Costo Arrastrado'!Q24</f>
        <v>178.50177137466346</v>
      </c>
      <c r="N34" s="229"/>
      <c r="U34" s="226"/>
    </row>
    <row r="35" spans="2:27" x14ac:dyDescent="0.3">
      <c r="B35" s="213" t="s">
        <v>58</v>
      </c>
      <c r="C35" s="230">
        <f>-'Costo Arrastrado'!Q25</f>
        <v>45.054589388680753</v>
      </c>
      <c r="N35" s="251" t="s">
        <v>749</v>
      </c>
      <c r="U35" s="226"/>
    </row>
    <row r="36" spans="2:27" x14ac:dyDescent="0.3">
      <c r="B36" s="213" t="s">
        <v>750</v>
      </c>
      <c r="C36" s="230">
        <f>-'Costo Arrastrado'!Q26</f>
        <v>232.58942818258777</v>
      </c>
      <c r="N36" s="251"/>
      <c r="U36" s="226"/>
    </row>
    <row r="37" spans="2:27" x14ac:dyDescent="0.3">
      <c r="B37" s="213" t="s">
        <v>57</v>
      </c>
      <c r="C37" s="230">
        <f>-'Costo Arrastrado'!Q32</f>
        <v>-227.4717268461701</v>
      </c>
      <c r="N37" s="251" t="s">
        <v>751</v>
      </c>
      <c r="U37" s="226"/>
    </row>
    <row r="38" spans="2:27" x14ac:dyDescent="0.3">
      <c r="B38" s="213" t="s">
        <v>267</v>
      </c>
      <c r="C38" s="230">
        <f>-'Costo Arrastrado'!Q28</f>
        <v>683.98016649810029</v>
      </c>
      <c r="N38" s="229"/>
      <c r="U38" s="226"/>
    </row>
    <row r="39" spans="2:27" x14ac:dyDescent="0.3">
      <c r="B39" s="213" t="s">
        <v>752</v>
      </c>
      <c r="C39" s="230">
        <f>-'Costo Arrastrado'!Q31</f>
        <v>0</v>
      </c>
      <c r="N39" s="229" t="s">
        <v>753</v>
      </c>
      <c r="U39" s="226"/>
    </row>
    <row r="40" spans="2:27" x14ac:dyDescent="0.3">
      <c r="B40" s="213" t="s">
        <v>32</v>
      </c>
      <c r="C40" s="230">
        <f>-'Costo Arrastrado'!Q30</f>
        <v>0</v>
      </c>
      <c r="N40" s="229"/>
      <c r="U40" s="226"/>
      <c r="X40" s="220">
        <v>5000</v>
      </c>
      <c r="Y40" s="220">
        <f>+X40/X42</f>
        <v>0.83333333333333337</v>
      </c>
      <c r="Z40" s="220">
        <v>160000</v>
      </c>
      <c r="AA40" s="220">
        <f>+Z40*Y40</f>
        <v>133333.33333333334</v>
      </c>
    </row>
    <row r="41" spans="2:27" x14ac:dyDescent="0.3">
      <c r="B41" s="213" t="s">
        <v>461</v>
      </c>
      <c r="C41" s="230">
        <f>-'Costo Arrastrado'!Q29</f>
        <v>0</v>
      </c>
      <c r="N41" s="229" t="s">
        <v>722</v>
      </c>
      <c r="U41" s="226"/>
      <c r="X41" s="220">
        <v>1000</v>
      </c>
      <c r="Y41" s="220">
        <f>1-Y40</f>
        <v>0.16666666666666663</v>
      </c>
      <c r="Z41" s="220">
        <v>311000</v>
      </c>
      <c r="AA41" s="220">
        <f>+Z41*Y41</f>
        <v>51833.333333333321</v>
      </c>
    </row>
    <row r="42" spans="2:27" x14ac:dyDescent="0.3">
      <c r="B42" s="213" t="s">
        <v>701</v>
      </c>
      <c r="C42" s="230">
        <f>-'Costo Arrastrado'!Q27</f>
        <v>422.33738397450361</v>
      </c>
      <c r="N42" s="229" t="s">
        <v>726</v>
      </c>
      <c r="U42" s="226"/>
      <c r="X42" s="220">
        <f>+X40+X41</f>
        <v>6000</v>
      </c>
    </row>
    <row r="43" spans="2:27" x14ac:dyDescent="0.3">
      <c r="B43" s="220" t="s">
        <v>728</v>
      </c>
      <c r="C43" s="230">
        <f>SUM(C30:C42)</f>
        <v>100484.38951827501</v>
      </c>
      <c r="N43" s="229"/>
      <c r="U43" s="226"/>
    </row>
    <row r="44" spans="2:27" x14ac:dyDescent="0.3">
      <c r="C44" s="230"/>
      <c r="D44" s="233"/>
      <c r="N44" s="229" t="s">
        <v>754</v>
      </c>
      <c r="U44" s="226"/>
    </row>
    <row r="45" spans="2:27" x14ac:dyDescent="0.3">
      <c r="N45" s="229"/>
      <c r="U45" s="226"/>
      <c r="Y45" s="220">
        <v>2.8</v>
      </c>
    </row>
    <row r="46" spans="2:27" x14ac:dyDescent="0.3">
      <c r="N46" s="229" t="s">
        <v>755</v>
      </c>
      <c r="U46" s="226"/>
      <c r="Y46" s="220">
        <v>4.2</v>
      </c>
    </row>
    <row r="47" spans="2:27" x14ac:dyDescent="0.3">
      <c r="N47" s="229"/>
      <c r="U47" s="226"/>
      <c r="Y47" s="259">
        <f>+(Y45-Y46)/Y45</f>
        <v>-0.50000000000000011</v>
      </c>
    </row>
    <row r="48" spans="2:27" x14ac:dyDescent="0.3">
      <c r="N48" s="229" t="s">
        <v>741</v>
      </c>
      <c r="U48" s="226"/>
    </row>
    <row r="49" spans="2:21" x14ac:dyDescent="0.3">
      <c r="N49" s="251"/>
      <c r="U49" s="226"/>
    </row>
    <row r="50" spans="2:21" x14ac:dyDescent="0.3">
      <c r="N50" s="251"/>
      <c r="U50" s="226"/>
    </row>
    <row r="51" spans="2:21" x14ac:dyDescent="0.3">
      <c r="N51" s="252">
        <f>C43-C30</f>
        <v>4583.8431686862896</v>
      </c>
      <c r="O51" s="253" t="s">
        <v>742</v>
      </c>
      <c r="U51" s="226"/>
    </row>
    <row r="52" spans="2:21" ht="15" thickBot="1" x14ac:dyDescent="0.35">
      <c r="N52" s="255"/>
      <c r="O52" s="256"/>
      <c r="P52" s="257"/>
      <c r="Q52" s="257"/>
      <c r="R52" s="257"/>
      <c r="S52" s="257"/>
      <c r="T52" s="257"/>
      <c r="U52" s="258"/>
    </row>
    <row r="53" spans="2:21" ht="15" thickBot="1" x14ac:dyDescent="0.35"/>
    <row r="54" spans="2:21" x14ac:dyDescent="0.3">
      <c r="N54" s="382" t="s">
        <v>756</v>
      </c>
      <c r="O54" s="383"/>
      <c r="P54" s="383"/>
      <c r="Q54" s="383"/>
      <c r="R54" s="383"/>
      <c r="S54" s="383"/>
      <c r="T54" s="383"/>
      <c r="U54" s="223"/>
    </row>
    <row r="55" spans="2:21" x14ac:dyDescent="0.3">
      <c r="N55" s="229" t="s">
        <v>744</v>
      </c>
      <c r="U55" s="226"/>
    </row>
    <row r="56" spans="2:21" x14ac:dyDescent="0.3">
      <c r="B56" s="213"/>
      <c r="N56" s="229"/>
      <c r="U56" s="226"/>
    </row>
    <row r="57" spans="2:21" x14ac:dyDescent="0.3">
      <c r="B57" s="222" t="s">
        <v>469</v>
      </c>
      <c r="N57" s="229" t="s">
        <v>746</v>
      </c>
      <c r="U57" s="226"/>
    </row>
    <row r="58" spans="2:21" x14ac:dyDescent="0.3">
      <c r="B58" s="220" t="s">
        <v>716</v>
      </c>
      <c r="C58" s="230">
        <f>Costo!P106</f>
        <v>135436.71471925866</v>
      </c>
      <c r="N58" s="229"/>
      <c r="U58" s="226"/>
    </row>
    <row r="59" spans="2:21" x14ac:dyDescent="0.3">
      <c r="B59" s="213" t="s">
        <v>745</v>
      </c>
      <c r="C59" s="230">
        <f>-'Costo Arrastrado'!O38</f>
        <v>7013.4092242808056</v>
      </c>
      <c r="N59" s="229" t="s">
        <v>748</v>
      </c>
      <c r="U59" s="226"/>
    </row>
    <row r="60" spans="2:21" x14ac:dyDescent="0.3">
      <c r="B60" s="213" t="s">
        <v>747</v>
      </c>
      <c r="C60" s="230">
        <f>-'Costo Arrastrado'!P38</f>
        <v>-573.05041996352827</v>
      </c>
      <c r="N60" s="229"/>
      <c r="U60" s="226"/>
    </row>
    <row r="61" spans="2:21" x14ac:dyDescent="0.3">
      <c r="B61" s="213" t="s">
        <v>2</v>
      </c>
      <c r="C61" s="230">
        <f>-'Costo Arrastrado'!Q39</f>
        <v>75.214820335675824</v>
      </c>
      <c r="N61" s="251" t="s">
        <v>751</v>
      </c>
      <c r="U61" s="226"/>
    </row>
    <row r="62" spans="2:21" x14ac:dyDescent="0.3">
      <c r="B62" s="213" t="s">
        <v>537</v>
      </c>
      <c r="C62" s="230">
        <f>-'Costo Arrastrado'!Q40</f>
        <v>186.87469925531107</v>
      </c>
      <c r="N62" s="229"/>
      <c r="U62" s="226"/>
    </row>
    <row r="63" spans="2:21" x14ac:dyDescent="0.3">
      <c r="B63" s="213" t="s">
        <v>58</v>
      </c>
      <c r="C63" s="230">
        <f>-'Costo Arrastrado'!Q41</f>
        <v>0</v>
      </c>
      <c r="N63" s="229"/>
      <c r="U63" s="226"/>
    </row>
    <row r="64" spans="2:21" x14ac:dyDescent="0.3">
      <c r="B64" s="213" t="s">
        <v>750</v>
      </c>
      <c r="C64" s="230">
        <f>-'Costo Arrastrado'!Q42</f>
        <v>238.57169461418385</v>
      </c>
      <c r="N64" s="229" t="s">
        <v>757</v>
      </c>
      <c r="U64" s="226"/>
    </row>
    <row r="65" spans="2:21" x14ac:dyDescent="0.3">
      <c r="B65" s="213" t="s">
        <v>57</v>
      </c>
      <c r="C65" s="230">
        <f>-'Costo Arrastrado'!Q48</f>
        <v>253.34612614994774</v>
      </c>
      <c r="N65" s="229"/>
      <c r="U65" s="226"/>
    </row>
    <row r="66" spans="2:21" x14ac:dyDescent="0.3">
      <c r="B66" s="213" t="s">
        <v>267</v>
      </c>
      <c r="C66" s="230">
        <f>-'Costo Arrastrado'!Q44</f>
        <v>347.0655636542931</v>
      </c>
      <c r="N66" s="229" t="s">
        <v>722</v>
      </c>
      <c r="U66" s="226"/>
    </row>
    <row r="67" spans="2:21" x14ac:dyDescent="0.3">
      <c r="B67" s="213" t="s">
        <v>752</v>
      </c>
      <c r="C67" s="230">
        <f>-'Costo Arrastrado'!Q47</f>
        <v>0</v>
      </c>
      <c r="N67" s="229" t="s">
        <v>726</v>
      </c>
      <c r="U67" s="226"/>
    </row>
    <row r="68" spans="2:21" x14ac:dyDescent="0.3">
      <c r="B68" s="213" t="s">
        <v>32</v>
      </c>
      <c r="C68" s="230">
        <f>-'Costo Arrastrado'!Q47</f>
        <v>0</v>
      </c>
      <c r="N68" s="229"/>
      <c r="U68" s="226"/>
    </row>
    <row r="69" spans="2:21" x14ac:dyDescent="0.3">
      <c r="B69" s="213" t="s">
        <v>461</v>
      </c>
      <c r="C69" s="230">
        <f>-'Costo Arrastrado'!Q45</f>
        <v>0</v>
      </c>
      <c r="N69" s="229" t="s">
        <v>754</v>
      </c>
      <c r="U69" s="226"/>
    </row>
    <row r="70" spans="2:21" x14ac:dyDescent="0.3">
      <c r="B70" s="213" t="s">
        <v>701</v>
      </c>
      <c r="C70" s="230">
        <f>-'Costo Arrastrado'!Q43</f>
        <v>422.33738397450361</v>
      </c>
      <c r="N70" s="229"/>
      <c r="U70" s="226"/>
    </row>
    <row r="71" spans="2:21" x14ac:dyDescent="0.3">
      <c r="B71" s="220" t="s">
        <v>728</v>
      </c>
      <c r="C71" s="230">
        <f>SUM(C58:C70)</f>
        <v>143400.48381155985</v>
      </c>
      <c r="N71" s="229" t="s">
        <v>755</v>
      </c>
      <c r="U71" s="226"/>
    </row>
    <row r="72" spans="2:21" x14ac:dyDescent="0.3">
      <c r="C72" s="232"/>
      <c r="D72" s="233"/>
      <c r="N72" s="229"/>
      <c r="U72" s="226"/>
    </row>
    <row r="73" spans="2:21" x14ac:dyDescent="0.3">
      <c r="N73" s="229" t="s">
        <v>741</v>
      </c>
      <c r="U73" s="226"/>
    </row>
    <row r="74" spans="2:21" x14ac:dyDescent="0.3">
      <c r="N74" s="229"/>
      <c r="U74" s="226"/>
    </row>
    <row r="75" spans="2:21" x14ac:dyDescent="0.3">
      <c r="N75" s="229"/>
      <c r="U75" s="226"/>
    </row>
    <row r="76" spans="2:21" x14ac:dyDescent="0.3">
      <c r="N76" s="251"/>
      <c r="U76" s="226"/>
    </row>
    <row r="77" spans="2:21" x14ac:dyDescent="0.3">
      <c r="N77" s="252">
        <f>C71-C58</f>
        <v>7963.7690923011978</v>
      </c>
      <c r="O77" s="253" t="s">
        <v>742</v>
      </c>
      <c r="U77" s="226"/>
    </row>
    <row r="78" spans="2:21" ht="15" thickBot="1" x14ac:dyDescent="0.35">
      <c r="N78" s="255"/>
      <c r="O78" s="256"/>
      <c r="P78" s="257"/>
      <c r="Q78" s="257"/>
      <c r="R78" s="257"/>
      <c r="S78" s="257"/>
      <c r="T78" s="257"/>
      <c r="U78" s="258"/>
    </row>
    <row r="79" spans="2:21" x14ac:dyDescent="0.3">
      <c r="N79" s="221"/>
    </row>
    <row r="80" spans="2:21" x14ac:dyDescent="0.3">
      <c r="B80" s="222" t="s">
        <v>178</v>
      </c>
    </row>
    <row r="81" spans="2:21" x14ac:dyDescent="0.3">
      <c r="B81" s="220" t="s">
        <v>716</v>
      </c>
      <c r="C81" s="230">
        <f>Costo!P167</f>
        <v>141019.97879471854</v>
      </c>
    </row>
    <row r="82" spans="2:21" ht="15" thickBot="1" x14ac:dyDescent="0.35">
      <c r="B82" s="213" t="s">
        <v>745</v>
      </c>
      <c r="C82" s="230">
        <f>-'Costo Arrastrado'!O54</f>
        <v>7674.4068646821224</v>
      </c>
    </row>
    <row r="83" spans="2:21" x14ac:dyDescent="0.3">
      <c r="B83" s="213" t="s">
        <v>747</v>
      </c>
      <c r="C83" s="230">
        <f>-'Costo Arrastrado'!P54</f>
        <v>76.641507848026507</v>
      </c>
      <c r="N83" s="382" t="s">
        <v>758</v>
      </c>
      <c r="O83" s="383"/>
      <c r="P83" s="383"/>
      <c r="Q83" s="383"/>
      <c r="R83" s="383"/>
      <c r="S83" s="383"/>
      <c r="T83" s="383"/>
      <c r="U83" s="223"/>
    </row>
    <row r="84" spans="2:21" x14ac:dyDescent="0.3">
      <c r="B84" s="213" t="s">
        <v>2</v>
      </c>
      <c r="C84" s="230">
        <f>-'Costo Arrastrado'!Q55</f>
        <v>-16.704203636261845</v>
      </c>
      <c r="N84" s="229" t="s">
        <v>744</v>
      </c>
      <c r="U84" s="226"/>
    </row>
    <row r="85" spans="2:21" x14ac:dyDescent="0.3">
      <c r="B85" s="213" t="s">
        <v>750</v>
      </c>
      <c r="C85" s="230">
        <f>-'Costo Arrastrado'!Q58</f>
        <v>-42.93534056659071</v>
      </c>
      <c r="N85" s="229"/>
      <c r="U85" s="226"/>
    </row>
    <row r="86" spans="2:21" x14ac:dyDescent="0.3">
      <c r="B86" s="213" t="s">
        <v>57</v>
      </c>
      <c r="C86" s="230">
        <f>-'Costo Arrastrado'!Q64</f>
        <v>1288.7897820610087</v>
      </c>
      <c r="N86" s="229"/>
      <c r="U86" s="226"/>
    </row>
    <row r="87" spans="2:21" x14ac:dyDescent="0.3">
      <c r="B87" s="213" t="s">
        <v>267</v>
      </c>
      <c r="C87" s="230">
        <f>-'Costo Arrastrado'!Q60</f>
        <v>949.3281072615722</v>
      </c>
      <c r="N87" s="229" t="s">
        <v>746</v>
      </c>
      <c r="U87" s="226"/>
    </row>
    <row r="88" spans="2:21" x14ac:dyDescent="0.3">
      <c r="B88" s="213" t="s">
        <v>32</v>
      </c>
      <c r="C88" s="230">
        <f>-'Costo Arrastrado'!Q62</f>
        <v>0</v>
      </c>
      <c r="N88" s="229"/>
      <c r="U88" s="226"/>
    </row>
    <row r="89" spans="2:21" x14ac:dyDescent="0.3">
      <c r="B89" s="213" t="s">
        <v>461</v>
      </c>
      <c r="C89" s="230">
        <f>-'Costo Arrastrado'!Q61</f>
        <v>0</v>
      </c>
      <c r="N89" s="229" t="s">
        <v>753</v>
      </c>
      <c r="U89" s="226"/>
    </row>
    <row r="90" spans="2:21" x14ac:dyDescent="0.3">
      <c r="B90" s="213" t="s">
        <v>701</v>
      </c>
      <c r="C90" s="230">
        <f>-'Costo Arrastrado'!Q59</f>
        <v>422.33738397450361</v>
      </c>
      <c r="N90" s="229"/>
      <c r="U90" s="226"/>
    </row>
    <row r="91" spans="2:21" x14ac:dyDescent="0.3">
      <c r="B91" s="220" t="s">
        <v>728</v>
      </c>
      <c r="C91" s="230">
        <f>SUM(C81:C90)</f>
        <v>151371.84289634292</v>
      </c>
      <c r="N91" s="229" t="s">
        <v>722</v>
      </c>
      <c r="U91" s="226"/>
    </row>
    <row r="92" spans="2:21" x14ac:dyDescent="0.3">
      <c r="C92" s="232"/>
      <c r="D92" s="233"/>
      <c r="N92" s="229"/>
      <c r="U92" s="226"/>
    </row>
    <row r="93" spans="2:21" x14ac:dyDescent="0.3">
      <c r="N93" s="229" t="s">
        <v>754</v>
      </c>
      <c r="U93" s="226"/>
    </row>
    <row r="94" spans="2:21" x14ac:dyDescent="0.3">
      <c r="N94" s="229"/>
      <c r="U94" s="226"/>
    </row>
    <row r="95" spans="2:21" x14ac:dyDescent="0.3">
      <c r="N95" s="229" t="s">
        <v>755</v>
      </c>
      <c r="U95" s="226"/>
    </row>
    <row r="96" spans="2:21" x14ac:dyDescent="0.3">
      <c r="N96" s="229"/>
      <c r="U96" s="226"/>
    </row>
    <row r="97" spans="14:21" x14ac:dyDescent="0.3">
      <c r="N97" s="229" t="s">
        <v>759</v>
      </c>
      <c r="U97" s="226"/>
    </row>
    <row r="98" spans="14:21" x14ac:dyDescent="0.3">
      <c r="N98" s="229"/>
      <c r="U98" s="226"/>
    </row>
    <row r="99" spans="14:21" x14ac:dyDescent="0.3">
      <c r="N99" s="229"/>
      <c r="U99" s="226"/>
    </row>
    <row r="100" spans="14:21" x14ac:dyDescent="0.3">
      <c r="N100" s="251"/>
      <c r="U100" s="226"/>
    </row>
    <row r="101" spans="14:21" x14ac:dyDescent="0.3">
      <c r="N101" s="252">
        <f>C91-C81</f>
        <v>10351.864101624378</v>
      </c>
      <c r="O101" s="253" t="s">
        <v>742</v>
      </c>
      <c r="U101" s="226"/>
    </row>
    <row r="102" spans="14:21" ht="15" thickBot="1" x14ac:dyDescent="0.35">
      <c r="N102" s="255"/>
      <c r="O102" s="256"/>
      <c r="P102" s="257"/>
      <c r="Q102" s="257"/>
      <c r="R102" s="257"/>
      <c r="S102" s="257"/>
      <c r="T102" s="257"/>
      <c r="U102" s="258"/>
    </row>
    <row r="104" spans="14:21" outlineLevel="1" x14ac:dyDescent="0.3"/>
  </sheetData>
  <mergeCells count="4">
    <mergeCell ref="N2:T2"/>
    <mergeCell ref="N28:T28"/>
    <mergeCell ref="N54:T54"/>
    <mergeCell ref="N83:T83"/>
  </mergeCells>
  <pageMargins left="0.7" right="0.7" top="0.75" bottom="0.75" header="0.3" footer="0.3"/>
  <pageSetup orientation="portrait" horizontalDpi="0" verticalDpi="0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B35513-FFF3-43F8-AAB4-E720325C0E9E}">
  <dimension ref="A1:X56"/>
  <sheetViews>
    <sheetView zoomScale="124" zoomScaleNormal="100" workbookViewId="0">
      <selection activeCell="E8" sqref="E8"/>
    </sheetView>
  </sheetViews>
  <sheetFormatPr baseColWidth="10" defaultColWidth="11.44140625" defaultRowHeight="14.4" outlineLevelRow="1" x14ac:dyDescent="0.3"/>
  <cols>
    <col min="1" max="1" width="11.44140625" style="220"/>
    <col min="2" max="2" width="15" style="220" bestFit="1" customWidth="1"/>
    <col min="3" max="3" width="11.44140625" style="220"/>
    <col min="4" max="4" width="12" style="220" bestFit="1" customWidth="1"/>
    <col min="5" max="6" width="11.44140625" style="220"/>
    <col min="7" max="7" width="11.88671875" style="220" bestFit="1" customWidth="1"/>
    <col min="8" max="11" width="11.44140625" style="220"/>
    <col min="12" max="12" width="3.44140625" style="220" customWidth="1"/>
    <col min="13" max="13" width="2.33203125" style="220" customWidth="1"/>
    <col min="14" max="16384" width="11.44140625" style="220"/>
  </cols>
  <sheetData>
    <row r="1" spans="2:24" ht="15" thickBot="1" x14ac:dyDescent="0.35">
      <c r="C1" s="221"/>
    </row>
    <row r="2" spans="2:24" x14ac:dyDescent="0.3">
      <c r="B2" s="222" t="s">
        <v>182</v>
      </c>
      <c r="N2" s="382" t="s">
        <v>715</v>
      </c>
      <c r="O2" s="383"/>
      <c r="P2" s="383"/>
      <c r="Q2" s="383"/>
      <c r="R2" s="383"/>
      <c r="S2" s="383"/>
      <c r="T2" s="383"/>
      <c r="U2" s="223"/>
      <c r="W2" s="222" t="s">
        <v>182</v>
      </c>
    </row>
    <row r="3" spans="2:24" x14ac:dyDescent="0.3">
      <c r="B3" s="220" t="s">
        <v>716</v>
      </c>
      <c r="C3" s="224">
        <f>Costo!P74</f>
        <v>113462.98244591446</v>
      </c>
      <c r="N3" s="225" t="s">
        <v>717</v>
      </c>
      <c r="U3" s="226"/>
      <c r="W3" s="220" t="s">
        <v>718</v>
      </c>
      <c r="X3" s="227">
        <v>78627.037356650282</v>
      </c>
    </row>
    <row r="4" spans="2:24" x14ac:dyDescent="0.3">
      <c r="B4" s="220" t="s">
        <v>719</v>
      </c>
      <c r="C4" s="224">
        <f>-('Costo Arrastrado'!Q4+'Costo Arrastrado'!Q5+'Costo Arrastrado'!Q10)</f>
        <v>2259.3561968972108</v>
      </c>
      <c r="D4" s="228"/>
      <c r="N4" s="229" t="s">
        <v>720</v>
      </c>
      <c r="U4" s="226"/>
      <c r="W4" s="220" t="s">
        <v>3</v>
      </c>
      <c r="X4" s="227">
        <v>-523.52583138174259</v>
      </c>
    </row>
    <row r="5" spans="2:24" x14ac:dyDescent="0.3">
      <c r="B5" s="220" t="s">
        <v>7</v>
      </c>
      <c r="C5" s="224">
        <f>SUM(C24:D24)</f>
        <v>7357.1555518670375</v>
      </c>
      <c r="N5" s="225" t="s">
        <v>721</v>
      </c>
      <c r="U5" s="226"/>
      <c r="W5" s="220" t="s">
        <v>267</v>
      </c>
      <c r="X5" s="227">
        <v>2205.6146065004832</v>
      </c>
    </row>
    <row r="6" spans="2:24" x14ac:dyDescent="0.3">
      <c r="B6" s="220" t="s">
        <v>6</v>
      </c>
      <c r="C6" s="224">
        <f>SUM(C25:D25)</f>
        <v>-3401.1555518670393</v>
      </c>
      <c r="N6" s="229"/>
      <c r="U6" s="226"/>
      <c r="X6" s="227"/>
    </row>
    <row r="7" spans="2:24" x14ac:dyDescent="0.3">
      <c r="B7" s="220" t="s">
        <v>642</v>
      </c>
      <c r="C7" s="224">
        <f>-'Costo Arrastrado'!F12</f>
        <v>-6475.7610331896567</v>
      </c>
      <c r="N7" s="229" t="s">
        <v>722</v>
      </c>
      <c r="U7" s="226"/>
      <c r="X7" s="227"/>
    </row>
    <row r="8" spans="2:24" x14ac:dyDescent="0.3">
      <c r="B8" s="220" t="s">
        <v>723</v>
      </c>
      <c r="C8" s="224">
        <f>-('Costo Arrastrado'!F15+'Costo Arrastrado'!F16)</f>
        <v>-8125.5999478793183</v>
      </c>
      <c r="N8" s="229" t="s">
        <v>724</v>
      </c>
      <c r="U8" s="226"/>
      <c r="W8" s="220" t="s">
        <v>454</v>
      </c>
      <c r="X8" s="227">
        <v>16170.169277279412</v>
      </c>
    </row>
    <row r="9" spans="2:24" x14ac:dyDescent="0.3">
      <c r="B9" s="220" t="s">
        <v>51</v>
      </c>
      <c r="C9" s="224">
        <f>-'Costo Arrastrado'!F6</f>
        <v>-584.02781863159328</v>
      </c>
      <c r="D9" s="228"/>
      <c r="N9" s="229"/>
      <c r="U9" s="226"/>
      <c r="X9" s="227"/>
    </row>
    <row r="10" spans="2:24" x14ac:dyDescent="0.3">
      <c r="B10" s="220" t="str">
        <f>+W5</f>
        <v>Energía</v>
      </c>
      <c r="C10" s="224">
        <f>-'Costo Arrastrado'!F9</f>
        <v>-31270.164837290889</v>
      </c>
      <c r="N10" s="225"/>
      <c r="U10" s="226"/>
      <c r="W10" s="220" t="s">
        <v>485</v>
      </c>
      <c r="X10" s="227">
        <v>-13.011927704631887</v>
      </c>
    </row>
    <row r="11" spans="2:24" hidden="1" outlineLevel="1" x14ac:dyDescent="0.3">
      <c r="B11" s="220" t="str">
        <f>+W10</f>
        <v>Regalías</v>
      </c>
      <c r="C11" s="230" t="e">
        <f>-'Costo Arrastrado'!#REF!</f>
        <v>#REF!</v>
      </c>
      <c r="N11" s="229"/>
      <c r="U11" s="226"/>
      <c r="W11" s="220" t="s">
        <v>2</v>
      </c>
      <c r="X11" s="227">
        <v>-2121.8336690544984</v>
      </c>
    </row>
    <row r="12" spans="2:24" hidden="1" outlineLevel="1" x14ac:dyDescent="0.3">
      <c r="B12" s="220" t="s">
        <v>625</v>
      </c>
      <c r="C12" s="230" t="e">
        <f>-'Costo Arrastrado'!#REF!</f>
        <v>#REF!</v>
      </c>
      <c r="N12" s="225" t="s">
        <v>725</v>
      </c>
      <c r="U12" s="226"/>
      <c r="X12" s="227"/>
    </row>
    <row r="13" spans="2:24" hidden="1" outlineLevel="1" x14ac:dyDescent="0.3">
      <c r="B13" s="220" t="s">
        <v>700</v>
      </c>
      <c r="C13" s="230" t="e">
        <f>-'Costo Arrastrado'!#REF!</f>
        <v>#REF!</v>
      </c>
      <c r="N13" s="229" t="s">
        <v>726</v>
      </c>
      <c r="U13" s="226"/>
      <c r="W13" s="220" t="s">
        <v>54</v>
      </c>
      <c r="X13" s="227">
        <v>-2487.2525391369131</v>
      </c>
    </row>
    <row r="14" spans="2:24" hidden="1" outlineLevel="1" x14ac:dyDescent="0.3">
      <c r="B14" s="220" t="str">
        <f>+W16</f>
        <v>Gasoil</v>
      </c>
      <c r="C14" s="230" t="e">
        <f>-'Costo Arrastrado'!#REF!</f>
        <v>#REF!</v>
      </c>
      <c r="N14" s="229"/>
      <c r="U14" s="226"/>
      <c r="X14" s="227"/>
    </row>
    <row r="15" spans="2:24" collapsed="1" x14ac:dyDescent="0.3">
      <c r="B15" s="220" t="s">
        <v>727</v>
      </c>
      <c r="C15" s="224"/>
      <c r="E15" s="221"/>
      <c r="N15" s="229"/>
      <c r="U15" s="226"/>
      <c r="X15" s="227"/>
    </row>
    <row r="16" spans="2:24" x14ac:dyDescent="0.3">
      <c r="B16" s="220" t="s">
        <v>728</v>
      </c>
      <c r="C16" s="230">
        <f>+SUM(C3:C10,C15)</f>
        <v>73222.785005820188</v>
      </c>
      <c r="D16" s="228"/>
      <c r="E16" s="231"/>
      <c r="N16" s="229" t="s">
        <v>729</v>
      </c>
      <c r="U16" s="226"/>
      <c r="W16" s="220" t="s">
        <v>461</v>
      </c>
      <c r="X16" s="227">
        <v>0</v>
      </c>
    </row>
    <row r="17" spans="1:24" x14ac:dyDescent="0.3">
      <c r="C17" s="232"/>
      <c r="D17" s="233"/>
      <c r="N17" s="229"/>
      <c r="U17" s="226"/>
      <c r="W17" s="220" t="s">
        <v>698</v>
      </c>
      <c r="X17" s="227">
        <f>SUM(X3:X16)</f>
        <v>91857.1972731524</v>
      </c>
    </row>
    <row r="18" spans="1:24" x14ac:dyDescent="0.3">
      <c r="A18" s="220" t="s">
        <v>730</v>
      </c>
      <c r="B18" s="220" t="s">
        <v>731</v>
      </c>
      <c r="C18" s="220" t="s">
        <v>732</v>
      </c>
      <c r="D18" s="220" t="s">
        <v>733</v>
      </c>
      <c r="E18" s="220" t="s">
        <v>734</v>
      </c>
      <c r="F18" s="220" t="s">
        <v>735</v>
      </c>
      <c r="N18" s="225" t="s">
        <v>736</v>
      </c>
      <c r="U18" s="226"/>
    </row>
    <row r="19" spans="1:24" x14ac:dyDescent="0.3">
      <c r="A19" s="232">
        <f>+B19*C19</f>
        <v>37271.325929429149</v>
      </c>
      <c r="B19" s="234">
        <f>9.4%</f>
        <v>9.4E-2</v>
      </c>
      <c r="C19" s="235">
        <v>396503.46733435267</v>
      </c>
      <c r="D19" s="236">
        <f>+E19*F19</f>
        <v>11830.091727803157</v>
      </c>
      <c r="E19" s="234">
        <f>3.2%</f>
        <v>3.2000000000000001E-2</v>
      </c>
      <c r="F19" s="228">
        <v>369690.36649384868</v>
      </c>
      <c r="G19" s="220" t="s">
        <v>737</v>
      </c>
      <c r="N19" s="229"/>
      <c r="U19" s="226"/>
    </row>
    <row r="20" spans="1:24" ht="15" thickBot="1" x14ac:dyDescent="0.35">
      <c r="A20" s="237">
        <f>+B20*C20</f>
        <v>2971.3838571718179</v>
      </c>
      <c r="B20" s="238">
        <f>1.6%</f>
        <v>1.6E-2</v>
      </c>
      <c r="C20" s="239">
        <v>185711.49107323861</v>
      </c>
      <c r="D20" s="240">
        <f>+E20*F20</f>
        <v>15874.237070534915</v>
      </c>
      <c r="E20" s="238">
        <f>9.4%</f>
        <v>9.4E-2</v>
      </c>
      <c r="F20" s="241">
        <v>168874.8624524991</v>
      </c>
      <c r="G20" s="242" t="s">
        <v>738</v>
      </c>
      <c r="N20" s="225" t="s">
        <v>739</v>
      </c>
      <c r="U20" s="226"/>
    </row>
    <row r="21" spans="1:24" ht="15" thickTop="1" x14ac:dyDescent="0.3">
      <c r="A21" s="243">
        <f>SUM(A19:A20)</f>
        <v>40242.709786600964</v>
      </c>
      <c r="B21" s="244">
        <f>SUM(B19:B20)</f>
        <v>0.11</v>
      </c>
      <c r="C21" s="245">
        <f>B19/B21*C19+B20/B21*C20</f>
        <v>365842.81624182698</v>
      </c>
      <c r="D21" s="246">
        <f>SUM(D19:D20)</f>
        <v>27704.328798338072</v>
      </c>
      <c r="E21" s="244">
        <f>SUM(E19:E20)</f>
        <v>0.126</v>
      </c>
      <c r="F21" s="245">
        <f>E19/E21*F19+E20/E21*F20</f>
        <v>219875.62538363552</v>
      </c>
      <c r="G21" s="247"/>
      <c r="N21" s="225"/>
      <c r="U21" s="226"/>
    </row>
    <row r="22" spans="1:24" x14ac:dyDescent="0.3">
      <c r="D22" s="248"/>
      <c r="N22" s="225" t="s">
        <v>740</v>
      </c>
      <c r="U22" s="226"/>
    </row>
    <row r="23" spans="1:24" x14ac:dyDescent="0.3">
      <c r="C23" s="220" t="s">
        <v>622</v>
      </c>
      <c r="D23" s="248" t="s">
        <v>623</v>
      </c>
      <c r="N23" s="229"/>
      <c r="U23" s="226"/>
    </row>
    <row r="24" spans="1:24" x14ac:dyDescent="0.3">
      <c r="B24" s="220" t="s">
        <v>737</v>
      </c>
      <c r="C24" s="249">
        <f>(((-(D19-A19)*E19)))*2.3543336974824</f>
        <v>1916.7089595657542</v>
      </c>
      <c r="D24" s="250">
        <f>(((-(E19-B19)*A19)))*2.3543336974824</f>
        <v>5440.4465923012831</v>
      </c>
      <c r="E24" s="249">
        <f>SUM(C24:D25)</f>
        <v>3955.9999999999982</v>
      </c>
      <c r="F24" s="221">
        <v>3956</v>
      </c>
      <c r="N24" s="229" t="s">
        <v>741</v>
      </c>
      <c r="U24" s="226"/>
    </row>
    <row r="25" spans="1:24" x14ac:dyDescent="0.3">
      <c r="B25" s="220" t="s">
        <v>738</v>
      </c>
      <c r="C25" s="249">
        <f>(((-(D20-A20)*E20)))*2.3543336974824</f>
        <v>-2855.4964787056419</v>
      </c>
      <c r="D25" s="250">
        <f>(((-(E20-B20)*A20)))*2.3543336974824</f>
        <v>-545.6590731613976</v>
      </c>
      <c r="F25" s="221">
        <v>2.3543336974823998</v>
      </c>
      <c r="N25" s="251"/>
      <c r="U25" s="226"/>
    </row>
    <row r="26" spans="1:24" x14ac:dyDescent="0.3">
      <c r="N26" s="252">
        <f>C16-C3</f>
        <v>-40240.197440094271</v>
      </c>
      <c r="O26" s="253" t="s">
        <v>742</v>
      </c>
      <c r="T26" s="254"/>
      <c r="U26" s="226"/>
    </row>
    <row r="27" spans="1:24" ht="15" thickBot="1" x14ac:dyDescent="0.35">
      <c r="N27" s="255"/>
      <c r="O27" s="256"/>
      <c r="P27" s="257"/>
      <c r="Q27" s="257"/>
      <c r="R27" s="257"/>
      <c r="S27" s="257"/>
      <c r="T27" s="257"/>
      <c r="U27" s="258"/>
    </row>
    <row r="31" spans="1:24" x14ac:dyDescent="0.3">
      <c r="B31" s="222" t="s">
        <v>669</v>
      </c>
    </row>
    <row r="32" spans="1:24" x14ac:dyDescent="0.3">
      <c r="B32" s="220" t="s">
        <v>716</v>
      </c>
      <c r="C32" s="224">
        <v>128423</v>
      </c>
    </row>
    <row r="33" spans="2:6" x14ac:dyDescent="0.3">
      <c r="B33" s="220" t="s">
        <v>745</v>
      </c>
      <c r="C33" s="224">
        <v>6500</v>
      </c>
      <c r="D33" s="260">
        <v>863.67149651803516</v>
      </c>
    </row>
    <row r="34" spans="2:6" x14ac:dyDescent="0.3">
      <c r="B34" s="220" t="s">
        <v>762</v>
      </c>
      <c r="C34" s="224">
        <v>-2097.4343857114213</v>
      </c>
      <c r="D34" s="260">
        <v>-264.62756255633684</v>
      </c>
    </row>
    <row r="35" spans="2:6" x14ac:dyDescent="0.3">
      <c r="B35" s="220" t="s">
        <v>58</v>
      </c>
      <c r="C35" s="224">
        <v>491</v>
      </c>
      <c r="D35" s="260">
        <v>62.642162431743607</v>
      </c>
    </row>
    <row r="36" spans="2:6" x14ac:dyDescent="0.3">
      <c r="B36" s="220" t="s">
        <v>504</v>
      </c>
      <c r="C36" s="224">
        <v>484.33738397450361</v>
      </c>
      <c r="D36" s="260">
        <v>61.813380859646117</v>
      </c>
      <c r="F36" s="234"/>
    </row>
    <row r="37" spans="2:6" x14ac:dyDescent="0.3">
      <c r="B37" s="220" t="s">
        <v>267</v>
      </c>
      <c r="C37" s="224">
        <v>670.05613826938497</v>
      </c>
      <c r="D37" s="260">
        <v>77.499387458002417</v>
      </c>
    </row>
    <row r="38" spans="2:6" x14ac:dyDescent="0.3">
      <c r="B38" s="220" t="s">
        <v>763</v>
      </c>
      <c r="C38" s="224">
        <v>162.71672927322379</v>
      </c>
      <c r="D38" s="260">
        <v>-54.210314651585598</v>
      </c>
    </row>
    <row r="39" spans="2:6" x14ac:dyDescent="0.3">
      <c r="B39" s="220" t="s">
        <v>267</v>
      </c>
      <c r="C39" s="224">
        <v>253.78020588956895</v>
      </c>
      <c r="D39" s="260">
        <v>31.769184028408986</v>
      </c>
    </row>
    <row r="40" spans="2:6" x14ac:dyDescent="0.3">
      <c r="B40" s="220" t="s">
        <v>57</v>
      </c>
      <c r="C40" s="224">
        <v>-186.6240390222174</v>
      </c>
      <c r="D40" s="260">
        <v>-17.55773408791374</v>
      </c>
    </row>
    <row r="41" spans="2:6" hidden="1" outlineLevel="1" x14ac:dyDescent="0.3">
      <c r="B41" s="220" t="s">
        <v>391</v>
      </c>
      <c r="C41" s="230">
        <v>445.16358984545059</v>
      </c>
      <c r="D41" s="220">
        <f t="shared" ref="D41:D44" si="0">C41/SUM($C$33:$C$45)*761</f>
        <v>40.837045375902171</v>
      </c>
    </row>
    <row r="42" spans="2:6" hidden="1" outlineLevel="1" x14ac:dyDescent="0.3">
      <c r="B42" s="220" t="s">
        <v>540</v>
      </c>
      <c r="C42" s="230">
        <v>235.16973104553404</v>
      </c>
      <c r="D42" s="220">
        <f t="shared" si="0"/>
        <v>21.573275974972077</v>
      </c>
      <c r="F42" s="234"/>
    </row>
    <row r="43" spans="2:6" hidden="1" outlineLevel="1" x14ac:dyDescent="0.3">
      <c r="B43" s="220" t="s">
        <v>668</v>
      </c>
      <c r="C43" s="230">
        <v>0</v>
      </c>
      <c r="D43" s="220">
        <f t="shared" si="0"/>
        <v>0</v>
      </c>
    </row>
    <row r="44" spans="2:6" hidden="1" outlineLevel="1" x14ac:dyDescent="0.3">
      <c r="B44" s="220" t="s">
        <v>537</v>
      </c>
      <c r="C44" s="230">
        <v>194.07145580537031</v>
      </c>
      <c r="D44" s="220">
        <f t="shared" si="0"/>
        <v>17.803129069119876</v>
      </c>
    </row>
    <row r="45" spans="2:6" collapsed="1" x14ac:dyDescent="0.3">
      <c r="B45" s="220" t="s">
        <v>727</v>
      </c>
      <c r="C45" s="224">
        <f>SUM(C41:C44)+135490-134460-761</f>
        <v>1143.4047766963486</v>
      </c>
      <c r="E45" s="221">
        <f>(C46-C32)</f>
        <v>7421.2368093693804</v>
      </c>
    </row>
    <row r="46" spans="2:6" x14ac:dyDescent="0.3">
      <c r="B46" s="220" t="s">
        <v>728</v>
      </c>
      <c r="C46" s="224">
        <f>+SUM(C32:C40,C45)</f>
        <v>135844.23680936938</v>
      </c>
      <c r="E46" s="231">
        <f>(C46-C32)/C32</f>
        <v>5.7787443132222269E-2</v>
      </c>
    </row>
    <row r="48" spans="2:6" x14ac:dyDescent="0.3">
      <c r="C48" s="220">
        <v>137279</v>
      </c>
      <c r="E48" s="220">
        <v>1.5054151624548737</v>
      </c>
    </row>
    <row r="49" spans="2:5" x14ac:dyDescent="0.3">
      <c r="D49" s="220" t="s">
        <v>624</v>
      </c>
      <c r="E49" s="220">
        <f>645*E48</f>
        <v>970.99277978339353</v>
      </c>
    </row>
    <row r="50" spans="2:5" x14ac:dyDescent="0.3">
      <c r="B50" s="220" t="s">
        <v>391</v>
      </c>
      <c r="C50" s="220">
        <v>392.3321855364693</v>
      </c>
      <c r="D50" s="220" t="s">
        <v>764</v>
      </c>
      <c r="E50" s="220">
        <f>186*E48</f>
        <v>280.00722021660653</v>
      </c>
    </row>
    <row r="51" spans="2:5" x14ac:dyDescent="0.3">
      <c r="B51" s="220" t="s">
        <v>540</v>
      </c>
      <c r="C51" s="220">
        <v>244.47071531596885</v>
      </c>
    </row>
    <row r="52" spans="2:5" x14ac:dyDescent="0.3">
      <c r="B52" s="220" t="s">
        <v>668</v>
      </c>
      <c r="C52" s="220">
        <v>205.32730544356718</v>
      </c>
    </row>
    <row r="53" spans="2:5" x14ac:dyDescent="0.3">
      <c r="B53" s="220" t="s">
        <v>537</v>
      </c>
      <c r="C53" s="220">
        <v>194.07145580536985</v>
      </c>
    </row>
    <row r="54" spans="2:5" x14ac:dyDescent="0.3">
      <c r="B54" s="220" t="s">
        <v>267</v>
      </c>
      <c r="C54" s="220">
        <v>141.18761202241865</v>
      </c>
    </row>
    <row r="56" spans="2:5" x14ac:dyDescent="0.3">
      <c r="D56" s="220">
        <v>135490</v>
      </c>
    </row>
  </sheetData>
  <mergeCells count="1">
    <mergeCell ref="N2:T2"/>
  </mergeCells>
  <pageMargins left="0.7" right="0.7" top="0.75" bottom="0.75" header="0.3" footer="0.3"/>
  <pageSetup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8811ad1-7d45-4d76-92a7-0f99a14be425">
      <Terms xmlns="http://schemas.microsoft.com/office/infopath/2007/PartnerControls"/>
    </lcf76f155ced4ddcb4097134ff3c332f>
    <TaxCatchAll xmlns="16155280-ffab-48c9-9883-e6d4039612a6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FAC5591E19AC4E48BAA8B750024E6760" ma:contentTypeVersion="19" ma:contentTypeDescription="Crear nuevo documento." ma:contentTypeScope="" ma:versionID="f5010d738de34668723df6d85d8bb338">
  <xsd:schema xmlns:xsd="http://www.w3.org/2001/XMLSchema" xmlns:xs="http://www.w3.org/2001/XMLSchema" xmlns:p="http://schemas.microsoft.com/office/2006/metadata/properties" xmlns:ns2="48811ad1-7d45-4d76-92a7-0f99a14be425" xmlns:ns3="16155280-ffab-48c9-9883-e6d4039612a6" targetNamespace="http://schemas.microsoft.com/office/2006/metadata/properties" ma:root="true" ma:fieldsID="04ee8248a4b17fb9f4b0fb4a51917dcc" ns2:_="" ns3:_="">
    <xsd:import namespace="48811ad1-7d45-4d76-92a7-0f99a14be425"/>
    <xsd:import namespace="16155280-ffab-48c9-9883-e6d4039612a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LengthInSecond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Location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8811ad1-7d45-4d76-92a7-0f99a14be42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LengthInSeconds" ma:index="1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2" nillable="true" ma:taxonomy="true" ma:internalName="lcf76f155ced4ddcb4097134ff3c332f" ma:taxonomyFieldName="MediaServiceImageTags" ma:displayName="Etiquetas de imagen" ma:readOnly="false" ma:fieldId="{5cf76f15-5ced-4ddc-b409-7134ff3c332f}" ma:taxonomyMulti="true" ma:sspId="613a2df3-77c5-4702-acd3-5715a347178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6155280-ffab-48c9-9883-e6d4039612a6" elementFormDefault="qualified">
    <xsd:import namespace="http://schemas.microsoft.com/office/2006/documentManagement/types"/>
    <xsd:import namespace="http://schemas.microsoft.com/office/infopath/2007/PartnerControls"/>
    <xsd:element name="SharedWithUsers" ma:index="19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f525d32d-4e38-4ff4-ad29-8a9e062374d4}" ma:internalName="TaxCatchAll" ma:showField="CatchAllData" ma:web="16155280-ffab-48c9-9883-e6d4039612a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BF647DF-D041-42B0-A605-F5B0C92D1745}">
  <ds:schemaRefs>
    <ds:schemaRef ds:uri="http://schemas.microsoft.com/office/2006/metadata/properties"/>
    <ds:schemaRef ds:uri="http://schemas.microsoft.com/office/infopath/2007/PartnerControls"/>
    <ds:schemaRef ds:uri="48811ad1-7d45-4d76-92a7-0f99a14be425"/>
    <ds:schemaRef ds:uri="16155280-ffab-48c9-9883-e6d4039612a6"/>
  </ds:schemaRefs>
</ds:datastoreItem>
</file>

<file path=customXml/itemProps2.xml><?xml version="1.0" encoding="utf-8"?>
<ds:datastoreItem xmlns:ds="http://schemas.openxmlformats.org/officeDocument/2006/customXml" ds:itemID="{F8B163EA-092A-4540-B006-5A5A4DB886E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853BD3D1-F105-4A84-A720-18A2AE9457D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8811ad1-7d45-4d76-92a7-0f99a14be425"/>
    <ds:schemaRef ds:uri="16155280-ffab-48c9-9883-e6d4039612a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11</vt:i4>
      </vt:variant>
    </vt:vector>
  </HeadingPairs>
  <TitlesOfParts>
    <vt:vector size="11" baseType="lpstr">
      <vt:lpstr>Datos</vt:lpstr>
      <vt:lpstr>ORD</vt:lpstr>
      <vt:lpstr>Maestro</vt:lpstr>
      <vt:lpstr>Base</vt:lpstr>
      <vt:lpstr>TD</vt:lpstr>
      <vt:lpstr>Costo</vt:lpstr>
      <vt:lpstr>Costo Arrastrado</vt:lpstr>
      <vt:lpstr>Costo sin Consolidar</vt:lpstr>
      <vt:lpstr>Energía</vt:lpstr>
      <vt:lpstr>Gráficas</vt:lpstr>
      <vt:lpstr>Gráficas (Costo Arrastrado)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David Serna Ramirez</dc:creator>
  <cp:lastModifiedBy>Carlos David Serna Ramirez</cp:lastModifiedBy>
  <dcterms:created xsi:type="dcterms:W3CDTF">2026-04-15T19:16:39Z</dcterms:created>
  <dcterms:modified xsi:type="dcterms:W3CDTF">2026-05-22T13:24:33Z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0x010100FAC5591E19AC4E48BAA8B750024E6760</vt:lpwstr>
  </property>
</Properties>
</file>